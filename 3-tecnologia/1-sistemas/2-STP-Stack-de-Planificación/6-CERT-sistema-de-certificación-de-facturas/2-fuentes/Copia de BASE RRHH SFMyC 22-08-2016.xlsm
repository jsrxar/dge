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360" yWindow="765" windowWidth="6000" windowHeight="7215" tabRatio="894"/>
  </bookViews>
  <sheets>
    <sheet name="BASE DATOS" sheetId="1" r:id="rId1"/>
    <sheet name="DETALLADO" sheetId="39" r:id="rId2"/>
    <sheet name="AT - LM" sheetId="20" r:id="rId3"/>
    <sheet name="TOTALES" sheetId="3" r:id="rId4"/>
    <sheet name="X AREA" sheetId="8" r:id="rId5"/>
    <sheet name="SECRETARIA" sheetId="10" r:id="rId6"/>
    <sheet name="DIR  Area" sheetId="14" r:id="rId7"/>
    <sheet name="Detalle" sheetId="19" r:id="rId8"/>
    <sheet name="Dot x Area" sheetId="40" r:id="rId9"/>
    <sheet name="$ x Area" sheetId="42" r:id="rId10"/>
  </sheets>
  <definedNames>
    <definedName name="_xlnm._FilterDatabase" localSheetId="0" hidden="1">'BASE DATOS'!$A$3:$AL$1020</definedName>
    <definedName name="_xlnm.Print_Area" localSheetId="2">'AT - LM'!$A$3:$D$251</definedName>
    <definedName name="_xlnm.Print_Area" localSheetId="0">'BASE DATOS'!$A$1:$AF$1020</definedName>
    <definedName name="_xlnm.Print_Area" localSheetId="1">DETALLADO!$A$1:$K$1140</definedName>
    <definedName name="_xlnm.Print_Area" localSheetId="8">'Dot x Area'!$A$1:$D$174</definedName>
    <definedName name="_xlnm.Print_Titles" localSheetId="0">'BASE DATOS'!$3:$3</definedName>
    <definedName name="_xlnm.Print_Titles" localSheetId="1">DETALLADO!$4:$4</definedName>
  </definedNames>
  <calcPr calcId="145621"/>
  <pivotCaches>
    <pivotCache cacheId="0" r:id="rId11"/>
    <pivotCache cacheId="1" r:id="rId12"/>
    <pivotCache cacheId="2" r:id="rId13"/>
    <pivotCache cacheId="3" r:id="rId14"/>
    <pivotCache cacheId="4" r:id="rId15"/>
  </pivotCaches>
</workbook>
</file>

<file path=xl/calcChain.xml><?xml version="1.0" encoding="utf-8"?>
<calcChain xmlns="http://schemas.openxmlformats.org/spreadsheetml/2006/main">
  <c r="AI24" i="1" l="1"/>
  <c r="AJ24" i="1" s="1"/>
  <c r="AI53" i="1"/>
  <c r="AJ53" i="1" s="1"/>
  <c r="AI83" i="1"/>
  <c r="AJ83" i="1" s="1"/>
  <c r="AI84" i="1"/>
  <c r="AJ84" i="1" s="1"/>
  <c r="AI85" i="1"/>
  <c r="AJ85" i="1" s="1"/>
  <c r="AI86" i="1"/>
  <c r="AJ86" i="1" s="1"/>
  <c r="AI87" i="1"/>
  <c r="AJ87" i="1" s="1"/>
  <c r="AI88" i="1"/>
  <c r="AJ88" i="1" s="1"/>
  <c r="AI89" i="1"/>
  <c r="AJ89" i="1" s="1"/>
  <c r="AI90" i="1"/>
  <c r="AJ90" i="1" s="1"/>
  <c r="AI91" i="1"/>
  <c r="AJ91" i="1" s="1"/>
  <c r="AI92" i="1"/>
  <c r="AJ92" i="1" s="1"/>
  <c r="AI93" i="1"/>
  <c r="AJ93" i="1" s="1"/>
  <c r="AI94" i="1"/>
  <c r="AJ94" i="1" s="1"/>
  <c r="AI95" i="1"/>
  <c r="AJ95" i="1" s="1"/>
  <c r="AI199" i="1"/>
  <c r="AJ199" i="1" s="1"/>
  <c r="AI238" i="1"/>
  <c r="AJ238" i="1" s="1"/>
  <c r="AI365" i="1"/>
  <c r="AJ365" i="1" s="1"/>
  <c r="AI393" i="1"/>
  <c r="AJ393" i="1" s="1"/>
  <c r="AI492" i="1"/>
  <c r="AJ492" i="1" s="1"/>
  <c r="AI502" i="1"/>
  <c r="AJ502" i="1" s="1"/>
  <c r="AI534" i="1"/>
  <c r="AJ534" i="1" s="1"/>
  <c r="AI569" i="1"/>
  <c r="AJ569" i="1" s="1"/>
  <c r="AI603" i="1"/>
  <c r="AJ603" i="1" s="1"/>
  <c r="AI612" i="1"/>
  <c r="AJ612" i="1" s="1"/>
  <c r="AI623" i="1"/>
  <c r="AJ623" i="1" s="1"/>
  <c r="AI682" i="1"/>
  <c r="AJ682" i="1" s="1"/>
  <c r="AI757" i="1"/>
  <c r="AJ757" i="1" s="1"/>
  <c r="AI839" i="1"/>
  <c r="AJ839" i="1" s="1"/>
  <c r="AI841" i="1"/>
  <c r="AJ841" i="1" s="1"/>
  <c r="AI846" i="1"/>
  <c r="AJ846" i="1" s="1"/>
  <c r="AI897" i="1"/>
  <c r="AJ897" i="1" s="1"/>
  <c r="AI967" i="1"/>
  <c r="AJ967" i="1" s="1"/>
  <c r="AI979" i="1"/>
  <c r="AJ979" i="1" s="1"/>
  <c r="AI983" i="1"/>
  <c r="AJ983" i="1" s="1"/>
  <c r="AI990" i="1"/>
  <c r="AJ990" i="1" s="1"/>
  <c r="AI991" i="1"/>
  <c r="AJ991" i="1" s="1"/>
  <c r="AI992" i="1"/>
  <c r="AJ992" i="1" s="1"/>
  <c r="AI993" i="1"/>
  <c r="AJ993" i="1" s="1"/>
  <c r="AI1014" i="1"/>
  <c r="AJ1014" i="1" s="1"/>
  <c r="AF1020" i="1"/>
  <c r="AF1019" i="1"/>
  <c r="AF1018" i="1"/>
  <c r="AF1017" i="1"/>
  <c r="AF1016" i="1"/>
  <c r="AF1015" i="1"/>
  <c r="AF1014" i="1"/>
  <c r="AF1013" i="1"/>
  <c r="AF1012" i="1"/>
  <c r="AF1011" i="1"/>
  <c r="AF1010" i="1"/>
  <c r="AF1009" i="1"/>
  <c r="AF1008" i="1"/>
  <c r="AF1007" i="1"/>
  <c r="AF1006" i="1"/>
  <c r="AF1005" i="1"/>
  <c r="AF1004" i="1"/>
  <c r="AF1003" i="1"/>
  <c r="AF1002" i="1"/>
  <c r="AF1001" i="1"/>
  <c r="AF1000" i="1"/>
  <c r="AF999" i="1"/>
  <c r="AF998" i="1"/>
  <c r="AF997" i="1"/>
  <c r="AF996" i="1"/>
  <c r="AF995" i="1"/>
  <c r="AF994" i="1"/>
  <c r="AF989" i="1"/>
  <c r="AF987" i="1"/>
  <c r="AF986" i="1"/>
  <c r="AF985" i="1"/>
  <c r="AF984" i="1"/>
  <c r="AF983" i="1"/>
  <c r="AF982" i="1"/>
  <c r="AF981" i="1"/>
  <c r="AF980" i="1"/>
  <c r="AF979" i="1"/>
  <c r="AF978" i="1"/>
  <c r="AF977" i="1"/>
  <c r="AF976" i="1"/>
  <c r="AF975" i="1"/>
  <c r="AF974" i="1"/>
  <c r="AF973" i="1"/>
  <c r="AF972" i="1"/>
  <c r="AF971" i="1"/>
  <c r="AF970" i="1"/>
  <c r="AF969" i="1"/>
  <c r="AF968" i="1"/>
  <c r="AF967" i="1"/>
  <c r="AF966" i="1"/>
  <c r="AF965" i="1"/>
  <c r="AF964" i="1"/>
  <c r="AF963" i="1"/>
  <c r="AF962" i="1"/>
  <c r="AF961" i="1"/>
  <c r="AF960" i="1"/>
  <c r="AF959" i="1"/>
  <c r="AF958" i="1"/>
  <c r="AF957" i="1"/>
  <c r="AF956" i="1"/>
  <c r="AF955" i="1"/>
  <c r="AF954" i="1"/>
  <c r="AF953" i="1"/>
  <c r="AF952" i="1"/>
  <c r="AF951" i="1"/>
  <c r="AF950" i="1"/>
  <c r="AF949" i="1"/>
  <c r="AF948" i="1"/>
  <c r="AF947" i="1"/>
  <c r="AF946" i="1"/>
  <c r="AF945" i="1"/>
  <c r="AF944" i="1"/>
  <c r="AF943" i="1"/>
  <c r="AF942" i="1"/>
  <c r="AF941" i="1"/>
  <c r="AF940" i="1"/>
  <c r="AF939" i="1"/>
  <c r="AF938" i="1"/>
  <c r="AF937" i="1"/>
  <c r="AF936" i="1"/>
  <c r="AF935" i="1"/>
  <c r="AF934" i="1"/>
  <c r="AF933" i="1"/>
  <c r="AF932" i="1"/>
  <c r="AF931" i="1"/>
  <c r="AF930" i="1"/>
  <c r="AF929" i="1"/>
  <c r="AF928" i="1"/>
  <c r="AF927" i="1"/>
  <c r="AF926" i="1"/>
  <c r="AF925" i="1"/>
  <c r="AF924" i="1"/>
  <c r="AF923" i="1"/>
  <c r="AF922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F909" i="1"/>
  <c r="AF908" i="1"/>
  <c r="AF907" i="1"/>
  <c r="AF906" i="1"/>
  <c r="AF905" i="1"/>
  <c r="AF904" i="1"/>
  <c r="AF903" i="1"/>
  <c r="AF902" i="1"/>
  <c r="AF901" i="1"/>
  <c r="AF900" i="1"/>
  <c r="AF899" i="1"/>
  <c r="AF898" i="1"/>
  <c r="AF897" i="1"/>
  <c r="AF896" i="1"/>
  <c r="AF895" i="1"/>
  <c r="AF894" i="1"/>
  <c r="AF893" i="1"/>
  <c r="AF892" i="1"/>
  <c r="AF891" i="1"/>
  <c r="AF890" i="1"/>
  <c r="AF889" i="1"/>
  <c r="AF888" i="1"/>
  <c r="AF887" i="1"/>
  <c r="AF886" i="1"/>
  <c r="AF885" i="1"/>
  <c r="AF884" i="1"/>
  <c r="AF883" i="1"/>
  <c r="AF882" i="1"/>
  <c r="AF881" i="1"/>
  <c r="AF880" i="1"/>
  <c r="AF879" i="1"/>
  <c r="AF878" i="1"/>
  <c r="AF877" i="1"/>
  <c r="AF876" i="1"/>
  <c r="AF875" i="1"/>
  <c r="AF874" i="1"/>
  <c r="AF873" i="1"/>
  <c r="AF872" i="1"/>
  <c r="AF871" i="1"/>
  <c r="AF870" i="1"/>
  <c r="AF869" i="1"/>
  <c r="AF868" i="1"/>
  <c r="AF867" i="1"/>
  <c r="AF866" i="1"/>
  <c r="AF865" i="1"/>
  <c r="AF864" i="1"/>
  <c r="AF863" i="1"/>
  <c r="AF862" i="1"/>
  <c r="AF861" i="1"/>
  <c r="AF860" i="1"/>
  <c r="AF859" i="1"/>
  <c r="AF858" i="1"/>
  <c r="AF857" i="1"/>
  <c r="AF856" i="1"/>
  <c r="AF855" i="1"/>
  <c r="AF854" i="1"/>
  <c r="AF853" i="1"/>
  <c r="AF852" i="1"/>
  <c r="AF851" i="1"/>
  <c r="AF850" i="1"/>
  <c r="AF849" i="1"/>
  <c r="AF848" i="1"/>
  <c r="AF847" i="1"/>
  <c r="AF846" i="1"/>
  <c r="AF845" i="1"/>
  <c r="AF844" i="1"/>
  <c r="AF843" i="1"/>
  <c r="AF842" i="1"/>
  <c r="AF841" i="1"/>
  <c r="AF840" i="1"/>
  <c r="AF839" i="1"/>
  <c r="AF838" i="1"/>
  <c r="AF837" i="1"/>
  <c r="AF836" i="1"/>
  <c r="AF835" i="1"/>
  <c r="AF834" i="1"/>
  <c r="AF833" i="1"/>
  <c r="AF832" i="1"/>
  <c r="AF831" i="1"/>
  <c r="AF830" i="1"/>
  <c r="AF829" i="1"/>
  <c r="AF828" i="1"/>
  <c r="AF827" i="1"/>
  <c r="AF826" i="1"/>
  <c r="AF825" i="1"/>
  <c r="AF823" i="1"/>
  <c r="AF822" i="1"/>
  <c r="AF821" i="1"/>
  <c r="AF820" i="1"/>
  <c r="AF819" i="1"/>
  <c r="AF818" i="1"/>
  <c r="AF817" i="1"/>
  <c r="AF816" i="1"/>
  <c r="AF815" i="1"/>
  <c r="AF814" i="1"/>
  <c r="AF813" i="1"/>
  <c r="AF812" i="1"/>
  <c r="AF811" i="1"/>
  <c r="AF810" i="1"/>
  <c r="AF809" i="1"/>
  <c r="AF808" i="1"/>
  <c r="AF807" i="1"/>
  <c r="AF806" i="1"/>
  <c r="AF805" i="1"/>
  <c r="AF804" i="1"/>
  <c r="AF803" i="1"/>
  <c r="AF802" i="1"/>
  <c r="AF801" i="1"/>
  <c r="AF800" i="1"/>
  <c r="AF799" i="1"/>
  <c r="AF798" i="1"/>
  <c r="AF797" i="1"/>
  <c r="AF796" i="1"/>
  <c r="AF795" i="1"/>
  <c r="AF794" i="1"/>
  <c r="AF793" i="1"/>
  <c r="AF792" i="1"/>
  <c r="AF791" i="1"/>
  <c r="AF790" i="1"/>
  <c r="AF789" i="1"/>
  <c r="AF788" i="1"/>
  <c r="AF787" i="1"/>
  <c r="AF786" i="1"/>
  <c r="AF785" i="1"/>
  <c r="AF784" i="1"/>
  <c r="AF783" i="1"/>
  <c r="AF782" i="1"/>
  <c r="AF781" i="1"/>
  <c r="AF780" i="1"/>
  <c r="AF779" i="1"/>
  <c r="AF778" i="1"/>
  <c r="AF777" i="1"/>
  <c r="AF776" i="1"/>
  <c r="AF775" i="1"/>
  <c r="AF774" i="1"/>
  <c r="AF773" i="1"/>
  <c r="AF772" i="1"/>
  <c r="AF771" i="1"/>
  <c r="AF770" i="1"/>
  <c r="AF769" i="1"/>
  <c r="AF768" i="1"/>
  <c r="AF767" i="1"/>
  <c r="AF766" i="1"/>
  <c r="AF765" i="1"/>
  <c r="AF764" i="1"/>
  <c r="AF763" i="1"/>
  <c r="AF762" i="1"/>
  <c r="AF761" i="1"/>
  <c r="AF760" i="1"/>
  <c r="AF759" i="1"/>
  <c r="AF758" i="1"/>
  <c r="AF757" i="1"/>
  <c r="AF756" i="1"/>
  <c r="AF755" i="1"/>
  <c r="AF754" i="1"/>
  <c r="AF753" i="1"/>
  <c r="AF752" i="1"/>
  <c r="AF751" i="1"/>
  <c r="AF750" i="1"/>
  <c r="AF749" i="1"/>
  <c r="AF748" i="1"/>
  <c r="AF747" i="1"/>
  <c r="AF746" i="1"/>
  <c r="AF745" i="1"/>
  <c r="AF744" i="1"/>
  <c r="AF743" i="1"/>
  <c r="AF742" i="1"/>
  <c r="AF741" i="1"/>
  <c r="AF740" i="1"/>
  <c r="AF739" i="1"/>
  <c r="AF738" i="1"/>
  <c r="AF737" i="1"/>
  <c r="AF736" i="1"/>
  <c r="AF735" i="1"/>
  <c r="AF734" i="1"/>
  <c r="AF733" i="1"/>
  <c r="AF732" i="1"/>
  <c r="AF731" i="1"/>
  <c r="AF730" i="1"/>
  <c r="AF729" i="1"/>
  <c r="AF728" i="1"/>
  <c r="AF727" i="1"/>
  <c r="AF726" i="1"/>
  <c r="AF725" i="1"/>
  <c r="AF724" i="1"/>
  <c r="AF723" i="1"/>
  <c r="AF722" i="1"/>
  <c r="AF721" i="1"/>
  <c r="AF720" i="1"/>
  <c r="AF719" i="1"/>
  <c r="AF718" i="1"/>
  <c r="AF717" i="1"/>
  <c r="AF716" i="1"/>
  <c r="AF715" i="1"/>
  <c r="AF714" i="1"/>
  <c r="AF713" i="1"/>
  <c r="AF712" i="1"/>
  <c r="AF711" i="1"/>
  <c r="AF710" i="1"/>
  <c r="AF709" i="1"/>
  <c r="AF708" i="1"/>
  <c r="AF707" i="1"/>
  <c r="AF706" i="1"/>
  <c r="AF705" i="1"/>
  <c r="AF704" i="1"/>
  <c r="AF703" i="1"/>
  <c r="AF702" i="1"/>
  <c r="AF701" i="1"/>
  <c r="AF700" i="1"/>
  <c r="AF699" i="1"/>
  <c r="AF698" i="1"/>
  <c r="AF697" i="1"/>
  <c r="AF696" i="1"/>
  <c r="AF695" i="1"/>
  <c r="AF694" i="1"/>
  <c r="AF693" i="1"/>
  <c r="AF692" i="1"/>
  <c r="AF691" i="1"/>
  <c r="AF690" i="1"/>
  <c r="AF689" i="1"/>
  <c r="AF688" i="1"/>
  <c r="AF687" i="1"/>
  <c r="AF686" i="1"/>
  <c r="AF685" i="1"/>
  <c r="AF684" i="1"/>
  <c r="AF683" i="1"/>
  <c r="AF682" i="1"/>
  <c r="AF681" i="1"/>
  <c r="AF680" i="1"/>
  <c r="AF679" i="1"/>
  <c r="AF678" i="1"/>
  <c r="AF677" i="1"/>
  <c r="AF675" i="1"/>
  <c r="AF674" i="1"/>
  <c r="AF673" i="1"/>
  <c r="AF672" i="1"/>
  <c r="AF671" i="1"/>
  <c r="AF670" i="1"/>
  <c r="AF669" i="1"/>
  <c r="AF668" i="1"/>
  <c r="AF667" i="1"/>
  <c r="AF666" i="1"/>
  <c r="AF665" i="1"/>
  <c r="AF664" i="1"/>
  <c r="AF663" i="1"/>
  <c r="AF662" i="1"/>
  <c r="AF661" i="1"/>
  <c r="AF660" i="1"/>
  <c r="AF659" i="1"/>
  <c r="AF658" i="1"/>
  <c r="AF657" i="1"/>
  <c r="AF656" i="1"/>
  <c r="AF655" i="1"/>
  <c r="AF654" i="1"/>
  <c r="AF653" i="1"/>
  <c r="AF652" i="1"/>
  <c r="AF651" i="1"/>
  <c r="AF650" i="1"/>
  <c r="AF649" i="1"/>
  <c r="AF648" i="1"/>
  <c r="AF647" i="1"/>
  <c r="AF646" i="1"/>
  <c r="AF645" i="1"/>
  <c r="AF644" i="1"/>
  <c r="AF643" i="1"/>
  <c r="AF642" i="1"/>
  <c r="AF641" i="1"/>
  <c r="AF640" i="1"/>
  <c r="AF639" i="1"/>
  <c r="AF638" i="1"/>
  <c r="AF637" i="1"/>
  <c r="AF636" i="1"/>
  <c r="AF635" i="1"/>
  <c r="AF634" i="1"/>
  <c r="AF633" i="1"/>
  <c r="AF632" i="1"/>
  <c r="AF631" i="1"/>
  <c r="AF629" i="1"/>
  <c r="AF628" i="1"/>
  <c r="AF627" i="1"/>
  <c r="AF626" i="1"/>
  <c r="AF625" i="1"/>
  <c r="AF624" i="1"/>
  <c r="AF623" i="1"/>
  <c r="AF622" i="1"/>
  <c r="AF621" i="1"/>
  <c r="AF620" i="1"/>
  <c r="AF619" i="1"/>
  <c r="AF618" i="1"/>
  <c r="AF617" i="1"/>
  <c r="AF616" i="1"/>
  <c r="AF615" i="1"/>
  <c r="AF614" i="1"/>
  <c r="AF612" i="1"/>
  <c r="AF611" i="1"/>
  <c r="AF610" i="1"/>
  <c r="AF609" i="1"/>
  <c r="AF608" i="1"/>
  <c r="AF607" i="1"/>
  <c r="AF606" i="1"/>
  <c r="AF605" i="1"/>
  <c r="AF604" i="1"/>
  <c r="AF603" i="1"/>
  <c r="AF602" i="1"/>
  <c r="AF601" i="1"/>
  <c r="AF600" i="1"/>
  <c r="AF599" i="1"/>
  <c r="AF598" i="1"/>
  <c r="AF597" i="1"/>
  <c r="AF596" i="1"/>
  <c r="AF595" i="1"/>
  <c r="AF594" i="1"/>
  <c r="AF593" i="1"/>
  <c r="AF592" i="1"/>
  <c r="AF591" i="1"/>
  <c r="AF590" i="1"/>
  <c r="AF589" i="1"/>
  <c r="AF588" i="1"/>
  <c r="AF587" i="1"/>
  <c r="AF586" i="1"/>
  <c r="AF585" i="1"/>
  <c r="AF584" i="1"/>
  <c r="AF583" i="1"/>
  <c r="AF582" i="1"/>
  <c r="AF581" i="1"/>
  <c r="AF580" i="1"/>
  <c r="AF577" i="1"/>
  <c r="AF576" i="1"/>
  <c r="AF575" i="1"/>
  <c r="AF574" i="1"/>
  <c r="AF573" i="1"/>
  <c r="AF572" i="1"/>
  <c r="AF571" i="1"/>
  <c r="AF570" i="1"/>
  <c r="AF569" i="1"/>
  <c r="AF568" i="1"/>
  <c r="AF567" i="1"/>
  <c r="AF566" i="1"/>
  <c r="AF565" i="1"/>
  <c r="AF564" i="1"/>
  <c r="AF563" i="1"/>
  <c r="AF562" i="1"/>
  <c r="AF561" i="1"/>
  <c r="AF560" i="1"/>
  <c r="AF559" i="1"/>
  <c r="AF558" i="1"/>
  <c r="AF557" i="1"/>
  <c r="AF556" i="1"/>
  <c r="AF555" i="1"/>
  <c r="AF554" i="1"/>
  <c r="AF553" i="1"/>
  <c r="AF552" i="1"/>
  <c r="AF551" i="1"/>
  <c r="AF550" i="1"/>
  <c r="AF549" i="1"/>
  <c r="AF548" i="1"/>
  <c r="AF547" i="1"/>
  <c r="AF546" i="1"/>
  <c r="AF545" i="1"/>
  <c r="AF544" i="1"/>
  <c r="AF543" i="1"/>
  <c r="AF542" i="1"/>
  <c r="AF541" i="1"/>
  <c r="AF540" i="1"/>
  <c r="AF539" i="1"/>
  <c r="AF538" i="1"/>
  <c r="AF537" i="1"/>
  <c r="AF536" i="1"/>
  <c r="AF535" i="1"/>
  <c r="AF534" i="1"/>
  <c r="AF533" i="1"/>
  <c r="AF532" i="1"/>
  <c r="AF531" i="1"/>
  <c r="AF530" i="1"/>
  <c r="AF529" i="1"/>
  <c r="AF528" i="1"/>
  <c r="AF527" i="1"/>
  <c r="AF526" i="1"/>
  <c r="AF525" i="1"/>
  <c r="AF524" i="1"/>
  <c r="AF523" i="1"/>
  <c r="AF522" i="1"/>
  <c r="AF521" i="1"/>
  <c r="AF519" i="1"/>
  <c r="AF518" i="1"/>
  <c r="AF517" i="1"/>
  <c r="AF516" i="1"/>
  <c r="AF515" i="1"/>
  <c r="AF514" i="1"/>
  <c r="AF513" i="1"/>
  <c r="AF512" i="1"/>
  <c r="AF511" i="1"/>
  <c r="AF510" i="1"/>
  <c r="AF509" i="1"/>
  <c r="AF508" i="1"/>
  <c r="AF507" i="1"/>
  <c r="AF506" i="1"/>
  <c r="AF505" i="1"/>
  <c r="AF504" i="1"/>
  <c r="AF503" i="1"/>
  <c r="AF502" i="1"/>
  <c r="AF501" i="1"/>
  <c r="AF500" i="1"/>
  <c r="AF499" i="1"/>
  <c r="AF498" i="1"/>
  <c r="AF497" i="1"/>
  <c r="AF496" i="1"/>
  <c r="AF495" i="1"/>
  <c r="AF494" i="1"/>
  <c r="AF493" i="1"/>
  <c r="AF492" i="1"/>
  <c r="AF491" i="1"/>
  <c r="AF490" i="1"/>
  <c r="AF489" i="1"/>
  <c r="AF488" i="1"/>
  <c r="AF487" i="1"/>
  <c r="AF486" i="1"/>
  <c r="AF485" i="1"/>
  <c r="AF484" i="1"/>
  <c r="AF483" i="1"/>
  <c r="AF482" i="1"/>
  <c r="AF480" i="1"/>
  <c r="AF479" i="1"/>
  <c r="AF478" i="1"/>
  <c r="AF477" i="1"/>
  <c r="AF476" i="1"/>
  <c r="AF475" i="1"/>
  <c r="AF474" i="1"/>
  <c r="AF473" i="1"/>
  <c r="AF472" i="1"/>
  <c r="AF471" i="1"/>
  <c r="AF470" i="1"/>
  <c r="AF469" i="1"/>
  <c r="AF468" i="1"/>
  <c r="AF467" i="1"/>
  <c r="AF466" i="1"/>
  <c r="AF465" i="1"/>
  <c r="AF464" i="1"/>
  <c r="AF463" i="1"/>
  <c r="AF462" i="1"/>
  <c r="AF461" i="1"/>
  <c r="AF460" i="1"/>
  <c r="AF459" i="1"/>
  <c r="AF457" i="1"/>
  <c r="AF456" i="1"/>
  <c r="AF455" i="1"/>
  <c r="AF454" i="1"/>
  <c r="AF453" i="1"/>
  <c r="AF452" i="1"/>
  <c r="AF451" i="1"/>
  <c r="AF450" i="1"/>
  <c r="AF449" i="1"/>
  <c r="AF448" i="1"/>
  <c r="AF447" i="1"/>
  <c r="AF446" i="1"/>
  <c r="AF445" i="1"/>
  <c r="AF444" i="1"/>
  <c r="AF443" i="1"/>
  <c r="AF442" i="1"/>
  <c r="AF441" i="1"/>
  <c r="AF440" i="1"/>
  <c r="AF439" i="1"/>
  <c r="AF438" i="1"/>
  <c r="AF437" i="1"/>
  <c r="AF436" i="1"/>
  <c r="AF435" i="1"/>
  <c r="AF434" i="1"/>
  <c r="AF433" i="1"/>
  <c r="AF432" i="1"/>
  <c r="AF431" i="1"/>
  <c r="AF430" i="1"/>
  <c r="AF429" i="1"/>
  <c r="AF428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9" i="1"/>
  <c r="AF408" i="1"/>
  <c r="AF407" i="1"/>
  <c r="AF406" i="1"/>
  <c r="AF405" i="1"/>
  <c r="AF404" i="1"/>
  <c r="AF403" i="1"/>
  <c r="AF402" i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AF373" i="1"/>
  <c r="AF372" i="1"/>
  <c r="AF371" i="1"/>
  <c r="AF370" i="1"/>
  <c r="AF369" i="1"/>
  <c r="AF368" i="1"/>
  <c r="AF367" i="1"/>
  <c r="AF366" i="1"/>
  <c r="AF365" i="1"/>
  <c r="AF364" i="1"/>
  <c r="AF363" i="1"/>
  <c r="AF362" i="1"/>
  <c r="AF361" i="1"/>
  <c r="AF360" i="1"/>
  <c r="AF359" i="1"/>
  <c r="AF358" i="1"/>
  <c r="AF357" i="1"/>
  <c r="AF356" i="1"/>
  <c r="AF355" i="1"/>
  <c r="AF354" i="1"/>
  <c r="AF353" i="1"/>
  <c r="AF352" i="1"/>
  <c r="AF351" i="1"/>
  <c r="AF350" i="1"/>
  <c r="AF349" i="1"/>
  <c r="AF348" i="1"/>
  <c r="AF347" i="1"/>
  <c r="AF346" i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G610" i="1" l="1"/>
  <c r="AH610" i="1" s="1"/>
  <c r="AI610" i="1" s="1"/>
  <c r="AJ610" i="1" s="1"/>
  <c r="AG468" i="1" l="1"/>
  <c r="AH468" i="1" s="1"/>
  <c r="AI468" i="1" s="1"/>
  <c r="AJ468" i="1" s="1"/>
  <c r="AG238" i="1" l="1"/>
  <c r="AG906" i="1"/>
  <c r="AH906" i="1" s="1"/>
  <c r="AI906" i="1" s="1"/>
  <c r="AJ906" i="1" s="1"/>
  <c r="AL906" i="1"/>
  <c r="AG682" i="1" l="1"/>
  <c r="AG684" i="1"/>
  <c r="AH684" i="1" s="1"/>
  <c r="AI684" i="1" s="1"/>
  <c r="AJ684" i="1" s="1"/>
  <c r="AG683" i="1"/>
  <c r="AH683" i="1" s="1"/>
  <c r="AI683" i="1" s="1"/>
  <c r="AJ683" i="1" s="1"/>
  <c r="AG681" i="1"/>
  <c r="AH681" i="1" s="1"/>
  <c r="AI681" i="1" s="1"/>
  <c r="AJ681" i="1" s="1"/>
  <c r="AG680" i="1"/>
  <c r="AH680" i="1" s="1"/>
  <c r="AI680" i="1" s="1"/>
  <c r="AJ680" i="1" s="1"/>
  <c r="AG237" i="1" l="1"/>
  <c r="AH237" i="1" s="1"/>
  <c r="AI237" i="1" s="1"/>
  <c r="AJ237" i="1" s="1"/>
  <c r="AL291" i="1" l="1"/>
  <c r="AL773" i="1"/>
  <c r="AL795" i="1"/>
  <c r="AL745" i="1"/>
  <c r="AL917" i="1"/>
  <c r="AL778" i="1"/>
  <c r="AL635" i="1"/>
  <c r="AL617" i="1"/>
  <c r="AL517" i="1"/>
  <c r="AL513" i="1"/>
  <c r="AL475" i="1"/>
  <c r="AL346" i="1"/>
  <c r="AL250" i="1"/>
  <c r="AL242" i="1"/>
  <c r="AL217" i="1"/>
  <c r="AL322" i="1"/>
  <c r="AL7" i="1"/>
  <c r="AL10" i="1"/>
  <c r="AL431" i="1"/>
  <c r="AL248" i="1"/>
  <c r="AL119" i="1"/>
  <c r="AL976" i="1"/>
  <c r="AL544" i="1"/>
  <c r="AL775" i="1"/>
  <c r="AL702" i="1"/>
  <c r="AL433" i="1"/>
  <c r="AL63" i="1"/>
  <c r="AL734" i="1"/>
  <c r="AL487" i="1"/>
  <c r="AL173" i="1"/>
  <c r="AL572" i="1"/>
  <c r="AL783" i="1"/>
  <c r="AL628" i="1"/>
  <c r="AL208" i="1"/>
  <c r="AL58" i="1"/>
  <c r="AL446" i="1"/>
  <c r="AL130" i="1"/>
  <c r="AL957" i="1"/>
  <c r="AL740" i="1"/>
  <c r="AL706" i="1"/>
  <c r="AL685" i="1"/>
  <c r="AL391" i="1"/>
  <c r="AL382" i="1"/>
  <c r="AL840" i="1"/>
  <c r="AL251" i="1"/>
  <c r="AL320" i="1"/>
  <c r="AL233" i="1"/>
  <c r="AL609" i="1"/>
  <c r="AL955" i="1"/>
  <c r="AL179" i="1"/>
  <c r="AL227" i="1"/>
  <c r="AL359" i="1"/>
  <c r="AL747" i="1"/>
  <c r="AL533" i="1"/>
  <c r="AL404" i="1"/>
  <c r="AL335" i="1"/>
  <c r="AL943" i="1"/>
  <c r="AL890" i="1"/>
  <c r="AL694" i="1"/>
  <c r="AL690" i="1"/>
  <c r="AL6" i="1"/>
  <c r="AL558" i="1"/>
  <c r="AL928" i="1"/>
  <c r="AL868" i="1"/>
  <c r="AL802" i="1"/>
  <c r="AL768" i="1"/>
  <c r="AL756" i="1"/>
  <c r="AL708" i="1"/>
  <c r="AL608" i="1"/>
  <c r="AL585" i="1"/>
  <c r="AL472" i="1"/>
  <c r="AL281" i="1"/>
  <c r="AL209" i="1"/>
  <c r="AL180" i="1"/>
  <c r="AL75" i="1"/>
  <c r="AL69" i="1"/>
  <c r="AL538" i="1"/>
  <c r="AL357" i="1"/>
  <c r="AL171" i="1"/>
  <c r="AL76" i="1"/>
  <c r="AL902" i="1"/>
  <c r="AL884" i="1"/>
  <c r="AL724" i="1"/>
  <c r="AL512" i="1"/>
  <c r="AL301" i="1"/>
  <c r="AL168" i="1"/>
  <c r="AL882" i="1"/>
  <c r="AL828" i="1"/>
  <c r="AL821" i="1"/>
  <c r="AL429" i="1"/>
  <c r="AL1006" i="1"/>
  <c r="AL788" i="1"/>
  <c r="AL398" i="1"/>
  <c r="AL323" i="1"/>
  <c r="AL369" i="1"/>
  <c r="AL1004" i="1"/>
  <c r="AL283" i="1"/>
  <c r="AL108" i="1"/>
  <c r="AL235" i="1"/>
  <c r="AL239" i="1"/>
  <c r="AL858" i="1"/>
  <c r="AL408" i="1"/>
  <c r="AL390" i="1"/>
  <c r="AL353" i="1"/>
  <c r="AL316" i="1"/>
  <c r="AL451" i="1"/>
  <c r="AL289" i="1"/>
  <c r="AL191" i="1"/>
  <c r="AL163" i="1"/>
  <c r="AL565" i="1"/>
  <c r="AL722" i="1"/>
  <c r="AL292" i="1"/>
  <c r="AL122" i="1"/>
  <c r="AL853" i="1"/>
  <c r="AL267" i="1"/>
  <c r="AL32" i="1"/>
  <c r="AL916" i="1"/>
  <c r="AL844" i="1"/>
  <c r="AL827" i="1"/>
  <c r="AL808" i="1"/>
  <c r="AL803" i="1"/>
  <c r="AL782" i="1"/>
  <c r="AL765" i="1"/>
  <c r="AL679" i="1"/>
  <c r="AL652" i="1"/>
  <c r="AL614" i="1"/>
  <c r="AL605" i="1"/>
  <c r="AL557" i="1"/>
  <c r="AL519" i="1"/>
  <c r="AL392" i="1"/>
  <c r="AL286" i="1"/>
  <c r="AL280" i="1"/>
  <c r="AL270" i="1"/>
  <c r="AL269" i="1"/>
  <c r="AL243" i="1"/>
  <c r="AL234" i="1"/>
  <c r="AL35" i="1"/>
  <c r="AL19" i="1"/>
  <c r="AL920" i="1"/>
  <c r="AL413" i="1"/>
  <c r="AL989" i="1"/>
  <c r="AL914" i="1"/>
  <c r="AL435" i="1"/>
  <c r="AL106" i="1"/>
  <c r="AL988" i="1"/>
  <c r="AL872" i="1"/>
  <c r="AL761" i="1"/>
  <c r="AL750" i="1"/>
  <c r="AL731" i="1"/>
  <c r="AL457" i="1"/>
  <c r="AL225" i="1"/>
  <c r="AL641" i="1"/>
  <c r="AL521" i="1"/>
  <c r="AL515" i="1"/>
  <c r="AL511" i="1"/>
  <c r="AL303" i="1"/>
  <c r="AL1007" i="1"/>
  <c r="AL528" i="1"/>
  <c r="AL604" i="1"/>
  <c r="AL430" i="1"/>
  <c r="AL196" i="1"/>
  <c r="AL1016" i="1"/>
  <c r="AL1015" i="1"/>
  <c r="AL1013" i="1"/>
  <c r="AL1005" i="1"/>
  <c r="AL963" i="1"/>
  <c r="AL886" i="1"/>
  <c r="AL881" i="1"/>
  <c r="AL850" i="1"/>
  <c r="AL666" i="1"/>
  <c r="AL564" i="1"/>
  <c r="AL436" i="1"/>
  <c r="AL356" i="1"/>
  <c r="AL349" i="1"/>
  <c r="AL343" i="1"/>
  <c r="AL339" i="1"/>
  <c r="AL81" i="1"/>
  <c r="AL47" i="1"/>
  <c r="AL11" i="1"/>
  <c r="AL218" i="1"/>
  <c r="AL717" i="1"/>
  <c r="AL107" i="1"/>
  <c r="AL586" i="1"/>
  <c r="AL257" i="1"/>
  <c r="AL811" i="1"/>
  <c r="AL5" i="1"/>
  <c r="AL951" i="1"/>
  <c r="AL186" i="1"/>
  <c r="AL911" i="1"/>
  <c r="AL774" i="1"/>
  <c r="AL713" i="1"/>
  <c r="AL705" i="1"/>
  <c r="AL622" i="1"/>
  <c r="AL594" i="1"/>
  <c r="AL584" i="1"/>
  <c r="AL567" i="1"/>
  <c r="AL539" i="1"/>
  <c r="AL482" i="1"/>
  <c r="AL455" i="1"/>
  <c r="AL452" i="1"/>
  <c r="AL422" i="1"/>
  <c r="AL389" i="1"/>
  <c r="AL375" i="1"/>
  <c r="AL344" i="1"/>
  <c r="AL326" i="1"/>
  <c r="AL318" i="1"/>
  <c r="AL300" i="1"/>
  <c r="AL262" i="1"/>
  <c r="AL118" i="1"/>
  <c r="AL72" i="1"/>
  <c r="AL974" i="1"/>
  <c r="AL898" i="1"/>
  <c r="AL835" i="1"/>
  <c r="AL677" i="1"/>
  <c r="AL664" i="1"/>
  <c r="AL135" i="1"/>
  <c r="AL26" i="1"/>
  <c r="AL478" i="1"/>
  <c r="AL547" i="1"/>
  <c r="AL143" i="1"/>
  <c r="AL354" i="1"/>
  <c r="AL978" i="1"/>
  <c r="AL859" i="1"/>
  <c r="AL632" i="1"/>
  <c r="AL201" i="1"/>
  <c r="AL305" i="1"/>
  <c r="AL809" i="1"/>
  <c r="AL646" i="1"/>
  <c r="AL577" i="1"/>
  <c r="AL261" i="1"/>
  <c r="AL177" i="1"/>
  <c r="AL967" i="1"/>
  <c r="AL839" i="1"/>
  <c r="AL602" i="1"/>
  <c r="AL428" i="1"/>
  <c r="AL183" i="1"/>
  <c r="AL865" i="1"/>
  <c r="AL692" i="1"/>
  <c r="AL885" i="1"/>
  <c r="AL867" i="1"/>
  <c r="AL760" i="1"/>
  <c r="AL753" i="1"/>
  <c r="AL699" i="1"/>
  <c r="AL696" i="1"/>
  <c r="AL693" i="1"/>
  <c r="AL678" i="1"/>
  <c r="AL660" i="1"/>
  <c r="AL589" i="1"/>
  <c r="AL583" i="1"/>
  <c r="AL505" i="1"/>
  <c r="AL499" i="1"/>
  <c r="AL490" i="1"/>
  <c r="AL311" i="1"/>
  <c r="AL271" i="1"/>
  <c r="AL264" i="1"/>
  <c r="AL228" i="1"/>
  <c r="AL214" i="1"/>
  <c r="AL187" i="1"/>
  <c r="AL185" i="1"/>
  <c r="AL104" i="1"/>
  <c r="AL36" i="1"/>
  <c r="AL531" i="1"/>
  <c r="AL423" i="1"/>
  <c r="AL634" i="1"/>
  <c r="AL97" i="1"/>
  <c r="AL776" i="1"/>
  <c r="AL759" i="1"/>
  <c r="AL595" i="1"/>
  <c r="AL443" i="1"/>
  <c r="AL172" i="1"/>
  <c r="AL936" i="1"/>
  <c r="AL933" i="1"/>
  <c r="AL929" i="1"/>
  <c r="AL913" i="1"/>
  <c r="AL879" i="1"/>
  <c r="AL851" i="1"/>
  <c r="AL831" i="1"/>
  <c r="AL826" i="1"/>
  <c r="AL789" i="1"/>
  <c r="AL732" i="1"/>
  <c r="AL698" i="1"/>
  <c r="AL653" i="1"/>
  <c r="AL650" i="1"/>
  <c r="AL630" i="1"/>
  <c r="AL598" i="1"/>
  <c r="AL582" i="1"/>
  <c r="AL524" i="1"/>
  <c r="AL506" i="1"/>
  <c r="AL483" i="1"/>
  <c r="AL474" i="1"/>
  <c r="AL473" i="1"/>
  <c r="AL437" i="1"/>
  <c r="AL434" i="1"/>
  <c r="AL424" i="1"/>
  <c r="AL405" i="1"/>
  <c r="AL380" i="1"/>
  <c r="AL374" i="1"/>
  <c r="AL367" i="1"/>
  <c r="AL366" i="1"/>
  <c r="AL324" i="1"/>
  <c r="AL277" i="1"/>
  <c r="AL273" i="1"/>
  <c r="AL259" i="1"/>
  <c r="AL226" i="1"/>
  <c r="AL212" i="1"/>
  <c r="AL202" i="1"/>
  <c r="AL176" i="1"/>
  <c r="AL174" i="1"/>
  <c r="AL136" i="1"/>
  <c r="AL126" i="1"/>
  <c r="AL98" i="1"/>
  <c r="AL71" i="1"/>
  <c r="AL67" i="1"/>
  <c r="AL39" i="1"/>
  <c r="AL38" i="1"/>
  <c r="AL34" i="1"/>
  <c r="AL379" i="1"/>
  <c r="AL923" i="1"/>
  <c r="AL725" i="1"/>
  <c r="AL659" i="1"/>
  <c r="AL181" i="1"/>
  <c r="AL525" i="1"/>
  <c r="AL748" i="1"/>
  <c r="AL737" i="1"/>
  <c r="AL891" i="1"/>
  <c r="AL667" i="1"/>
  <c r="AL146" i="1"/>
  <c r="AL66" i="1"/>
  <c r="AL961" i="1"/>
  <c r="AL520" i="1"/>
  <c r="AL317" i="1"/>
  <c r="AL154" i="1"/>
  <c r="AL995" i="1"/>
  <c r="AL816" i="1"/>
  <c r="AL784" i="1"/>
  <c r="AL590" i="1"/>
  <c r="AL453" i="1"/>
  <c r="AL330" i="1"/>
  <c r="AL321" i="1"/>
  <c r="AL757" i="1"/>
  <c r="AL658" i="1"/>
  <c r="AL28" i="1"/>
  <c r="AL640" i="1"/>
  <c r="AL124" i="1"/>
  <c r="AL1012" i="1"/>
  <c r="AL1000" i="1"/>
  <c r="AL999" i="1"/>
  <c r="AL985" i="1"/>
  <c r="AL975" i="1"/>
  <c r="AL972" i="1"/>
  <c r="AL968" i="1"/>
  <c r="AL965" i="1"/>
  <c r="AL960" i="1"/>
  <c r="AL947" i="1"/>
  <c r="AL944" i="1"/>
  <c r="AL940" i="1"/>
  <c r="AL938" i="1"/>
  <c r="AL935" i="1"/>
  <c r="AL931" i="1"/>
  <c r="AL919" i="1"/>
  <c r="AL910" i="1"/>
  <c r="AL908" i="1"/>
  <c r="AL904" i="1"/>
  <c r="AL894" i="1"/>
  <c r="AL893" i="1"/>
  <c r="AL892" i="1"/>
  <c r="AL874" i="1"/>
  <c r="AL873" i="1"/>
  <c r="AL848" i="1"/>
  <c r="AL838" i="1"/>
  <c r="AL837" i="1"/>
  <c r="AL834" i="1"/>
  <c r="AL830" i="1"/>
  <c r="AL825" i="1"/>
  <c r="AL822" i="1"/>
  <c r="AL804" i="1"/>
  <c r="AL799" i="1"/>
  <c r="AL794" i="1"/>
  <c r="AL787" i="1"/>
  <c r="AL777" i="1"/>
  <c r="AL752" i="1"/>
  <c r="AL749" i="1"/>
  <c r="AL738" i="1"/>
  <c r="AL735" i="1"/>
  <c r="AL729" i="1"/>
  <c r="AL719" i="1"/>
  <c r="AL718" i="1"/>
  <c r="AL711" i="1"/>
  <c r="AL701" i="1"/>
  <c r="AL697" i="1"/>
  <c r="AL675" i="1"/>
  <c r="AL674" i="1"/>
  <c r="AL657" i="1"/>
  <c r="AL656" i="1"/>
  <c r="AL655" i="1"/>
  <c r="AL643" i="1"/>
  <c r="AL637" i="1"/>
  <c r="AL624" i="1"/>
  <c r="AL607" i="1"/>
  <c r="AL599" i="1"/>
  <c r="AL593" i="1"/>
  <c r="AL576" i="1"/>
  <c r="AL575" i="1"/>
  <c r="AL542" i="1"/>
  <c r="AL498" i="1"/>
  <c r="AL479" i="1"/>
  <c r="AL466" i="1"/>
  <c r="AL465" i="1"/>
  <c r="AL456" i="1"/>
  <c r="AL454" i="1"/>
  <c r="AL444" i="1"/>
  <c r="AL442" i="1"/>
  <c r="AL439" i="1"/>
  <c r="AL420" i="1"/>
  <c r="AL419" i="1"/>
  <c r="AL418" i="1"/>
  <c r="AL399" i="1"/>
  <c r="AL395" i="1"/>
  <c r="AL381" i="1"/>
  <c r="AL373" i="1"/>
  <c r="AL364" i="1"/>
  <c r="AL345" i="1"/>
  <c r="AL340" i="1"/>
  <c r="AL333" i="1"/>
  <c r="AL309" i="1"/>
  <c r="AL307" i="1"/>
  <c r="AL294" i="1"/>
  <c r="AL288" i="1"/>
  <c r="AL285" i="1"/>
  <c r="AL279" i="1"/>
  <c r="AL278" i="1"/>
  <c r="AL272" i="1"/>
  <c r="AL268" i="1"/>
  <c r="AL253" i="1"/>
  <c r="AL220" i="1"/>
  <c r="AL211" i="1"/>
  <c r="AL203" i="1"/>
  <c r="AL200" i="1"/>
  <c r="AL194" i="1"/>
  <c r="AL193" i="1"/>
  <c r="AL184" i="1"/>
  <c r="AL182" i="1"/>
  <c r="AL160" i="1"/>
  <c r="AL157" i="1"/>
  <c r="AL156" i="1"/>
  <c r="AL149" i="1"/>
  <c r="AL139" i="1"/>
  <c r="AL138" i="1"/>
  <c r="AL132" i="1"/>
  <c r="AL131" i="1"/>
  <c r="AL121" i="1"/>
  <c r="AL105" i="1"/>
  <c r="AL100" i="1"/>
  <c r="AL78" i="1"/>
  <c r="AL70" i="1"/>
  <c r="AL65" i="1"/>
  <c r="AL64" i="1"/>
  <c r="AL46" i="1"/>
  <c r="AL45" i="1"/>
  <c r="AL41" i="1"/>
  <c r="AL23" i="1"/>
  <c r="AL18" i="1"/>
  <c r="AL17" i="1"/>
  <c r="AL12" i="1"/>
  <c r="AL9" i="1"/>
  <c r="AL8" i="1"/>
  <c r="AL866" i="1"/>
  <c r="AL591" i="1"/>
  <c r="AL459" i="1"/>
  <c r="AL103" i="1"/>
  <c r="AL846" i="1"/>
  <c r="AL796" i="1"/>
  <c r="AL647" i="1"/>
  <c r="AL529" i="1"/>
  <c r="AL383" i="1"/>
  <c r="AL377" i="1"/>
  <c r="AL668" i="1"/>
  <c r="AL249" i="1"/>
  <c r="AL871" i="1"/>
  <c r="AL393" i="1"/>
  <c r="AL710" i="1"/>
  <c r="AL438" i="1"/>
  <c r="AL403" i="1"/>
  <c r="AL44" i="1"/>
  <c r="AL689" i="1"/>
  <c r="AL709" i="1"/>
  <c r="AL491" i="1"/>
  <c r="AL363" i="1"/>
  <c r="AL642" i="1"/>
  <c r="AL164" i="1"/>
  <c r="AL847" i="1"/>
  <c r="AL1019" i="1"/>
  <c r="AL953" i="1"/>
  <c r="AL896" i="1"/>
  <c r="AL889" i="1"/>
  <c r="AL854" i="1"/>
  <c r="AL817" i="1"/>
  <c r="AL806" i="1"/>
  <c r="AL805" i="1"/>
  <c r="AL791" i="1"/>
  <c r="AL767" i="1"/>
  <c r="AL739" i="1"/>
  <c r="AL662" i="1"/>
  <c r="AL620" i="1"/>
  <c r="AL596" i="1"/>
  <c r="AL508" i="1"/>
  <c r="AL507" i="1"/>
  <c r="AL501" i="1"/>
  <c r="AL485" i="1"/>
  <c r="AL427" i="1"/>
  <c r="AL397" i="1"/>
  <c r="AL350" i="1"/>
  <c r="AL328" i="1"/>
  <c r="AL240" i="1"/>
  <c r="AL232" i="1"/>
  <c r="AL215" i="1"/>
  <c r="AL153" i="1"/>
  <c r="AL116" i="1"/>
  <c r="AL59" i="1"/>
  <c r="AL744" i="1"/>
  <c r="AL334" i="1"/>
  <c r="AL188" i="1"/>
  <c r="AL1011" i="1"/>
  <c r="AL581" i="1"/>
  <c r="AL43" i="1"/>
  <c r="AL875" i="1"/>
  <c r="AL945" i="1"/>
  <c r="AL509" i="1"/>
  <c r="AL319" i="1"/>
  <c r="AL460" i="1"/>
  <c r="AL448" i="1"/>
  <c r="AL984" i="1"/>
  <c r="AL769" i="1"/>
  <c r="AL746" i="1"/>
  <c r="AL741" i="1"/>
  <c r="AL470" i="1"/>
  <c r="AL385" i="1"/>
  <c r="AL244" i="1"/>
  <c r="AL77" i="1"/>
  <c r="AL16" i="1"/>
  <c r="AL477" i="1"/>
  <c r="AL426" i="1"/>
  <c r="AL445" i="1"/>
  <c r="AL1008" i="1"/>
  <c r="AL370" i="1"/>
  <c r="AL736" i="1"/>
  <c r="AL355" i="1"/>
  <c r="AL440" i="1"/>
  <c r="AL592" i="1"/>
  <c r="AL166" i="1"/>
  <c r="AL40" i="1"/>
  <c r="AL56" i="1"/>
  <c r="AL818" i="1"/>
  <c r="AL518" i="1"/>
  <c r="AL728" i="1"/>
  <c r="AL673" i="1"/>
  <c r="AL112" i="1"/>
  <c r="AL447" i="1"/>
  <c r="AL476" i="1"/>
  <c r="AL290" i="1"/>
  <c r="AL998" i="1"/>
  <c r="AL1003" i="1"/>
  <c r="AL241" i="1"/>
  <c r="AL441" i="1"/>
  <c r="AL810" i="1"/>
  <c r="AL287" i="1"/>
  <c r="AL606" i="1"/>
  <c r="AL111" i="1"/>
  <c r="AL922" i="1"/>
  <c r="AL532" i="1"/>
  <c r="AL570" i="1"/>
  <c r="AL337" i="1"/>
  <c r="AL970" i="1"/>
  <c r="AL1020" i="1"/>
  <c r="AL523" i="1"/>
  <c r="AL265" i="1"/>
  <c r="AL48" i="1"/>
  <c r="AL376" i="1"/>
  <c r="AL714" i="1"/>
  <c r="AL120" i="1"/>
  <c r="AL421" i="1"/>
  <c r="AL293" i="1"/>
  <c r="AL222" i="1"/>
  <c r="AL178" i="1"/>
  <c r="AL927" i="1"/>
  <c r="AL1009" i="1"/>
  <c r="AL332" i="1"/>
  <c r="AL258" i="1"/>
  <c r="AL33" i="1"/>
  <c r="AL733" i="1"/>
  <c r="AL651" i="1"/>
  <c r="AL566" i="1"/>
  <c r="AL494" i="1"/>
  <c r="AL411" i="1"/>
  <c r="AL723" i="1"/>
  <c r="AL918" i="1"/>
  <c r="AL198" i="1"/>
  <c r="AL973" i="1"/>
  <c r="AL15" i="1"/>
  <c r="AL946" i="1"/>
  <c r="AL887" i="1"/>
  <c r="AL1001" i="1"/>
  <c r="AL997" i="1"/>
  <c r="AL959" i="1"/>
  <c r="AL925" i="1"/>
  <c r="AL266" i="1"/>
  <c r="AL772" i="1"/>
  <c r="AL127" i="1"/>
  <c r="AL368" i="1"/>
  <c r="AL625" i="1"/>
  <c r="AL556" i="1"/>
  <c r="AL68" i="1"/>
  <c r="AL151" i="1"/>
  <c r="AL845" i="1"/>
  <c r="AL80" i="1"/>
  <c r="AL636" i="1"/>
  <c r="AL1018" i="1"/>
  <c r="AL899" i="1"/>
  <c r="AL861" i="1"/>
  <c r="AL807" i="1"/>
  <c r="AL631" i="1"/>
  <c r="AL616" i="1"/>
  <c r="AL549" i="1"/>
  <c r="AL461" i="1"/>
  <c r="AL400" i="1"/>
  <c r="AL396" i="1"/>
  <c r="AL145" i="1"/>
  <c r="AL140" i="1"/>
  <c r="AL30" i="1"/>
  <c r="AL600" i="1"/>
  <c r="AL231" i="1"/>
  <c r="AL559" i="1"/>
  <c r="AL284" i="1"/>
  <c r="AL754" i="1"/>
  <c r="AL99" i="1"/>
  <c r="AL406" i="1"/>
  <c r="AL823" i="1"/>
  <c r="AL25" i="1"/>
  <c r="AL832" i="1"/>
  <c r="AL751" i="1"/>
  <c r="AL574" i="1"/>
  <c r="AL387" i="1"/>
  <c r="AL348" i="1"/>
  <c r="AL966" i="1"/>
  <c r="AL113" i="1"/>
  <c r="AL260" i="1"/>
  <c r="AL958" i="1"/>
  <c r="AL712" i="1"/>
  <c r="AL464" i="1"/>
  <c r="AL29" i="1"/>
  <c r="AL833" i="1"/>
  <c r="AL770" i="1"/>
  <c r="AL755" i="1"/>
  <c r="AL621" i="1"/>
  <c r="AL463" i="1"/>
  <c r="AL247" i="1"/>
  <c r="AL213" i="1"/>
  <c r="AL161" i="1"/>
  <c r="AL790" i="1"/>
  <c r="AL73" i="1"/>
  <c r="AL341" i="1"/>
  <c r="AL862" i="1"/>
  <c r="AL880" i="1"/>
  <c r="AL384" i="1"/>
  <c r="AL254" i="1"/>
  <c r="AL61" i="1"/>
  <c r="AL562" i="1"/>
  <c r="AL551" i="1"/>
  <c r="AL449" i="1"/>
  <c r="AL304" i="1"/>
  <c r="AL210" i="1"/>
  <c r="AL312" i="1"/>
  <c r="AL672" i="1"/>
  <c r="AL407" i="1"/>
  <c r="AL785" i="1"/>
  <c r="AL263" i="1"/>
  <c r="AL671" i="1"/>
  <c r="AL905" i="1"/>
  <c r="AL42" i="1"/>
  <c r="AL781" i="1"/>
  <c r="AL141" i="1"/>
  <c r="AL142" i="1"/>
  <c r="AL888" i="1"/>
  <c r="AL416" i="1"/>
  <c r="AL167" i="1"/>
  <c r="AL909" i="1"/>
  <c r="AL54" i="1"/>
  <c r="AL942" i="1"/>
  <c r="AL469" i="1"/>
  <c r="AL743" i="1"/>
  <c r="AL219" i="1"/>
  <c r="AL362" i="1"/>
  <c r="AL497" i="1"/>
  <c r="AL13" i="1"/>
  <c r="AL645" i="1"/>
  <c r="AL587" i="1"/>
  <c r="AL361" i="1"/>
  <c r="AL74" i="1"/>
  <c r="AL654" i="1"/>
  <c r="AL386" i="1"/>
  <c r="AL801" i="1"/>
  <c r="AL950" i="1"/>
  <c r="AL870" i="1"/>
  <c r="AL495" i="1"/>
  <c r="AL813" i="1"/>
  <c r="AL298" i="1"/>
  <c r="AL162" i="1"/>
  <c r="AL117" i="1"/>
  <c r="AL401" i="1"/>
  <c r="AL948" i="1"/>
  <c r="AL982" i="1"/>
  <c r="AL601" i="1"/>
  <c r="AL522" i="1"/>
  <c r="AL471" i="1"/>
  <c r="AL780" i="1"/>
  <c r="AL504" i="1"/>
  <c r="AL500" i="1"/>
  <c r="AL347" i="1"/>
  <c r="AL223" i="1"/>
  <c r="AL158" i="1"/>
  <c r="AL128" i="1"/>
  <c r="AL114" i="1"/>
  <c r="AL484" i="1"/>
  <c r="AL190" i="1"/>
  <c r="AL924" i="1"/>
  <c r="AL907" i="1"/>
  <c r="AL876" i="1"/>
  <c r="AL857" i="1"/>
  <c r="AL786" i="1"/>
  <c r="AL771" i="1"/>
  <c r="AL629" i="1"/>
  <c r="AL548" i="1"/>
  <c r="AL527" i="1"/>
  <c r="AL467" i="1"/>
  <c r="AL313" i="1"/>
  <c r="AL310" i="1"/>
  <c r="AL245" i="1"/>
  <c r="AL206" i="1"/>
  <c r="AL102" i="1"/>
  <c r="AL31" i="1"/>
  <c r="AL560" i="1"/>
  <c r="AL21" i="1"/>
  <c r="AL994" i="1"/>
  <c r="AL981" i="1"/>
  <c r="AL352" i="1"/>
  <c r="AL939" i="1"/>
  <c r="AL962" i="1"/>
  <c r="AL824" i="1"/>
  <c r="AL613" i="1"/>
  <c r="AL579" i="1"/>
  <c r="AL458" i="1"/>
  <c r="AL331" i="1"/>
  <c r="AL314" i="1"/>
  <c r="AG1019" i="1" l="1"/>
  <c r="AH1019" i="1" s="1"/>
  <c r="AI1019" i="1" s="1"/>
  <c r="AJ1019" i="1" s="1"/>
  <c r="AG1015" i="1"/>
  <c r="AH1015" i="1" s="1"/>
  <c r="AI1015" i="1" s="1"/>
  <c r="AJ1015" i="1" s="1"/>
  <c r="AG1012" i="1"/>
  <c r="AH1012" i="1" s="1"/>
  <c r="AI1012" i="1" s="1"/>
  <c r="AJ1012" i="1" s="1"/>
  <c r="AG1007" i="1"/>
  <c r="AH1007" i="1" s="1"/>
  <c r="AI1007" i="1" s="1"/>
  <c r="AJ1007" i="1" s="1"/>
  <c r="AG1004" i="1"/>
  <c r="AH1004" i="1" s="1"/>
  <c r="AI1004" i="1" s="1"/>
  <c r="AJ1004" i="1" s="1"/>
  <c r="AG1000" i="1"/>
  <c r="AH1000" i="1" s="1"/>
  <c r="AI1000" i="1" s="1"/>
  <c r="AJ1000" i="1" s="1"/>
  <c r="AG988" i="1"/>
  <c r="AH988" i="1" s="1"/>
  <c r="AI988" i="1" s="1"/>
  <c r="AJ988" i="1" s="1"/>
  <c r="AG985" i="1"/>
  <c r="AH985" i="1" s="1"/>
  <c r="AI985" i="1" s="1"/>
  <c r="AJ985" i="1" s="1"/>
  <c r="AG978" i="1"/>
  <c r="AH978" i="1" s="1"/>
  <c r="AI978" i="1" s="1"/>
  <c r="AJ978" i="1" s="1"/>
  <c r="AG975" i="1"/>
  <c r="AH975" i="1" s="1"/>
  <c r="AI975" i="1" s="1"/>
  <c r="AJ975" i="1" s="1"/>
  <c r="AG974" i="1"/>
  <c r="AH974" i="1" s="1"/>
  <c r="AI974" i="1" s="1"/>
  <c r="AJ974" i="1" s="1"/>
  <c r="AG961" i="1"/>
  <c r="AH961" i="1" s="1"/>
  <c r="AI961" i="1" s="1"/>
  <c r="AJ961" i="1" s="1"/>
  <c r="AG957" i="1"/>
  <c r="AH957" i="1" s="1"/>
  <c r="AI957" i="1" s="1"/>
  <c r="AJ957" i="1" s="1"/>
  <c r="AG954" i="1"/>
  <c r="AH954" i="1" s="1"/>
  <c r="AI954" i="1" s="1"/>
  <c r="AJ954" i="1" s="1"/>
  <c r="AG953" i="1"/>
  <c r="AH953" i="1" s="1"/>
  <c r="AI953" i="1" s="1"/>
  <c r="AJ953" i="1" s="1"/>
  <c r="AG944" i="1"/>
  <c r="AH944" i="1" s="1"/>
  <c r="AI944" i="1" s="1"/>
  <c r="AJ944" i="1" s="1"/>
  <c r="AG940" i="1"/>
  <c r="AH940" i="1" s="1"/>
  <c r="AI940" i="1" s="1"/>
  <c r="AJ940" i="1" s="1"/>
  <c r="AG938" i="1"/>
  <c r="AH938" i="1" s="1"/>
  <c r="AI938" i="1" s="1"/>
  <c r="AJ938" i="1" s="1"/>
  <c r="AG935" i="1"/>
  <c r="AH935" i="1" s="1"/>
  <c r="AI935" i="1" s="1"/>
  <c r="AJ935" i="1" s="1"/>
  <c r="AG923" i="1"/>
  <c r="AH923" i="1" s="1"/>
  <c r="AI923" i="1" s="1"/>
  <c r="AJ923" i="1" s="1"/>
  <c r="AG920" i="1"/>
  <c r="AH920" i="1" s="1"/>
  <c r="AI920" i="1" s="1"/>
  <c r="AJ920" i="1" s="1"/>
  <c r="AG919" i="1"/>
  <c r="AH919" i="1" s="1"/>
  <c r="AI919" i="1" s="1"/>
  <c r="AJ919" i="1" s="1"/>
  <c r="AG914" i="1"/>
  <c r="AH914" i="1" s="1"/>
  <c r="AI914" i="1" s="1"/>
  <c r="AJ914" i="1" s="1"/>
  <c r="AG910" i="1"/>
  <c r="AH910" i="1" s="1"/>
  <c r="AI910" i="1" s="1"/>
  <c r="AJ910" i="1" s="1"/>
  <c r="AG908" i="1"/>
  <c r="AH908" i="1" s="1"/>
  <c r="AI908" i="1" s="1"/>
  <c r="AJ908" i="1" s="1"/>
  <c r="AG904" i="1"/>
  <c r="AH904" i="1" s="1"/>
  <c r="AI904" i="1" s="1"/>
  <c r="AJ904" i="1" s="1"/>
  <c r="AG898" i="1"/>
  <c r="AH898" i="1" s="1"/>
  <c r="AI898" i="1" s="1"/>
  <c r="AJ898" i="1" s="1"/>
  <c r="AG896" i="1"/>
  <c r="AH896" i="1" s="1"/>
  <c r="AI896" i="1" s="1"/>
  <c r="AJ896" i="1" s="1"/>
  <c r="AG894" i="1"/>
  <c r="AH894" i="1" s="1"/>
  <c r="AI894" i="1" s="1"/>
  <c r="AJ894" i="1" s="1"/>
  <c r="AG893" i="1"/>
  <c r="AH893" i="1" s="1"/>
  <c r="AI893" i="1" s="1"/>
  <c r="AJ893" i="1" s="1"/>
  <c r="AG892" i="1"/>
  <c r="AH892" i="1" s="1"/>
  <c r="AI892" i="1" s="1"/>
  <c r="AJ892" i="1" s="1"/>
  <c r="AG891" i="1"/>
  <c r="AH891" i="1" s="1"/>
  <c r="AI891" i="1" s="1"/>
  <c r="AJ891" i="1" s="1"/>
  <c r="AG885" i="1"/>
  <c r="AH885" i="1" s="1"/>
  <c r="AI885" i="1" s="1"/>
  <c r="AJ885" i="1" s="1"/>
  <c r="AG873" i="1"/>
  <c r="AH873" i="1" s="1"/>
  <c r="AI873" i="1" s="1"/>
  <c r="AJ873" i="1" s="1"/>
  <c r="AG872" i="1"/>
  <c r="AH872" i="1" s="1"/>
  <c r="AI872" i="1" s="1"/>
  <c r="AJ872" i="1" s="1"/>
  <c r="AG871" i="1"/>
  <c r="AH871" i="1" s="1"/>
  <c r="AI871" i="1" s="1"/>
  <c r="AJ871" i="1" s="1"/>
  <c r="AG864" i="1"/>
  <c r="AH864" i="1" s="1"/>
  <c r="AI864" i="1" s="1"/>
  <c r="AJ864" i="1" s="1"/>
  <c r="AG854" i="1"/>
  <c r="AH854" i="1" s="1"/>
  <c r="AI854" i="1" s="1"/>
  <c r="AJ854" i="1" s="1"/>
  <c r="AG853" i="1"/>
  <c r="AH853" i="1" s="1"/>
  <c r="AI853" i="1" s="1"/>
  <c r="AJ853" i="1" s="1"/>
  <c r="AG848" i="1"/>
  <c r="AH848" i="1" s="1"/>
  <c r="AI848" i="1" s="1"/>
  <c r="AJ848" i="1" s="1"/>
  <c r="AG838" i="1"/>
  <c r="AH838" i="1" s="1"/>
  <c r="AI838" i="1" s="1"/>
  <c r="AJ838" i="1" s="1"/>
  <c r="AG837" i="1"/>
  <c r="AH837" i="1" s="1"/>
  <c r="AI837" i="1" s="1"/>
  <c r="AJ837" i="1" s="1"/>
  <c r="AG835" i="1"/>
  <c r="AH835" i="1" s="1"/>
  <c r="AI835" i="1" s="1"/>
  <c r="AJ835" i="1" s="1"/>
  <c r="AG834" i="1"/>
  <c r="AH834" i="1" s="1"/>
  <c r="AI834" i="1" s="1"/>
  <c r="AJ834" i="1" s="1"/>
  <c r="AG828" i="1"/>
  <c r="AH828" i="1" s="1"/>
  <c r="AI828" i="1" s="1"/>
  <c r="AJ828" i="1" s="1"/>
  <c r="AG825" i="1"/>
  <c r="AH825" i="1" s="1"/>
  <c r="AI825" i="1" s="1"/>
  <c r="AJ825" i="1" s="1"/>
  <c r="AG822" i="1"/>
  <c r="AH822" i="1" s="1"/>
  <c r="AI822" i="1" s="1"/>
  <c r="AJ822" i="1" s="1"/>
  <c r="AG821" i="1"/>
  <c r="AH821" i="1" s="1"/>
  <c r="AI821" i="1" s="1"/>
  <c r="AJ821" i="1" s="1"/>
  <c r="AG817" i="1"/>
  <c r="AH817" i="1" s="1"/>
  <c r="AI817" i="1" s="1"/>
  <c r="AJ817" i="1" s="1"/>
  <c r="AG809" i="1"/>
  <c r="AH809" i="1" s="1"/>
  <c r="AI809" i="1" s="1"/>
  <c r="AJ809" i="1" s="1"/>
  <c r="AG806" i="1"/>
  <c r="AH806" i="1" s="1"/>
  <c r="AI806" i="1" s="1"/>
  <c r="AJ806" i="1" s="1"/>
  <c r="AG805" i="1"/>
  <c r="AH805" i="1" s="1"/>
  <c r="AI805" i="1" s="1"/>
  <c r="AJ805" i="1" s="1"/>
  <c r="AG804" i="1"/>
  <c r="AH804" i="1" s="1"/>
  <c r="AI804" i="1" s="1"/>
  <c r="AJ804" i="1" s="1"/>
  <c r="AG799" i="1"/>
  <c r="AH799" i="1" s="1"/>
  <c r="AI799" i="1" s="1"/>
  <c r="AJ799" i="1" s="1"/>
  <c r="AG794" i="1"/>
  <c r="AH794" i="1" s="1"/>
  <c r="AI794" i="1" s="1"/>
  <c r="AJ794" i="1" s="1"/>
  <c r="AG787" i="1"/>
  <c r="AH787" i="1" s="1"/>
  <c r="AI787" i="1" s="1"/>
  <c r="AJ787" i="1" s="1"/>
  <c r="AG777" i="1"/>
  <c r="AH777" i="1" s="1"/>
  <c r="AI777" i="1" s="1"/>
  <c r="AJ777" i="1" s="1"/>
  <c r="AG776" i="1"/>
  <c r="AH776" i="1" s="1"/>
  <c r="AI776" i="1" s="1"/>
  <c r="AJ776" i="1" s="1"/>
  <c r="AG767" i="1"/>
  <c r="AH767" i="1" s="1"/>
  <c r="AI767" i="1" s="1"/>
  <c r="AJ767" i="1" s="1"/>
  <c r="AG761" i="1"/>
  <c r="AH761" i="1" s="1"/>
  <c r="AI761" i="1" s="1"/>
  <c r="AJ761" i="1" s="1"/>
  <c r="AG759" i="1"/>
  <c r="AH759" i="1" s="1"/>
  <c r="AI759" i="1" s="1"/>
  <c r="AJ759" i="1" s="1"/>
  <c r="AG752" i="1"/>
  <c r="AH752" i="1" s="1"/>
  <c r="AI752" i="1" s="1"/>
  <c r="AJ752" i="1" s="1"/>
  <c r="AG750" i="1"/>
  <c r="AH750" i="1" s="1"/>
  <c r="AI750" i="1" s="1"/>
  <c r="AJ750" i="1" s="1"/>
  <c r="AG749" i="1"/>
  <c r="AH749" i="1" s="1"/>
  <c r="AI749" i="1" s="1"/>
  <c r="AJ749" i="1" s="1"/>
  <c r="AG747" i="1"/>
  <c r="AH747" i="1" s="1"/>
  <c r="AI747" i="1" s="1"/>
  <c r="AJ747" i="1" s="1"/>
  <c r="AG744" i="1"/>
  <c r="AH744" i="1" s="1"/>
  <c r="AI744" i="1" s="1"/>
  <c r="AJ744" i="1" s="1"/>
  <c r="AG740" i="1"/>
  <c r="AH740" i="1" s="1"/>
  <c r="AI740" i="1" s="1"/>
  <c r="AJ740" i="1" s="1"/>
  <c r="AG739" i="1"/>
  <c r="AH739" i="1" s="1"/>
  <c r="AI739" i="1" s="1"/>
  <c r="AJ739" i="1" s="1"/>
  <c r="AG738" i="1"/>
  <c r="AH738" i="1" s="1"/>
  <c r="AI738" i="1" s="1"/>
  <c r="AJ738" i="1" s="1"/>
  <c r="AG735" i="1"/>
  <c r="AH735" i="1" s="1"/>
  <c r="AI735" i="1" s="1"/>
  <c r="AJ735" i="1" s="1"/>
  <c r="AG732" i="1"/>
  <c r="AH732" i="1" s="1"/>
  <c r="AI732" i="1" s="1"/>
  <c r="AJ732" i="1" s="1"/>
  <c r="AG731" i="1"/>
  <c r="AH731" i="1" s="1"/>
  <c r="AI731" i="1" s="1"/>
  <c r="AJ731" i="1" s="1"/>
  <c r="AG729" i="1"/>
  <c r="AH729" i="1" s="1"/>
  <c r="AI729" i="1" s="1"/>
  <c r="AJ729" i="1" s="1"/>
  <c r="AG725" i="1"/>
  <c r="AH725" i="1" s="1"/>
  <c r="AI725" i="1" s="1"/>
  <c r="AJ725" i="1" s="1"/>
  <c r="AG722" i="1"/>
  <c r="AH722" i="1" s="1"/>
  <c r="AI722" i="1" s="1"/>
  <c r="AJ722" i="1" s="1"/>
  <c r="AG720" i="1"/>
  <c r="AH720" i="1" s="1"/>
  <c r="AI720" i="1" s="1"/>
  <c r="AJ720" i="1" s="1"/>
  <c r="AG718" i="1"/>
  <c r="AH718" i="1" s="1"/>
  <c r="AI718" i="1" s="1"/>
  <c r="AJ718" i="1" s="1"/>
  <c r="AG711" i="1"/>
  <c r="AH711" i="1" s="1"/>
  <c r="AI711" i="1" s="1"/>
  <c r="AJ711" i="1" s="1"/>
  <c r="AG710" i="1"/>
  <c r="AH710" i="1" s="1"/>
  <c r="AI710" i="1" s="1"/>
  <c r="AJ710" i="1" s="1"/>
  <c r="AG709" i="1"/>
  <c r="AH709" i="1" s="1"/>
  <c r="AI709" i="1" s="1"/>
  <c r="AJ709" i="1" s="1"/>
  <c r="AG706" i="1"/>
  <c r="AH706" i="1" s="1"/>
  <c r="AI706" i="1" s="1"/>
  <c r="AJ706" i="1" s="1"/>
  <c r="AG697" i="1"/>
  <c r="AH697" i="1" s="1"/>
  <c r="AI697" i="1" s="1"/>
  <c r="AJ697" i="1" s="1"/>
  <c r="AG692" i="1"/>
  <c r="AH692" i="1" s="1"/>
  <c r="AI692" i="1" s="1"/>
  <c r="AJ692" i="1" s="1"/>
  <c r="AG689" i="1"/>
  <c r="AH689" i="1" s="1"/>
  <c r="AI689" i="1" s="1"/>
  <c r="AJ689" i="1" s="1"/>
  <c r="AG685" i="1"/>
  <c r="AH685" i="1" s="1"/>
  <c r="AI685" i="1" s="1"/>
  <c r="AJ685" i="1" s="1"/>
  <c r="AG677" i="1"/>
  <c r="AH677" i="1" s="1"/>
  <c r="AI677" i="1" s="1"/>
  <c r="AJ677" i="1" s="1"/>
  <c r="AG676" i="1"/>
  <c r="AH676" i="1" s="1"/>
  <c r="AI676" i="1" s="1"/>
  <c r="AJ676" i="1" s="1"/>
  <c r="AG675" i="1"/>
  <c r="AH675" i="1" s="1"/>
  <c r="AI675" i="1" s="1"/>
  <c r="AJ675" i="1" s="1"/>
  <c r="AG674" i="1"/>
  <c r="AH674" i="1" s="1"/>
  <c r="AI674" i="1" s="1"/>
  <c r="AJ674" i="1" s="1"/>
  <c r="AG668" i="1"/>
  <c r="AH668" i="1" s="1"/>
  <c r="AI668" i="1" s="1"/>
  <c r="AJ668" i="1" s="1"/>
  <c r="AG667" i="1"/>
  <c r="AH667" i="1" s="1"/>
  <c r="AI667" i="1" s="1"/>
  <c r="AJ667" i="1" s="1"/>
  <c r="AG664" i="1"/>
  <c r="AH664" i="1" s="1"/>
  <c r="AI664" i="1" s="1"/>
  <c r="AJ664" i="1" s="1"/>
  <c r="AG662" i="1"/>
  <c r="AH662" i="1" s="1"/>
  <c r="AI662" i="1" s="1"/>
  <c r="AJ662" i="1" s="1"/>
  <c r="AG660" i="1"/>
  <c r="AH660" i="1" s="1"/>
  <c r="AI660" i="1" s="1"/>
  <c r="AJ660" i="1" s="1"/>
  <c r="AG659" i="1"/>
  <c r="AH659" i="1" s="1"/>
  <c r="AI659" i="1" s="1"/>
  <c r="AJ659" i="1" s="1"/>
  <c r="AG658" i="1"/>
  <c r="AH658" i="1" s="1"/>
  <c r="AI658" i="1" s="1"/>
  <c r="AJ658" i="1" s="1"/>
  <c r="AG657" i="1"/>
  <c r="AH657" i="1" s="1"/>
  <c r="AI657" i="1" s="1"/>
  <c r="AJ657" i="1" s="1"/>
  <c r="AG656" i="1"/>
  <c r="AH656" i="1" s="1"/>
  <c r="AI656" i="1" s="1"/>
  <c r="AJ656" i="1" s="1"/>
  <c r="AG655" i="1"/>
  <c r="AH655" i="1" s="1"/>
  <c r="AI655" i="1" s="1"/>
  <c r="AJ655" i="1" s="1"/>
  <c r="AG647" i="1"/>
  <c r="AH647" i="1" s="1"/>
  <c r="AI647" i="1" s="1"/>
  <c r="AJ647" i="1" s="1"/>
  <c r="AG491" i="1"/>
  <c r="AH491" i="1" s="1"/>
  <c r="AI491" i="1" s="1"/>
  <c r="AJ491" i="1" s="1"/>
  <c r="AG646" i="1"/>
  <c r="AH646" i="1" s="1"/>
  <c r="AI646" i="1" s="1"/>
  <c r="AJ646" i="1" s="1"/>
  <c r="AG643" i="1"/>
  <c r="AH643" i="1" s="1"/>
  <c r="AI643" i="1" s="1"/>
  <c r="AJ643" i="1" s="1"/>
  <c r="AG640" i="1"/>
  <c r="AH640" i="1" s="1"/>
  <c r="AI640" i="1" s="1"/>
  <c r="AJ640" i="1" s="1"/>
  <c r="AG637" i="1"/>
  <c r="AH637" i="1" s="1"/>
  <c r="AI637" i="1" s="1"/>
  <c r="AJ637" i="1" s="1"/>
  <c r="AG634" i="1"/>
  <c r="AH634" i="1" s="1"/>
  <c r="AI634" i="1" s="1"/>
  <c r="AJ634" i="1" s="1"/>
  <c r="AG630" i="1"/>
  <c r="AH630" i="1" s="1"/>
  <c r="AI630" i="1" s="1"/>
  <c r="AJ630" i="1" s="1"/>
  <c r="AG620" i="1"/>
  <c r="AH620" i="1" s="1"/>
  <c r="AI620" i="1" s="1"/>
  <c r="AJ620" i="1" s="1"/>
  <c r="AG609" i="1"/>
  <c r="AH609" i="1" s="1"/>
  <c r="AI609" i="1" s="1"/>
  <c r="AJ609" i="1" s="1"/>
  <c r="AG607" i="1"/>
  <c r="AH607" i="1" s="1"/>
  <c r="AI607" i="1" s="1"/>
  <c r="AJ607" i="1" s="1"/>
  <c r="AG602" i="1"/>
  <c r="AH602" i="1" s="1"/>
  <c r="AI602" i="1" s="1"/>
  <c r="AJ602" i="1" s="1"/>
  <c r="AG596" i="1"/>
  <c r="AH596" i="1" s="1"/>
  <c r="AI596" i="1" s="1"/>
  <c r="AJ596" i="1" s="1"/>
  <c r="AG595" i="1"/>
  <c r="AH595" i="1" s="1"/>
  <c r="AI595" i="1" s="1"/>
  <c r="AJ595" i="1" s="1"/>
  <c r="AG593" i="1"/>
  <c r="AH593" i="1" s="1"/>
  <c r="AI593" i="1" s="1"/>
  <c r="AJ593" i="1" s="1"/>
  <c r="AG578" i="1"/>
  <c r="AH578" i="1" s="1"/>
  <c r="AI578" i="1" s="1"/>
  <c r="AJ578" i="1" s="1"/>
  <c r="AG577" i="1"/>
  <c r="AH577" i="1" s="1"/>
  <c r="AI577" i="1" s="1"/>
  <c r="AJ577" i="1" s="1"/>
  <c r="AG575" i="1"/>
  <c r="AH575" i="1" s="1"/>
  <c r="AI575" i="1" s="1"/>
  <c r="AJ575" i="1" s="1"/>
  <c r="AG565" i="1"/>
  <c r="AH565" i="1" s="1"/>
  <c r="AI565" i="1" s="1"/>
  <c r="AJ565" i="1" s="1"/>
  <c r="AG564" i="1"/>
  <c r="AH564" i="1" s="1"/>
  <c r="AI564" i="1" s="1"/>
  <c r="AJ564" i="1" s="1"/>
  <c r="AG558" i="1"/>
  <c r="AH558" i="1" s="1"/>
  <c r="AI558" i="1" s="1"/>
  <c r="AJ558" i="1" s="1"/>
  <c r="AG538" i="1"/>
  <c r="AH538" i="1" s="1"/>
  <c r="AI538" i="1" s="1"/>
  <c r="AJ538" i="1" s="1"/>
  <c r="AG533" i="1"/>
  <c r="AH533" i="1" s="1"/>
  <c r="AI533" i="1" s="1"/>
  <c r="AJ533" i="1" s="1"/>
  <c r="AG529" i="1"/>
  <c r="AH529" i="1" s="1"/>
  <c r="AI529" i="1" s="1"/>
  <c r="AJ529" i="1" s="1"/>
  <c r="AG528" i="1"/>
  <c r="AH528" i="1" s="1"/>
  <c r="AI528" i="1" s="1"/>
  <c r="AJ528" i="1" s="1"/>
  <c r="AG525" i="1"/>
  <c r="AH525" i="1" s="1"/>
  <c r="AI525" i="1" s="1"/>
  <c r="AJ525" i="1" s="1"/>
  <c r="AG524" i="1"/>
  <c r="AH524" i="1" s="1"/>
  <c r="AI524" i="1" s="1"/>
  <c r="AJ524" i="1" s="1"/>
  <c r="AG520" i="1"/>
  <c r="AH520" i="1" s="1"/>
  <c r="AI520" i="1" s="1"/>
  <c r="AJ520" i="1" s="1"/>
  <c r="AG508" i="1"/>
  <c r="AH508" i="1" s="1"/>
  <c r="AI508" i="1" s="1"/>
  <c r="AJ508" i="1" s="1"/>
  <c r="AG507" i="1"/>
  <c r="AH507" i="1" s="1"/>
  <c r="AI507" i="1" s="1"/>
  <c r="AJ507" i="1" s="1"/>
  <c r="AG501" i="1"/>
  <c r="AH501" i="1" s="1"/>
  <c r="AI501" i="1" s="1"/>
  <c r="AJ501" i="1" s="1"/>
  <c r="AG498" i="1"/>
  <c r="AH498" i="1" s="1"/>
  <c r="AI498" i="1" s="1"/>
  <c r="AJ498" i="1" s="1"/>
  <c r="AG485" i="1"/>
  <c r="AH485" i="1" s="1"/>
  <c r="AI485" i="1" s="1"/>
  <c r="AJ485" i="1" s="1"/>
  <c r="AG481" i="1"/>
  <c r="AH481" i="1" s="1"/>
  <c r="AI481" i="1" s="1"/>
  <c r="AJ481" i="1" s="1"/>
  <c r="AG479" i="1"/>
  <c r="AH479" i="1" s="1"/>
  <c r="AI479" i="1" s="1"/>
  <c r="AJ479" i="1" s="1"/>
  <c r="AG478" i="1"/>
  <c r="AH478" i="1" s="1"/>
  <c r="AI478" i="1" s="1"/>
  <c r="AJ478" i="1" s="1"/>
  <c r="AG457" i="1"/>
  <c r="AH457" i="1" s="1"/>
  <c r="AI457" i="1" s="1"/>
  <c r="AJ457" i="1" s="1"/>
  <c r="AG456" i="1"/>
  <c r="AH456" i="1" s="1"/>
  <c r="AI456" i="1" s="1"/>
  <c r="AJ456" i="1" s="1"/>
  <c r="AG454" i="1"/>
  <c r="AH454" i="1" s="1"/>
  <c r="AI454" i="1" s="1"/>
  <c r="AJ454" i="1" s="1"/>
  <c r="AG453" i="1"/>
  <c r="AH453" i="1" s="1"/>
  <c r="AI453" i="1" s="1"/>
  <c r="AJ453" i="1" s="1"/>
  <c r="AG446" i="1"/>
  <c r="AH446" i="1" s="1"/>
  <c r="AI446" i="1" s="1"/>
  <c r="AJ446" i="1" s="1"/>
  <c r="AG443" i="1"/>
  <c r="AH443" i="1" s="1"/>
  <c r="AI443" i="1" s="1"/>
  <c r="AJ443" i="1" s="1"/>
  <c r="AG442" i="1"/>
  <c r="AH442" i="1" s="1"/>
  <c r="AI442" i="1" s="1"/>
  <c r="AJ442" i="1" s="1"/>
  <c r="AG438" i="1"/>
  <c r="AH438" i="1" s="1"/>
  <c r="AI438" i="1" s="1"/>
  <c r="AJ438" i="1" s="1"/>
  <c r="AG435" i="1"/>
  <c r="AH435" i="1" s="1"/>
  <c r="AI435" i="1" s="1"/>
  <c r="AJ435" i="1" s="1"/>
  <c r="AG429" i="1"/>
  <c r="AH429" i="1" s="1"/>
  <c r="AI429" i="1" s="1"/>
  <c r="AJ429" i="1" s="1"/>
  <c r="AG428" i="1"/>
  <c r="AH428" i="1" s="1"/>
  <c r="AI428" i="1" s="1"/>
  <c r="AJ428" i="1" s="1"/>
  <c r="AG427" i="1"/>
  <c r="AH427" i="1" s="1"/>
  <c r="AI427" i="1" s="1"/>
  <c r="AJ427" i="1" s="1"/>
  <c r="AG423" i="1"/>
  <c r="AH423" i="1" s="1"/>
  <c r="AI423" i="1" s="1"/>
  <c r="AJ423" i="1" s="1"/>
  <c r="AG420" i="1"/>
  <c r="AH420" i="1" s="1"/>
  <c r="AI420" i="1" s="1"/>
  <c r="AJ420" i="1" s="1"/>
  <c r="AG419" i="1"/>
  <c r="AH419" i="1" s="1"/>
  <c r="AI419" i="1" s="1"/>
  <c r="AJ419" i="1" s="1"/>
  <c r="AG413" i="1"/>
  <c r="AH413" i="1" s="1"/>
  <c r="AI413" i="1" s="1"/>
  <c r="AJ413" i="1" s="1"/>
  <c r="AG408" i="1"/>
  <c r="AH408" i="1" s="1"/>
  <c r="AI408" i="1" s="1"/>
  <c r="AJ408" i="1" s="1"/>
  <c r="AG403" i="1"/>
  <c r="AH403" i="1" s="1"/>
  <c r="AI403" i="1" s="1"/>
  <c r="AJ403" i="1" s="1"/>
  <c r="AG399" i="1"/>
  <c r="AH399" i="1" s="1"/>
  <c r="AI399" i="1" s="1"/>
  <c r="AJ399" i="1" s="1"/>
  <c r="AG397" i="1"/>
  <c r="AH397" i="1" s="1"/>
  <c r="AI397" i="1" s="1"/>
  <c r="AJ397" i="1" s="1"/>
  <c r="AG391" i="1"/>
  <c r="AH391" i="1" s="1"/>
  <c r="AI391" i="1" s="1"/>
  <c r="AJ391" i="1" s="1"/>
  <c r="AG390" i="1"/>
  <c r="AH390" i="1" s="1"/>
  <c r="AI390" i="1" s="1"/>
  <c r="AJ390" i="1" s="1"/>
  <c r="AG382" i="1"/>
  <c r="AH382" i="1" s="1"/>
  <c r="AI382" i="1" s="1"/>
  <c r="AJ382" i="1" s="1"/>
  <c r="AG381" i="1"/>
  <c r="AH381" i="1" s="1"/>
  <c r="AI381" i="1" s="1"/>
  <c r="AJ381" i="1" s="1"/>
  <c r="AG379" i="1"/>
  <c r="AH379" i="1" s="1"/>
  <c r="AI379" i="1" s="1"/>
  <c r="AJ379" i="1" s="1"/>
  <c r="AG363" i="1"/>
  <c r="AH363" i="1" s="1"/>
  <c r="AI363" i="1" s="1"/>
  <c r="AJ363" i="1" s="1"/>
  <c r="AG357" i="1"/>
  <c r="AH357" i="1" s="1"/>
  <c r="AI357" i="1" s="1"/>
  <c r="AJ357" i="1" s="1"/>
  <c r="AG353" i="1"/>
  <c r="AH353" i="1" s="1"/>
  <c r="AI353" i="1" s="1"/>
  <c r="AJ353" i="1" s="1"/>
  <c r="AG350" i="1"/>
  <c r="AH350" i="1" s="1"/>
  <c r="AI350" i="1" s="1"/>
  <c r="AJ350" i="1" s="1"/>
  <c r="AG345" i="1"/>
  <c r="AH345" i="1" s="1"/>
  <c r="AI345" i="1" s="1"/>
  <c r="AJ345" i="1" s="1"/>
  <c r="AG343" i="1"/>
  <c r="AH343" i="1" s="1"/>
  <c r="AI343" i="1" s="1"/>
  <c r="AJ343" i="1" s="1"/>
  <c r="AG340" i="1"/>
  <c r="AH340" i="1" s="1"/>
  <c r="AI340" i="1" s="1"/>
  <c r="AJ340" i="1" s="1"/>
  <c r="AG339" i="1"/>
  <c r="AH339" i="1" s="1"/>
  <c r="AI339" i="1" s="1"/>
  <c r="AJ339" i="1" s="1"/>
  <c r="AG334" i="1"/>
  <c r="AH334" i="1" s="1"/>
  <c r="AI334" i="1" s="1"/>
  <c r="AJ334" i="1" s="1"/>
  <c r="AG333" i="1"/>
  <c r="AH333" i="1" s="1"/>
  <c r="AI333" i="1" s="1"/>
  <c r="AJ333" i="1" s="1"/>
  <c r="AG328" i="1"/>
  <c r="AH328" i="1" s="1"/>
  <c r="AI328" i="1" s="1"/>
  <c r="AJ328" i="1" s="1"/>
  <c r="AG323" i="1"/>
  <c r="AH323" i="1" s="1"/>
  <c r="AI323" i="1" s="1"/>
  <c r="AJ323" i="1" s="1"/>
  <c r="AG317" i="1"/>
  <c r="AH317" i="1" s="1"/>
  <c r="AI317" i="1" s="1"/>
  <c r="AJ317" i="1" s="1"/>
  <c r="AG316" i="1"/>
  <c r="AH316" i="1" s="1"/>
  <c r="AI316" i="1" s="1"/>
  <c r="AJ316" i="1" s="1"/>
  <c r="AG309" i="1"/>
  <c r="AH309" i="1" s="1"/>
  <c r="AI309" i="1" s="1"/>
  <c r="AJ309" i="1" s="1"/>
  <c r="AG307" i="1"/>
  <c r="AH307" i="1" s="1"/>
  <c r="AI307" i="1" s="1"/>
  <c r="AJ307" i="1" s="1"/>
  <c r="AG305" i="1"/>
  <c r="AH305" i="1" s="1"/>
  <c r="AI305" i="1" s="1"/>
  <c r="AJ305" i="1" s="1"/>
  <c r="AG294" i="1"/>
  <c r="AH294" i="1" s="1"/>
  <c r="AI294" i="1" s="1"/>
  <c r="AJ294" i="1" s="1"/>
  <c r="AG286" i="1"/>
  <c r="AH286" i="1" s="1"/>
  <c r="AI286" i="1" s="1"/>
  <c r="AJ286" i="1" s="1"/>
  <c r="AG285" i="1"/>
  <c r="AH285" i="1" s="1"/>
  <c r="AI285" i="1" s="1"/>
  <c r="AJ285" i="1" s="1"/>
  <c r="AG278" i="1"/>
  <c r="AH278" i="1" s="1"/>
  <c r="AI278" i="1" s="1"/>
  <c r="AJ278" i="1" s="1"/>
  <c r="AG277" i="1"/>
  <c r="AH277" i="1" s="1"/>
  <c r="AI277" i="1" s="1"/>
  <c r="AJ277" i="1" s="1"/>
  <c r="AG272" i="1"/>
  <c r="AH272" i="1" s="1"/>
  <c r="AI272" i="1" s="1"/>
  <c r="AJ272" i="1" s="1"/>
  <c r="AG268" i="1"/>
  <c r="AH268" i="1" s="1"/>
  <c r="AI268" i="1" s="1"/>
  <c r="AJ268" i="1" s="1"/>
  <c r="AG267" i="1"/>
  <c r="AH267" i="1" s="1"/>
  <c r="AI267" i="1" s="1"/>
  <c r="AJ267" i="1" s="1"/>
  <c r="AG261" i="1"/>
  <c r="AH261" i="1" s="1"/>
  <c r="AI261" i="1" s="1"/>
  <c r="AJ261" i="1" s="1"/>
  <c r="AG253" i="1"/>
  <c r="AH253" i="1" s="1"/>
  <c r="AI253" i="1" s="1"/>
  <c r="AJ253" i="1" s="1"/>
  <c r="AG251" i="1"/>
  <c r="AH251" i="1" s="1"/>
  <c r="AI251" i="1" s="1"/>
  <c r="AJ251" i="1" s="1"/>
  <c r="AG249" i="1"/>
  <c r="AH249" i="1" s="1"/>
  <c r="AI249" i="1" s="1"/>
  <c r="AJ249" i="1" s="1"/>
  <c r="AG243" i="1"/>
  <c r="AH243" i="1" s="1"/>
  <c r="AI243" i="1" s="1"/>
  <c r="AJ243" i="1" s="1"/>
  <c r="AG240" i="1"/>
  <c r="AH240" i="1" s="1"/>
  <c r="AI240" i="1" s="1"/>
  <c r="AJ240" i="1" s="1"/>
  <c r="AG233" i="1"/>
  <c r="AH233" i="1" s="1"/>
  <c r="AI233" i="1" s="1"/>
  <c r="AJ233" i="1" s="1"/>
  <c r="AG232" i="1"/>
  <c r="AH232" i="1" s="1"/>
  <c r="AI232" i="1" s="1"/>
  <c r="AJ232" i="1" s="1"/>
  <c r="AG225" i="1"/>
  <c r="AH225" i="1" s="1"/>
  <c r="AI225" i="1" s="1"/>
  <c r="AJ225" i="1" s="1"/>
  <c r="AG215" i="1"/>
  <c r="AH215" i="1" s="1"/>
  <c r="AI215" i="1" s="1"/>
  <c r="AJ215" i="1" s="1"/>
  <c r="AG211" i="1"/>
  <c r="AH211" i="1" s="1"/>
  <c r="AI211" i="1" s="1"/>
  <c r="AJ211" i="1" s="1"/>
  <c r="AG203" i="1"/>
  <c r="AH203" i="1" s="1"/>
  <c r="AI203" i="1" s="1"/>
  <c r="AJ203" i="1" s="1"/>
  <c r="AG201" i="1"/>
  <c r="AH201" i="1" s="1"/>
  <c r="AI201" i="1" s="1"/>
  <c r="AJ201" i="1" s="1"/>
  <c r="AG194" i="1"/>
  <c r="AH194" i="1" s="1"/>
  <c r="AI194" i="1" s="1"/>
  <c r="AJ194" i="1" s="1"/>
  <c r="AG184" i="1"/>
  <c r="AH184" i="1" s="1"/>
  <c r="AI184" i="1" s="1"/>
  <c r="AJ184" i="1" s="1"/>
  <c r="AG183" i="1"/>
  <c r="AH183" i="1" s="1"/>
  <c r="AI183" i="1" s="1"/>
  <c r="AJ183" i="1" s="1"/>
  <c r="AG182" i="1"/>
  <c r="AH182" i="1" s="1"/>
  <c r="AI182" i="1" s="1"/>
  <c r="AJ182" i="1" s="1"/>
  <c r="AG181" i="1"/>
  <c r="AH181" i="1" s="1"/>
  <c r="AI181" i="1" s="1"/>
  <c r="AJ181" i="1" s="1"/>
  <c r="AG177" i="1"/>
  <c r="AH177" i="1" s="1"/>
  <c r="AI177" i="1" s="1"/>
  <c r="AJ177" i="1" s="1"/>
  <c r="AG172" i="1"/>
  <c r="AH172" i="1" s="1"/>
  <c r="AI172" i="1" s="1"/>
  <c r="AJ172" i="1" s="1"/>
  <c r="AG171" i="1"/>
  <c r="AH171" i="1" s="1"/>
  <c r="AI171" i="1" s="1"/>
  <c r="AJ171" i="1" s="1"/>
  <c r="AG169" i="1"/>
  <c r="AH169" i="1" s="1"/>
  <c r="AI169" i="1" s="1"/>
  <c r="AJ169" i="1" s="1"/>
  <c r="AG164" i="1"/>
  <c r="AH164" i="1" s="1"/>
  <c r="AI164" i="1" s="1"/>
  <c r="AJ164" i="1" s="1"/>
  <c r="AG160" i="1"/>
  <c r="AH160" i="1" s="1"/>
  <c r="AI160" i="1" s="1"/>
  <c r="AJ160" i="1" s="1"/>
  <c r="AG156" i="1"/>
  <c r="AH156" i="1" s="1"/>
  <c r="AI156" i="1" s="1"/>
  <c r="AJ156" i="1" s="1"/>
  <c r="AG154" i="1"/>
  <c r="AH154" i="1" s="1"/>
  <c r="AI154" i="1" s="1"/>
  <c r="AJ154" i="1" s="1"/>
  <c r="AG153" i="1"/>
  <c r="AH153" i="1" s="1"/>
  <c r="AI153" i="1" s="1"/>
  <c r="AJ153" i="1" s="1"/>
  <c r="AG149" i="1"/>
  <c r="AH149" i="1" s="1"/>
  <c r="AI149" i="1" s="1"/>
  <c r="AJ149" i="1" s="1"/>
  <c r="AG146" i="1"/>
  <c r="AH146" i="1" s="1"/>
  <c r="AI146" i="1" s="1"/>
  <c r="AJ146" i="1" s="1"/>
  <c r="AG143" i="1"/>
  <c r="AH143" i="1" s="1"/>
  <c r="AI143" i="1" s="1"/>
  <c r="AJ143" i="1" s="1"/>
  <c r="AG139" i="1"/>
  <c r="AH139" i="1" s="1"/>
  <c r="AI139" i="1" s="1"/>
  <c r="AJ139" i="1" s="1"/>
  <c r="AG138" i="1"/>
  <c r="AH138" i="1" s="1"/>
  <c r="AI138" i="1" s="1"/>
  <c r="AJ138" i="1" s="1"/>
  <c r="AG135" i="1"/>
  <c r="AH135" i="1" s="1"/>
  <c r="AI135" i="1" s="1"/>
  <c r="AJ135" i="1" s="1"/>
  <c r="AG132" i="1"/>
  <c r="AH132" i="1" s="1"/>
  <c r="AI132" i="1" s="1"/>
  <c r="AJ132" i="1" s="1"/>
  <c r="AG131" i="1"/>
  <c r="AH131" i="1" s="1"/>
  <c r="AI131" i="1" s="1"/>
  <c r="AJ131" i="1" s="1"/>
  <c r="AG122" i="1"/>
  <c r="AH122" i="1" s="1"/>
  <c r="AI122" i="1" s="1"/>
  <c r="AJ122" i="1" s="1"/>
  <c r="AG118" i="1"/>
  <c r="AH118" i="1" s="1"/>
  <c r="AI118" i="1" s="1"/>
  <c r="AJ118" i="1" s="1"/>
  <c r="AG116" i="1"/>
  <c r="AH116" i="1" s="1"/>
  <c r="AI116" i="1" s="1"/>
  <c r="AJ116" i="1" s="1"/>
  <c r="AG109" i="1"/>
  <c r="AH109" i="1" s="1"/>
  <c r="AI109" i="1" s="1"/>
  <c r="AJ109" i="1" s="1"/>
  <c r="AG106" i="1"/>
  <c r="AH106" i="1" s="1"/>
  <c r="AI106" i="1" s="1"/>
  <c r="AJ106" i="1" s="1"/>
  <c r="AG105" i="1"/>
  <c r="AH105" i="1" s="1"/>
  <c r="AI105" i="1" s="1"/>
  <c r="AJ105" i="1" s="1"/>
  <c r="AG100" i="1"/>
  <c r="AH100" i="1" s="1"/>
  <c r="AI100" i="1" s="1"/>
  <c r="AJ100" i="1" s="1"/>
  <c r="AG97" i="1"/>
  <c r="AH97" i="1" s="1"/>
  <c r="AI97" i="1" s="1"/>
  <c r="AJ97" i="1" s="1"/>
  <c r="AG96" i="1"/>
  <c r="AH96" i="1" s="1"/>
  <c r="AI96" i="1" s="1"/>
  <c r="AJ96" i="1" s="1"/>
  <c r="AG78" i="1"/>
  <c r="AH78" i="1" s="1"/>
  <c r="AI78" i="1" s="1"/>
  <c r="AJ78" i="1" s="1"/>
  <c r="AG70" i="1"/>
  <c r="AH70" i="1" s="1"/>
  <c r="AI70" i="1" s="1"/>
  <c r="AJ70" i="1" s="1"/>
  <c r="AG66" i="1"/>
  <c r="AH66" i="1" s="1"/>
  <c r="AI66" i="1" s="1"/>
  <c r="AJ66" i="1" s="1"/>
  <c r="AG64" i="1"/>
  <c r="AH64" i="1" s="1"/>
  <c r="AI64" i="1" s="1"/>
  <c r="AJ64" i="1" s="1"/>
  <c r="AG47" i="1"/>
  <c r="AH47" i="1" s="1"/>
  <c r="AI47" i="1" s="1"/>
  <c r="AJ47" i="1" s="1"/>
  <c r="AG46" i="1"/>
  <c r="AH46" i="1" s="1"/>
  <c r="AI46" i="1" s="1"/>
  <c r="AJ46" i="1" s="1"/>
  <c r="AG45" i="1"/>
  <c r="AH45" i="1" s="1"/>
  <c r="AI45" i="1" s="1"/>
  <c r="AJ45" i="1" s="1"/>
  <c r="AG44" i="1"/>
  <c r="AH44" i="1" s="1"/>
  <c r="AI44" i="1" s="1"/>
  <c r="AJ44" i="1" s="1"/>
  <c r="AG41" i="1"/>
  <c r="AH41" i="1" s="1"/>
  <c r="AI41" i="1" s="1"/>
  <c r="AJ41" i="1" s="1"/>
  <c r="AG32" i="1"/>
  <c r="AH32" i="1" s="1"/>
  <c r="AI32" i="1" s="1"/>
  <c r="AJ32" i="1" s="1"/>
  <c r="AG28" i="1"/>
  <c r="AH28" i="1" s="1"/>
  <c r="AI28" i="1" s="1"/>
  <c r="AJ28" i="1" s="1"/>
  <c r="AG23" i="1"/>
  <c r="AH23" i="1" s="1"/>
  <c r="AI23" i="1" s="1"/>
  <c r="AJ23" i="1" s="1"/>
  <c r="AG17" i="1"/>
  <c r="AH17" i="1" s="1"/>
  <c r="AI17" i="1" s="1"/>
  <c r="AJ17" i="1" s="1"/>
  <c r="AG12" i="1"/>
  <c r="AH12" i="1" s="1"/>
  <c r="AI12" i="1" s="1"/>
  <c r="AJ12" i="1" s="1"/>
  <c r="AG8" i="1"/>
  <c r="AH8" i="1" s="1"/>
  <c r="AI8" i="1" s="1"/>
  <c r="AJ8" i="1" s="1"/>
  <c r="AG5" i="1"/>
  <c r="AH5" i="1" s="1"/>
  <c r="AI5" i="1" s="1"/>
  <c r="AJ5" i="1" s="1"/>
  <c r="AG141" i="1"/>
  <c r="AH141" i="1" s="1"/>
  <c r="AI141" i="1" s="1"/>
  <c r="AJ141" i="1" s="1"/>
  <c r="AG1020" i="1"/>
  <c r="AH1020" i="1" s="1"/>
  <c r="AI1020" i="1" s="1"/>
  <c r="AJ1020" i="1" s="1"/>
  <c r="AG1018" i="1"/>
  <c r="AH1018" i="1" s="1"/>
  <c r="AI1018" i="1" s="1"/>
  <c r="AJ1018" i="1" s="1"/>
  <c r="AG1011" i="1"/>
  <c r="AH1011" i="1" s="1"/>
  <c r="AI1011" i="1" s="1"/>
  <c r="AJ1011" i="1" s="1"/>
  <c r="AG1009" i="1"/>
  <c r="AH1009" i="1" s="1"/>
  <c r="AI1009" i="1" s="1"/>
  <c r="AJ1009" i="1" s="1"/>
  <c r="AG1008" i="1"/>
  <c r="AH1008" i="1" s="1"/>
  <c r="AI1008" i="1" s="1"/>
  <c r="AJ1008" i="1" s="1"/>
  <c r="AG1003" i="1"/>
  <c r="AH1003" i="1" s="1"/>
  <c r="AI1003" i="1" s="1"/>
  <c r="AJ1003" i="1" s="1"/>
  <c r="AG1001" i="1"/>
  <c r="AH1001" i="1" s="1"/>
  <c r="AI1001" i="1" s="1"/>
  <c r="AJ1001" i="1" s="1"/>
  <c r="AG998" i="1"/>
  <c r="AH998" i="1" s="1"/>
  <c r="AI998" i="1" s="1"/>
  <c r="AJ998" i="1" s="1"/>
  <c r="AG997" i="1"/>
  <c r="AH997" i="1" s="1"/>
  <c r="AI997" i="1" s="1"/>
  <c r="AJ997" i="1" s="1"/>
  <c r="AG994" i="1"/>
  <c r="AH994" i="1" s="1"/>
  <c r="AI994" i="1" s="1"/>
  <c r="AJ994" i="1" s="1"/>
  <c r="AG984" i="1"/>
  <c r="AH984" i="1" s="1"/>
  <c r="AI984" i="1" s="1"/>
  <c r="AJ984" i="1" s="1"/>
  <c r="AG982" i="1"/>
  <c r="AH982" i="1" s="1"/>
  <c r="AI982" i="1" s="1"/>
  <c r="AJ982" i="1" s="1"/>
  <c r="AG981" i="1"/>
  <c r="AH981" i="1" s="1"/>
  <c r="AI981" i="1" s="1"/>
  <c r="AJ981" i="1" s="1"/>
  <c r="AG976" i="1"/>
  <c r="AH976" i="1" s="1"/>
  <c r="AI976" i="1" s="1"/>
  <c r="AJ976" i="1" s="1"/>
  <c r="AG973" i="1"/>
  <c r="AH973" i="1" s="1"/>
  <c r="AI973" i="1" s="1"/>
  <c r="AJ973" i="1" s="1"/>
  <c r="AG970" i="1"/>
  <c r="AH970" i="1" s="1"/>
  <c r="AI970" i="1" s="1"/>
  <c r="AJ970" i="1" s="1"/>
  <c r="AG966" i="1"/>
  <c r="AH966" i="1" s="1"/>
  <c r="AI966" i="1" s="1"/>
  <c r="AJ966" i="1" s="1"/>
  <c r="AG962" i="1"/>
  <c r="AH962" i="1" s="1"/>
  <c r="AI962" i="1" s="1"/>
  <c r="AJ962" i="1" s="1"/>
  <c r="AG959" i="1"/>
  <c r="AH959" i="1" s="1"/>
  <c r="AI959" i="1" s="1"/>
  <c r="AJ959" i="1" s="1"/>
  <c r="AG958" i="1"/>
  <c r="AH958" i="1" s="1"/>
  <c r="AI958" i="1" s="1"/>
  <c r="AJ958" i="1" s="1"/>
  <c r="AG955" i="1"/>
  <c r="AH955" i="1" s="1"/>
  <c r="AI955" i="1" s="1"/>
  <c r="AJ955" i="1" s="1"/>
  <c r="AG950" i="1"/>
  <c r="AH950" i="1" s="1"/>
  <c r="AI950" i="1" s="1"/>
  <c r="AJ950" i="1" s="1"/>
  <c r="AG948" i="1"/>
  <c r="AH948" i="1" s="1"/>
  <c r="AI948" i="1" s="1"/>
  <c r="AJ948" i="1" s="1"/>
  <c r="AG946" i="1"/>
  <c r="AH946" i="1" s="1"/>
  <c r="AI946" i="1" s="1"/>
  <c r="AJ946" i="1" s="1"/>
  <c r="AG945" i="1"/>
  <c r="AH945" i="1" s="1"/>
  <c r="AI945" i="1" s="1"/>
  <c r="AJ945" i="1" s="1"/>
  <c r="AG942" i="1"/>
  <c r="AH942" i="1" s="1"/>
  <c r="AI942" i="1" s="1"/>
  <c r="AJ942" i="1" s="1"/>
  <c r="AG939" i="1"/>
  <c r="AH939" i="1" s="1"/>
  <c r="AI939" i="1" s="1"/>
  <c r="AJ939" i="1" s="1"/>
  <c r="AG927" i="1"/>
  <c r="AH927" i="1" s="1"/>
  <c r="AI927" i="1" s="1"/>
  <c r="AJ927" i="1" s="1"/>
  <c r="AG925" i="1"/>
  <c r="AH925" i="1" s="1"/>
  <c r="AI925" i="1" s="1"/>
  <c r="AJ925" i="1" s="1"/>
  <c r="AG924" i="1"/>
  <c r="AH924" i="1" s="1"/>
  <c r="AI924" i="1" s="1"/>
  <c r="AJ924" i="1" s="1"/>
  <c r="AG922" i="1"/>
  <c r="AH922" i="1" s="1"/>
  <c r="AI922" i="1" s="1"/>
  <c r="AJ922" i="1" s="1"/>
  <c r="AG918" i="1"/>
  <c r="AH918" i="1" s="1"/>
  <c r="AI918" i="1" s="1"/>
  <c r="AJ918" i="1" s="1"/>
  <c r="AG917" i="1"/>
  <c r="AH917" i="1" s="1"/>
  <c r="AI917" i="1" s="1"/>
  <c r="AJ917" i="1" s="1"/>
  <c r="AG909" i="1"/>
  <c r="AH909" i="1" s="1"/>
  <c r="AI909" i="1" s="1"/>
  <c r="AJ909" i="1" s="1"/>
  <c r="AG907" i="1"/>
  <c r="AH907" i="1" s="1"/>
  <c r="AI907" i="1" s="1"/>
  <c r="AJ907" i="1" s="1"/>
  <c r="AG905" i="1"/>
  <c r="AH905" i="1" s="1"/>
  <c r="AI905" i="1" s="1"/>
  <c r="AJ905" i="1" s="1"/>
  <c r="AG899" i="1"/>
  <c r="AH899" i="1" s="1"/>
  <c r="AI899" i="1" s="1"/>
  <c r="AJ899" i="1" s="1"/>
  <c r="AG888" i="1"/>
  <c r="AH888" i="1" s="1"/>
  <c r="AI888" i="1" s="1"/>
  <c r="AJ888" i="1" s="1"/>
  <c r="AG887" i="1"/>
  <c r="AH887" i="1" s="1"/>
  <c r="AI887" i="1" s="1"/>
  <c r="AJ887" i="1" s="1"/>
  <c r="AG880" i="1"/>
  <c r="AH880" i="1" s="1"/>
  <c r="AI880" i="1" s="1"/>
  <c r="AJ880" i="1" s="1"/>
  <c r="AG876" i="1"/>
  <c r="AH876" i="1" s="1"/>
  <c r="AI876" i="1" s="1"/>
  <c r="AJ876" i="1" s="1"/>
  <c r="AG875" i="1"/>
  <c r="AH875" i="1" s="1"/>
  <c r="AI875" i="1" s="1"/>
  <c r="AJ875" i="1" s="1"/>
  <c r="AG870" i="1"/>
  <c r="AH870" i="1" s="1"/>
  <c r="AI870" i="1" s="1"/>
  <c r="AJ870" i="1" s="1"/>
  <c r="AG862" i="1"/>
  <c r="AH862" i="1" s="1"/>
  <c r="AI862" i="1" s="1"/>
  <c r="AJ862" i="1" s="1"/>
  <c r="AG861" i="1"/>
  <c r="AH861" i="1" s="1"/>
  <c r="AI861" i="1" s="1"/>
  <c r="AJ861" i="1" s="1"/>
  <c r="AG857" i="1"/>
  <c r="AH857" i="1" s="1"/>
  <c r="AI857" i="1" s="1"/>
  <c r="AJ857" i="1" s="1"/>
  <c r="AG845" i="1"/>
  <c r="AH845" i="1" s="1"/>
  <c r="AI845" i="1" s="1"/>
  <c r="AJ845" i="1" s="1"/>
  <c r="AG833" i="1"/>
  <c r="AH833" i="1" s="1"/>
  <c r="AI833" i="1" s="1"/>
  <c r="AJ833" i="1" s="1"/>
  <c r="AG832" i="1"/>
  <c r="AH832" i="1" s="1"/>
  <c r="AI832" i="1" s="1"/>
  <c r="AJ832" i="1" s="1"/>
  <c r="AF824" i="1"/>
  <c r="AG824" i="1" s="1"/>
  <c r="AH824" i="1" s="1"/>
  <c r="AI824" i="1" s="1"/>
  <c r="AJ824" i="1" s="1"/>
  <c r="AG823" i="1"/>
  <c r="AH823" i="1" s="1"/>
  <c r="AI823" i="1" s="1"/>
  <c r="AJ823" i="1" s="1"/>
  <c r="AG818" i="1"/>
  <c r="AH818" i="1" s="1"/>
  <c r="AI818" i="1" s="1"/>
  <c r="AJ818" i="1" s="1"/>
  <c r="AG813" i="1"/>
  <c r="AH813" i="1" s="1"/>
  <c r="AI813" i="1" s="1"/>
  <c r="AJ813" i="1" s="1"/>
  <c r="AG810" i="1"/>
  <c r="AH810" i="1" s="1"/>
  <c r="AI810" i="1" s="1"/>
  <c r="AJ810" i="1" s="1"/>
  <c r="AG807" i="1"/>
  <c r="AH807" i="1" s="1"/>
  <c r="AI807" i="1" s="1"/>
  <c r="AJ807" i="1" s="1"/>
  <c r="AG801" i="1"/>
  <c r="AH801" i="1" s="1"/>
  <c r="AI801" i="1" s="1"/>
  <c r="AJ801" i="1" s="1"/>
  <c r="AG795" i="1"/>
  <c r="AH795" i="1" s="1"/>
  <c r="AI795" i="1" s="1"/>
  <c r="AJ795" i="1" s="1"/>
  <c r="AG790" i="1"/>
  <c r="AH790" i="1" s="1"/>
  <c r="AI790" i="1" s="1"/>
  <c r="AJ790" i="1" s="1"/>
  <c r="AG786" i="1"/>
  <c r="AH786" i="1" s="1"/>
  <c r="AI786" i="1" s="1"/>
  <c r="AJ786" i="1" s="1"/>
  <c r="AG785" i="1"/>
  <c r="AH785" i="1" s="1"/>
  <c r="AI785" i="1" s="1"/>
  <c r="AJ785" i="1" s="1"/>
  <c r="AG783" i="1"/>
  <c r="AH783" i="1" s="1"/>
  <c r="AI783" i="1" s="1"/>
  <c r="AJ783" i="1" s="1"/>
  <c r="AG781" i="1"/>
  <c r="AH781" i="1" s="1"/>
  <c r="AI781" i="1" s="1"/>
  <c r="AJ781" i="1" s="1"/>
  <c r="AG780" i="1"/>
  <c r="AH780" i="1" s="1"/>
  <c r="AI780" i="1" s="1"/>
  <c r="AJ780" i="1" s="1"/>
  <c r="AG778" i="1"/>
  <c r="AH778" i="1" s="1"/>
  <c r="AI778" i="1" s="1"/>
  <c r="AJ778" i="1" s="1"/>
  <c r="AG775" i="1"/>
  <c r="AH775" i="1" s="1"/>
  <c r="AI775" i="1" s="1"/>
  <c r="AJ775" i="1" s="1"/>
  <c r="AG773" i="1"/>
  <c r="AH773" i="1" s="1"/>
  <c r="AI773" i="1" s="1"/>
  <c r="AJ773" i="1" s="1"/>
  <c r="AG772" i="1"/>
  <c r="AH772" i="1" s="1"/>
  <c r="AI772" i="1" s="1"/>
  <c r="AJ772" i="1" s="1"/>
  <c r="AG771" i="1"/>
  <c r="AH771" i="1" s="1"/>
  <c r="AI771" i="1" s="1"/>
  <c r="AJ771" i="1" s="1"/>
  <c r="AG770" i="1"/>
  <c r="AH770" i="1" s="1"/>
  <c r="AI770" i="1" s="1"/>
  <c r="AJ770" i="1" s="1"/>
  <c r="AG769" i="1"/>
  <c r="AH769" i="1" s="1"/>
  <c r="AI769" i="1" s="1"/>
  <c r="AJ769" i="1" s="1"/>
  <c r="AG755" i="1"/>
  <c r="AH755" i="1" s="1"/>
  <c r="AI755" i="1" s="1"/>
  <c r="AJ755" i="1" s="1"/>
  <c r="AG754" i="1"/>
  <c r="AH754" i="1" s="1"/>
  <c r="AI754" i="1" s="1"/>
  <c r="AJ754" i="1" s="1"/>
  <c r="AG751" i="1"/>
  <c r="AH751" i="1" s="1"/>
  <c r="AI751" i="1" s="1"/>
  <c r="AJ751" i="1" s="1"/>
  <c r="AG746" i="1"/>
  <c r="AH746" i="1" s="1"/>
  <c r="AI746" i="1" s="1"/>
  <c r="AJ746" i="1" s="1"/>
  <c r="AG745" i="1"/>
  <c r="AH745" i="1" s="1"/>
  <c r="AI745" i="1" s="1"/>
  <c r="AJ745" i="1" s="1"/>
  <c r="AG743" i="1"/>
  <c r="AH743" i="1" s="1"/>
  <c r="AI743" i="1" s="1"/>
  <c r="AJ743" i="1" s="1"/>
  <c r="AG741" i="1"/>
  <c r="AH741" i="1" s="1"/>
  <c r="AI741" i="1" s="1"/>
  <c r="AJ741" i="1" s="1"/>
  <c r="AG736" i="1"/>
  <c r="AH736" i="1" s="1"/>
  <c r="AI736" i="1" s="1"/>
  <c r="AJ736" i="1" s="1"/>
  <c r="AG734" i="1"/>
  <c r="AH734" i="1" s="1"/>
  <c r="AI734" i="1" s="1"/>
  <c r="AJ734" i="1" s="1"/>
  <c r="AG733" i="1"/>
  <c r="AH733" i="1" s="1"/>
  <c r="AI733" i="1" s="1"/>
  <c r="AJ733" i="1" s="1"/>
  <c r="AG728" i="1"/>
  <c r="AH728" i="1" s="1"/>
  <c r="AI728" i="1" s="1"/>
  <c r="AJ728" i="1" s="1"/>
  <c r="AG723" i="1"/>
  <c r="AH723" i="1" s="1"/>
  <c r="AI723" i="1" s="1"/>
  <c r="AJ723" i="1" s="1"/>
  <c r="AG714" i="1"/>
  <c r="AH714" i="1" s="1"/>
  <c r="AI714" i="1" s="1"/>
  <c r="AJ714" i="1" s="1"/>
  <c r="AG712" i="1"/>
  <c r="AH712" i="1" s="1"/>
  <c r="AI712" i="1" s="1"/>
  <c r="AJ712" i="1" s="1"/>
  <c r="AG702" i="1"/>
  <c r="AH702" i="1" s="1"/>
  <c r="AI702" i="1" s="1"/>
  <c r="AJ702" i="1" s="1"/>
  <c r="AG700" i="1"/>
  <c r="AH700" i="1" s="1"/>
  <c r="AI700" i="1" s="1"/>
  <c r="AJ700" i="1" s="1"/>
  <c r="AG673" i="1"/>
  <c r="AH673" i="1" s="1"/>
  <c r="AI673" i="1" s="1"/>
  <c r="AJ673" i="1" s="1"/>
  <c r="AG672" i="1"/>
  <c r="AH672" i="1" s="1"/>
  <c r="AI672" i="1" s="1"/>
  <c r="AJ672" i="1" s="1"/>
  <c r="AG671" i="1"/>
  <c r="AH671" i="1" s="1"/>
  <c r="AI671" i="1" s="1"/>
  <c r="AJ671" i="1" s="1"/>
  <c r="AG654" i="1"/>
  <c r="AH654" i="1" s="1"/>
  <c r="AI654" i="1" s="1"/>
  <c r="AJ654" i="1" s="1"/>
  <c r="AG651" i="1"/>
  <c r="AH651" i="1" s="1"/>
  <c r="AI651" i="1" s="1"/>
  <c r="AJ651" i="1" s="1"/>
  <c r="AG645" i="1"/>
  <c r="AH645" i="1" s="1"/>
  <c r="AI645" i="1" s="1"/>
  <c r="AJ645" i="1" s="1"/>
  <c r="AG636" i="1"/>
  <c r="AH636" i="1" s="1"/>
  <c r="AI636" i="1" s="1"/>
  <c r="AJ636" i="1" s="1"/>
  <c r="AG635" i="1"/>
  <c r="AH635" i="1" s="1"/>
  <c r="AI635" i="1" s="1"/>
  <c r="AJ635" i="1" s="1"/>
  <c r="AG631" i="1"/>
  <c r="AH631" i="1" s="1"/>
  <c r="AI631" i="1" s="1"/>
  <c r="AJ631" i="1" s="1"/>
  <c r="AG629" i="1"/>
  <c r="AH629" i="1" s="1"/>
  <c r="AI629" i="1" s="1"/>
  <c r="AJ629" i="1" s="1"/>
  <c r="AG628" i="1"/>
  <c r="AH628" i="1" s="1"/>
  <c r="AI628" i="1" s="1"/>
  <c r="AJ628" i="1" s="1"/>
  <c r="AG625" i="1"/>
  <c r="AH625" i="1" s="1"/>
  <c r="AI625" i="1" s="1"/>
  <c r="AJ625" i="1" s="1"/>
  <c r="AG621" i="1"/>
  <c r="AH621" i="1" s="1"/>
  <c r="AI621" i="1" s="1"/>
  <c r="AJ621" i="1" s="1"/>
  <c r="AG617" i="1"/>
  <c r="AH617" i="1" s="1"/>
  <c r="AI617" i="1" s="1"/>
  <c r="AJ617" i="1" s="1"/>
  <c r="AG616" i="1"/>
  <c r="AH616" i="1" s="1"/>
  <c r="AI616" i="1" s="1"/>
  <c r="AJ616" i="1" s="1"/>
  <c r="AF613" i="1"/>
  <c r="AG613" i="1" s="1"/>
  <c r="AH613" i="1" s="1"/>
  <c r="AI613" i="1" s="1"/>
  <c r="AJ613" i="1" s="1"/>
  <c r="AG606" i="1"/>
  <c r="AH606" i="1" s="1"/>
  <c r="AI606" i="1" s="1"/>
  <c r="AJ606" i="1" s="1"/>
  <c r="AG601" i="1"/>
  <c r="AH601" i="1" s="1"/>
  <c r="AI601" i="1" s="1"/>
  <c r="AJ601" i="1" s="1"/>
  <c r="AG600" i="1"/>
  <c r="AH600" i="1" s="1"/>
  <c r="AI600" i="1" s="1"/>
  <c r="AJ600" i="1" s="1"/>
  <c r="AG592" i="1"/>
  <c r="AH592" i="1" s="1"/>
  <c r="AI592" i="1" s="1"/>
  <c r="AJ592" i="1" s="1"/>
  <c r="AG587" i="1"/>
  <c r="AH587" i="1" s="1"/>
  <c r="AI587" i="1" s="1"/>
  <c r="AJ587" i="1" s="1"/>
  <c r="AG581" i="1"/>
  <c r="AH581" i="1" s="1"/>
  <c r="AI581" i="1" s="1"/>
  <c r="AJ581" i="1" s="1"/>
  <c r="AF579" i="1"/>
  <c r="AG579" i="1" s="1"/>
  <c r="AH579" i="1" s="1"/>
  <c r="AI579" i="1" s="1"/>
  <c r="AJ579" i="1" s="1"/>
  <c r="AG574" i="1"/>
  <c r="AH574" i="1" s="1"/>
  <c r="AI574" i="1" s="1"/>
  <c r="AJ574" i="1" s="1"/>
  <c r="AG572" i="1"/>
  <c r="AH572" i="1" s="1"/>
  <c r="AI572" i="1" s="1"/>
  <c r="AJ572" i="1" s="1"/>
  <c r="AG570" i="1"/>
  <c r="AH570" i="1" s="1"/>
  <c r="AI570" i="1" s="1"/>
  <c r="AJ570" i="1" s="1"/>
  <c r="AG566" i="1"/>
  <c r="AH566" i="1" s="1"/>
  <c r="AI566" i="1" s="1"/>
  <c r="AJ566" i="1" s="1"/>
  <c r="AG562" i="1"/>
  <c r="AH562" i="1" s="1"/>
  <c r="AI562" i="1" s="1"/>
  <c r="AJ562" i="1" s="1"/>
  <c r="AG560" i="1"/>
  <c r="AH560" i="1" s="1"/>
  <c r="AI560" i="1" s="1"/>
  <c r="AJ560" i="1" s="1"/>
  <c r="AG559" i="1"/>
  <c r="AH559" i="1" s="1"/>
  <c r="AI559" i="1" s="1"/>
  <c r="AJ559" i="1" s="1"/>
  <c r="AG556" i="1"/>
  <c r="AH556" i="1" s="1"/>
  <c r="AI556" i="1" s="1"/>
  <c r="AJ556" i="1" s="1"/>
  <c r="AG551" i="1"/>
  <c r="AH551" i="1" s="1"/>
  <c r="AI551" i="1" s="1"/>
  <c r="AJ551" i="1" s="1"/>
  <c r="AG549" i="1"/>
  <c r="AH549" i="1" s="1"/>
  <c r="AI549" i="1" s="1"/>
  <c r="AJ549" i="1" s="1"/>
  <c r="AG548" i="1"/>
  <c r="AH548" i="1" s="1"/>
  <c r="AI548" i="1" s="1"/>
  <c r="AJ548" i="1" s="1"/>
  <c r="AG544" i="1"/>
  <c r="AH544" i="1" s="1"/>
  <c r="AI544" i="1" s="1"/>
  <c r="AJ544" i="1" s="1"/>
  <c r="AG532" i="1"/>
  <c r="AH532" i="1" s="1"/>
  <c r="AI532" i="1" s="1"/>
  <c r="AJ532" i="1" s="1"/>
  <c r="AG527" i="1"/>
  <c r="AH527" i="1" s="1"/>
  <c r="AI527" i="1" s="1"/>
  <c r="AJ527" i="1" s="1"/>
  <c r="AG523" i="1"/>
  <c r="AH523" i="1" s="1"/>
  <c r="AI523" i="1" s="1"/>
  <c r="AJ523" i="1" s="1"/>
  <c r="AG522" i="1"/>
  <c r="AH522" i="1" s="1"/>
  <c r="AI522" i="1" s="1"/>
  <c r="AJ522" i="1" s="1"/>
  <c r="AG518" i="1"/>
  <c r="AH518" i="1" s="1"/>
  <c r="AI518" i="1" s="1"/>
  <c r="AJ518" i="1" s="1"/>
  <c r="AG517" i="1"/>
  <c r="AH517" i="1" s="1"/>
  <c r="AI517" i="1" s="1"/>
  <c r="AJ517" i="1" s="1"/>
  <c r="AG513" i="1"/>
  <c r="AH513" i="1" s="1"/>
  <c r="AI513" i="1" s="1"/>
  <c r="AJ513" i="1" s="1"/>
  <c r="AG509" i="1"/>
  <c r="AH509" i="1" s="1"/>
  <c r="AI509" i="1" s="1"/>
  <c r="AJ509" i="1" s="1"/>
  <c r="AG504" i="1"/>
  <c r="AH504" i="1" s="1"/>
  <c r="AI504" i="1" s="1"/>
  <c r="AJ504" i="1" s="1"/>
  <c r="AG500" i="1"/>
  <c r="AH500" i="1" s="1"/>
  <c r="AI500" i="1" s="1"/>
  <c r="AJ500" i="1" s="1"/>
  <c r="AG497" i="1"/>
  <c r="AH497" i="1" s="1"/>
  <c r="AI497" i="1" s="1"/>
  <c r="AJ497" i="1" s="1"/>
  <c r="AG495" i="1"/>
  <c r="AH495" i="1" s="1"/>
  <c r="AI495" i="1" s="1"/>
  <c r="AJ495" i="1" s="1"/>
  <c r="AG494" i="1"/>
  <c r="AH494" i="1" s="1"/>
  <c r="AI494" i="1" s="1"/>
  <c r="AJ494" i="1" s="1"/>
  <c r="AG487" i="1"/>
  <c r="AH487" i="1" s="1"/>
  <c r="AI487" i="1" s="1"/>
  <c r="AJ487" i="1" s="1"/>
  <c r="AG484" i="1"/>
  <c r="AH484" i="1" s="1"/>
  <c r="AI484" i="1" s="1"/>
  <c r="AJ484" i="1" s="1"/>
  <c r="AG477" i="1"/>
  <c r="AH477" i="1" s="1"/>
  <c r="AI477" i="1" s="1"/>
  <c r="AJ477" i="1" s="1"/>
  <c r="AG476" i="1"/>
  <c r="AH476" i="1" s="1"/>
  <c r="AI476" i="1" s="1"/>
  <c r="AJ476" i="1" s="1"/>
  <c r="AG475" i="1"/>
  <c r="AH475" i="1" s="1"/>
  <c r="AI475" i="1" s="1"/>
  <c r="AJ475" i="1" s="1"/>
  <c r="AG471" i="1"/>
  <c r="AH471" i="1" s="1"/>
  <c r="AI471" i="1" s="1"/>
  <c r="AJ471" i="1" s="1"/>
  <c r="AG470" i="1"/>
  <c r="AH470" i="1" s="1"/>
  <c r="AI470" i="1" s="1"/>
  <c r="AJ470" i="1" s="1"/>
  <c r="AG469" i="1"/>
  <c r="AH469" i="1" s="1"/>
  <c r="AI469" i="1" s="1"/>
  <c r="AJ469" i="1" s="1"/>
  <c r="AG467" i="1"/>
  <c r="AH467" i="1" s="1"/>
  <c r="AI467" i="1" s="1"/>
  <c r="AJ467" i="1" s="1"/>
  <c r="AG464" i="1"/>
  <c r="AH464" i="1" s="1"/>
  <c r="AI464" i="1" s="1"/>
  <c r="AJ464" i="1" s="1"/>
  <c r="AG463" i="1"/>
  <c r="AH463" i="1" s="1"/>
  <c r="AI463" i="1" s="1"/>
  <c r="AJ463" i="1" s="1"/>
  <c r="AG461" i="1"/>
  <c r="AH461" i="1" s="1"/>
  <c r="AI461" i="1" s="1"/>
  <c r="AJ461" i="1" s="1"/>
  <c r="AG460" i="1"/>
  <c r="AH460" i="1" s="1"/>
  <c r="AI460" i="1" s="1"/>
  <c r="AJ460" i="1" s="1"/>
  <c r="AF458" i="1"/>
  <c r="AG458" i="1" s="1"/>
  <c r="AH458" i="1" s="1"/>
  <c r="AI458" i="1" s="1"/>
  <c r="AJ458" i="1" s="1"/>
  <c r="AG450" i="1"/>
  <c r="AH450" i="1" s="1"/>
  <c r="AI450" i="1" s="1"/>
  <c r="AJ450" i="1" s="1"/>
  <c r="AG449" i="1"/>
  <c r="AH449" i="1" s="1"/>
  <c r="AI449" i="1" s="1"/>
  <c r="AJ449" i="1" s="1"/>
  <c r="AG448" i="1"/>
  <c r="AH448" i="1" s="1"/>
  <c r="AI448" i="1" s="1"/>
  <c r="AJ448" i="1" s="1"/>
  <c r="AG447" i="1"/>
  <c r="AH447" i="1" s="1"/>
  <c r="AI447" i="1" s="1"/>
  <c r="AJ447" i="1" s="1"/>
  <c r="AG445" i="1"/>
  <c r="AH445" i="1" s="1"/>
  <c r="AI445" i="1" s="1"/>
  <c r="AJ445" i="1" s="1"/>
  <c r="AG441" i="1"/>
  <c r="AH441" i="1" s="1"/>
  <c r="AI441" i="1" s="1"/>
  <c r="AJ441" i="1" s="1"/>
  <c r="AG440" i="1"/>
  <c r="AH440" i="1" s="1"/>
  <c r="AI440" i="1" s="1"/>
  <c r="AJ440" i="1" s="1"/>
  <c r="AG433" i="1"/>
  <c r="AH433" i="1" s="1"/>
  <c r="AI433" i="1" s="1"/>
  <c r="AJ433" i="1" s="1"/>
  <c r="AG431" i="1"/>
  <c r="AH431" i="1" s="1"/>
  <c r="AI431" i="1" s="1"/>
  <c r="AJ431" i="1" s="1"/>
  <c r="AG426" i="1"/>
  <c r="AH426" i="1" s="1"/>
  <c r="AI426" i="1" s="1"/>
  <c r="AJ426" i="1" s="1"/>
  <c r="AG421" i="1"/>
  <c r="AH421" i="1" s="1"/>
  <c r="AI421" i="1" s="1"/>
  <c r="AJ421" i="1" s="1"/>
  <c r="AG416" i="1"/>
  <c r="AH416" i="1" s="1"/>
  <c r="AI416" i="1" s="1"/>
  <c r="AJ416" i="1" s="1"/>
  <c r="AG411" i="1"/>
  <c r="AH411" i="1" s="1"/>
  <c r="AI411" i="1" s="1"/>
  <c r="AJ411" i="1" s="1"/>
  <c r="AG407" i="1"/>
  <c r="AH407" i="1" s="1"/>
  <c r="AI407" i="1" s="1"/>
  <c r="AJ407" i="1" s="1"/>
  <c r="AG406" i="1"/>
  <c r="AH406" i="1" s="1"/>
  <c r="AI406" i="1" s="1"/>
  <c r="AJ406" i="1" s="1"/>
  <c r="AG401" i="1"/>
  <c r="AH401" i="1" s="1"/>
  <c r="AI401" i="1" s="1"/>
  <c r="AJ401" i="1" s="1"/>
  <c r="AG400" i="1"/>
  <c r="AH400" i="1" s="1"/>
  <c r="AI400" i="1" s="1"/>
  <c r="AJ400" i="1" s="1"/>
  <c r="AG396" i="1"/>
  <c r="AH396" i="1" s="1"/>
  <c r="AI396" i="1" s="1"/>
  <c r="AJ396" i="1" s="1"/>
  <c r="AG387" i="1"/>
  <c r="AH387" i="1" s="1"/>
  <c r="AI387" i="1" s="1"/>
  <c r="AJ387" i="1" s="1"/>
  <c r="AG386" i="1"/>
  <c r="AH386" i="1" s="1"/>
  <c r="AI386" i="1" s="1"/>
  <c r="AJ386" i="1" s="1"/>
  <c r="AG385" i="1"/>
  <c r="AH385" i="1" s="1"/>
  <c r="AI385" i="1" s="1"/>
  <c r="AJ385" i="1" s="1"/>
  <c r="AG384" i="1"/>
  <c r="AH384" i="1" s="1"/>
  <c r="AI384" i="1" s="1"/>
  <c r="AJ384" i="1" s="1"/>
  <c r="AG376" i="1"/>
  <c r="AH376" i="1" s="1"/>
  <c r="AI376" i="1" s="1"/>
  <c r="AJ376" i="1" s="1"/>
  <c r="AG370" i="1"/>
  <c r="AH370" i="1" s="1"/>
  <c r="AI370" i="1" s="1"/>
  <c r="AJ370" i="1" s="1"/>
  <c r="AG368" i="1"/>
  <c r="AH368" i="1" s="1"/>
  <c r="AI368" i="1" s="1"/>
  <c r="AJ368" i="1" s="1"/>
  <c r="AG362" i="1"/>
  <c r="AH362" i="1" s="1"/>
  <c r="AI362" i="1" s="1"/>
  <c r="AJ362" i="1" s="1"/>
  <c r="AG361" i="1"/>
  <c r="AH361" i="1" s="1"/>
  <c r="AI361" i="1" s="1"/>
  <c r="AJ361" i="1" s="1"/>
  <c r="AG355" i="1"/>
  <c r="AH355" i="1" s="1"/>
  <c r="AI355" i="1" s="1"/>
  <c r="AJ355" i="1" s="1"/>
  <c r="AG352" i="1"/>
  <c r="AH352" i="1" s="1"/>
  <c r="AI352" i="1" s="1"/>
  <c r="AJ352" i="1" s="1"/>
  <c r="AG348" i="1"/>
  <c r="AH348" i="1" s="1"/>
  <c r="AI348" i="1" s="1"/>
  <c r="AJ348" i="1" s="1"/>
  <c r="AG347" i="1"/>
  <c r="AH347" i="1" s="1"/>
  <c r="AI347" i="1" s="1"/>
  <c r="AJ347" i="1" s="1"/>
  <c r="AG346" i="1"/>
  <c r="AH346" i="1" s="1"/>
  <c r="AI346" i="1" s="1"/>
  <c r="AJ346" i="1" s="1"/>
  <c r="AG341" i="1"/>
  <c r="AH341" i="1" s="1"/>
  <c r="AI341" i="1" s="1"/>
  <c r="AJ341" i="1" s="1"/>
  <c r="AG337" i="1"/>
  <c r="AH337" i="1" s="1"/>
  <c r="AI337" i="1" s="1"/>
  <c r="AJ337" i="1" s="1"/>
  <c r="AG332" i="1"/>
  <c r="AH332" i="1" s="1"/>
  <c r="AI332" i="1" s="1"/>
  <c r="AJ332" i="1" s="1"/>
  <c r="AF331" i="1"/>
  <c r="AG331" i="1" s="1"/>
  <c r="AH331" i="1" s="1"/>
  <c r="AI331" i="1" s="1"/>
  <c r="AJ331" i="1" s="1"/>
  <c r="AG322" i="1"/>
  <c r="AH322" i="1" s="1"/>
  <c r="AI322" i="1" s="1"/>
  <c r="AJ322" i="1" s="1"/>
  <c r="AG319" i="1"/>
  <c r="AH319" i="1" s="1"/>
  <c r="AI319" i="1" s="1"/>
  <c r="AJ319" i="1" s="1"/>
  <c r="AF314" i="1"/>
  <c r="AG314" i="1" s="1"/>
  <c r="AH314" i="1" s="1"/>
  <c r="AI314" i="1" s="1"/>
  <c r="AJ314" i="1" s="1"/>
  <c r="AG313" i="1"/>
  <c r="AH313" i="1" s="1"/>
  <c r="AI313" i="1" s="1"/>
  <c r="AJ313" i="1" s="1"/>
  <c r="AG312" i="1"/>
  <c r="AH312" i="1" s="1"/>
  <c r="AI312" i="1" s="1"/>
  <c r="AJ312" i="1" s="1"/>
  <c r="AG310" i="1"/>
  <c r="AH310" i="1" s="1"/>
  <c r="AI310" i="1" s="1"/>
  <c r="AJ310" i="1" s="1"/>
  <c r="AG304" i="1"/>
  <c r="AH304" i="1" s="1"/>
  <c r="AI304" i="1" s="1"/>
  <c r="AJ304" i="1" s="1"/>
  <c r="AG298" i="1"/>
  <c r="AH298" i="1" s="1"/>
  <c r="AI298" i="1" s="1"/>
  <c r="AJ298" i="1" s="1"/>
  <c r="AG293" i="1"/>
  <c r="AH293" i="1" s="1"/>
  <c r="AI293" i="1" s="1"/>
  <c r="AJ293" i="1" s="1"/>
  <c r="AG291" i="1"/>
  <c r="AH291" i="1" s="1"/>
  <c r="AI291" i="1" s="1"/>
  <c r="AJ291" i="1" s="1"/>
  <c r="AG290" i="1"/>
  <c r="AH290" i="1" s="1"/>
  <c r="AI290" i="1" s="1"/>
  <c r="AJ290" i="1" s="1"/>
  <c r="AG287" i="1"/>
  <c r="AH287" i="1" s="1"/>
  <c r="AI287" i="1" s="1"/>
  <c r="AJ287" i="1" s="1"/>
  <c r="AG284" i="1"/>
  <c r="AH284" i="1" s="1"/>
  <c r="AI284" i="1" s="1"/>
  <c r="AJ284" i="1" s="1"/>
  <c r="AG266" i="1"/>
  <c r="AH266" i="1" s="1"/>
  <c r="AI266" i="1" s="1"/>
  <c r="AJ266" i="1" s="1"/>
  <c r="AG265" i="1"/>
  <c r="AH265" i="1" s="1"/>
  <c r="AI265" i="1" s="1"/>
  <c r="AJ265" i="1" s="1"/>
  <c r="AG263" i="1"/>
  <c r="AH263" i="1" s="1"/>
  <c r="AI263" i="1" s="1"/>
  <c r="AJ263" i="1" s="1"/>
  <c r="AG260" i="1"/>
  <c r="AH260" i="1" s="1"/>
  <c r="AI260" i="1" s="1"/>
  <c r="AJ260" i="1" s="1"/>
  <c r="AG258" i="1"/>
  <c r="AH258" i="1" s="1"/>
  <c r="AI258" i="1" s="1"/>
  <c r="AJ258" i="1" s="1"/>
  <c r="AG254" i="1"/>
  <c r="AH254" i="1" s="1"/>
  <c r="AI254" i="1" s="1"/>
  <c r="AJ254" i="1" s="1"/>
  <c r="AG250" i="1"/>
  <c r="AH250" i="1" s="1"/>
  <c r="AI250" i="1" s="1"/>
  <c r="AJ250" i="1" s="1"/>
  <c r="AG248" i="1"/>
  <c r="AH248" i="1" s="1"/>
  <c r="AI248" i="1" s="1"/>
  <c r="AJ248" i="1" s="1"/>
  <c r="AG247" i="1"/>
  <c r="AH247" i="1" s="1"/>
  <c r="AI247" i="1" s="1"/>
  <c r="AJ247" i="1" s="1"/>
  <c r="AG245" i="1"/>
  <c r="AH245" i="1" s="1"/>
  <c r="AI245" i="1" s="1"/>
  <c r="AJ245" i="1" s="1"/>
  <c r="AG244" i="1"/>
  <c r="AH244" i="1" s="1"/>
  <c r="AI244" i="1" s="1"/>
  <c r="AJ244" i="1" s="1"/>
  <c r="AG242" i="1"/>
  <c r="AH242" i="1" s="1"/>
  <c r="AI242" i="1" s="1"/>
  <c r="AJ242" i="1" s="1"/>
  <c r="AG241" i="1"/>
  <c r="AH241" i="1" s="1"/>
  <c r="AI241" i="1" s="1"/>
  <c r="AJ241" i="1" s="1"/>
  <c r="AG231" i="1"/>
  <c r="AH231" i="1" s="1"/>
  <c r="AI231" i="1" s="1"/>
  <c r="AJ231" i="1" s="1"/>
  <c r="AG223" i="1"/>
  <c r="AH223" i="1" s="1"/>
  <c r="AI223" i="1" s="1"/>
  <c r="AJ223" i="1" s="1"/>
  <c r="AG222" i="1"/>
  <c r="AH222" i="1" s="1"/>
  <c r="AI222" i="1" s="1"/>
  <c r="AJ222" i="1" s="1"/>
  <c r="AG219" i="1"/>
  <c r="AH219" i="1" s="1"/>
  <c r="AI219" i="1" s="1"/>
  <c r="AJ219" i="1" s="1"/>
  <c r="AG217" i="1"/>
  <c r="AH217" i="1" s="1"/>
  <c r="AI217" i="1" s="1"/>
  <c r="AJ217" i="1" s="1"/>
  <c r="AG213" i="1"/>
  <c r="AH213" i="1" s="1"/>
  <c r="AI213" i="1" s="1"/>
  <c r="AJ213" i="1" s="1"/>
  <c r="AG210" i="1"/>
  <c r="AH210" i="1" s="1"/>
  <c r="AI210" i="1" s="1"/>
  <c r="AJ210" i="1" s="1"/>
  <c r="AG208" i="1"/>
  <c r="AH208" i="1" s="1"/>
  <c r="AI208" i="1" s="1"/>
  <c r="AJ208" i="1" s="1"/>
  <c r="AG206" i="1"/>
  <c r="AH206" i="1" s="1"/>
  <c r="AI206" i="1" s="1"/>
  <c r="AJ206" i="1" s="1"/>
  <c r="AG198" i="1"/>
  <c r="AH198" i="1" s="1"/>
  <c r="AI198" i="1" s="1"/>
  <c r="AJ198" i="1" s="1"/>
  <c r="AG190" i="1"/>
  <c r="AH190" i="1" s="1"/>
  <c r="AI190" i="1" s="1"/>
  <c r="AJ190" i="1" s="1"/>
  <c r="AG188" i="1"/>
  <c r="AH188" i="1" s="1"/>
  <c r="AI188" i="1" s="1"/>
  <c r="AJ188" i="1" s="1"/>
  <c r="AG179" i="1"/>
  <c r="AH179" i="1" s="1"/>
  <c r="AI179" i="1" s="1"/>
  <c r="AJ179" i="1" s="1"/>
  <c r="AG178" i="1"/>
  <c r="AH178" i="1" s="1"/>
  <c r="AI178" i="1" s="1"/>
  <c r="AJ178" i="1" s="1"/>
  <c r="AG173" i="1"/>
  <c r="AH173" i="1" s="1"/>
  <c r="AI173" i="1" s="1"/>
  <c r="AJ173" i="1" s="1"/>
  <c r="AG167" i="1"/>
  <c r="AH167" i="1" s="1"/>
  <c r="AI167" i="1" s="1"/>
  <c r="AJ167" i="1" s="1"/>
  <c r="AG166" i="1"/>
  <c r="AH166" i="1" s="1"/>
  <c r="AI166" i="1" s="1"/>
  <c r="AJ166" i="1" s="1"/>
  <c r="AG162" i="1"/>
  <c r="AH162" i="1" s="1"/>
  <c r="AI162" i="1" s="1"/>
  <c r="AJ162" i="1" s="1"/>
  <c r="AG161" i="1"/>
  <c r="AH161" i="1" s="1"/>
  <c r="AI161" i="1" s="1"/>
  <c r="AJ161" i="1" s="1"/>
  <c r="AG158" i="1"/>
  <c r="AH158" i="1" s="1"/>
  <c r="AI158" i="1" s="1"/>
  <c r="AJ158" i="1" s="1"/>
  <c r="AG151" i="1"/>
  <c r="AH151" i="1" s="1"/>
  <c r="AI151" i="1" s="1"/>
  <c r="AJ151" i="1" s="1"/>
  <c r="AG145" i="1"/>
  <c r="AH145" i="1" s="1"/>
  <c r="AI145" i="1" s="1"/>
  <c r="AJ145" i="1" s="1"/>
  <c r="AG142" i="1"/>
  <c r="AH142" i="1" s="1"/>
  <c r="AI142" i="1" s="1"/>
  <c r="AJ142" i="1" s="1"/>
  <c r="AG140" i="1"/>
  <c r="AH140" i="1" s="1"/>
  <c r="AI140" i="1" s="1"/>
  <c r="AJ140" i="1" s="1"/>
  <c r="AG128" i="1"/>
  <c r="AH128" i="1" s="1"/>
  <c r="AI128" i="1" s="1"/>
  <c r="AJ128" i="1" s="1"/>
  <c r="AG127" i="1"/>
  <c r="AH127" i="1" s="1"/>
  <c r="AI127" i="1" s="1"/>
  <c r="AJ127" i="1" s="1"/>
  <c r="AG120" i="1"/>
  <c r="AH120" i="1" s="1"/>
  <c r="AI120" i="1" s="1"/>
  <c r="AJ120" i="1" s="1"/>
  <c r="AG119" i="1"/>
  <c r="AH119" i="1" s="1"/>
  <c r="AI119" i="1" s="1"/>
  <c r="AJ119" i="1" s="1"/>
  <c r="AG117" i="1"/>
  <c r="AH117" i="1" s="1"/>
  <c r="AI117" i="1" s="1"/>
  <c r="AJ117" i="1" s="1"/>
  <c r="AG114" i="1"/>
  <c r="AH114" i="1" s="1"/>
  <c r="AI114" i="1" s="1"/>
  <c r="AJ114" i="1" s="1"/>
  <c r="AG113" i="1"/>
  <c r="AH113" i="1" s="1"/>
  <c r="AI113" i="1" s="1"/>
  <c r="AJ113" i="1" s="1"/>
  <c r="AG112" i="1"/>
  <c r="AH112" i="1" s="1"/>
  <c r="AI112" i="1" s="1"/>
  <c r="AJ112" i="1" s="1"/>
  <c r="AG111" i="1"/>
  <c r="AH111" i="1" s="1"/>
  <c r="AI111" i="1" s="1"/>
  <c r="AJ111" i="1" s="1"/>
  <c r="AG102" i="1"/>
  <c r="AH102" i="1" s="1"/>
  <c r="AI102" i="1" s="1"/>
  <c r="AJ102" i="1" s="1"/>
  <c r="AG99" i="1"/>
  <c r="AH99" i="1" s="1"/>
  <c r="AI99" i="1" s="1"/>
  <c r="AJ99" i="1" s="1"/>
  <c r="AG80" i="1"/>
  <c r="AH80" i="1" s="1"/>
  <c r="AI80" i="1" s="1"/>
  <c r="AJ80" i="1" s="1"/>
  <c r="AG77" i="1"/>
  <c r="AH77" i="1" s="1"/>
  <c r="AI77" i="1" s="1"/>
  <c r="AJ77" i="1" s="1"/>
  <c r="AG74" i="1"/>
  <c r="AH74" i="1" s="1"/>
  <c r="AI74" i="1" s="1"/>
  <c r="AJ74" i="1" s="1"/>
  <c r="AG73" i="1"/>
  <c r="AH73" i="1" s="1"/>
  <c r="AI73" i="1" s="1"/>
  <c r="AJ73" i="1" s="1"/>
  <c r="AG68" i="1"/>
  <c r="AH68" i="1" s="1"/>
  <c r="AI68" i="1" s="1"/>
  <c r="AJ68" i="1" s="1"/>
  <c r="AG63" i="1"/>
  <c r="AH63" i="1" s="1"/>
  <c r="AI63" i="1" s="1"/>
  <c r="AJ63" i="1" s="1"/>
  <c r="AG61" i="1"/>
  <c r="AH61" i="1" s="1"/>
  <c r="AI61" i="1" s="1"/>
  <c r="AJ61" i="1" s="1"/>
  <c r="AG58" i="1"/>
  <c r="AH58" i="1" s="1"/>
  <c r="AI58" i="1" s="1"/>
  <c r="AJ58" i="1" s="1"/>
  <c r="AG56" i="1"/>
  <c r="AH56" i="1" s="1"/>
  <c r="AI56" i="1" s="1"/>
  <c r="AJ56" i="1" s="1"/>
  <c r="AG54" i="1"/>
  <c r="AH54" i="1" s="1"/>
  <c r="AI54" i="1" s="1"/>
  <c r="AJ54" i="1" s="1"/>
  <c r="AG48" i="1"/>
  <c r="AH48" i="1" s="1"/>
  <c r="AI48" i="1" s="1"/>
  <c r="AJ48" i="1" s="1"/>
  <c r="AG43" i="1"/>
  <c r="AH43" i="1" s="1"/>
  <c r="AI43" i="1" s="1"/>
  <c r="AJ43" i="1" s="1"/>
  <c r="AG42" i="1"/>
  <c r="AH42" i="1" s="1"/>
  <c r="AI42" i="1" s="1"/>
  <c r="AJ42" i="1" s="1"/>
  <c r="AG40" i="1"/>
  <c r="AH40" i="1" s="1"/>
  <c r="AI40" i="1" s="1"/>
  <c r="AJ40" i="1" s="1"/>
  <c r="AG33" i="1"/>
  <c r="AH33" i="1" s="1"/>
  <c r="AI33" i="1" s="1"/>
  <c r="AJ33" i="1" s="1"/>
  <c r="AG31" i="1"/>
  <c r="AH31" i="1" s="1"/>
  <c r="AI31" i="1" s="1"/>
  <c r="AJ31" i="1" s="1"/>
  <c r="AG30" i="1"/>
  <c r="AH30" i="1" s="1"/>
  <c r="AI30" i="1" s="1"/>
  <c r="AJ30" i="1" s="1"/>
  <c r="AG29" i="1"/>
  <c r="AH29" i="1" s="1"/>
  <c r="AI29" i="1" s="1"/>
  <c r="AJ29" i="1" s="1"/>
  <c r="AG25" i="1"/>
  <c r="AH25" i="1" s="1"/>
  <c r="AI25" i="1" s="1"/>
  <c r="AJ25" i="1" s="1"/>
  <c r="AG21" i="1"/>
  <c r="AH21" i="1" s="1"/>
  <c r="AI21" i="1" s="1"/>
  <c r="AJ21" i="1" s="1"/>
  <c r="AG16" i="1"/>
  <c r="AH16" i="1" s="1"/>
  <c r="AI16" i="1" s="1"/>
  <c r="AJ16" i="1" s="1"/>
  <c r="AG15" i="1"/>
  <c r="AH15" i="1" s="1"/>
  <c r="AI15" i="1" s="1"/>
  <c r="AJ15" i="1" s="1"/>
  <c r="AG13" i="1"/>
  <c r="AH13" i="1" s="1"/>
  <c r="AI13" i="1" s="1"/>
  <c r="AJ13" i="1" s="1"/>
  <c r="AG10" i="1"/>
  <c r="AH10" i="1" s="1"/>
  <c r="AI10" i="1" s="1"/>
  <c r="AJ10" i="1" s="1"/>
  <c r="AG7" i="1"/>
  <c r="AH7" i="1" s="1"/>
  <c r="AI7" i="1" s="1"/>
  <c r="AJ7" i="1" s="1"/>
  <c r="G46" i="40"/>
  <c r="G47" i="40"/>
  <c r="G89" i="40"/>
  <c r="G90" i="40" l="1"/>
  <c r="G48" i="40"/>
  <c r="G68" i="40"/>
  <c r="G69" i="40"/>
  <c r="G70" i="40" l="1"/>
  <c r="AC458" i="1" l="1"/>
  <c r="AG320" i="1" l="1"/>
  <c r="AH320" i="1" s="1"/>
  <c r="AI320" i="1" s="1"/>
  <c r="AJ320" i="1" s="1"/>
  <c r="AG124" i="1"/>
  <c r="AH124" i="1" s="1"/>
  <c r="AI124" i="1" s="1"/>
  <c r="AJ124" i="1" s="1"/>
  <c r="AG782" i="1" l="1"/>
  <c r="AH782" i="1" s="1"/>
  <c r="AI782" i="1" s="1"/>
  <c r="AJ782" i="1" s="1"/>
  <c r="AG235" i="1" l="1"/>
  <c r="AH235" i="1" s="1"/>
  <c r="AI235" i="1" s="1"/>
  <c r="AJ235" i="1" s="1"/>
  <c r="H1026" i="1"/>
  <c r="F1026" i="1"/>
  <c r="F1027" i="1" s="1"/>
  <c r="F1028" i="1" l="1"/>
  <c r="AG377" i="1" l="1"/>
  <c r="AH377" i="1" s="1"/>
  <c r="AI377" i="1" s="1"/>
  <c r="AJ377" i="1" s="1"/>
  <c r="AG788" i="1"/>
  <c r="AH788" i="1" s="1"/>
  <c r="AI788" i="1" s="1"/>
  <c r="AJ788" i="1" s="1"/>
  <c r="AG765" i="1"/>
  <c r="AH765" i="1" s="1"/>
  <c r="AI765" i="1" s="1"/>
  <c r="AJ765" i="1" s="1"/>
  <c r="AG696" i="1"/>
  <c r="AH696" i="1" s="1"/>
  <c r="AI696" i="1" s="1"/>
  <c r="AJ696" i="1" s="1"/>
  <c r="AG622" i="1"/>
  <c r="AH622" i="1" s="1"/>
  <c r="AI622" i="1" s="1"/>
  <c r="AJ622" i="1" s="1"/>
  <c r="AG490" i="1"/>
  <c r="AH490" i="1" s="1"/>
  <c r="AI490" i="1" s="1"/>
  <c r="AJ490" i="1" s="1"/>
  <c r="AG59" i="1" l="1"/>
  <c r="AH59" i="1" s="1"/>
  <c r="AI59" i="1" s="1"/>
  <c r="AJ59" i="1" s="1"/>
  <c r="AG359" i="1"/>
  <c r="AH359" i="1" s="1"/>
  <c r="AI359" i="1" s="1"/>
  <c r="AJ359" i="1" s="1"/>
  <c r="AG186" i="1"/>
  <c r="AH186" i="1" s="1"/>
  <c r="AI186" i="1" s="1"/>
  <c r="AJ186" i="1" s="1"/>
  <c r="AD847" i="1" l="1"/>
  <c r="AG847" i="1"/>
  <c r="AH847" i="1" s="1"/>
  <c r="AI847" i="1" s="1"/>
  <c r="AJ847" i="1" s="1"/>
  <c r="AG859" i="1"/>
  <c r="AH859" i="1" s="1"/>
  <c r="AI859" i="1" s="1"/>
  <c r="AJ859" i="1" s="1"/>
  <c r="AD859" i="1"/>
  <c r="AG789" i="1"/>
  <c r="AH789" i="1" s="1"/>
  <c r="AI789" i="1" s="1"/>
  <c r="AJ789" i="1" s="1"/>
  <c r="AD789" i="1"/>
  <c r="AG713" i="1"/>
  <c r="AH713" i="1" s="1"/>
  <c r="AI713" i="1" s="1"/>
  <c r="AJ713" i="1" s="1"/>
  <c r="AD713" i="1"/>
  <c r="AG678" i="1"/>
  <c r="AH678" i="1" s="1"/>
  <c r="AI678" i="1" s="1"/>
  <c r="AJ678" i="1" s="1"/>
  <c r="AD678" i="1"/>
  <c r="AD603" i="1"/>
  <c r="AG594" i="1"/>
  <c r="AH594" i="1" s="1"/>
  <c r="AI594" i="1" s="1"/>
  <c r="AJ594" i="1" s="1"/>
  <c r="AD594" i="1"/>
  <c r="AG531" i="1"/>
  <c r="AH531" i="1" s="1"/>
  <c r="AI531" i="1" s="1"/>
  <c r="AJ531" i="1" s="1"/>
  <c r="AD531" i="1"/>
  <c r="AG515" i="1"/>
  <c r="AH515" i="1" s="1"/>
  <c r="AI515" i="1" s="1"/>
  <c r="AJ515" i="1" s="1"/>
  <c r="AD515" i="1"/>
  <c r="AD788" i="1" l="1"/>
  <c r="AD1017" i="1"/>
  <c r="AD1016" i="1"/>
  <c r="AD1013" i="1"/>
  <c r="AD1010" i="1"/>
  <c r="AD1007" i="1"/>
  <c r="AD1006" i="1"/>
  <c r="AD1005" i="1"/>
  <c r="AD1002" i="1"/>
  <c r="AD999" i="1"/>
  <c r="AD996" i="1"/>
  <c r="AD995" i="1"/>
  <c r="AD989" i="1"/>
  <c r="AD987" i="1"/>
  <c r="AD986" i="1"/>
  <c r="AD980" i="1"/>
  <c r="AD978" i="1"/>
  <c r="AD977" i="1"/>
  <c r="AD972" i="1"/>
  <c r="AD971" i="1"/>
  <c r="AD969" i="1"/>
  <c r="AD968" i="1"/>
  <c r="AD965" i="1"/>
  <c r="AD964" i="1"/>
  <c r="AG964" i="1" s="1"/>
  <c r="AH964" i="1" s="1"/>
  <c r="AI964" i="1" s="1"/>
  <c r="AJ964" i="1" s="1"/>
  <c r="AD960" i="1"/>
  <c r="AD957" i="1"/>
  <c r="AD956" i="1"/>
  <c r="AD952" i="1"/>
  <c r="AG952" i="1" s="1"/>
  <c r="AH952" i="1" s="1"/>
  <c r="AI952" i="1" s="1"/>
  <c r="AJ952" i="1" s="1"/>
  <c r="AD949" i="1"/>
  <c r="AD947" i="1"/>
  <c r="AD943" i="1"/>
  <c r="AD941" i="1"/>
  <c r="AD937" i="1"/>
  <c r="AG937" i="1" s="1"/>
  <c r="AH937" i="1" s="1"/>
  <c r="AI937" i="1" s="1"/>
  <c r="AJ937" i="1" s="1"/>
  <c r="AD936" i="1"/>
  <c r="AD934" i="1"/>
  <c r="AD933" i="1"/>
  <c r="AD932" i="1"/>
  <c r="AD931" i="1"/>
  <c r="AD930" i="1"/>
  <c r="AD929" i="1"/>
  <c r="AD928" i="1"/>
  <c r="AD926" i="1"/>
  <c r="AD921" i="1"/>
  <c r="AD916" i="1"/>
  <c r="AD915" i="1"/>
  <c r="AD914" i="1"/>
  <c r="AD913" i="1"/>
  <c r="AD912" i="1"/>
  <c r="AG912" i="1" s="1"/>
  <c r="AH912" i="1" s="1"/>
  <c r="AI912" i="1" s="1"/>
  <c r="AJ912" i="1" s="1"/>
  <c r="AD911" i="1"/>
  <c r="AD903" i="1"/>
  <c r="AD902" i="1"/>
  <c r="AD901" i="1"/>
  <c r="AD900" i="1"/>
  <c r="AD895" i="1"/>
  <c r="AD890" i="1"/>
  <c r="AD889" i="1"/>
  <c r="AD886" i="1"/>
  <c r="AD884" i="1"/>
  <c r="AD883" i="1"/>
  <c r="AD882" i="1"/>
  <c r="AD881" i="1"/>
  <c r="AD879" i="1"/>
  <c r="AD878" i="1"/>
  <c r="AD877" i="1"/>
  <c r="AD874" i="1"/>
  <c r="AD872" i="1"/>
  <c r="AD869" i="1"/>
  <c r="AD867" i="1"/>
  <c r="AD865" i="1"/>
  <c r="AD863" i="1"/>
  <c r="AD860" i="1"/>
  <c r="AD856" i="1"/>
  <c r="AD855" i="1"/>
  <c r="AD852" i="1"/>
  <c r="AD851" i="1"/>
  <c r="AD850" i="1"/>
  <c r="AD849" i="1"/>
  <c r="AD844" i="1"/>
  <c r="AD843" i="1"/>
  <c r="AD842" i="1"/>
  <c r="AD840" i="1"/>
  <c r="AD836" i="1"/>
  <c r="AD835" i="1"/>
  <c r="AD831" i="1"/>
  <c r="AD830" i="1"/>
  <c r="AD829" i="1"/>
  <c r="AD827" i="1"/>
  <c r="AD826" i="1"/>
  <c r="AD820" i="1"/>
  <c r="AG820" i="1" s="1"/>
  <c r="AH820" i="1" s="1"/>
  <c r="AI820" i="1" s="1"/>
  <c r="AJ820" i="1" s="1"/>
  <c r="AD819" i="1"/>
  <c r="AD816" i="1"/>
  <c r="AD815" i="1"/>
  <c r="AD812" i="1"/>
  <c r="AD814" i="1"/>
  <c r="AD811" i="1"/>
  <c r="AD808" i="1"/>
  <c r="AD803" i="1"/>
  <c r="AD800" i="1"/>
  <c r="AG800" i="1" s="1"/>
  <c r="AH800" i="1" s="1"/>
  <c r="AI800" i="1" s="1"/>
  <c r="AJ800" i="1" s="1"/>
  <c r="AD798" i="1"/>
  <c r="AD797" i="1"/>
  <c r="AD796" i="1"/>
  <c r="AD792" i="1"/>
  <c r="AD793" i="1"/>
  <c r="AD791" i="1"/>
  <c r="AD784" i="1"/>
  <c r="AD779" i="1"/>
  <c r="AD774" i="1"/>
  <c r="AD768" i="1"/>
  <c r="AD766" i="1"/>
  <c r="AD765" i="1"/>
  <c r="AD764" i="1"/>
  <c r="AG764" i="1" s="1"/>
  <c r="AH764" i="1" s="1"/>
  <c r="AI764" i="1" s="1"/>
  <c r="AJ764" i="1" s="1"/>
  <c r="AD763" i="1"/>
  <c r="AD762" i="1"/>
  <c r="AG762" i="1" s="1"/>
  <c r="AH762" i="1" s="1"/>
  <c r="AI762" i="1" s="1"/>
  <c r="AJ762" i="1" s="1"/>
  <c r="AD760" i="1"/>
  <c r="AD758" i="1"/>
  <c r="AD756" i="1"/>
  <c r="AD753" i="1"/>
  <c r="AD742" i="1"/>
  <c r="AD740" i="1"/>
  <c r="AD737" i="1"/>
  <c r="AD730" i="1"/>
  <c r="AG730" i="1" s="1"/>
  <c r="AH730" i="1" s="1"/>
  <c r="AI730" i="1" s="1"/>
  <c r="AJ730" i="1" s="1"/>
  <c r="AD727" i="1"/>
  <c r="AD726" i="1"/>
  <c r="AG726" i="1" s="1"/>
  <c r="AH726" i="1" s="1"/>
  <c r="AI726" i="1" s="1"/>
  <c r="AJ726" i="1" s="1"/>
  <c r="AD724" i="1"/>
  <c r="AD721" i="1"/>
  <c r="AD719" i="1"/>
  <c r="AD717" i="1"/>
  <c r="AD716" i="1"/>
  <c r="AD715" i="1"/>
  <c r="AD708" i="1"/>
  <c r="AD707" i="1"/>
  <c r="AD706" i="1"/>
  <c r="AD705" i="1"/>
  <c r="AD704" i="1"/>
  <c r="AD703" i="1"/>
  <c r="AD701" i="1"/>
  <c r="AD699" i="1"/>
  <c r="AD698" i="1"/>
  <c r="AD696" i="1"/>
  <c r="AD695" i="1"/>
  <c r="AD694" i="1"/>
  <c r="AD693" i="1"/>
  <c r="AD691" i="1"/>
  <c r="AD690" i="1"/>
  <c r="AD688" i="1"/>
  <c r="AD687" i="1"/>
  <c r="AD686" i="1"/>
  <c r="AD685" i="1"/>
  <c r="AD679" i="1"/>
  <c r="AD670" i="1"/>
  <c r="AD669" i="1"/>
  <c r="AD666" i="1"/>
  <c r="AD665" i="1"/>
  <c r="AD663" i="1"/>
  <c r="AD661" i="1"/>
  <c r="AD653" i="1"/>
  <c r="AD652" i="1"/>
  <c r="AD650" i="1"/>
  <c r="AD649" i="1"/>
  <c r="AD648" i="1"/>
  <c r="AG648" i="1" s="1"/>
  <c r="AH648" i="1" s="1"/>
  <c r="AI648" i="1" s="1"/>
  <c r="AJ648" i="1" s="1"/>
  <c r="AD647" i="1"/>
  <c r="AD644" i="1"/>
  <c r="AD641" i="1"/>
  <c r="AD639" i="1"/>
  <c r="AD638" i="1"/>
  <c r="AG638" i="1" s="1"/>
  <c r="AH638" i="1" s="1"/>
  <c r="AI638" i="1" s="1"/>
  <c r="AJ638" i="1" s="1"/>
  <c r="AD633" i="1"/>
  <c r="AD632" i="1"/>
  <c r="AD627" i="1"/>
  <c r="AG627" i="1" s="1"/>
  <c r="AH627" i="1" s="1"/>
  <c r="AI627" i="1" s="1"/>
  <c r="AJ627" i="1" s="1"/>
  <c r="AD626" i="1"/>
  <c r="AD624" i="1"/>
  <c r="AD619" i="1"/>
  <c r="AD618" i="1"/>
  <c r="AD615" i="1"/>
  <c r="AD614" i="1"/>
  <c r="AD611" i="1"/>
  <c r="AD608" i="1"/>
  <c r="AD605" i="1"/>
  <c r="AD604" i="1"/>
  <c r="AD599" i="1"/>
  <c r="AD598" i="1"/>
  <c r="AD597" i="1"/>
  <c r="AG597" i="1" s="1"/>
  <c r="AH597" i="1" s="1"/>
  <c r="AI597" i="1" s="1"/>
  <c r="AJ597" i="1" s="1"/>
  <c r="AD590" i="1"/>
  <c r="AD588" i="1"/>
  <c r="AG588" i="1" s="1"/>
  <c r="AH588" i="1" s="1"/>
  <c r="AI588" i="1" s="1"/>
  <c r="AJ588" i="1" s="1"/>
  <c r="AD586" i="1"/>
  <c r="AG584" i="1"/>
  <c r="AH584" i="1" s="1"/>
  <c r="AI584" i="1" s="1"/>
  <c r="AJ584" i="1" s="1"/>
  <c r="AD583" i="1"/>
  <c r="AD582" i="1"/>
  <c r="AD580" i="1"/>
  <c r="AD576" i="1"/>
  <c r="AD573" i="1"/>
  <c r="AD571" i="1"/>
  <c r="AG571" i="1" s="1"/>
  <c r="AH571" i="1" s="1"/>
  <c r="AI571" i="1" s="1"/>
  <c r="AJ571" i="1" s="1"/>
  <c r="AD568" i="1"/>
  <c r="AD567" i="1"/>
  <c r="AD563" i="1"/>
  <c r="AD561" i="1"/>
  <c r="AD557" i="1"/>
  <c r="AD555" i="1"/>
  <c r="AG555" i="1" s="1"/>
  <c r="AH555" i="1" s="1"/>
  <c r="AI555" i="1" s="1"/>
  <c r="AJ555" i="1" s="1"/>
  <c r="AD554" i="1"/>
  <c r="AD553" i="1"/>
  <c r="AD552" i="1"/>
  <c r="AD550" i="1"/>
  <c r="AG550" i="1" s="1"/>
  <c r="AH550" i="1" s="1"/>
  <c r="AI550" i="1" s="1"/>
  <c r="AJ550" i="1" s="1"/>
  <c r="AD547" i="1"/>
  <c r="AD546" i="1"/>
  <c r="AD545" i="1"/>
  <c r="AD543" i="1"/>
  <c r="AD542" i="1"/>
  <c r="AD541" i="1"/>
  <c r="AD540" i="1"/>
  <c r="AD539" i="1"/>
  <c r="AD537" i="1"/>
  <c r="AD536" i="1"/>
  <c r="AG536" i="1" s="1"/>
  <c r="AH536" i="1" s="1"/>
  <c r="AI536" i="1" s="1"/>
  <c r="AJ536" i="1" s="1"/>
  <c r="AD535" i="1"/>
  <c r="AD533" i="1"/>
  <c r="AD530" i="1"/>
  <c r="AD529" i="1"/>
  <c r="AD526" i="1"/>
  <c r="AD525" i="1"/>
  <c r="AD521" i="1"/>
  <c r="AD519" i="1"/>
  <c r="AD516" i="1"/>
  <c r="AD514" i="1"/>
  <c r="AG512" i="1"/>
  <c r="AH512" i="1" s="1"/>
  <c r="AI512" i="1" s="1"/>
  <c r="AJ512" i="1" s="1"/>
  <c r="AD511" i="1"/>
  <c r="AD510" i="1"/>
  <c r="AD506" i="1"/>
  <c r="AD505" i="1"/>
  <c r="AD503" i="1"/>
  <c r="AG503" i="1" s="1"/>
  <c r="AH503" i="1" s="1"/>
  <c r="AI503" i="1" s="1"/>
  <c r="AJ503" i="1" s="1"/>
  <c r="AD499" i="1"/>
  <c r="AD496" i="1"/>
  <c r="AG496" i="1" s="1"/>
  <c r="AH496" i="1" s="1"/>
  <c r="AI496" i="1" s="1"/>
  <c r="AJ496" i="1" s="1"/>
  <c r="AD493" i="1"/>
  <c r="AD489" i="1"/>
  <c r="AD488" i="1"/>
  <c r="AD486" i="1"/>
  <c r="AD483" i="1"/>
  <c r="AD482" i="1"/>
  <c r="AD480" i="1"/>
  <c r="AD474" i="1"/>
  <c r="AD473" i="1"/>
  <c r="AD472" i="1"/>
  <c r="AD466" i="1"/>
  <c r="AD465" i="1"/>
  <c r="AD462" i="1"/>
  <c r="AD459" i="1"/>
  <c r="AD457" i="1"/>
  <c r="AD455" i="1"/>
  <c r="AD452" i="1"/>
  <c r="AD451" i="1"/>
  <c r="AD446" i="1"/>
  <c r="AD444" i="1"/>
  <c r="AD439" i="1"/>
  <c r="AD437" i="1"/>
  <c r="AD436" i="1"/>
  <c r="AD435" i="1"/>
  <c r="AD434" i="1"/>
  <c r="AD432" i="1"/>
  <c r="AD430" i="1"/>
  <c r="AD429" i="1"/>
  <c r="AG424" i="1"/>
  <c r="AH424" i="1" s="1"/>
  <c r="AI424" i="1" s="1"/>
  <c r="AJ424" i="1" s="1"/>
  <c r="AD422" i="1"/>
  <c r="AD418" i="1"/>
  <c r="AD415" i="1"/>
  <c r="AD414" i="1"/>
  <c r="AD412" i="1"/>
  <c r="AD425" i="1"/>
  <c r="AD417" i="1"/>
  <c r="AD410" i="1"/>
  <c r="AG410" i="1" s="1"/>
  <c r="AH410" i="1" s="1"/>
  <c r="AI410" i="1" s="1"/>
  <c r="AJ410" i="1" s="1"/>
  <c r="AD409" i="1"/>
  <c r="AG409" i="1" s="1"/>
  <c r="AH409" i="1" s="1"/>
  <c r="AI409" i="1" s="1"/>
  <c r="AJ409" i="1" s="1"/>
  <c r="AD404" i="1"/>
  <c r="AD405" i="1"/>
  <c r="AD402" i="1"/>
  <c r="AD398" i="1"/>
  <c r="AD395" i="1"/>
  <c r="AD394" i="1"/>
  <c r="AD392" i="1"/>
  <c r="AD391" i="1"/>
  <c r="AD389" i="1"/>
  <c r="AD388" i="1"/>
  <c r="AD383" i="1"/>
  <c r="AD382" i="1"/>
  <c r="AD380" i="1"/>
  <c r="AD378" i="1"/>
  <c r="AD375" i="1"/>
  <c r="AD374" i="1"/>
  <c r="AD373" i="1"/>
  <c r="AD372" i="1"/>
  <c r="AD371" i="1"/>
  <c r="AD369" i="1"/>
  <c r="AD367" i="1"/>
  <c r="AD366" i="1"/>
  <c r="AD364" i="1"/>
  <c r="AD360" i="1"/>
  <c r="AD358" i="1"/>
  <c r="AD357" i="1"/>
  <c r="AD351" i="1"/>
  <c r="AD349" i="1"/>
  <c r="AD344" i="1"/>
  <c r="AD342" i="1"/>
  <c r="AD338" i="1"/>
  <c r="AD336" i="1"/>
  <c r="AD335" i="1"/>
  <c r="AD330" i="1"/>
  <c r="AD329" i="1"/>
  <c r="AD327" i="1"/>
  <c r="AD326" i="1"/>
  <c r="AD325" i="1"/>
  <c r="AD324" i="1"/>
  <c r="AD321" i="1"/>
  <c r="AD318" i="1"/>
  <c r="AD315" i="1"/>
  <c r="AD311" i="1"/>
  <c r="AD308" i="1"/>
  <c r="AD306" i="1"/>
  <c r="AD303" i="1"/>
  <c r="AD302" i="1"/>
  <c r="AD301" i="1"/>
  <c r="AD300" i="1"/>
  <c r="AD299" i="1"/>
  <c r="AD297" i="1"/>
  <c r="AD296" i="1"/>
  <c r="AD295" i="1"/>
  <c r="AD292" i="1"/>
  <c r="AD289" i="1"/>
  <c r="AD288" i="1"/>
  <c r="AD283" i="1"/>
  <c r="AD282" i="1"/>
  <c r="AD281" i="1"/>
  <c r="AD280" i="1"/>
  <c r="AD279" i="1"/>
  <c r="AD276" i="1"/>
  <c r="AD275" i="1"/>
  <c r="AD274" i="1"/>
  <c r="AD273" i="1"/>
  <c r="AD271" i="1"/>
  <c r="AD270" i="1"/>
  <c r="AD269" i="1"/>
  <c r="AD264" i="1"/>
  <c r="AD262" i="1"/>
  <c r="AD259" i="1"/>
  <c r="AD257" i="1"/>
  <c r="AD256" i="1"/>
  <c r="AD255" i="1"/>
  <c r="AD252" i="1"/>
  <c r="AD246" i="1"/>
  <c r="AD236" i="1"/>
  <c r="AD234" i="1"/>
  <c r="AD233" i="1"/>
  <c r="AD230" i="1"/>
  <c r="AD229" i="1"/>
  <c r="AD228" i="1"/>
  <c r="AD227" i="1"/>
  <c r="AD226" i="1"/>
  <c r="AD225" i="1"/>
  <c r="AD224" i="1"/>
  <c r="AD221" i="1"/>
  <c r="AD220" i="1"/>
  <c r="AD216" i="1"/>
  <c r="AD214" i="1"/>
  <c r="AD212" i="1"/>
  <c r="AD209" i="1"/>
  <c r="AD207" i="1"/>
  <c r="AD205" i="1"/>
  <c r="AD204" i="1"/>
  <c r="AD202" i="1"/>
  <c r="AD200" i="1"/>
  <c r="AD197" i="1"/>
  <c r="AD196" i="1"/>
  <c r="AD195" i="1"/>
  <c r="AG195" i="1" s="1"/>
  <c r="AH195" i="1" s="1"/>
  <c r="AI195" i="1" s="1"/>
  <c r="AJ195" i="1" s="1"/>
  <c r="AD193" i="1"/>
  <c r="AD192" i="1"/>
  <c r="AD191" i="1"/>
  <c r="AD189" i="1"/>
  <c r="AD187" i="1"/>
  <c r="AD185" i="1"/>
  <c r="AD177" i="1"/>
  <c r="AD176" i="1"/>
  <c r="AD175" i="1"/>
  <c r="AD174" i="1"/>
  <c r="AD170" i="1"/>
  <c r="AD169" i="1"/>
  <c r="AD168" i="1"/>
  <c r="AD165" i="1"/>
  <c r="AD163" i="1"/>
  <c r="AD159" i="1"/>
  <c r="AG159" i="1" s="1"/>
  <c r="AH159" i="1" s="1"/>
  <c r="AI159" i="1" s="1"/>
  <c r="AJ159" i="1" s="1"/>
  <c r="AD157" i="1"/>
  <c r="AD156" i="1"/>
  <c r="AD155" i="1"/>
  <c r="AD152" i="1"/>
  <c r="AD150" i="1"/>
  <c r="AD148" i="1"/>
  <c r="AG148" i="1" s="1"/>
  <c r="AH148" i="1" s="1"/>
  <c r="AI148" i="1" s="1"/>
  <c r="AJ148" i="1" s="1"/>
  <c r="AD147" i="1"/>
  <c r="AD144" i="1"/>
  <c r="AD143" i="1"/>
  <c r="AD137" i="1"/>
  <c r="AG137" i="1" s="1"/>
  <c r="AH137" i="1" s="1"/>
  <c r="AI137" i="1" s="1"/>
  <c r="AJ137" i="1" s="1"/>
  <c r="AD136" i="1"/>
  <c r="AD134" i="1"/>
  <c r="AD133" i="1"/>
  <c r="AD130" i="1"/>
  <c r="AD129" i="1"/>
  <c r="AD126" i="1"/>
  <c r="AD125" i="1"/>
  <c r="AD123" i="1"/>
  <c r="AD121" i="1"/>
  <c r="AD115" i="1"/>
  <c r="AD110" i="1"/>
  <c r="AD108" i="1"/>
  <c r="AD107" i="1"/>
  <c r="AD104" i="1"/>
  <c r="AD103" i="1"/>
  <c r="AD101" i="1"/>
  <c r="AD98" i="1"/>
  <c r="AD82" i="1"/>
  <c r="AD81" i="1"/>
  <c r="AD79" i="1"/>
  <c r="AD75" i="1"/>
  <c r="AD591" i="1"/>
  <c r="AD72" i="1"/>
  <c r="AD71" i="1"/>
  <c r="AD69" i="1"/>
  <c r="AD67" i="1"/>
  <c r="AD65" i="1"/>
  <c r="AD62" i="1"/>
  <c r="AD60" i="1"/>
  <c r="AD57" i="1"/>
  <c r="AD55" i="1"/>
  <c r="AD52" i="1"/>
  <c r="AD51" i="1"/>
  <c r="AD50" i="1"/>
  <c r="AD49" i="1"/>
  <c r="AD39" i="1"/>
  <c r="AD38" i="1"/>
  <c r="AD37" i="1"/>
  <c r="AD36" i="1"/>
  <c r="AD35" i="1"/>
  <c r="AD27" i="1"/>
  <c r="AD22" i="1"/>
  <c r="AD20" i="1"/>
  <c r="AG20" i="1" s="1"/>
  <c r="AH20" i="1" s="1"/>
  <c r="AI20" i="1" s="1"/>
  <c r="AJ20" i="1" s="1"/>
  <c r="AD19" i="1"/>
  <c r="AD18" i="1"/>
  <c r="AD14" i="1"/>
  <c r="AD11" i="1"/>
  <c r="AD9" i="1"/>
  <c r="AD6" i="1"/>
  <c r="AD4" i="1"/>
  <c r="AD861" i="1"/>
  <c r="AG652" i="1"/>
  <c r="AH652" i="1" s="1"/>
  <c r="AI652" i="1" s="1"/>
  <c r="AJ652" i="1" s="1"/>
  <c r="AG951" i="1"/>
  <c r="AH951" i="1" s="1"/>
  <c r="AI951" i="1" s="1"/>
  <c r="AJ951" i="1" s="1"/>
  <c r="AG753" i="1"/>
  <c r="AH753" i="1" s="1"/>
  <c r="AI753" i="1" s="1"/>
  <c r="AJ753" i="1" s="1"/>
  <c r="AG326" i="1"/>
  <c r="AH326" i="1" s="1"/>
  <c r="AI326" i="1" s="1"/>
  <c r="AJ326" i="1" s="1"/>
  <c r="AG866" i="1"/>
  <c r="AH866" i="1" s="1"/>
  <c r="AI866" i="1" s="1"/>
  <c r="AJ866" i="1" s="1"/>
  <c r="AG311" i="1"/>
  <c r="AH311" i="1" s="1"/>
  <c r="AI311" i="1" s="1"/>
  <c r="AJ311" i="1" s="1"/>
  <c r="AG886" i="1"/>
  <c r="AH886" i="1" s="1"/>
  <c r="AI886" i="1" s="1"/>
  <c r="AJ886" i="1" s="1"/>
  <c r="AG187" i="1"/>
  <c r="AH187" i="1" s="1"/>
  <c r="AI187" i="1" s="1"/>
  <c r="AJ187" i="1" s="1"/>
  <c r="AG303" i="1"/>
  <c r="AH303" i="1" s="1"/>
  <c r="AI303" i="1" s="1"/>
  <c r="AJ303" i="1" s="1"/>
  <c r="AG383" i="1"/>
  <c r="AH383" i="1" s="1"/>
  <c r="AI383" i="1" s="1"/>
  <c r="AJ383" i="1" s="1"/>
  <c r="AG868" i="1"/>
  <c r="AH868" i="1" s="1"/>
  <c r="AI868" i="1" s="1"/>
  <c r="AJ868" i="1" s="1"/>
  <c r="AG802" i="1"/>
  <c r="AH802" i="1" s="1"/>
  <c r="AI802" i="1" s="1"/>
  <c r="AJ802" i="1" s="1"/>
  <c r="AG585" i="1"/>
  <c r="AH585" i="1" s="1"/>
  <c r="AI585" i="1" s="1"/>
  <c r="AJ585" i="1" s="1"/>
  <c r="AG180" i="1"/>
  <c r="AH180" i="1" s="1"/>
  <c r="AI180" i="1" s="1"/>
  <c r="AJ180" i="1" s="1"/>
  <c r="AG691" i="1"/>
  <c r="AH691" i="1" s="1"/>
  <c r="AI691" i="1" s="1"/>
  <c r="AJ691" i="1" s="1"/>
  <c r="AG693" i="1"/>
  <c r="AH693" i="1" s="1"/>
  <c r="AI693" i="1" s="1"/>
  <c r="AJ693" i="1" s="1"/>
  <c r="AG262" i="1"/>
  <c r="AH262" i="1" s="1"/>
  <c r="AI262" i="1" s="1"/>
  <c r="AJ262" i="1" s="1"/>
  <c r="AG808" i="1"/>
  <c r="AH808" i="1" s="1"/>
  <c r="AI808" i="1" s="1"/>
  <c r="AJ808" i="1" s="1"/>
  <c r="AG280" i="1"/>
  <c r="AH280" i="1" s="1"/>
  <c r="AI280" i="1" s="1"/>
  <c r="AJ280" i="1" s="1"/>
  <c r="AG301" i="1"/>
  <c r="AH301" i="1" s="1"/>
  <c r="AI301" i="1" s="1"/>
  <c r="AJ301" i="1" s="1"/>
  <c r="AG679" i="1"/>
  <c r="AH679" i="1" s="1"/>
  <c r="AI679" i="1" s="1"/>
  <c r="AJ679" i="1" s="1"/>
  <c r="AG168" i="1"/>
  <c r="AH168" i="1" s="1"/>
  <c r="AI168" i="1" s="1"/>
  <c r="AJ168" i="1" s="1"/>
  <c r="AG827" i="1"/>
  <c r="AH827" i="1" s="1"/>
  <c r="AI827" i="1" s="1"/>
  <c r="AJ827" i="1" s="1"/>
  <c r="AG364" i="1"/>
  <c r="AH364" i="1" s="1"/>
  <c r="AI364" i="1" s="1"/>
  <c r="AJ364" i="1" s="1"/>
  <c r="AG321" i="1"/>
  <c r="AH321" i="1" s="1"/>
  <c r="AI321" i="1" s="1"/>
  <c r="AJ321" i="1" s="1"/>
  <c r="AG881" i="1"/>
  <c r="AH881" i="1" s="1"/>
  <c r="AI881" i="1" s="1"/>
  <c r="AJ881" i="1" s="1"/>
  <c r="AG519" i="1"/>
  <c r="AH519" i="1" s="1"/>
  <c r="AI519" i="1" s="1"/>
  <c r="AJ519" i="1" s="1"/>
  <c r="AG422" i="1"/>
  <c r="AH422" i="1" s="1"/>
  <c r="AI422" i="1" s="1"/>
  <c r="AJ422" i="1" s="1"/>
  <c r="AG196" i="1"/>
  <c r="AH196" i="1" s="1"/>
  <c r="AI196" i="1" s="1"/>
  <c r="AJ196" i="1" s="1"/>
  <c r="AG499" i="1"/>
  <c r="AH499" i="1" s="1"/>
  <c r="AI499" i="1" s="1"/>
  <c r="AJ499" i="1" s="1"/>
  <c r="AG1016" i="1"/>
  <c r="AH1016" i="1" s="1"/>
  <c r="AI1016" i="1" s="1"/>
  <c r="AJ1016" i="1" s="1"/>
  <c r="AG1013" i="1"/>
  <c r="AH1013" i="1" s="1"/>
  <c r="AI1013" i="1" s="1"/>
  <c r="AJ1013" i="1" s="1"/>
  <c r="AG1010" i="1"/>
  <c r="AH1010" i="1" s="1"/>
  <c r="AI1010" i="1" s="1"/>
  <c r="AJ1010" i="1" s="1"/>
  <c r="AG1006" i="1"/>
  <c r="AH1006" i="1" s="1"/>
  <c r="AI1006" i="1" s="1"/>
  <c r="AJ1006" i="1" s="1"/>
  <c r="AG1005" i="1"/>
  <c r="AH1005" i="1" s="1"/>
  <c r="AI1005" i="1" s="1"/>
  <c r="AJ1005" i="1" s="1"/>
  <c r="AG1002" i="1"/>
  <c r="AH1002" i="1" s="1"/>
  <c r="AI1002" i="1" s="1"/>
  <c r="AJ1002" i="1" s="1"/>
  <c r="AG999" i="1"/>
  <c r="AH999" i="1" s="1"/>
  <c r="AI999" i="1" s="1"/>
  <c r="AJ999" i="1" s="1"/>
  <c r="AG989" i="1"/>
  <c r="AH989" i="1" s="1"/>
  <c r="AI989" i="1" s="1"/>
  <c r="AJ989" i="1" s="1"/>
  <c r="AG987" i="1"/>
  <c r="AH987" i="1" s="1"/>
  <c r="AI987" i="1" s="1"/>
  <c r="AJ987" i="1" s="1"/>
  <c r="AG986" i="1"/>
  <c r="AH986" i="1" s="1"/>
  <c r="AI986" i="1" s="1"/>
  <c r="AJ986" i="1" s="1"/>
  <c r="AG972" i="1"/>
  <c r="AH972" i="1" s="1"/>
  <c r="AI972" i="1" s="1"/>
  <c r="AJ972" i="1" s="1"/>
  <c r="AG971" i="1"/>
  <c r="AH971" i="1" s="1"/>
  <c r="AI971" i="1" s="1"/>
  <c r="AJ971" i="1" s="1"/>
  <c r="AG968" i="1"/>
  <c r="AH968" i="1" s="1"/>
  <c r="AI968" i="1" s="1"/>
  <c r="AJ968" i="1" s="1"/>
  <c r="AG965" i="1"/>
  <c r="AH965" i="1" s="1"/>
  <c r="AI965" i="1" s="1"/>
  <c r="AJ965" i="1" s="1"/>
  <c r="AG963" i="1"/>
  <c r="AH963" i="1" s="1"/>
  <c r="AI963" i="1" s="1"/>
  <c r="AJ963" i="1" s="1"/>
  <c r="AG960" i="1"/>
  <c r="AH960" i="1" s="1"/>
  <c r="AI960" i="1" s="1"/>
  <c r="AJ960" i="1" s="1"/>
  <c r="AG933" i="1"/>
  <c r="AH933" i="1" s="1"/>
  <c r="AI933" i="1" s="1"/>
  <c r="AJ933" i="1" s="1"/>
  <c r="AG947" i="1"/>
  <c r="AH947" i="1" s="1"/>
  <c r="AI947" i="1" s="1"/>
  <c r="AJ947" i="1" s="1"/>
  <c r="AG943" i="1"/>
  <c r="AH943" i="1" s="1"/>
  <c r="AI943" i="1" s="1"/>
  <c r="AJ943" i="1" s="1"/>
  <c r="AG931" i="1"/>
  <c r="AH931" i="1" s="1"/>
  <c r="AI931" i="1" s="1"/>
  <c r="AJ931" i="1" s="1"/>
  <c r="AG928" i="1"/>
  <c r="AH928" i="1" s="1"/>
  <c r="AI928" i="1" s="1"/>
  <c r="AJ928" i="1" s="1"/>
  <c r="AG916" i="1"/>
  <c r="AH916" i="1" s="1"/>
  <c r="AI916" i="1" s="1"/>
  <c r="AJ916" i="1" s="1"/>
  <c r="AG915" i="1"/>
  <c r="AH915" i="1" s="1"/>
  <c r="AI915" i="1" s="1"/>
  <c r="AJ915" i="1" s="1"/>
  <c r="AG911" i="1"/>
  <c r="AH911" i="1" s="1"/>
  <c r="AI911" i="1" s="1"/>
  <c r="AJ911" i="1" s="1"/>
  <c r="AG890" i="1"/>
  <c r="AH890" i="1" s="1"/>
  <c r="AI890" i="1" s="1"/>
  <c r="AJ890" i="1" s="1"/>
  <c r="AG889" i="1"/>
  <c r="AH889" i="1" s="1"/>
  <c r="AI889" i="1" s="1"/>
  <c r="AJ889" i="1" s="1"/>
  <c r="AG884" i="1"/>
  <c r="AH884" i="1" s="1"/>
  <c r="AI884" i="1" s="1"/>
  <c r="AJ884" i="1" s="1"/>
  <c r="AG882" i="1"/>
  <c r="AH882" i="1" s="1"/>
  <c r="AI882" i="1" s="1"/>
  <c r="AJ882" i="1" s="1"/>
  <c r="AG879" i="1"/>
  <c r="AH879" i="1" s="1"/>
  <c r="AI879" i="1" s="1"/>
  <c r="AJ879" i="1" s="1"/>
  <c r="AG878" i="1"/>
  <c r="AH878" i="1" s="1"/>
  <c r="AI878" i="1" s="1"/>
  <c r="AJ878" i="1" s="1"/>
  <c r="AG874" i="1"/>
  <c r="AH874" i="1" s="1"/>
  <c r="AI874" i="1" s="1"/>
  <c r="AJ874" i="1" s="1"/>
  <c r="AG869" i="1"/>
  <c r="AH869" i="1" s="1"/>
  <c r="AI869" i="1" s="1"/>
  <c r="AJ869" i="1" s="1"/>
  <c r="AG867" i="1"/>
  <c r="AH867" i="1" s="1"/>
  <c r="AI867" i="1" s="1"/>
  <c r="AJ867" i="1" s="1"/>
  <c r="AG865" i="1"/>
  <c r="AH865" i="1" s="1"/>
  <c r="AI865" i="1" s="1"/>
  <c r="AJ865" i="1" s="1"/>
  <c r="AG850" i="1"/>
  <c r="AH850" i="1" s="1"/>
  <c r="AI850" i="1" s="1"/>
  <c r="AJ850" i="1" s="1"/>
  <c r="AG849" i="1"/>
  <c r="AH849" i="1" s="1"/>
  <c r="AI849" i="1" s="1"/>
  <c r="AJ849" i="1" s="1"/>
  <c r="AG840" i="1"/>
  <c r="AH840" i="1" s="1"/>
  <c r="AI840" i="1" s="1"/>
  <c r="AJ840" i="1" s="1"/>
  <c r="AG830" i="1"/>
  <c r="AH830" i="1" s="1"/>
  <c r="AI830" i="1" s="1"/>
  <c r="AJ830" i="1" s="1"/>
  <c r="AG826" i="1"/>
  <c r="AH826" i="1" s="1"/>
  <c r="AI826" i="1" s="1"/>
  <c r="AJ826" i="1" s="1"/>
  <c r="AG819" i="1"/>
  <c r="AH819" i="1" s="1"/>
  <c r="AI819" i="1" s="1"/>
  <c r="AJ819" i="1" s="1"/>
  <c r="AG815" i="1"/>
  <c r="AH815" i="1" s="1"/>
  <c r="AI815" i="1" s="1"/>
  <c r="AJ815" i="1" s="1"/>
  <c r="AG814" i="1"/>
  <c r="AH814" i="1" s="1"/>
  <c r="AI814" i="1" s="1"/>
  <c r="AJ814" i="1" s="1"/>
  <c r="AG811" i="1"/>
  <c r="AH811" i="1" s="1"/>
  <c r="AI811" i="1" s="1"/>
  <c r="AJ811" i="1" s="1"/>
  <c r="AG803" i="1"/>
  <c r="AH803" i="1" s="1"/>
  <c r="AI803" i="1" s="1"/>
  <c r="AJ803" i="1" s="1"/>
  <c r="AG797" i="1"/>
  <c r="AH797" i="1" s="1"/>
  <c r="AI797" i="1" s="1"/>
  <c r="AJ797" i="1" s="1"/>
  <c r="AG796" i="1"/>
  <c r="AH796" i="1" s="1"/>
  <c r="AI796" i="1" s="1"/>
  <c r="AJ796" i="1" s="1"/>
  <c r="AH793" i="1"/>
  <c r="AI793" i="1" s="1"/>
  <c r="AJ793" i="1" s="1"/>
  <c r="AG791" i="1"/>
  <c r="AH791" i="1" s="1"/>
  <c r="AI791" i="1" s="1"/>
  <c r="AJ791" i="1" s="1"/>
  <c r="AG768" i="1"/>
  <c r="AH768" i="1" s="1"/>
  <c r="AI768" i="1" s="1"/>
  <c r="AJ768" i="1" s="1"/>
  <c r="AG756" i="1"/>
  <c r="AH756" i="1" s="1"/>
  <c r="AI756" i="1" s="1"/>
  <c r="AJ756" i="1" s="1"/>
  <c r="AG748" i="1"/>
  <c r="AH748" i="1" s="1"/>
  <c r="AI748" i="1" s="1"/>
  <c r="AJ748" i="1" s="1"/>
  <c r="AG737" i="1"/>
  <c r="AH737" i="1" s="1"/>
  <c r="AI737" i="1" s="1"/>
  <c r="AJ737" i="1" s="1"/>
  <c r="AG724" i="1"/>
  <c r="AH724" i="1" s="1"/>
  <c r="AI724" i="1" s="1"/>
  <c r="AJ724" i="1" s="1"/>
  <c r="AG721" i="1"/>
  <c r="AH721" i="1" s="1"/>
  <c r="AI721" i="1" s="1"/>
  <c r="AJ721" i="1" s="1"/>
  <c r="AG719" i="1"/>
  <c r="AH719" i="1" s="1"/>
  <c r="AI719" i="1" s="1"/>
  <c r="AJ719" i="1" s="1"/>
  <c r="AG717" i="1"/>
  <c r="AH717" i="1" s="1"/>
  <c r="AI717" i="1" s="1"/>
  <c r="AJ717" i="1" s="1"/>
  <c r="AG715" i="1"/>
  <c r="AH715" i="1" s="1"/>
  <c r="AI715" i="1" s="1"/>
  <c r="AJ715" i="1" s="1"/>
  <c r="AG708" i="1"/>
  <c r="AH708" i="1" s="1"/>
  <c r="AI708" i="1" s="1"/>
  <c r="AJ708" i="1" s="1"/>
  <c r="AG705" i="1"/>
  <c r="AH705" i="1" s="1"/>
  <c r="AI705" i="1" s="1"/>
  <c r="AJ705" i="1" s="1"/>
  <c r="AG701" i="1"/>
  <c r="AH701" i="1" s="1"/>
  <c r="AI701" i="1" s="1"/>
  <c r="AJ701" i="1" s="1"/>
  <c r="AG698" i="1"/>
  <c r="AH698" i="1" s="1"/>
  <c r="AI698" i="1" s="1"/>
  <c r="AJ698" i="1" s="1"/>
  <c r="AG694" i="1"/>
  <c r="AH694" i="1" s="1"/>
  <c r="AI694" i="1" s="1"/>
  <c r="AJ694" i="1" s="1"/>
  <c r="AG690" i="1"/>
  <c r="AH690" i="1" s="1"/>
  <c r="AI690" i="1" s="1"/>
  <c r="AJ690" i="1" s="1"/>
  <c r="AG669" i="1"/>
  <c r="AH669" i="1" s="1"/>
  <c r="AI669" i="1" s="1"/>
  <c r="AJ669" i="1" s="1"/>
  <c r="AG666" i="1"/>
  <c r="AH666" i="1" s="1"/>
  <c r="AI666" i="1" s="1"/>
  <c r="AJ666" i="1" s="1"/>
  <c r="AG665" i="1"/>
  <c r="AH665" i="1" s="1"/>
  <c r="AI665" i="1" s="1"/>
  <c r="AJ665" i="1" s="1"/>
  <c r="AG650" i="1"/>
  <c r="AH650" i="1" s="1"/>
  <c r="AI650" i="1" s="1"/>
  <c r="AJ650" i="1" s="1"/>
  <c r="AH644" i="1"/>
  <c r="AI644" i="1" s="1"/>
  <c r="AJ644" i="1" s="1"/>
  <c r="AG641" i="1"/>
  <c r="AH641" i="1" s="1"/>
  <c r="AI641" i="1" s="1"/>
  <c r="AJ641" i="1" s="1"/>
  <c r="AG633" i="1"/>
  <c r="AH633" i="1" s="1"/>
  <c r="AI633" i="1" s="1"/>
  <c r="AJ633" i="1" s="1"/>
  <c r="AG632" i="1"/>
  <c r="AH632" i="1" s="1"/>
  <c r="AI632" i="1" s="1"/>
  <c r="AJ632" i="1" s="1"/>
  <c r="AG626" i="1"/>
  <c r="AH626" i="1" s="1"/>
  <c r="AI626" i="1" s="1"/>
  <c r="AJ626" i="1" s="1"/>
  <c r="AG624" i="1"/>
  <c r="AH624" i="1" s="1"/>
  <c r="AI624" i="1" s="1"/>
  <c r="AJ624" i="1" s="1"/>
  <c r="AG619" i="1"/>
  <c r="AH619" i="1" s="1"/>
  <c r="AI619" i="1" s="1"/>
  <c r="AJ619" i="1" s="1"/>
  <c r="AG614" i="1"/>
  <c r="AH614" i="1" s="1"/>
  <c r="AI614" i="1" s="1"/>
  <c r="AJ614" i="1" s="1"/>
  <c r="AG611" i="1"/>
  <c r="AH611" i="1" s="1"/>
  <c r="AI611" i="1" s="1"/>
  <c r="AJ611" i="1" s="1"/>
  <c r="AG608" i="1"/>
  <c r="AH608" i="1" s="1"/>
  <c r="AI608" i="1" s="1"/>
  <c r="AJ608" i="1" s="1"/>
  <c r="AG605" i="1"/>
  <c r="AH605" i="1" s="1"/>
  <c r="AI605" i="1" s="1"/>
  <c r="AJ605" i="1" s="1"/>
  <c r="AG604" i="1"/>
  <c r="AH604" i="1" s="1"/>
  <c r="AI604" i="1" s="1"/>
  <c r="AJ604" i="1" s="1"/>
  <c r="AG599" i="1"/>
  <c r="AH599" i="1" s="1"/>
  <c r="AI599" i="1" s="1"/>
  <c r="AJ599" i="1" s="1"/>
  <c r="AG586" i="1"/>
  <c r="AH586" i="1" s="1"/>
  <c r="AI586" i="1" s="1"/>
  <c r="AJ586" i="1" s="1"/>
  <c r="AG583" i="1"/>
  <c r="AH583" i="1" s="1"/>
  <c r="AI583" i="1" s="1"/>
  <c r="AJ583" i="1" s="1"/>
  <c r="AG576" i="1"/>
  <c r="AH576" i="1" s="1"/>
  <c r="AI576" i="1" s="1"/>
  <c r="AJ576" i="1" s="1"/>
  <c r="AG567" i="1"/>
  <c r="AH567" i="1" s="1"/>
  <c r="AI567" i="1" s="1"/>
  <c r="AJ567" i="1" s="1"/>
  <c r="AG561" i="1"/>
  <c r="AH561" i="1" s="1"/>
  <c r="AI561" i="1" s="1"/>
  <c r="AJ561" i="1" s="1"/>
  <c r="AG557" i="1"/>
  <c r="AH557" i="1" s="1"/>
  <c r="AI557" i="1" s="1"/>
  <c r="AJ557" i="1" s="1"/>
  <c r="AH553" i="1"/>
  <c r="AI553" i="1" s="1"/>
  <c r="AJ553" i="1" s="1"/>
  <c r="AG547" i="1"/>
  <c r="AH547" i="1" s="1"/>
  <c r="AI547" i="1" s="1"/>
  <c r="AJ547" i="1" s="1"/>
  <c r="AH546" i="1"/>
  <c r="AI546" i="1" s="1"/>
  <c r="AJ546" i="1" s="1"/>
  <c r="AH545" i="1"/>
  <c r="AI545" i="1" s="1"/>
  <c r="AJ545" i="1" s="1"/>
  <c r="AG542" i="1"/>
  <c r="AH542" i="1" s="1"/>
  <c r="AI542" i="1" s="1"/>
  <c r="AJ542" i="1" s="1"/>
  <c r="AG541" i="1"/>
  <c r="AH541" i="1" s="1"/>
  <c r="AI541" i="1" s="1"/>
  <c r="AJ541" i="1" s="1"/>
  <c r="AG540" i="1"/>
  <c r="AH540" i="1" s="1"/>
  <c r="AI540" i="1" s="1"/>
  <c r="AJ540" i="1" s="1"/>
  <c r="AG539" i="1"/>
  <c r="AH539" i="1" s="1"/>
  <c r="AI539" i="1" s="1"/>
  <c r="AJ539" i="1" s="1"/>
  <c r="AG521" i="1"/>
  <c r="AH521" i="1" s="1"/>
  <c r="AI521" i="1" s="1"/>
  <c r="AJ521" i="1" s="1"/>
  <c r="AG511" i="1"/>
  <c r="AH511" i="1" s="1"/>
  <c r="AI511" i="1" s="1"/>
  <c r="AJ511" i="1" s="1"/>
  <c r="AG506" i="1"/>
  <c r="AH506" i="1" s="1"/>
  <c r="AI506" i="1" s="1"/>
  <c r="AJ506" i="1" s="1"/>
  <c r="AG505" i="1"/>
  <c r="AH505" i="1" s="1"/>
  <c r="AI505" i="1" s="1"/>
  <c r="AJ505" i="1" s="1"/>
  <c r="AG486" i="1"/>
  <c r="AH486" i="1" s="1"/>
  <c r="AI486" i="1" s="1"/>
  <c r="AJ486" i="1" s="1"/>
  <c r="AG483" i="1"/>
  <c r="AH483" i="1" s="1"/>
  <c r="AI483" i="1" s="1"/>
  <c r="AJ483" i="1" s="1"/>
  <c r="AG482" i="1"/>
  <c r="AH482" i="1" s="1"/>
  <c r="AI482" i="1" s="1"/>
  <c r="AJ482" i="1" s="1"/>
  <c r="AG472" i="1"/>
  <c r="AH472" i="1" s="1"/>
  <c r="AI472" i="1" s="1"/>
  <c r="AJ472" i="1" s="1"/>
  <c r="AG466" i="1"/>
  <c r="AH466" i="1" s="1"/>
  <c r="AI466" i="1" s="1"/>
  <c r="AJ466" i="1" s="1"/>
  <c r="AG465" i="1"/>
  <c r="AH465" i="1" s="1"/>
  <c r="AI465" i="1" s="1"/>
  <c r="AJ465" i="1" s="1"/>
  <c r="AG459" i="1"/>
  <c r="AH459" i="1" s="1"/>
  <c r="AI459" i="1" s="1"/>
  <c r="AJ459" i="1" s="1"/>
  <c r="AG455" i="1"/>
  <c r="AH455" i="1" s="1"/>
  <c r="AI455" i="1" s="1"/>
  <c r="AJ455" i="1" s="1"/>
  <c r="AG451" i="1"/>
  <c r="AH451" i="1" s="1"/>
  <c r="AI451" i="1" s="1"/>
  <c r="AJ451" i="1" s="1"/>
  <c r="AG444" i="1"/>
  <c r="AH444" i="1" s="1"/>
  <c r="AI444" i="1" s="1"/>
  <c r="AJ444" i="1" s="1"/>
  <c r="AG439" i="1"/>
  <c r="AH439" i="1" s="1"/>
  <c r="AI439" i="1" s="1"/>
  <c r="AJ439" i="1" s="1"/>
  <c r="AG437" i="1"/>
  <c r="AH437" i="1" s="1"/>
  <c r="AI437" i="1" s="1"/>
  <c r="AJ437" i="1" s="1"/>
  <c r="AG436" i="1"/>
  <c r="AH436" i="1" s="1"/>
  <c r="AI436" i="1" s="1"/>
  <c r="AJ436" i="1" s="1"/>
  <c r="AG434" i="1"/>
  <c r="AH434" i="1" s="1"/>
  <c r="AI434" i="1" s="1"/>
  <c r="AJ434" i="1" s="1"/>
  <c r="AG430" i="1"/>
  <c r="AH430" i="1" s="1"/>
  <c r="AI430" i="1" s="1"/>
  <c r="AJ430" i="1" s="1"/>
  <c r="AG418" i="1"/>
  <c r="AH418" i="1" s="1"/>
  <c r="AI418" i="1" s="1"/>
  <c r="AJ418" i="1" s="1"/>
  <c r="AG412" i="1"/>
  <c r="AH412" i="1" s="1"/>
  <c r="AI412" i="1" s="1"/>
  <c r="AJ412" i="1" s="1"/>
  <c r="AG425" i="1"/>
  <c r="AH425" i="1" s="1"/>
  <c r="AI425" i="1" s="1"/>
  <c r="AJ425" i="1" s="1"/>
  <c r="AH417" i="1"/>
  <c r="AI417" i="1" s="1"/>
  <c r="AJ417" i="1" s="1"/>
  <c r="AG404" i="1"/>
  <c r="AH404" i="1" s="1"/>
  <c r="AI404" i="1" s="1"/>
  <c r="AJ404" i="1" s="1"/>
  <c r="AG405" i="1"/>
  <c r="AH405" i="1" s="1"/>
  <c r="AI405" i="1" s="1"/>
  <c r="AJ405" i="1" s="1"/>
  <c r="AG395" i="1"/>
  <c r="AH395" i="1" s="1"/>
  <c r="AI395" i="1" s="1"/>
  <c r="AJ395" i="1" s="1"/>
  <c r="AG392" i="1"/>
  <c r="AH392" i="1" s="1"/>
  <c r="AI392" i="1" s="1"/>
  <c r="AJ392" i="1" s="1"/>
  <c r="AG378" i="1"/>
  <c r="AH378" i="1" s="1"/>
  <c r="AI378" i="1" s="1"/>
  <c r="AJ378" i="1" s="1"/>
  <c r="AG375" i="1"/>
  <c r="AH375" i="1" s="1"/>
  <c r="AI375" i="1" s="1"/>
  <c r="AJ375" i="1" s="1"/>
  <c r="AG373" i="1"/>
  <c r="AH373" i="1" s="1"/>
  <c r="AI373" i="1" s="1"/>
  <c r="AJ373" i="1" s="1"/>
  <c r="AG369" i="1"/>
  <c r="AH369" i="1" s="1"/>
  <c r="AI369" i="1" s="1"/>
  <c r="AJ369" i="1" s="1"/>
  <c r="AG366" i="1"/>
  <c r="AH366" i="1" s="1"/>
  <c r="AI366" i="1" s="1"/>
  <c r="AJ366" i="1" s="1"/>
  <c r="AG360" i="1"/>
  <c r="AH360" i="1" s="1"/>
  <c r="AI360" i="1" s="1"/>
  <c r="AJ360" i="1" s="1"/>
  <c r="AG356" i="1"/>
  <c r="AH356" i="1" s="1"/>
  <c r="AI356" i="1" s="1"/>
  <c r="AJ356" i="1" s="1"/>
  <c r="AG354" i="1"/>
  <c r="AH354" i="1" s="1"/>
  <c r="AI354" i="1" s="1"/>
  <c r="AJ354" i="1" s="1"/>
  <c r="AG349" i="1"/>
  <c r="AH349" i="1" s="1"/>
  <c r="AI349" i="1" s="1"/>
  <c r="AJ349" i="1" s="1"/>
  <c r="AG344" i="1"/>
  <c r="AH344" i="1" s="1"/>
  <c r="AI344" i="1" s="1"/>
  <c r="AJ344" i="1" s="1"/>
  <c r="AG335" i="1"/>
  <c r="AH335" i="1" s="1"/>
  <c r="AI335" i="1" s="1"/>
  <c r="AJ335" i="1" s="1"/>
  <c r="AH325" i="1"/>
  <c r="AI325" i="1" s="1"/>
  <c r="AJ325" i="1" s="1"/>
  <c r="AG297" i="1"/>
  <c r="AH297" i="1" s="1"/>
  <c r="AI297" i="1" s="1"/>
  <c r="AJ297" i="1" s="1"/>
  <c r="AG295" i="1"/>
  <c r="AH295" i="1" s="1"/>
  <c r="AI295" i="1" s="1"/>
  <c r="AJ295" i="1" s="1"/>
  <c r="AG292" i="1"/>
  <c r="AH292" i="1" s="1"/>
  <c r="AI292" i="1" s="1"/>
  <c r="AJ292" i="1" s="1"/>
  <c r="AG289" i="1"/>
  <c r="AH289" i="1" s="1"/>
  <c r="AI289" i="1" s="1"/>
  <c r="AJ289" i="1" s="1"/>
  <c r="AG288" i="1"/>
  <c r="AH288" i="1" s="1"/>
  <c r="AI288" i="1" s="1"/>
  <c r="AJ288" i="1" s="1"/>
  <c r="AG283" i="1"/>
  <c r="AH283" i="1" s="1"/>
  <c r="AI283" i="1" s="1"/>
  <c r="AJ283" i="1" s="1"/>
  <c r="AG281" i="1"/>
  <c r="AH281" i="1" s="1"/>
  <c r="AI281" i="1" s="1"/>
  <c r="AJ281" i="1" s="1"/>
  <c r="AG279" i="1"/>
  <c r="AH279" i="1" s="1"/>
  <c r="AI279" i="1" s="1"/>
  <c r="AJ279" i="1" s="1"/>
  <c r="AG276" i="1"/>
  <c r="AH276" i="1" s="1"/>
  <c r="AI276" i="1" s="1"/>
  <c r="AJ276" i="1" s="1"/>
  <c r="AG273" i="1"/>
  <c r="AH273" i="1" s="1"/>
  <c r="AI273" i="1" s="1"/>
  <c r="AJ273" i="1" s="1"/>
  <c r="AG271" i="1"/>
  <c r="AH271" i="1" s="1"/>
  <c r="AI271" i="1" s="1"/>
  <c r="AJ271" i="1" s="1"/>
  <c r="AG270" i="1"/>
  <c r="AH270" i="1" s="1"/>
  <c r="AI270" i="1" s="1"/>
  <c r="AJ270" i="1" s="1"/>
  <c r="AG269" i="1"/>
  <c r="AH269" i="1" s="1"/>
  <c r="AI269" i="1" s="1"/>
  <c r="AJ269" i="1" s="1"/>
  <c r="AG264" i="1"/>
  <c r="AH264" i="1" s="1"/>
  <c r="AI264" i="1" s="1"/>
  <c r="AJ264" i="1" s="1"/>
  <c r="AG259" i="1"/>
  <c r="AH259" i="1" s="1"/>
  <c r="AI259" i="1" s="1"/>
  <c r="AJ259" i="1" s="1"/>
  <c r="AG257" i="1"/>
  <c r="AH257" i="1" s="1"/>
  <c r="AI257" i="1" s="1"/>
  <c r="AJ257" i="1" s="1"/>
  <c r="AG246" i="1"/>
  <c r="AH246" i="1" s="1"/>
  <c r="AI246" i="1" s="1"/>
  <c r="AJ246" i="1" s="1"/>
  <c r="AG239" i="1"/>
  <c r="AH239" i="1" s="1"/>
  <c r="AI239" i="1" s="1"/>
  <c r="AJ239" i="1" s="1"/>
  <c r="AG234" i="1"/>
  <c r="AH234" i="1" s="1"/>
  <c r="AI234" i="1" s="1"/>
  <c r="AJ234" i="1" s="1"/>
  <c r="AG228" i="1"/>
  <c r="AH228" i="1" s="1"/>
  <c r="AI228" i="1" s="1"/>
  <c r="AJ228" i="1" s="1"/>
  <c r="AG227" i="1"/>
  <c r="AH227" i="1" s="1"/>
  <c r="AI227" i="1" s="1"/>
  <c r="AJ227" i="1" s="1"/>
  <c r="AG220" i="1"/>
  <c r="AH220" i="1" s="1"/>
  <c r="AI220" i="1" s="1"/>
  <c r="AJ220" i="1" s="1"/>
  <c r="AG218" i="1"/>
  <c r="AH218" i="1" s="1"/>
  <c r="AI218" i="1" s="1"/>
  <c r="AJ218" i="1" s="1"/>
  <c r="AG216" i="1"/>
  <c r="AH216" i="1" s="1"/>
  <c r="AI216" i="1" s="1"/>
  <c r="AJ216" i="1" s="1"/>
  <c r="AG209" i="1"/>
  <c r="AH209" i="1" s="1"/>
  <c r="AI209" i="1" s="1"/>
  <c r="AJ209" i="1" s="1"/>
  <c r="AG204" i="1"/>
  <c r="AH204" i="1" s="1"/>
  <c r="AI204" i="1" s="1"/>
  <c r="AJ204" i="1" s="1"/>
  <c r="AG200" i="1"/>
  <c r="AH200" i="1" s="1"/>
  <c r="AI200" i="1" s="1"/>
  <c r="AJ200" i="1" s="1"/>
  <c r="AG193" i="1"/>
  <c r="AH193" i="1" s="1"/>
  <c r="AI193" i="1" s="1"/>
  <c r="AJ193" i="1" s="1"/>
  <c r="AG192" i="1"/>
  <c r="AH192" i="1" s="1"/>
  <c r="AI192" i="1" s="1"/>
  <c r="AJ192" i="1" s="1"/>
  <c r="AG191" i="1"/>
  <c r="AH191" i="1" s="1"/>
  <c r="AI191" i="1" s="1"/>
  <c r="AJ191" i="1" s="1"/>
  <c r="AG176" i="1"/>
  <c r="AH176" i="1" s="1"/>
  <c r="AI176" i="1" s="1"/>
  <c r="AJ176" i="1" s="1"/>
  <c r="AG163" i="1"/>
  <c r="AH163" i="1" s="1"/>
  <c r="AI163" i="1" s="1"/>
  <c r="AJ163" i="1" s="1"/>
  <c r="AG157" i="1"/>
  <c r="AH157" i="1" s="1"/>
  <c r="AI157" i="1" s="1"/>
  <c r="AJ157" i="1" s="1"/>
  <c r="AH152" i="1"/>
  <c r="AI152" i="1" s="1"/>
  <c r="AJ152" i="1" s="1"/>
  <c r="AG136" i="1"/>
  <c r="AH136" i="1" s="1"/>
  <c r="AI136" i="1" s="1"/>
  <c r="AJ136" i="1" s="1"/>
  <c r="AG130" i="1"/>
  <c r="AH130" i="1" s="1"/>
  <c r="AI130" i="1" s="1"/>
  <c r="AJ130" i="1" s="1"/>
  <c r="AG126" i="1"/>
  <c r="AH126" i="1" s="1"/>
  <c r="AI126" i="1" s="1"/>
  <c r="AJ126" i="1" s="1"/>
  <c r="AG121" i="1"/>
  <c r="AH121" i="1" s="1"/>
  <c r="AI121" i="1" s="1"/>
  <c r="AJ121" i="1" s="1"/>
  <c r="AG108" i="1"/>
  <c r="AH108" i="1" s="1"/>
  <c r="AI108" i="1" s="1"/>
  <c r="AJ108" i="1" s="1"/>
  <c r="AG107" i="1"/>
  <c r="AH107" i="1" s="1"/>
  <c r="AI107" i="1" s="1"/>
  <c r="AJ107" i="1" s="1"/>
  <c r="AG103" i="1"/>
  <c r="AH103" i="1" s="1"/>
  <c r="AI103" i="1" s="1"/>
  <c r="AJ103" i="1" s="1"/>
  <c r="AG81" i="1"/>
  <c r="AH81" i="1" s="1"/>
  <c r="AI81" i="1" s="1"/>
  <c r="AJ81" i="1" s="1"/>
  <c r="AG79" i="1"/>
  <c r="AH79" i="1" s="1"/>
  <c r="AI79" i="1" s="1"/>
  <c r="AJ79" i="1" s="1"/>
  <c r="AG76" i="1"/>
  <c r="AH76" i="1" s="1"/>
  <c r="AI76" i="1" s="1"/>
  <c r="AJ76" i="1" s="1"/>
  <c r="AG75" i="1"/>
  <c r="AH75" i="1" s="1"/>
  <c r="AI75" i="1" s="1"/>
  <c r="AJ75" i="1" s="1"/>
  <c r="AG591" i="1"/>
  <c r="AH591" i="1" s="1"/>
  <c r="AI591" i="1" s="1"/>
  <c r="AJ591" i="1" s="1"/>
  <c r="AG72" i="1"/>
  <c r="AH72" i="1" s="1"/>
  <c r="AI72" i="1" s="1"/>
  <c r="AJ72" i="1" s="1"/>
  <c r="AG69" i="1"/>
  <c r="AH69" i="1" s="1"/>
  <c r="AI69" i="1" s="1"/>
  <c r="AJ69" i="1" s="1"/>
  <c r="AG65" i="1"/>
  <c r="AH65" i="1" s="1"/>
  <c r="AI65" i="1" s="1"/>
  <c r="AJ65" i="1" s="1"/>
  <c r="AG57" i="1"/>
  <c r="AH57" i="1" s="1"/>
  <c r="AI57" i="1" s="1"/>
  <c r="AJ57" i="1" s="1"/>
  <c r="AG55" i="1"/>
  <c r="AH55" i="1" s="1"/>
  <c r="AI55" i="1" s="1"/>
  <c r="AJ55" i="1" s="1"/>
  <c r="AG39" i="1"/>
  <c r="AH39" i="1" s="1"/>
  <c r="AI39" i="1" s="1"/>
  <c r="AJ39" i="1" s="1"/>
  <c r="AG37" i="1"/>
  <c r="AH37" i="1" s="1"/>
  <c r="AI37" i="1" s="1"/>
  <c r="AJ37" i="1" s="1"/>
  <c r="AG26" i="1"/>
  <c r="AH26" i="1" s="1"/>
  <c r="AI26" i="1" s="1"/>
  <c r="AJ26" i="1" s="1"/>
  <c r="AG19" i="1"/>
  <c r="AH19" i="1" s="1"/>
  <c r="AI19" i="1" s="1"/>
  <c r="AJ19" i="1" s="1"/>
  <c r="AG18" i="1"/>
  <c r="AH18" i="1" s="1"/>
  <c r="AI18" i="1" s="1"/>
  <c r="AJ18" i="1" s="1"/>
  <c r="AG11" i="1"/>
  <c r="AH11" i="1" s="1"/>
  <c r="AI11" i="1" s="1"/>
  <c r="AJ11" i="1" s="1"/>
  <c r="AG9" i="1"/>
  <c r="AH9" i="1" s="1"/>
  <c r="AI9" i="1" s="1"/>
  <c r="AJ9" i="1" s="1"/>
  <c r="AG6" i="1"/>
  <c r="AH6" i="1" s="1"/>
  <c r="AI6" i="1" s="1"/>
  <c r="AJ6" i="1" s="1"/>
  <c r="AF4" i="1"/>
  <c r="AG4" i="1" s="1"/>
  <c r="AH4" i="1" s="1"/>
  <c r="AI4" i="1" s="1"/>
  <c r="AJ4" i="1" s="1"/>
  <c r="AD578" i="1"/>
  <c r="AG510" i="1"/>
  <c r="AH510" i="1" s="1"/>
  <c r="AI510" i="1" s="1"/>
  <c r="AJ510" i="1" s="1"/>
  <c r="AG330" i="1"/>
  <c r="AH330" i="1" s="1"/>
  <c r="AI330" i="1" s="1"/>
  <c r="AJ330" i="1" s="1"/>
  <c r="AG388" i="1"/>
  <c r="AH388" i="1" s="1"/>
  <c r="AI388" i="1" s="1"/>
  <c r="AJ388" i="1" s="1"/>
  <c r="AG493" i="1"/>
  <c r="AH493" i="1" s="1"/>
  <c r="AI493" i="1" s="1"/>
  <c r="AJ493" i="1" s="1"/>
  <c r="B19" i="8"/>
  <c r="AG816" i="1" l="1"/>
  <c r="AH816" i="1" s="1"/>
  <c r="AI816" i="1" s="1"/>
  <c r="AJ816" i="1" s="1"/>
  <c r="AG175" i="1"/>
  <c r="AH175" i="1" s="1"/>
  <c r="AI175" i="1" s="1"/>
  <c r="AJ175" i="1" s="1"/>
  <c r="AG763" i="1"/>
  <c r="AH763" i="1" s="1"/>
  <c r="AI763" i="1" s="1"/>
  <c r="AJ763" i="1" s="1"/>
  <c r="AG402" i="1"/>
  <c r="AH402" i="1" s="1"/>
  <c r="AI402" i="1" s="1"/>
  <c r="AJ402" i="1" s="1"/>
  <c r="AG727" i="1"/>
  <c r="AH727" i="1" s="1"/>
  <c r="AI727" i="1" s="1"/>
  <c r="AJ727" i="1" s="1"/>
  <c r="AG14" i="1"/>
  <c r="AH14" i="1" s="1"/>
  <c r="AI14" i="1" s="1"/>
  <c r="AJ14" i="1" s="1"/>
  <c r="AG956" i="1"/>
  <c r="AH956" i="1" s="1"/>
  <c r="AI956" i="1" s="1"/>
  <c r="AJ956" i="1" s="1"/>
  <c r="AG537" i="1"/>
  <c r="AH537" i="1" s="1"/>
  <c r="AI537" i="1" s="1"/>
  <c r="AJ537" i="1" s="1"/>
  <c r="AG514" i="1"/>
  <c r="AH514" i="1" s="1"/>
  <c r="AI514" i="1" s="1"/>
  <c r="AJ514" i="1" s="1"/>
  <c r="AG185" i="1"/>
  <c r="AH185" i="1" s="1"/>
  <c r="AI185" i="1" s="1"/>
  <c r="AJ185" i="1" s="1"/>
  <c r="AG207" i="1"/>
  <c r="AH207" i="1" s="1"/>
  <c r="AI207" i="1" s="1"/>
  <c r="AJ207" i="1" s="1"/>
  <c r="AG129" i="1"/>
  <c r="AH129" i="1" s="1"/>
  <c r="AI129" i="1" s="1"/>
  <c r="AJ129" i="1" s="1"/>
  <c r="AG236" i="1"/>
  <c r="AH236" i="1" s="1"/>
  <c r="AI236" i="1" s="1"/>
  <c r="AJ236" i="1" s="1"/>
  <c r="AG883" i="1"/>
  <c r="AH883" i="1" s="1"/>
  <c r="AI883" i="1" s="1"/>
  <c r="AJ883" i="1" s="1"/>
  <c r="AG589" i="1"/>
  <c r="AH589" i="1" s="1"/>
  <c r="AI589" i="1" s="1"/>
  <c r="AJ589" i="1" s="1"/>
  <c r="AG134" i="1"/>
  <c r="AH134" i="1" s="1"/>
  <c r="AI134" i="1" s="1"/>
  <c r="AJ134" i="1" s="1"/>
  <c r="AG255" i="1"/>
  <c r="AH255" i="1" s="1"/>
  <c r="AI255" i="1" s="1"/>
  <c r="AJ255" i="1" s="1"/>
  <c r="AG707" i="1"/>
  <c r="AH707" i="1" s="1"/>
  <c r="AI707" i="1" s="1"/>
  <c r="AJ707" i="1" s="1"/>
  <c r="AG926" i="1"/>
  <c r="AH926" i="1" s="1"/>
  <c r="AI926" i="1" s="1"/>
  <c r="AJ926" i="1" s="1"/>
  <c r="AD584" i="1"/>
  <c r="AG324" i="1"/>
  <c r="AH324" i="1" s="1"/>
  <c r="AI324" i="1" s="1"/>
  <c r="AJ324" i="1" s="1"/>
  <c r="AG60" i="1"/>
  <c r="AH60" i="1" s="1"/>
  <c r="AI60" i="1" s="1"/>
  <c r="AJ60" i="1" s="1"/>
  <c r="AG274" i="1"/>
  <c r="AH274" i="1" s="1"/>
  <c r="AI274" i="1" s="1"/>
  <c r="AJ274" i="1" s="1"/>
  <c r="AG941" i="1"/>
  <c r="AH941" i="1" s="1"/>
  <c r="AI941" i="1" s="1"/>
  <c r="AJ941" i="1" s="1"/>
  <c r="AG784" i="1"/>
  <c r="AH784" i="1" s="1"/>
  <c r="AI784" i="1" s="1"/>
  <c r="AJ784" i="1" s="1"/>
  <c r="AG67" i="1"/>
  <c r="AH67" i="1" s="1"/>
  <c r="AI67" i="1" s="1"/>
  <c r="AJ67" i="1" s="1"/>
  <c r="AG221" i="1"/>
  <c r="AH221" i="1" s="1"/>
  <c r="AI221" i="1" s="1"/>
  <c r="AJ221" i="1" s="1"/>
  <c r="AG394" i="1"/>
  <c r="AH394" i="1" s="1"/>
  <c r="AI394" i="1" s="1"/>
  <c r="AJ394" i="1" s="1"/>
  <c r="AG639" i="1"/>
  <c r="AH639" i="1" s="1"/>
  <c r="AI639" i="1" s="1"/>
  <c r="AJ639" i="1" s="1"/>
  <c r="AG798" i="1"/>
  <c r="AH798" i="1" s="1"/>
  <c r="AI798" i="1" s="1"/>
  <c r="AJ798" i="1" s="1"/>
  <c r="AG900" i="1"/>
  <c r="AH900" i="1" s="1"/>
  <c r="AI900" i="1" s="1"/>
  <c r="AJ900" i="1" s="1"/>
  <c r="AG929" i="1"/>
  <c r="AH929" i="1" s="1"/>
  <c r="AI929" i="1" s="1"/>
  <c r="AJ929" i="1" s="1"/>
  <c r="AG300" i="1"/>
  <c r="AH300" i="1" s="1"/>
  <c r="AI300" i="1" s="1"/>
  <c r="AJ300" i="1" s="1"/>
  <c r="AG115" i="1"/>
  <c r="AH115" i="1" s="1"/>
  <c r="AI115" i="1" s="1"/>
  <c r="AJ115" i="1" s="1"/>
  <c r="AG252" i="1"/>
  <c r="AH252" i="1" s="1"/>
  <c r="AI252" i="1" s="1"/>
  <c r="AJ252" i="1" s="1"/>
  <c r="AG329" i="1"/>
  <c r="AH329" i="1" s="1"/>
  <c r="AI329" i="1" s="1"/>
  <c r="AJ329" i="1" s="1"/>
  <c r="AG580" i="1"/>
  <c r="AH580" i="1" s="1"/>
  <c r="AI580" i="1" s="1"/>
  <c r="AJ580" i="1" s="1"/>
  <c r="AG688" i="1"/>
  <c r="AH688" i="1" s="1"/>
  <c r="AI688" i="1" s="1"/>
  <c r="AJ688" i="1" s="1"/>
  <c r="AG758" i="1"/>
  <c r="AH758" i="1" s="1"/>
  <c r="AI758" i="1" s="1"/>
  <c r="AJ758" i="1" s="1"/>
  <c r="AG901" i="1"/>
  <c r="AH901" i="1" s="1"/>
  <c r="AI901" i="1" s="1"/>
  <c r="AJ901" i="1" s="1"/>
  <c r="AD424" i="1"/>
  <c r="AG552" i="1"/>
  <c r="AH552" i="1" s="1"/>
  <c r="AI552" i="1" s="1"/>
  <c r="AJ552" i="1" s="1"/>
  <c r="AG351" i="1"/>
  <c r="AH351" i="1" s="1"/>
  <c r="AI351" i="1" s="1"/>
  <c r="AJ351" i="1" s="1"/>
  <c r="AG526" i="1"/>
  <c r="AH526" i="1" s="1"/>
  <c r="AI526" i="1" s="1"/>
  <c r="AJ526" i="1" s="1"/>
  <c r="AG695" i="1"/>
  <c r="AH695" i="1" s="1"/>
  <c r="AI695" i="1" s="1"/>
  <c r="AJ695" i="1" s="1"/>
  <c r="AG812" i="1"/>
  <c r="AH812" i="1" s="1"/>
  <c r="AI812" i="1" s="1"/>
  <c r="AJ812" i="1" s="1"/>
  <c r="AD642" i="1"/>
  <c r="AG686" i="1"/>
  <c r="AH686" i="1" s="1"/>
  <c r="AI686" i="1" s="1"/>
  <c r="AJ686" i="1" s="1"/>
  <c r="AG699" i="1"/>
  <c r="AH699" i="1" s="1"/>
  <c r="AI699" i="1" s="1"/>
  <c r="AJ699" i="1" s="1"/>
  <c r="AG50" i="1"/>
  <c r="AH50" i="1" s="1"/>
  <c r="AI50" i="1" s="1"/>
  <c r="AJ50" i="1" s="1"/>
  <c r="AG618" i="1"/>
  <c r="AH618" i="1" s="1"/>
  <c r="AI618" i="1" s="1"/>
  <c r="AJ618" i="1" s="1"/>
  <c r="AG716" i="1"/>
  <c r="AH716" i="1" s="1"/>
  <c r="AI716" i="1" s="1"/>
  <c r="AJ716" i="1" s="1"/>
  <c r="AG836" i="1"/>
  <c r="AH836" i="1" s="1"/>
  <c r="AI836" i="1" s="1"/>
  <c r="AJ836" i="1" s="1"/>
  <c r="AG315" i="1"/>
  <c r="AH315" i="1" s="1"/>
  <c r="AI315" i="1" s="1"/>
  <c r="AJ315" i="1" s="1"/>
  <c r="AG949" i="1"/>
  <c r="AH949" i="1" s="1"/>
  <c r="AI949" i="1" s="1"/>
  <c r="AJ949" i="1" s="1"/>
  <c r="AG71" i="1"/>
  <c r="AH71" i="1" s="1"/>
  <c r="AI71" i="1" s="1"/>
  <c r="AJ71" i="1" s="1"/>
  <c r="AG858" i="1"/>
  <c r="AH858" i="1" s="1"/>
  <c r="AI858" i="1" s="1"/>
  <c r="AJ858" i="1" s="1"/>
  <c r="AG123" i="1"/>
  <c r="AH123" i="1" s="1"/>
  <c r="AI123" i="1" s="1"/>
  <c r="AJ123" i="1" s="1"/>
  <c r="AG480" i="1"/>
  <c r="AH480" i="1" s="1"/>
  <c r="AI480" i="1" s="1"/>
  <c r="AJ480" i="1" s="1"/>
  <c r="AG543" i="1"/>
  <c r="AH543" i="1" s="1"/>
  <c r="AI543" i="1" s="1"/>
  <c r="AJ543" i="1" s="1"/>
  <c r="AG852" i="1"/>
  <c r="AH852" i="1" s="1"/>
  <c r="AI852" i="1" s="1"/>
  <c r="AJ852" i="1" s="1"/>
  <c r="AG977" i="1"/>
  <c r="AH977" i="1" s="1"/>
  <c r="AI977" i="1" s="1"/>
  <c r="AJ977" i="1" s="1"/>
  <c r="AG473" i="1"/>
  <c r="AH473" i="1" s="1"/>
  <c r="AI473" i="1" s="1"/>
  <c r="AJ473" i="1" s="1"/>
  <c r="AG932" i="1"/>
  <c r="AH932" i="1" s="1"/>
  <c r="AI932" i="1" s="1"/>
  <c r="AJ932" i="1" s="1"/>
  <c r="AG642" i="1"/>
  <c r="AH642" i="1" s="1"/>
  <c r="AI642" i="1" s="1"/>
  <c r="AJ642" i="1" s="1"/>
  <c r="AG212" i="1"/>
  <c r="AH212" i="1" s="1"/>
  <c r="AI212" i="1" s="1"/>
  <c r="AJ212" i="1" s="1"/>
  <c r="AG144" i="1"/>
  <c r="AH144" i="1" s="1"/>
  <c r="AI144" i="1" s="1"/>
  <c r="AJ144" i="1" s="1"/>
  <c r="AG189" i="1"/>
  <c r="AH189" i="1" s="1"/>
  <c r="AI189" i="1" s="1"/>
  <c r="AJ189" i="1" s="1"/>
  <c r="AG229" i="1"/>
  <c r="AH229" i="1" s="1"/>
  <c r="AI229" i="1" s="1"/>
  <c r="AJ229" i="1" s="1"/>
  <c r="AG308" i="1"/>
  <c r="AH308" i="1" s="1"/>
  <c r="AI308" i="1" s="1"/>
  <c r="AJ308" i="1" s="1"/>
  <c r="AG336" i="1"/>
  <c r="AH336" i="1" s="1"/>
  <c r="AI336" i="1" s="1"/>
  <c r="AJ336" i="1" s="1"/>
  <c r="AG371" i="1"/>
  <c r="AH371" i="1" s="1"/>
  <c r="AI371" i="1" s="1"/>
  <c r="AJ371" i="1" s="1"/>
  <c r="AG855" i="1"/>
  <c r="AH855" i="1" s="1"/>
  <c r="AI855" i="1" s="1"/>
  <c r="AJ855" i="1" s="1"/>
  <c r="AD512" i="1"/>
  <c r="AD858" i="1"/>
  <c r="AG980" i="1"/>
  <c r="AH980" i="1" s="1"/>
  <c r="AI980" i="1" s="1"/>
  <c r="AJ980" i="1" s="1"/>
  <c r="AG936" i="1"/>
  <c r="AH936" i="1" s="1"/>
  <c r="AI936" i="1" s="1"/>
  <c r="AJ936" i="1" s="1"/>
  <c r="AG902" i="1"/>
  <c r="AH902" i="1" s="1"/>
  <c r="AI902" i="1" s="1"/>
  <c r="AJ902" i="1" s="1"/>
  <c r="AG851" i="1"/>
  <c r="AH851" i="1" s="1"/>
  <c r="AI851" i="1" s="1"/>
  <c r="AJ851" i="1" s="1"/>
  <c r="AG380" i="1"/>
  <c r="AH380" i="1" s="1"/>
  <c r="AI380" i="1" s="1"/>
  <c r="AJ380" i="1" s="1"/>
  <c r="AG36" i="1"/>
  <c r="AH36" i="1" s="1"/>
  <c r="AI36" i="1" s="1"/>
  <c r="AJ36" i="1" s="1"/>
  <c r="AG82" i="1"/>
  <c r="AH82" i="1" s="1"/>
  <c r="AI82" i="1" s="1"/>
  <c r="AJ82" i="1" s="1"/>
  <c r="AG256" i="1"/>
  <c r="AH256" i="1" s="1"/>
  <c r="AI256" i="1" s="1"/>
  <c r="AJ256" i="1" s="1"/>
  <c r="AG661" i="1"/>
  <c r="AH661" i="1" s="1"/>
  <c r="AI661" i="1" s="1"/>
  <c r="AJ661" i="1" s="1"/>
  <c r="AG829" i="1"/>
  <c r="AH829" i="1" s="1"/>
  <c r="AI829" i="1" s="1"/>
  <c r="AJ829" i="1" s="1"/>
  <c r="AG856" i="1"/>
  <c r="AH856" i="1" s="1"/>
  <c r="AI856" i="1" s="1"/>
  <c r="AJ856" i="1" s="1"/>
  <c r="AG969" i="1"/>
  <c r="AH969" i="1" s="1"/>
  <c r="AI969" i="1" s="1"/>
  <c r="AJ969" i="1" s="1"/>
  <c r="AG844" i="1"/>
  <c r="AH844" i="1" s="1"/>
  <c r="AI844" i="1" s="1"/>
  <c r="AJ844" i="1" s="1"/>
  <c r="AG165" i="1"/>
  <c r="AH165" i="1" s="1"/>
  <c r="AI165" i="1" s="1"/>
  <c r="AJ165" i="1" s="1"/>
  <c r="AG489" i="1"/>
  <c r="AH489" i="1" s="1"/>
  <c r="AI489" i="1" s="1"/>
  <c r="AJ489" i="1" s="1"/>
  <c r="AG22" i="1"/>
  <c r="AH22" i="1" s="1"/>
  <c r="AI22" i="1" s="1"/>
  <c r="AJ22" i="1" s="1"/>
  <c r="AG170" i="1"/>
  <c r="AH170" i="1" s="1"/>
  <c r="AI170" i="1" s="1"/>
  <c r="AJ170" i="1" s="1"/>
  <c r="AG230" i="1"/>
  <c r="AH230" i="1" s="1"/>
  <c r="AI230" i="1" s="1"/>
  <c r="AJ230" i="1" s="1"/>
  <c r="AG299" i="1"/>
  <c r="AH299" i="1" s="1"/>
  <c r="AI299" i="1" s="1"/>
  <c r="AJ299" i="1" s="1"/>
  <c r="AG372" i="1"/>
  <c r="AH372" i="1" s="1"/>
  <c r="AI372" i="1" s="1"/>
  <c r="AJ372" i="1" s="1"/>
  <c r="AG415" i="1"/>
  <c r="AH415" i="1" s="1"/>
  <c r="AI415" i="1" s="1"/>
  <c r="AJ415" i="1" s="1"/>
  <c r="AG530" i="1"/>
  <c r="AH530" i="1" s="1"/>
  <c r="AI530" i="1" s="1"/>
  <c r="AJ530" i="1" s="1"/>
  <c r="AG649" i="1"/>
  <c r="AH649" i="1" s="1"/>
  <c r="AI649" i="1" s="1"/>
  <c r="AJ649" i="1" s="1"/>
  <c r="AG842" i="1"/>
  <c r="AH842" i="1" s="1"/>
  <c r="AI842" i="1" s="1"/>
  <c r="AJ842" i="1" s="1"/>
  <c r="AG863" i="1"/>
  <c r="AH863" i="1" s="1"/>
  <c r="AI863" i="1" s="1"/>
  <c r="AJ863" i="1" s="1"/>
  <c r="AG903" i="1"/>
  <c r="AH903" i="1" s="1"/>
  <c r="AI903" i="1" s="1"/>
  <c r="AJ903" i="1" s="1"/>
  <c r="AD589" i="1"/>
  <c r="AG318" i="1"/>
  <c r="AH318" i="1" s="1"/>
  <c r="AI318" i="1" s="1"/>
  <c r="AJ318" i="1" s="1"/>
  <c r="AG831" i="1"/>
  <c r="AH831" i="1" s="1"/>
  <c r="AI831" i="1" s="1"/>
  <c r="AJ831" i="1" s="1"/>
  <c r="AG930" i="1"/>
  <c r="AH930" i="1" s="1"/>
  <c r="AI930" i="1" s="1"/>
  <c r="AJ930" i="1" s="1"/>
  <c r="AG653" i="1"/>
  <c r="AH653" i="1" s="1"/>
  <c r="AI653" i="1" s="1"/>
  <c r="AJ653" i="1" s="1"/>
  <c r="AG398" i="1"/>
  <c r="AH398" i="1" s="1"/>
  <c r="AI398" i="1" s="1"/>
  <c r="AJ398" i="1" s="1"/>
  <c r="AG474" i="1"/>
  <c r="AH474" i="1" s="1"/>
  <c r="AI474" i="1" s="1"/>
  <c r="AJ474" i="1" s="1"/>
  <c r="AG174" i="1"/>
  <c r="AH174" i="1" s="1"/>
  <c r="AI174" i="1" s="1"/>
  <c r="AJ174" i="1" s="1"/>
  <c r="AG226" i="1"/>
  <c r="AH226" i="1" s="1"/>
  <c r="AI226" i="1" s="1"/>
  <c r="AJ226" i="1" s="1"/>
  <c r="AG374" i="1"/>
  <c r="AH374" i="1" s="1"/>
  <c r="AI374" i="1" s="1"/>
  <c r="AJ374" i="1" s="1"/>
  <c r="AG913" i="1"/>
  <c r="AH913" i="1" s="1"/>
  <c r="AI913" i="1" s="1"/>
  <c r="AJ913" i="1" s="1"/>
  <c r="AG104" i="1"/>
  <c r="AH104" i="1" s="1"/>
  <c r="AI104" i="1" s="1"/>
  <c r="AJ104" i="1" s="1"/>
  <c r="AG760" i="1"/>
  <c r="AH760" i="1" s="1"/>
  <c r="AI760" i="1" s="1"/>
  <c r="AJ760" i="1" s="1"/>
  <c r="AG598" i="1"/>
  <c r="AH598" i="1" s="1"/>
  <c r="AI598" i="1" s="1"/>
  <c r="AJ598" i="1" s="1"/>
  <c r="AG27" i="1"/>
  <c r="AH27" i="1" s="1"/>
  <c r="AI27" i="1" s="1"/>
  <c r="AJ27" i="1" s="1"/>
  <c r="AG150" i="1"/>
  <c r="AH150" i="1" s="1"/>
  <c r="AI150" i="1" s="1"/>
  <c r="AJ150" i="1" s="1"/>
  <c r="AG302" i="1"/>
  <c r="AH302" i="1" s="1"/>
  <c r="AI302" i="1" s="1"/>
  <c r="AJ302" i="1" s="1"/>
  <c r="AG358" i="1"/>
  <c r="AH358" i="1" s="1"/>
  <c r="AI358" i="1" s="1"/>
  <c r="AJ358" i="1" s="1"/>
  <c r="AG615" i="1"/>
  <c r="AH615" i="1" s="1"/>
  <c r="AI615" i="1" s="1"/>
  <c r="AJ615" i="1" s="1"/>
  <c r="AG214" i="1"/>
  <c r="AH214" i="1" s="1"/>
  <c r="AI214" i="1" s="1"/>
  <c r="AJ214" i="1" s="1"/>
  <c r="AG133" i="1"/>
  <c r="AH133" i="1" s="1"/>
  <c r="AI133" i="1" s="1"/>
  <c r="AJ133" i="1" s="1"/>
  <c r="AG296" i="1"/>
  <c r="AH296" i="1" s="1"/>
  <c r="AI296" i="1" s="1"/>
  <c r="AJ296" i="1" s="1"/>
  <c r="AG327" i="1"/>
  <c r="AH327" i="1" s="1"/>
  <c r="AI327" i="1" s="1"/>
  <c r="AJ327" i="1" s="1"/>
  <c r="AG568" i="1"/>
  <c r="AH568" i="1" s="1"/>
  <c r="AI568" i="1" s="1"/>
  <c r="AJ568" i="1" s="1"/>
  <c r="AG147" i="1"/>
  <c r="AH147" i="1" s="1"/>
  <c r="AI147" i="1" s="1"/>
  <c r="AJ147" i="1" s="1"/>
  <c r="AG197" i="1"/>
  <c r="AH197" i="1" s="1"/>
  <c r="AI197" i="1" s="1"/>
  <c r="AJ197" i="1" s="1"/>
  <c r="AG342" i="1"/>
  <c r="AH342" i="1" s="1"/>
  <c r="AI342" i="1" s="1"/>
  <c r="AJ342" i="1" s="1"/>
  <c r="AG996" i="1"/>
  <c r="AH996" i="1" s="1"/>
  <c r="AI996" i="1" s="1"/>
  <c r="AJ996" i="1" s="1"/>
  <c r="AG34" i="1"/>
  <c r="AH34" i="1" s="1"/>
  <c r="AI34" i="1" s="1"/>
  <c r="AJ34" i="1" s="1"/>
  <c r="AD34" i="1"/>
  <c r="AG432" i="1"/>
  <c r="AH432" i="1" s="1"/>
  <c r="AI432" i="1" s="1"/>
  <c r="AJ432" i="1" s="1"/>
  <c r="AG554" i="1"/>
  <c r="AH554" i="1" s="1"/>
  <c r="AI554" i="1" s="1"/>
  <c r="AJ554" i="1" s="1"/>
  <c r="AG792" i="1"/>
  <c r="AH792" i="1" s="1"/>
  <c r="AI792" i="1" s="1"/>
  <c r="AJ792" i="1" s="1"/>
  <c r="AG860" i="1"/>
  <c r="AH860" i="1" s="1"/>
  <c r="AI860" i="1" s="1"/>
  <c r="AJ860" i="1" s="1"/>
  <c r="AG921" i="1"/>
  <c r="AH921" i="1" s="1"/>
  <c r="AI921" i="1" s="1"/>
  <c r="AJ921" i="1" s="1"/>
  <c r="AG338" i="1"/>
  <c r="AH338" i="1" s="1"/>
  <c r="AI338" i="1" s="1"/>
  <c r="AJ338" i="1" s="1"/>
  <c r="AG516" i="1"/>
  <c r="AH516" i="1" s="1"/>
  <c r="AI516" i="1" s="1"/>
  <c r="AJ516" i="1" s="1"/>
  <c r="AG535" i="1"/>
  <c r="AH535" i="1" s="1"/>
  <c r="AI535" i="1" s="1"/>
  <c r="AJ535" i="1" s="1"/>
  <c r="AG573" i="1"/>
  <c r="AH573" i="1" s="1"/>
  <c r="AI573" i="1" s="1"/>
  <c r="AJ573" i="1" s="1"/>
  <c r="AG995" i="1"/>
  <c r="AH995" i="1" s="1"/>
  <c r="AI995" i="1" s="1"/>
  <c r="AJ995" i="1" s="1"/>
  <c r="AG367" i="1"/>
  <c r="AH367" i="1" s="1"/>
  <c r="AI367" i="1" s="1"/>
  <c r="AJ367" i="1" s="1"/>
  <c r="AG703" i="1"/>
  <c r="AH703" i="1" s="1"/>
  <c r="AI703" i="1" s="1"/>
  <c r="AJ703" i="1" s="1"/>
  <c r="AG704" i="1"/>
  <c r="AH704" i="1" s="1"/>
  <c r="AI704" i="1" s="1"/>
  <c r="AJ704" i="1" s="1"/>
  <c r="AG742" i="1"/>
  <c r="AH742" i="1" s="1"/>
  <c r="AI742" i="1" s="1"/>
  <c r="AJ742" i="1" s="1"/>
  <c r="AG98" i="1"/>
  <c r="AH98" i="1" s="1"/>
  <c r="AI98" i="1" s="1"/>
  <c r="AJ98" i="1" s="1"/>
  <c r="AG774" i="1"/>
  <c r="AH774" i="1" s="1"/>
  <c r="AI774" i="1" s="1"/>
  <c r="AJ774" i="1" s="1"/>
  <c r="AG125" i="1"/>
  <c r="AH125" i="1" s="1"/>
  <c r="AI125" i="1" s="1"/>
  <c r="AJ125" i="1" s="1"/>
  <c r="AG155" i="1"/>
  <c r="AH155" i="1" s="1"/>
  <c r="AI155" i="1" s="1"/>
  <c r="AJ155" i="1" s="1"/>
  <c r="AG779" i="1"/>
  <c r="AH779" i="1" s="1"/>
  <c r="AI779" i="1" s="1"/>
  <c r="AJ779" i="1" s="1"/>
  <c r="AG934" i="1"/>
  <c r="AH934" i="1" s="1"/>
  <c r="AI934" i="1" s="1"/>
  <c r="AJ934" i="1" s="1"/>
  <c r="AG306" i="1"/>
  <c r="AH306" i="1" s="1"/>
  <c r="AI306" i="1" s="1"/>
  <c r="AJ306" i="1" s="1"/>
  <c r="AG488" i="1"/>
  <c r="AH488" i="1" s="1"/>
  <c r="AI488" i="1" s="1"/>
  <c r="AJ488" i="1" s="1"/>
  <c r="AG766" i="1"/>
  <c r="AH766" i="1" s="1"/>
  <c r="AI766" i="1" s="1"/>
  <c r="AJ766" i="1" s="1"/>
  <c r="AG49" i="1"/>
  <c r="AH49" i="1" s="1"/>
  <c r="AI49" i="1" s="1"/>
  <c r="AJ49" i="1" s="1"/>
  <c r="AG110" i="1"/>
  <c r="AH110" i="1" s="1"/>
  <c r="AI110" i="1" s="1"/>
  <c r="AJ110" i="1" s="1"/>
  <c r="AG205" i="1"/>
  <c r="AH205" i="1" s="1"/>
  <c r="AI205" i="1" s="1"/>
  <c r="AJ205" i="1" s="1"/>
  <c r="AG843" i="1"/>
  <c r="AH843" i="1" s="1"/>
  <c r="AI843" i="1" s="1"/>
  <c r="AJ843" i="1" s="1"/>
  <c r="AG877" i="1"/>
  <c r="AH877" i="1" s="1"/>
  <c r="AI877" i="1" s="1"/>
  <c r="AJ877" i="1" s="1"/>
  <c r="AG1017" i="1"/>
  <c r="AH1017" i="1" s="1"/>
  <c r="AI1017" i="1" s="1"/>
  <c r="AJ1017" i="1" s="1"/>
  <c r="AG590" i="1"/>
  <c r="AH590" i="1" s="1"/>
  <c r="AI590" i="1" s="1"/>
  <c r="AJ590" i="1" s="1"/>
  <c r="AG202" i="1"/>
  <c r="AH202" i="1" s="1"/>
  <c r="AI202" i="1" s="1"/>
  <c r="AJ202" i="1" s="1"/>
  <c r="AG582" i="1"/>
  <c r="AH582" i="1" s="1"/>
  <c r="AI582" i="1" s="1"/>
  <c r="AJ582" i="1" s="1"/>
  <c r="AG452" i="1"/>
  <c r="AH452" i="1" s="1"/>
  <c r="AI452" i="1" s="1"/>
  <c r="AJ452" i="1" s="1"/>
  <c r="AG35" i="1"/>
  <c r="AH35" i="1" s="1"/>
  <c r="AI35" i="1" s="1"/>
  <c r="AJ35" i="1" s="1"/>
  <c r="AG38" i="1"/>
  <c r="AH38" i="1" s="1"/>
  <c r="AI38" i="1" s="1"/>
  <c r="AJ38" i="1" s="1"/>
  <c r="AG51" i="1"/>
  <c r="AH51" i="1" s="1"/>
  <c r="AI51" i="1" s="1"/>
  <c r="AJ51" i="1" s="1"/>
  <c r="AG282" i="1"/>
  <c r="AH282" i="1" s="1"/>
  <c r="AI282" i="1" s="1"/>
  <c r="AJ282" i="1" s="1"/>
  <c r="AG414" i="1"/>
  <c r="AH414" i="1" s="1"/>
  <c r="AI414" i="1" s="1"/>
  <c r="AJ414" i="1" s="1"/>
  <c r="AG663" i="1"/>
  <c r="AH663" i="1" s="1"/>
  <c r="AI663" i="1" s="1"/>
  <c r="AJ663" i="1" s="1"/>
  <c r="AG895" i="1"/>
  <c r="AH895" i="1" s="1"/>
  <c r="AI895" i="1" s="1"/>
  <c r="AJ895" i="1" s="1"/>
  <c r="AG389" i="1"/>
  <c r="AH389" i="1" s="1"/>
  <c r="AI389" i="1" s="1"/>
  <c r="AJ389" i="1" s="1"/>
  <c r="AG52" i="1"/>
  <c r="AH52" i="1" s="1"/>
  <c r="AI52" i="1" s="1"/>
  <c r="AJ52" i="1" s="1"/>
  <c r="AG62" i="1"/>
  <c r="AH62" i="1" s="1"/>
  <c r="AI62" i="1" s="1"/>
  <c r="AJ62" i="1" s="1"/>
  <c r="AG101" i="1"/>
  <c r="AH101" i="1" s="1"/>
  <c r="AI101" i="1" s="1"/>
  <c r="AJ101" i="1" s="1"/>
  <c r="AG224" i="1"/>
  <c r="AH224" i="1" s="1"/>
  <c r="AI224" i="1" s="1"/>
  <c r="AJ224" i="1" s="1"/>
  <c r="AG275" i="1"/>
  <c r="AH275" i="1" s="1"/>
  <c r="AI275" i="1" s="1"/>
  <c r="AJ275" i="1" s="1"/>
  <c r="AG462" i="1"/>
  <c r="AH462" i="1" s="1"/>
  <c r="AI462" i="1" s="1"/>
  <c r="AJ462" i="1" s="1"/>
  <c r="AG563" i="1"/>
  <c r="AH563" i="1" s="1"/>
  <c r="AI563" i="1" s="1"/>
  <c r="AJ563" i="1" s="1"/>
  <c r="AG670" i="1"/>
  <c r="AH670" i="1" s="1"/>
  <c r="AI670" i="1" s="1"/>
  <c r="AJ670" i="1" s="1"/>
  <c r="AG687" i="1"/>
  <c r="AH687" i="1" s="1"/>
  <c r="AI687" i="1" s="1"/>
  <c r="AJ687" i="1" s="1"/>
</calcChain>
</file>

<file path=xl/comments1.xml><?xml version="1.0" encoding="utf-8"?>
<comments xmlns="http://schemas.openxmlformats.org/spreadsheetml/2006/main">
  <authors>
    <author>GABRIEL RRHH</author>
  </authors>
  <commentList>
    <comment ref="AC109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7.000 x mes maximo según certif.</t>
        </r>
      </text>
    </comment>
    <comment ref="AC269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20.000 aún sin firma oficial</t>
        </r>
      </text>
    </comment>
    <comment ref="L533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TRABAJA CON LIGALUPPI PERO CERTIFICA TDA</t>
        </r>
      </text>
    </comment>
    <comment ref="L701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SE CORRIGIO NOMBRE DE PILA, AHORA ESTA OK</t>
        </r>
      </text>
    </comment>
    <comment ref="AC866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baja</t>
        </r>
      </text>
    </comment>
    <comment ref="AC954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24.991</t>
        </r>
      </text>
    </comment>
    <comment ref="AD954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24.991</t>
        </r>
      </text>
    </comment>
    <comment ref="AE954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24.991</t>
        </r>
      </text>
    </comment>
    <comment ref="AF954" authorId="0">
      <text>
        <r>
          <rPr>
            <b/>
            <sz val="9"/>
            <color indexed="81"/>
            <rFont val="Tahoma"/>
            <family val="2"/>
          </rPr>
          <t>GABRIEL RRHH:</t>
        </r>
        <r>
          <rPr>
            <sz val="9"/>
            <color indexed="81"/>
            <rFont val="Tahoma"/>
            <family val="2"/>
          </rPr>
          <t xml:space="preserve">
24.991</t>
        </r>
      </text>
    </comment>
  </commentList>
</comments>
</file>

<file path=xl/sharedStrings.xml><?xml version="1.0" encoding="utf-8"?>
<sst xmlns="http://schemas.openxmlformats.org/spreadsheetml/2006/main" count="17802" uniqueCount="1865">
  <si>
    <t>SECRETARÍA</t>
  </si>
  <si>
    <t>DIRECCIÓN/ÁREA</t>
  </si>
  <si>
    <t>APELLIDO Y NOMBRE/S</t>
  </si>
  <si>
    <t>DNI</t>
  </si>
  <si>
    <t>NRO</t>
  </si>
  <si>
    <t>INGRESO</t>
  </si>
  <si>
    <t>CATEG LM</t>
  </si>
  <si>
    <t>CONVENIO AT</t>
  </si>
  <si>
    <t>INV. AP. RECURSOS DIGITALES</t>
  </si>
  <si>
    <t>ANIMACION</t>
  </si>
  <si>
    <t>UNSAM</t>
  </si>
  <si>
    <t>COMUNICACIÓN</t>
  </si>
  <si>
    <t>INTEGRACION DIGITAL</t>
  </si>
  <si>
    <t>ANALISTA</t>
  </si>
  <si>
    <t/>
  </si>
  <si>
    <t>B3</t>
  </si>
  <si>
    <t>GESTIÓN ADMINISTRATIVA</t>
  </si>
  <si>
    <t>C1</t>
  </si>
  <si>
    <t>TELEVISION DIGITAL ABIERTA</t>
  </si>
  <si>
    <t>CIARA</t>
  </si>
  <si>
    <t>PRODUCCIÓN</t>
  </si>
  <si>
    <t>PRENSA Y COMUNICACIÓN</t>
  </si>
  <si>
    <t>ACUA MAYOR</t>
  </si>
  <si>
    <t>SERVICIOS GENERALES</t>
  </si>
  <si>
    <t>D0</t>
  </si>
  <si>
    <t xml:space="preserve">ALFARO AGUSTÍN </t>
  </si>
  <si>
    <t>CONTENIDOS</t>
  </si>
  <si>
    <t>ADMINISTRACIÓN</t>
  </si>
  <si>
    <t>DESARROLLOS</t>
  </si>
  <si>
    <t>PROGRAMA POLOS AUDIOVISUALES TECNOLÓGICOS</t>
  </si>
  <si>
    <t>B1</t>
  </si>
  <si>
    <t>RECURSOS HUMANOS</t>
  </si>
  <si>
    <t>COORDINACION</t>
  </si>
  <si>
    <t>A1</t>
  </si>
  <si>
    <t>COORDINADOR</t>
  </si>
  <si>
    <t>CONTENIDOS DIGITALES ABIERTOS CDA</t>
  </si>
  <si>
    <t>TÉCNICA Y TRANSMISIÓN</t>
  </si>
  <si>
    <t>POSTPRODUCCIÓN</t>
  </si>
  <si>
    <t>DISEÑO</t>
  </si>
  <si>
    <t>PROMOCIONES</t>
  </si>
  <si>
    <t>FOTOGRAFÍA</t>
  </si>
  <si>
    <t xml:space="preserve">BALMACEDA NAYLA </t>
  </si>
  <si>
    <t>C0</t>
  </si>
  <si>
    <t>A0</t>
  </si>
  <si>
    <t>ACUA FEDERAL</t>
  </si>
  <si>
    <t>PANORAMA ARGENTINO</t>
  </si>
  <si>
    <t>BESSE YESSICA</t>
  </si>
  <si>
    <t>CIBERSALUD</t>
  </si>
  <si>
    <t>ASISTENTE</t>
  </si>
  <si>
    <t>D1</t>
  </si>
  <si>
    <t>BACUA</t>
  </si>
  <si>
    <t>COMISION DE SEGUIMIENTO</t>
  </si>
  <si>
    <t>ESPACIOS FISICOS</t>
  </si>
  <si>
    <t>B0</t>
  </si>
  <si>
    <t>CANOSA MARICEL</t>
  </si>
  <si>
    <t>ASESORA</t>
  </si>
  <si>
    <t>FOMENTO</t>
  </si>
  <si>
    <t>GESTION DE PROYECTOS</t>
  </si>
  <si>
    <t xml:space="preserve">CERINI CAROLINA </t>
  </si>
  <si>
    <t>ADMINISTRACION</t>
  </si>
  <si>
    <t>B2</t>
  </si>
  <si>
    <t>UNLAM- BICENTENARIO</t>
  </si>
  <si>
    <t>A2</t>
  </si>
  <si>
    <t>PRESUPUESTO</t>
  </si>
  <si>
    <t>LE</t>
  </si>
  <si>
    <t xml:space="preserve">KAIRUZ GISELA VANINA </t>
  </si>
  <si>
    <t>LC</t>
  </si>
  <si>
    <t>C2</t>
  </si>
  <si>
    <t xml:space="preserve">MOLINA ANAHI </t>
  </si>
  <si>
    <t>B5</t>
  </si>
  <si>
    <t>INVESTIGACION APLICADA</t>
  </si>
  <si>
    <t xml:space="preserve">SÁNCHEZ GABRIEL </t>
  </si>
  <si>
    <t xml:space="preserve">SOIMER ISAAC </t>
  </si>
  <si>
    <t>CCK</t>
  </si>
  <si>
    <t>STOCK</t>
  </si>
  <si>
    <t>C4</t>
  </si>
  <si>
    <t>VITULLO FEDERICO</t>
  </si>
  <si>
    <t xml:space="preserve">WARSCHAVSKI MATIAS IGOR </t>
  </si>
  <si>
    <t>ABREU NICOLAS</t>
  </si>
  <si>
    <t>ACOSTA HUGO</t>
  </si>
  <si>
    <t>ALBERTI CYNTHIA</t>
  </si>
  <si>
    <t>ALVAREZ VICENTE IGNACIO</t>
  </si>
  <si>
    <t>ARELLANO KARINA</t>
  </si>
  <si>
    <t>BAEZ ESTEBAN</t>
  </si>
  <si>
    <t>BALCAZAR JORGE DANIEL</t>
  </si>
  <si>
    <t>BELTRAME ÉNOLA</t>
  </si>
  <si>
    <t>BENGOLEA, MARTIN HERNAN</t>
  </si>
  <si>
    <t>BENITEZ STRAKA ORLANDO</t>
  </si>
  <si>
    <t>BIONDO PAULA</t>
  </si>
  <si>
    <t>BOCCI FIORELLA</t>
  </si>
  <si>
    <t>BRAHIN MARIANELLA</t>
  </si>
  <si>
    <t>BRUNO ANALIA</t>
  </si>
  <si>
    <t>BRUNO SABRINA ALEJANDRA</t>
  </si>
  <si>
    <t>CABRERA VALERIA</t>
  </si>
  <si>
    <t>CACERES SASSO NICOLAS</t>
  </si>
  <si>
    <t>CAIGUARA NORA VIVIANA</t>
  </si>
  <si>
    <t>CAMPANA JAVIER</t>
  </si>
  <si>
    <t>CANGIANI EMMANUEL</t>
  </si>
  <si>
    <t>CARACINI ANDRES HORACIO</t>
  </si>
  <si>
    <t>CARAM ADRIAN</t>
  </si>
  <si>
    <t>CARCA GUSTAVO</t>
  </si>
  <si>
    <t>CARELLO SABRINA</t>
  </si>
  <si>
    <t>CARRUTHERS FEDERICO</t>
  </si>
  <si>
    <t>CASTIELLO NICOLAS</t>
  </si>
  <si>
    <t>CASTILLO ENZO</t>
  </si>
  <si>
    <t>CES OZAN CAROLINA</t>
  </si>
  <si>
    <t>CHEMES, MARIANO</t>
  </si>
  <si>
    <t>CICCOTOSTTO ROMINA</t>
  </si>
  <si>
    <t>DAGUANNO FLORENCIA CAROLINA</t>
  </si>
  <si>
    <t>DE GENNARO LUCÍA</t>
  </si>
  <si>
    <t>DELGADO PAMELA ROMINA</t>
  </si>
  <si>
    <t>DIALISANDRO JORGE</t>
  </si>
  <si>
    <t>DIAZ GABRIEL PABLO</t>
  </si>
  <si>
    <t>DIAZ ZULMA</t>
  </si>
  <si>
    <t>DOMINGUEZ EMILIANO</t>
  </si>
  <si>
    <t>DOPICO FERNANDO</t>
  </si>
  <si>
    <t>DOTTA LETICIA</t>
  </si>
  <si>
    <t>ESNAOLA  JUAN JOSE</t>
  </si>
  <si>
    <t>FACENTE VERONICA LUJAN</t>
  </si>
  <si>
    <t>FERNANDEZ ALEJANDRO</t>
  </si>
  <si>
    <t>FORNERO FABRICIO</t>
  </si>
  <si>
    <t>FRANCESCHI SANTIAGO</t>
  </si>
  <si>
    <t>FUENTES LANESAN MANUEL</t>
  </si>
  <si>
    <t>FUENTES LANESAN RUBEN</t>
  </si>
  <si>
    <t>GAITÁN MATÍAS ÁNGEL</t>
  </si>
  <si>
    <t>GARBE VERONICA</t>
  </si>
  <si>
    <t>GARCIA SANTIAGO ANDRES</t>
  </si>
  <si>
    <t>GERBINO MARIANO</t>
  </si>
  <si>
    <t>GIMENEZ JORGE</t>
  </si>
  <si>
    <t>GIRODO LORENA</t>
  </si>
  <si>
    <t>GOMEZ GARNERO IGNACIO</t>
  </si>
  <si>
    <t>GOMEZ WILSON</t>
  </si>
  <si>
    <t>GONZALEZ HORACIO</t>
  </si>
  <si>
    <t>GONZALEZ NELSON</t>
  </si>
  <si>
    <t>GONZALEZ ROCIO CRISTAL</t>
  </si>
  <si>
    <t>GOÑI HERNAN</t>
  </si>
  <si>
    <t>GRANERO MARIA NOEL</t>
  </si>
  <si>
    <t>GUELET MUÑOZ JOHANA ANAHI</t>
  </si>
  <si>
    <t>HERMOSA SILVINA</t>
  </si>
  <si>
    <t>HERRERA LARA MARIELA</t>
  </si>
  <si>
    <t>HERRERA MARIA DEL MAR</t>
  </si>
  <si>
    <t>HERRERA MARIA EUGENIA</t>
  </si>
  <si>
    <t>HURTADO RICARDO</t>
  </si>
  <si>
    <t>ILLANES SANTIAGO</t>
  </si>
  <si>
    <t>IMAZ KARINA PAOLA</t>
  </si>
  <si>
    <t>IRIART, SERGIO</t>
  </si>
  <si>
    <t>JIMENEZ LUIS</t>
  </si>
  <si>
    <t>KARMASÍN  MARTÍN</t>
  </si>
  <si>
    <t>LADA ALEJANDRO</t>
  </si>
  <si>
    <t>LEAL CAMILA</t>
  </si>
  <si>
    <t>LEIBOUSKI ELIZABETH</t>
  </si>
  <si>
    <t>LIRUSSO RAUL</t>
  </si>
  <si>
    <t>LOTZ GUILLERMO</t>
  </si>
  <si>
    <t>LUCANO SANDRA</t>
  </si>
  <si>
    <t>LUNA ROMAN DARIO</t>
  </si>
  <si>
    <t>MACAGNI IRINA MARÍA NELLY</t>
  </si>
  <si>
    <t>MACIÁ PABLO ARIEL</t>
  </si>
  <si>
    <t>MAHAFUD JOEL</t>
  </si>
  <si>
    <t>MARA FRANCO</t>
  </si>
  <si>
    <t>MARCOTE MARIANO</t>
  </si>
  <si>
    <t>MARTINEZ ALBERTO</t>
  </si>
  <si>
    <t>MARTINEZ JAVIER MARCELO</t>
  </si>
  <si>
    <t>MASÑUK  JUAN CARLOS</t>
  </si>
  <si>
    <t>MEANA ADRIAN</t>
  </si>
  <si>
    <t>MEGIAS MANUEL</t>
  </si>
  <si>
    <t>MENA CAROLINA</t>
  </si>
  <si>
    <t>MILANESE FERNANDO</t>
  </si>
  <si>
    <t>MIZZAU CAROLINA</t>
  </si>
  <si>
    <t xml:space="preserve">MOLLO MELISA ALEJANDRA </t>
  </si>
  <si>
    <t>MORRONE LUCRECIA IVANA</t>
  </si>
  <si>
    <t>NUÑEZ MARÍA GABRIELA</t>
  </si>
  <si>
    <t>ORLANDO PABLO MARTIN</t>
  </si>
  <si>
    <t>PACHECO FRANCO</t>
  </si>
  <si>
    <t>PALACIOS DANIELA</t>
  </si>
  <si>
    <t>PARMA TAMARA</t>
  </si>
  <si>
    <t>PELLEGROTTI ANTONELA</t>
  </si>
  <si>
    <t>PEREZ FERNANDEZ ALEJANDRO</t>
  </si>
  <si>
    <t>PICCOLOMINI SEBASTIAN</t>
  </si>
  <si>
    <t>QUINTANA JUAN MARTIN</t>
  </si>
  <si>
    <t>RAMOS  JUAN CARLOS</t>
  </si>
  <si>
    <t>REPETTI ARIEL</t>
  </si>
  <si>
    <t>REYNOSO NICHOLAS</t>
  </si>
  <si>
    <t>RICCITELLI MIGUEL ANGEL</t>
  </si>
  <si>
    <t>RISSO PATRON FACUNDO</t>
  </si>
  <si>
    <t>RODRIGUEZ LEILA</t>
  </si>
  <si>
    <t>ROJAS MIRTA</t>
  </si>
  <si>
    <t>ROJAS SILVIO</t>
  </si>
  <si>
    <t>ROMANO VALENTINA DEL PILAR</t>
  </si>
  <si>
    <t>SANCHEZ PAULA</t>
  </si>
  <si>
    <t>SASTRE PEDRO</t>
  </si>
  <si>
    <t>SAVIGNON LEILA</t>
  </si>
  <si>
    <t>SCARPINO ANTONIO MARCELO</t>
  </si>
  <si>
    <t>SCHIAVI ANA</t>
  </si>
  <si>
    <t>SEIF MAXIMILIANO</t>
  </si>
  <si>
    <t xml:space="preserve">SEMERIA FEDERICO </t>
  </si>
  <si>
    <t>SICILIANO LAURA PATRICIA</t>
  </si>
  <si>
    <t>SOTO JONATAN</t>
  </si>
  <si>
    <t>SPEAKE RANDY</t>
  </si>
  <si>
    <t>SUIFFET ANA CLARA</t>
  </si>
  <si>
    <t>TOLEDO WIDENSKY JULIETA</t>
  </si>
  <si>
    <t>TRESER CARLOS</t>
  </si>
  <si>
    <t>TRYBULSKI CHRISTIAN</t>
  </si>
  <si>
    <t>UMPIERREZ MANUEL</t>
  </si>
  <si>
    <t>VALDOVINO CARMEN</t>
  </si>
  <si>
    <t>VALLADARES CANDELA</t>
  </si>
  <si>
    <t>VARGAS NANCY PATRICIA</t>
  </si>
  <si>
    <t>VEDOYA EMANUEL</t>
  </si>
  <si>
    <t>VELAZQUEZ EDUARDO</t>
  </si>
  <si>
    <t>VOLA RODRIGO EZEQUIEL</t>
  </si>
  <si>
    <t>WEIDERT FERNANDO RAUL</t>
  </si>
  <si>
    <t>ZAFONTE  DIEGO</t>
  </si>
  <si>
    <t>ZAPATA ALEJANDRA</t>
  </si>
  <si>
    <t>ZARATE HUGO  HUGO DANIEL</t>
  </si>
  <si>
    <t>ZEÑIUK GABRIEL</t>
  </si>
  <si>
    <t>ZUQUI  MARIANO</t>
  </si>
  <si>
    <t>ASISTENCIA TÉCNICA</t>
  </si>
  <si>
    <t>INSTITUCIONALES</t>
  </si>
  <si>
    <t>MEDICINA DEL TRABAJO</t>
  </si>
  <si>
    <t>PRENSA</t>
  </si>
  <si>
    <t>DIRECCION</t>
  </si>
  <si>
    <t>Coordinador</t>
  </si>
  <si>
    <t>Analista</t>
  </si>
  <si>
    <t>Auxiliar</t>
  </si>
  <si>
    <t>Asistente</t>
  </si>
  <si>
    <t>Asesor</t>
  </si>
  <si>
    <t>asistente funcional</t>
  </si>
  <si>
    <t>Responsable</t>
  </si>
  <si>
    <t>Productora</t>
  </si>
  <si>
    <t>Asistente funcional</t>
  </si>
  <si>
    <t>Administrativo</t>
  </si>
  <si>
    <t>Enfermera/o</t>
  </si>
  <si>
    <t>Analista de RR.HH.</t>
  </si>
  <si>
    <t>ASESORA LEGAL</t>
  </si>
  <si>
    <t>Auxiliar de Mantenimiento</t>
  </si>
  <si>
    <t>CHOFER</t>
  </si>
  <si>
    <t>ADMINISTRATIVA</t>
  </si>
  <si>
    <t>Asistente Técnico</t>
  </si>
  <si>
    <t>Productor</t>
  </si>
  <si>
    <t xml:space="preserve">Asistente </t>
  </si>
  <si>
    <t>Técnico</t>
  </si>
  <si>
    <t>Asistente administrativo.</t>
  </si>
  <si>
    <t>Ing Seguridad e Higiene</t>
  </si>
  <si>
    <t>Responsable Radio Igualdad</t>
  </si>
  <si>
    <t>Asistente Técnico Operativo</t>
  </si>
  <si>
    <t>Coordinador de DTO</t>
  </si>
  <si>
    <t>Coordinador de Dto</t>
  </si>
  <si>
    <t>control acceso</t>
  </si>
  <si>
    <t>Asistente Técnico Seguridad</t>
  </si>
  <si>
    <t>Diseñadora gráfica</t>
  </si>
  <si>
    <t>REFERENTE</t>
  </si>
  <si>
    <t>Asistente Técnico Administrativo</t>
  </si>
  <si>
    <t>Fotografa/o</t>
  </si>
  <si>
    <t>Total general</t>
  </si>
  <si>
    <t>Total</t>
  </si>
  <si>
    <t>TECNÓPOLIS</t>
  </si>
  <si>
    <t>HENCEK FERNANDA GABRIELA</t>
  </si>
  <si>
    <t>HENCEK ANDREA MARIANA</t>
  </si>
  <si>
    <t>RAMIREZ Brain Esteban</t>
  </si>
  <si>
    <t>USTARES Matias Nicolas</t>
  </si>
  <si>
    <t>VERA Mónica</t>
  </si>
  <si>
    <t>WILCHEN MARTIN</t>
  </si>
  <si>
    <t>ROMANO María Natalia</t>
  </si>
  <si>
    <t>ALSINA Agustin Santiago</t>
  </si>
  <si>
    <t>JIMENEZ ALEGRE NELLY GLADYS</t>
  </si>
  <si>
    <t xml:space="preserve">BALDASSARRE Luz María </t>
  </si>
  <si>
    <t>ARANEGA JEREMÍAS ALBERTO</t>
  </si>
  <si>
    <t>DE MIGUEL NAHIR DEBORA</t>
  </si>
  <si>
    <t>COLONNA Marilyn</t>
  </si>
  <si>
    <t>GRIMBLAT IANINA</t>
  </si>
  <si>
    <t>AHUMADA CABRERA Erika Sofia</t>
  </si>
  <si>
    <t>AHUMADA CABRERA Claudia Ximena</t>
  </si>
  <si>
    <t>AMODEO Laura</t>
  </si>
  <si>
    <t>CASTELLI Carla</t>
  </si>
  <si>
    <t>GRASSO María Inés</t>
  </si>
  <si>
    <t>LOPEZ IBAÑEZ SOLEDAD ROMINA</t>
  </si>
  <si>
    <t>PLAUL MAXIMILIANO ADRIAN</t>
  </si>
  <si>
    <t>PAGNI MARTA INES</t>
  </si>
  <si>
    <t>AUED María Cecilia</t>
  </si>
  <si>
    <t>BUSTOS Lucas Matías</t>
  </si>
  <si>
    <t>CHIOCCONI Carlos Alberto</t>
  </si>
  <si>
    <t>DRAGO CUTELLE Andrea Fabiana</t>
  </si>
  <si>
    <t>GOMA Mariángeles</t>
  </si>
  <si>
    <t>LAMPART GABRIEL NICOLAS</t>
  </si>
  <si>
    <t>OVADIA MARCELO NURY</t>
  </si>
  <si>
    <t>BUSTOS  JORGE JONATHAN</t>
  </si>
  <si>
    <t>LOPEZ  EDMUNDO EUGENIO</t>
  </si>
  <si>
    <t>TORRES  MAXIMILIANO JOSE</t>
  </si>
  <si>
    <t>AMANTE Alberto Daniel</t>
  </si>
  <si>
    <t>BENAVIDEZ CORDOBA Lucas Belisario A.</t>
  </si>
  <si>
    <t>CARNEVALE  María Luciana</t>
  </si>
  <si>
    <t>CASTRO Diego Fernando</t>
  </si>
  <si>
    <t>CATTANEO Juan Ignacio</t>
  </si>
  <si>
    <t>CREVATINI  María Sol</t>
  </si>
  <si>
    <t>ESCRIÑA María Carmen</t>
  </si>
  <si>
    <t>FERRERES Juan Ignacio</t>
  </si>
  <si>
    <t>LEMME JOSE MARIA</t>
  </si>
  <si>
    <t>LORENZO MARIANA</t>
  </si>
  <si>
    <t>MELILLO LUCIA</t>
  </si>
  <si>
    <t>PROIETTO INGRID MARIA LOURDES</t>
  </si>
  <si>
    <t>QUIÑOÑEZ CECILIA ANDREA</t>
  </si>
  <si>
    <t>SOSA  Lucas Tomas</t>
  </si>
  <si>
    <t>SZENKIERMAN,  Laura Gisela</t>
  </si>
  <si>
    <t>ALVAREZ  MARIA PAZ</t>
  </si>
  <si>
    <t>AVALOS  JORGE RUBEN</t>
  </si>
  <si>
    <t>BARRIONUEVO MARIA MARTA</t>
  </si>
  <si>
    <t>BUSTOS VIVIANA</t>
  </si>
  <si>
    <t>DEROTIER NORMA NOEMÍ</t>
  </si>
  <si>
    <t>FARIÑA MARIELA NOEMI</t>
  </si>
  <si>
    <t>FLORENTIN JOSÉ GABRIEL</t>
  </si>
  <si>
    <t>GOMEZ ALICIA</t>
  </si>
  <si>
    <t>IÑIGO  MARIA CRISTINA</t>
  </si>
  <si>
    <t>LEGUIZAMON MARGARITA</t>
  </si>
  <si>
    <t>LEGUIZAMON  RODRIGO</t>
  </si>
  <si>
    <t>MIÑO  JUAN RAMON</t>
  </si>
  <si>
    <t>MORENO MARIA LAURA</t>
  </si>
  <si>
    <t>OVEJERO JOSE ALEJANDRO</t>
  </si>
  <si>
    <t>RIOS NÉSTOR FABIAN</t>
  </si>
  <si>
    <t>SPROVIERO TAMARA VANINA</t>
  </si>
  <si>
    <t>BERMUDEZ CORTEZ Ariel Felipe</t>
  </si>
  <si>
    <t>SANCHEZ Florencia Anabella</t>
  </si>
  <si>
    <t>VANVICHA Laura Andrea</t>
  </si>
  <si>
    <t>ACOSTA  NATALIA LORENA</t>
  </si>
  <si>
    <t>ARCE  NOEMI PATRICIA</t>
  </si>
  <si>
    <t>BALDUCCI  ANALÍA</t>
  </si>
  <si>
    <t>CASTILLO  MARIA ANGELES</t>
  </si>
  <si>
    <t>ESCOBAR GONZALEZ  MARIO SEBASTIAN</t>
  </si>
  <si>
    <t>PAULINO  ALEX DARIO</t>
  </si>
  <si>
    <t>SOLODUJIN DANIEL DE LOS SANTOS</t>
  </si>
  <si>
    <t>CARDENES HECTOR DANIEL</t>
  </si>
  <si>
    <t>CUSI MARIEL</t>
  </si>
  <si>
    <t>DUARTE CARLOS DIONISIO</t>
  </si>
  <si>
    <t>QUIROGA WALTER DAMIAN</t>
  </si>
  <si>
    <t>CORTEZ Silvia Luisa</t>
  </si>
  <si>
    <t>GOMEZ Flavia Romina</t>
  </si>
  <si>
    <t>LISERA MARIANO HUGO</t>
  </si>
  <si>
    <t>MIÑO RAFAEL DIEGO</t>
  </si>
  <si>
    <t>PAVON ERNESTO FABIAN</t>
  </si>
  <si>
    <t>RIOS Gustavo Francisco</t>
  </si>
  <si>
    <t>SOTELO David Antonio</t>
  </si>
  <si>
    <t>BARRIONUEVO Ricardo Javier</t>
  </si>
  <si>
    <t>MOREYRA EDUARDO HERNAN</t>
  </si>
  <si>
    <t>GORGONE Vanesa Andrea</t>
  </si>
  <si>
    <t>MOREYRA MARTIN EZEQUIEL</t>
  </si>
  <si>
    <t>MACHADO Carmen Noemi</t>
  </si>
  <si>
    <t>VILLAVERDE Claudia</t>
  </si>
  <si>
    <t>HERRERA VERONICA LORENA</t>
  </si>
  <si>
    <t>GOMEZ Marta Margarita</t>
  </si>
  <si>
    <t>OLIVA ALDANA GIMENA</t>
  </si>
  <si>
    <t>PENNINO LILIANA BEATRIZ</t>
  </si>
  <si>
    <t>SOLODUJIN Noelia Edith</t>
  </si>
  <si>
    <t>SUAREZ Laura Beatriz</t>
  </si>
  <si>
    <t>ALMIRON MIRTA NOEMI</t>
  </si>
  <si>
    <t>BENITEZ  JULIO CESAR</t>
  </si>
  <si>
    <t>BURLATO ROSA ANGELA</t>
  </si>
  <si>
    <t>CABRERA  FLAVIA GRACIELA</t>
  </si>
  <si>
    <t>CACERES LEGUIZAMON SELVA</t>
  </si>
  <si>
    <t>CARDOZO  GRACIELA DELMIRA</t>
  </si>
  <si>
    <t>CASTRO  MARIA INES</t>
  </si>
  <si>
    <t>DELGADO  ALICIA SUSANA</t>
  </si>
  <si>
    <t>DIEZ  IRENE MARCELA</t>
  </si>
  <si>
    <t>FERREIRA ESPINDOLA  MARIANA PAMELA</t>
  </si>
  <si>
    <t>GERVASIO MONICA LAURA</t>
  </si>
  <si>
    <t>MONTENEGRO  JOSE MAXIMILANO</t>
  </si>
  <si>
    <t>MORENO  VERA TEODORA</t>
  </si>
  <si>
    <t>MOYA  JUAN ABEL</t>
  </si>
  <si>
    <t>MOYA  PATRICIA</t>
  </si>
  <si>
    <t>NUÑEZ  CELIA NOEMI</t>
  </si>
  <si>
    <t>PARODI ADRIANA NOEMI</t>
  </si>
  <si>
    <t>RUIZ LEONARDO EZEQUIEL</t>
  </si>
  <si>
    <t>RUIZ DIAZ  PEDRO DAMIAN</t>
  </si>
  <si>
    <t>SILVA  IVAN LEANDRO</t>
  </si>
  <si>
    <t>SUAREZ LUCAS ALEJANDRO</t>
  </si>
  <si>
    <t>GAILLARD  ADRIANA</t>
  </si>
  <si>
    <t>BRUZZONI Ariel Esteban</t>
  </si>
  <si>
    <t>FERNANDEZ Carlos Germán</t>
  </si>
  <si>
    <t>FIGUEROA José Luis</t>
  </si>
  <si>
    <t>FLORENTIN Marcelo Max Roy</t>
  </si>
  <si>
    <t>FUSCO Jenaro Hugo</t>
  </si>
  <si>
    <t>GARAY Walter Damian</t>
  </si>
  <si>
    <t>LEDESMA NESTOR DAMIAN</t>
  </si>
  <si>
    <t>BARRAZA MARCELO</t>
  </si>
  <si>
    <t>BRAVO  MARCELO</t>
  </si>
  <si>
    <t>BRITEZ  GUSTAVO</t>
  </si>
  <si>
    <t>ENCIZO CRISTIAN RAMON</t>
  </si>
  <si>
    <t>FIGUEROA  MIGUEL ANGEL</t>
  </si>
  <si>
    <t>GALARZA HUGO MARCELO</t>
  </si>
  <si>
    <t>GOMEZ JUAN LEONARDO</t>
  </si>
  <si>
    <t>GORNO  CLEMENTE ERNESTO</t>
  </si>
  <si>
    <t>GUTIERREZ GABRIEL ALBERTO</t>
  </si>
  <si>
    <t>GUZMAN  MAXIMILIANO JOSUE</t>
  </si>
  <si>
    <t>IGARTUA  SEBASTIAN</t>
  </si>
  <si>
    <t>MIÑO  FERNANDO  LUIS</t>
  </si>
  <si>
    <t>MONTENEGRO  CARLOS MARCELO</t>
  </si>
  <si>
    <t>PAZ  JUAN FRANCISCO</t>
  </si>
  <si>
    <t>PEREZ CARLOS WALTER</t>
  </si>
  <si>
    <t>ROMERO CRISTIAN ADRIAN</t>
  </si>
  <si>
    <t>SALAZAR  MAXIMILIANO</t>
  </si>
  <si>
    <t>SILVA  JORGE YONATAN</t>
  </si>
  <si>
    <t>SOSA LUNA JUAN MARIO</t>
  </si>
  <si>
    <t>SOTELO YONATHAN DAVID</t>
  </si>
  <si>
    <t>TOLEDO CARLOS IVÁN</t>
  </si>
  <si>
    <t>CHAPARRO Yanina</t>
  </si>
  <si>
    <t>BORREL MARIA JULIETA</t>
  </si>
  <si>
    <t>PIRRI FRANCISCO VICENTE</t>
  </si>
  <si>
    <t>ARCE  ALBERTO SEBASTIAN</t>
  </si>
  <si>
    <t>BUGLIO  EMILIANO CRUZ</t>
  </si>
  <si>
    <t>MARTINEZ  HECTOR MARCELO</t>
  </si>
  <si>
    <t>SILVA  RICARDO LUIS</t>
  </si>
  <si>
    <t>QUIÑOÑEZ DAHIANA</t>
  </si>
  <si>
    <t>ESCOBAR Hector Jorge</t>
  </si>
  <si>
    <t>FRATTESI Gabriel Hernán</t>
  </si>
  <si>
    <t>LOPEZ QUIROZ  ADRIAN HORACIO</t>
  </si>
  <si>
    <t>MARECOS Roberto Carlos</t>
  </si>
  <si>
    <t>MONSERRAT RICARDO</t>
  </si>
  <si>
    <t>PASSERO NICOLAS MANUEL</t>
  </si>
  <si>
    <t>PATRONE MIGUEL SANTOS</t>
  </si>
  <si>
    <t>TORNESE Alejandro Federico</t>
  </si>
  <si>
    <t>ZAMBONINI Tomás Simón</t>
  </si>
  <si>
    <t>ZAMBONINI Mariano Andrés</t>
  </si>
  <si>
    <t>BENITEZ  FELIX SATURNINO</t>
  </si>
  <si>
    <t>BORGET JUAN MARTIN</t>
  </si>
  <si>
    <t>CENA RODOLFO ELIAS</t>
  </si>
  <si>
    <t>DI RENZO NANCY GABRIELA</t>
  </si>
  <si>
    <t>LOTO  RENE ANTONIO</t>
  </si>
  <si>
    <t>MERA MAURICIO VALENTIN</t>
  </si>
  <si>
    <t>OZORIO JUAN BAUTISTA ALBERTO</t>
  </si>
  <si>
    <t>PACHECO  VICTOR HUGO</t>
  </si>
  <si>
    <t>PONCE RAMON</t>
  </si>
  <si>
    <t>REYES DAMIAN GUILLERMO</t>
  </si>
  <si>
    <t>SAURIT  ESTANISLAO ANDRES</t>
  </si>
  <si>
    <t>TORRICO GUTIERREZ ANTONIO FRANCO</t>
  </si>
  <si>
    <t>ZARAGOZA LEONARDO JAVIER</t>
  </si>
  <si>
    <t>GIL RIVERA Borja Santiago</t>
  </si>
  <si>
    <t>GUELBERT BENJAMIN DAVID</t>
  </si>
  <si>
    <t>CRETELLA Pablo Gabriel</t>
  </si>
  <si>
    <t>ESCOBAR Raúl Eduardo</t>
  </si>
  <si>
    <t>ARAUJO Luciano Andres</t>
  </si>
  <si>
    <t>AZUAGA BAEZ Lucian Beder</t>
  </si>
  <si>
    <t>BAREIRO Carla Maribel</t>
  </si>
  <si>
    <t>CHAVES Anahí Soledad</t>
  </si>
  <si>
    <t>CUELLAR Jonathan Nahuel</t>
  </si>
  <si>
    <t>DALIA Gonzalo Martin</t>
  </si>
  <si>
    <t>DE CESARE Martin Julian</t>
  </si>
  <si>
    <t>FLORES Diego Alexis</t>
  </si>
  <si>
    <t>GIMENEZ Leonel Guillermo</t>
  </si>
  <si>
    <t>GORGONE Adrian</t>
  </si>
  <si>
    <t>HERRERA WALTER NICOLAS</t>
  </si>
  <si>
    <t>MENNA LEANDRO ARIEL</t>
  </si>
  <si>
    <t>PIZZI JUAN JOSE</t>
  </si>
  <si>
    <t>POMMARES PABLO IGNACIO</t>
  </si>
  <si>
    <t>SAEZ MARCIAL  Ignacio</t>
  </si>
  <si>
    <t>TORRES Jorge David</t>
  </si>
  <si>
    <t>JOSA ANDREA FABIANA</t>
  </si>
  <si>
    <t>MONTENEGRO  CARLOS ALBERTO</t>
  </si>
  <si>
    <t>TORMANN LUCAS ALEJANDRO</t>
  </si>
  <si>
    <t>FERRANDO Andrea Bibiana</t>
  </si>
  <si>
    <t>DOMINGUEZ Diego Fernando</t>
  </si>
  <si>
    <t>FERNANDEZ MANTEROLA Amalia</t>
  </si>
  <si>
    <t>KOTIK GUSTAVO SERGIO</t>
  </si>
  <si>
    <t>ORTIZ PEREZ PLATA PATRICIO LISANDRO</t>
  </si>
  <si>
    <t>PELLEGATA PAULO NICOLAS</t>
  </si>
  <si>
    <t>PEÑA RAMIRO MARTIN</t>
  </si>
  <si>
    <t>SCHUPPISSER Manuela</t>
  </si>
  <si>
    <t>ZABALA Nair</t>
  </si>
  <si>
    <t>ZAMBONINI  SANTIAGO MARIA</t>
  </si>
  <si>
    <t>BARRAGAN Ricardo</t>
  </si>
  <si>
    <t>BONANNI Héctor Daniel</t>
  </si>
  <si>
    <t>FACHAL Esteban Federico</t>
  </si>
  <si>
    <t>FARA ERNESTO LEANDRO</t>
  </si>
  <si>
    <t>GANEM Mariano</t>
  </si>
  <si>
    <t>GONZALEZ Aníbal Adrián</t>
  </si>
  <si>
    <t>MONACO ELIAS GERMAN</t>
  </si>
  <si>
    <t>RIVERA Soledad</t>
  </si>
  <si>
    <t>SEQUEIRA Adrián Anibal</t>
  </si>
  <si>
    <t>WRIGHT Leonardo</t>
  </si>
  <si>
    <t>CARABAJAL ALEJANDRO NICOLAS</t>
  </si>
  <si>
    <t>CORONEL MARCELO ADRIAN</t>
  </si>
  <si>
    <t>DEL VALLE  LUCAS JAVIER</t>
  </si>
  <si>
    <t>SALVO ROMAN ROSS JONATHAN</t>
  </si>
  <si>
    <t>UNTREF</t>
  </si>
  <si>
    <t>ADMINISTRACION- CADETE</t>
  </si>
  <si>
    <t>ADMINISTRACION -LEGALES</t>
  </si>
  <si>
    <t>ADMINISTRACION- RECEPCION</t>
  </si>
  <si>
    <t>ADMINISTRACION- RELACIONES INSTITUCIONALES</t>
  </si>
  <si>
    <t>ADMINISTRACION- RRHH</t>
  </si>
  <si>
    <t>ARQUITECTURA Y OBRA</t>
  </si>
  <si>
    <t>COOPERATIVAS</t>
  </si>
  <si>
    <t>GASTRONOMIA</t>
  </si>
  <si>
    <t>INTENDENCIA - FERIAL</t>
  </si>
  <si>
    <t>INTENDENCIA - LIMPIEZA</t>
  </si>
  <si>
    <t>INTENDENCIA - MANTENIMIENTO</t>
  </si>
  <si>
    <t>INTENDENCIA - MESA DE AYUDA</t>
  </si>
  <si>
    <t>INTENDENCIA - PARQUIZACION</t>
  </si>
  <si>
    <t>INTENDENCIA - PREDIO FERIAL</t>
  </si>
  <si>
    <t>INTENDENCIA- ACREDITACIONES</t>
  </si>
  <si>
    <t>INTENDENCIA- FERIAL</t>
  </si>
  <si>
    <t>INTENDENCIA- LIMPIEZA/ PARQUIZACION</t>
  </si>
  <si>
    <t>INTENDENCIA- MANTENIMIENTO</t>
  </si>
  <si>
    <t>INTENDENCIA -MESA DE AYUDA</t>
  </si>
  <si>
    <t>INTENDENCIA- PARQUIZACION</t>
  </si>
  <si>
    <t>MANTENIMIENTO</t>
  </si>
  <si>
    <t>OPERATIVA</t>
  </si>
  <si>
    <t>OPERATIVA (ADMINISTRACION)</t>
  </si>
  <si>
    <t>TECNICA</t>
  </si>
  <si>
    <t>IBAÑEZ ORLANDO</t>
  </si>
  <si>
    <t>CULTURA</t>
  </si>
  <si>
    <t>UNSAM-TDA</t>
  </si>
  <si>
    <t>MESA DE AYUDA</t>
  </si>
  <si>
    <t>LENTIS JHONATAN</t>
  </si>
  <si>
    <t>BEHN FABRIZIO</t>
  </si>
  <si>
    <t>BUONOCORE NATALIA</t>
  </si>
  <si>
    <t>TUZIEKIEVICZ GABRIELA</t>
  </si>
  <si>
    <t>PUESTO</t>
  </si>
  <si>
    <t>AREA / DEPENDENCIA</t>
  </si>
  <si>
    <t>SECTOR</t>
  </si>
  <si>
    <t>SUB SECTOR</t>
  </si>
  <si>
    <t>LIMPIEZA (En comisión Tecnópolis)</t>
  </si>
  <si>
    <t>AUDIOVISUALES</t>
  </si>
  <si>
    <t>(GESTIÓN OPERATIVA)</t>
  </si>
  <si>
    <t>LOGISTICA OPERATIVA</t>
  </si>
  <si>
    <t>AUTOMOTORES</t>
  </si>
  <si>
    <t>ACCESO ALEM</t>
  </si>
  <si>
    <t>(IGUALDAD CULTURAL)</t>
  </si>
  <si>
    <t>ACCESO BOUCHARD</t>
  </si>
  <si>
    <t>SEGURIDAD E HIGIENE</t>
  </si>
  <si>
    <t>S. GENERALES - AUTOMOTORES</t>
  </si>
  <si>
    <t>SOPORTE ADMINISTRATIVO</t>
  </si>
  <si>
    <t>ESPACIOS FÍSICOS</t>
  </si>
  <si>
    <t>ELECTRICIDAD</t>
  </si>
  <si>
    <t>CONTROL DE ACCESOS B</t>
  </si>
  <si>
    <t>CONTROL DE ACCESOS A</t>
  </si>
  <si>
    <t>CONTROL DE ACCESO B</t>
  </si>
  <si>
    <t>operaciones</t>
  </si>
  <si>
    <t>CONTROL DE ACCESOS  B</t>
  </si>
  <si>
    <t>RENDICION DE CUENTAS</t>
  </si>
  <si>
    <t>ANGELOZZI MELISA</t>
  </si>
  <si>
    <t>GARCIA CAFFI VICTORIA</t>
  </si>
  <si>
    <t>GUINSBURG DANIELA</t>
  </si>
  <si>
    <t>UNLAM- FUSION</t>
  </si>
  <si>
    <t>UNLAM- DGA</t>
  </si>
  <si>
    <t>SALINAS NESTOR</t>
  </si>
  <si>
    <t>INTENDENCIA - TALLERES</t>
  </si>
  <si>
    <t>Tecnomecánica</t>
  </si>
  <si>
    <t>UNIVERSIDAD</t>
  </si>
  <si>
    <t>U. LA MATANZA</t>
  </si>
  <si>
    <t>U. SAN MARTÍN</t>
  </si>
  <si>
    <t>UNSAM-MINPLAN</t>
  </si>
  <si>
    <t>UBICACIÓN FÍSICA</t>
  </si>
  <si>
    <t>CABILDO 65</t>
  </si>
  <si>
    <t>PALPALÁ-JUJUY</t>
  </si>
  <si>
    <t>ESMERALDA 255</t>
  </si>
  <si>
    <t>ABARZA VICTOR</t>
  </si>
  <si>
    <t>ACHAGNA Alberto Emanuel</t>
  </si>
  <si>
    <t>ACOSTA Noelia Noemí</t>
  </si>
  <si>
    <t>AGUIAR  NÉSTOR</t>
  </si>
  <si>
    <t>AGUILAR NADIA CANDELA</t>
  </si>
  <si>
    <t>AHUMADA HECTOR DANIEL</t>
  </si>
  <si>
    <t>ALDAVE GABRIELA</t>
  </si>
  <si>
    <t>ALEMAN JUAN MANUEL</t>
  </si>
  <si>
    <t>ALVAREZ VICENTE MARIA</t>
  </si>
  <si>
    <t>AMAYA MARCELA</t>
  </si>
  <si>
    <t>ANDINO FLORENCIA</t>
  </si>
  <si>
    <t>ANTÍA BERNARDO</t>
  </si>
  <si>
    <t>APAZA CAROLINA CECILIA</t>
  </si>
  <si>
    <t>APICELLA FABIANA</t>
  </si>
  <si>
    <t>ARAMBURU PEIRETTI VICTORIA</t>
  </si>
  <si>
    <t>ARANA CARLOS ALBERTO</t>
  </si>
  <si>
    <t>ARBO SANTIAGO</t>
  </si>
  <si>
    <t>ARGONDIZZO DANIEL</t>
  </si>
  <si>
    <t>ARICETA MARCELA</t>
  </si>
  <si>
    <t>ASTARITO María Florencia</t>
  </si>
  <si>
    <t>AUCAPIÑA MATIAS ROBERTO</t>
  </si>
  <si>
    <t>AZZAM ANA</t>
  </si>
  <si>
    <t>BAEZ  ANGEL</t>
  </si>
  <si>
    <t>BALBUENA  DIEGO DANIE</t>
  </si>
  <si>
    <t>BAROLI  DANIEL RUBEN</t>
  </si>
  <si>
    <t>BARTOLOMÉ PAULA</t>
  </si>
  <si>
    <t>BENANTAR FAYÇAL</t>
  </si>
  <si>
    <t>BERENGUA LUCIANO</t>
  </si>
  <si>
    <t>BERNARDO MARIA MURIEL</t>
  </si>
  <si>
    <t>BERSUSKY DIEGO MARTIN</t>
  </si>
  <si>
    <t>BIELE Carlos David</t>
  </si>
  <si>
    <t>BILLONI AHUMADA NAHUEL ANIBAL</t>
  </si>
  <si>
    <t>BOBILLO GABRIEL</t>
  </si>
  <si>
    <t>BONAVERA RENDO SANTIAGO</t>
  </si>
  <si>
    <t>BOTTAZZI MARIA</t>
  </si>
  <si>
    <t>BOUZON ARIANA</t>
  </si>
  <si>
    <t>BRAUDE SEBASTIAN</t>
  </si>
  <si>
    <t>BUNSOW GUSTAVO</t>
  </si>
  <si>
    <t>BURSZTYN ANDRES</t>
  </si>
  <si>
    <t>BUSSOLA FLORENCIA</t>
  </si>
  <si>
    <t>BUSTOS CIUCOLI FERNANDA</t>
  </si>
  <si>
    <t>CABRAL JUAN</t>
  </si>
  <si>
    <t>CALCATELLI HERNÁN</t>
  </si>
  <si>
    <t>CALDERON MARIA EUGENIA</t>
  </si>
  <si>
    <t>CALIUSCO PERLA EDITH</t>
  </si>
  <si>
    <t>CAMATS DIEGO</t>
  </si>
  <si>
    <t>CANNIZZARO ANA</t>
  </si>
  <si>
    <t>CARDOZO ANDREA</t>
  </si>
  <si>
    <t>CARRILLO FELIX EDUARDO</t>
  </si>
  <si>
    <t>CASCO GUILLERMO</t>
  </si>
  <si>
    <t>CASTRO ABRAHAM</t>
  </si>
  <si>
    <t>CASTRO ANALIA</t>
  </si>
  <si>
    <t>CATERBERG LEANDRO</t>
  </si>
  <si>
    <t>CELANO  JUAN MANUEL</t>
  </si>
  <si>
    <t>CERNIUS GUSTAVO ALBERTO</t>
  </si>
  <si>
    <t>CHACON PABLO GREGORIO</t>
  </si>
  <si>
    <t>CHAVES  JUAN CARLOS</t>
  </si>
  <si>
    <t>CHIMENTON LOURDES</t>
  </si>
  <si>
    <t>CHRISTENSEN ANDREA VANINA</t>
  </si>
  <si>
    <t>CIARLANTINI DARIO</t>
  </si>
  <si>
    <t>COLER PAOLA</t>
  </si>
  <si>
    <t>COLO DANIELA</t>
  </si>
  <si>
    <t>CORIAS IACOVINO ADRIEL</t>
  </si>
  <si>
    <t>CRUZ MATEO EZEQUIEL</t>
  </si>
  <si>
    <t>CUASNICU JULIA</t>
  </si>
  <si>
    <t>CURRAS OSCAR</t>
  </si>
  <si>
    <t>D´AMBROSIO Mara</t>
  </si>
  <si>
    <t>D´AURIA LEONARDO</t>
  </si>
  <si>
    <t>DANIEL DANIRA</t>
  </si>
  <si>
    <t>DELGADO PATRICIO</t>
  </si>
  <si>
    <t>DELUCA NICOLAS</t>
  </si>
  <si>
    <t>DIAZ MARIA</t>
  </si>
  <si>
    <t>DUARTE MARIO ALEJANDRO</t>
  </si>
  <si>
    <t>DUGO CHRISTIAN</t>
  </si>
  <si>
    <t>DURAN DANIEL AUGUSTO</t>
  </si>
  <si>
    <t>ECHEVERRIA LAUTARO</t>
  </si>
  <si>
    <t>ECHEVERRIA MARIANA</t>
  </si>
  <si>
    <t>EILETZ CATALINA</t>
  </si>
  <si>
    <t>ELEM VIVIAN BEATRIZ</t>
  </si>
  <si>
    <t>EMBON GUSTAVO</t>
  </si>
  <si>
    <t>ESPINOLA CINTIA</t>
  </si>
  <si>
    <t>FARINAZZO PAOLA ANDREA</t>
  </si>
  <si>
    <t>FAZIO NATALIA</t>
  </si>
  <si>
    <t>FEIS MARA</t>
  </si>
  <si>
    <t>FERNANDEZ MARA</t>
  </si>
  <si>
    <t>FERRANTE ANDRES</t>
  </si>
  <si>
    <t>FERREIRO PABLO DANIEL</t>
  </si>
  <si>
    <t>FIAMINGO YAGO</t>
  </si>
  <si>
    <t>FIDALME MARIA NATALIA</t>
  </si>
  <si>
    <t>FLAMMINIO SERGIO</t>
  </si>
  <si>
    <t>FREIBERG INGRID</t>
  </si>
  <si>
    <t>FUENTES JUAN</t>
  </si>
  <si>
    <t>GAILLARD  NORMA BEATRIZ</t>
  </si>
  <si>
    <t>GARCÍA BARLETTA SANTIAGO</t>
  </si>
  <si>
    <t>GARCIA HORACIO</t>
  </si>
  <si>
    <t>GAUNA MARIA LUCILA</t>
  </si>
  <si>
    <t>GIBEAUD ELIANA JACQELINE</t>
  </si>
  <si>
    <t>GIMENEZ FABIAN</t>
  </si>
  <si>
    <t>GOFMAN MARIA</t>
  </si>
  <si>
    <t>GOLDEMBERG PAMINA</t>
  </si>
  <si>
    <t>GOMEZ FABIAN</t>
  </si>
  <si>
    <t>GOMEZ FERNANDEZ ANDREA</t>
  </si>
  <si>
    <t>GONZALEZ Juan Carlos</t>
  </si>
  <si>
    <t>GONZALEZ MARIA</t>
  </si>
  <si>
    <t>GONZALEZ Mariela</t>
  </si>
  <si>
    <t>HERAS MAURICIO</t>
  </si>
  <si>
    <t>HERNANDEZ MAXIMILIANO PABLO</t>
  </si>
  <si>
    <t>IRIONDO MATIAS</t>
  </si>
  <si>
    <t>JECHSMAYR HERNAN</t>
  </si>
  <si>
    <t>JORDAN MARIANO</t>
  </si>
  <si>
    <t>JORGE MARTHA</t>
  </si>
  <si>
    <t>JURI GABRIEL</t>
  </si>
  <si>
    <t>JUSTO MARIA DEL ROSARIO</t>
  </si>
  <si>
    <t>KAPLUN FEDERICO BRUNO</t>
  </si>
  <si>
    <t>KAPLUN NICOLAS</t>
  </si>
  <si>
    <t>KATZ GABRIEL</t>
  </si>
  <si>
    <t>KEEGAN MARY</t>
  </si>
  <si>
    <t>LABORDE ERICA SOLEDAD</t>
  </si>
  <si>
    <t>LAMARQUE EUGENIO</t>
  </si>
  <si>
    <t>LAMAS AGUSTIN MATEO</t>
  </si>
  <si>
    <t>LANDONI DIEGO</t>
  </si>
  <si>
    <t>LARREGINA FLORENCIA</t>
  </si>
  <si>
    <t>LARROSA FEDERICO</t>
  </si>
  <si>
    <t>LASAGNI AGUSTINA</t>
  </si>
  <si>
    <t>LAVAYEN FRANCO BRUNO</t>
  </si>
  <si>
    <t>LAZARTE ARMANDO FABIO</t>
  </si>
  <si>
    <t>LENCINAS MARIA LAURA</t>
  </si>
  <si>
    <t>LENZBERG JULIA</t>
  </si>
  <si>
    <t>LEONE AGOSTINA</t>
  </si>
  <si>
    <t>LEVY ALEJANDRO</t>
  </si>
  <si>
    <t>LEYES SABRINA</t>
  </si>
  <si>
    <t>LIZARRAGA CARLOS ALBERTO</t>
  </si>
  <si>
    <t>LIZARRAGA MARIO DEL VALLE</t>
  </si>
  <si>
    <t>LOBO ABELLA NORA BELEN</t>
  </si>
  <si>
    <t>LOPEZ LAURA</t>
  </si>
  <si>
    <t>LOPEZ NUÑEZ MARIA</t>
  </si>
  <si>
    <t>LORENZO AGUSTIN</t>
  </si>
  <si>
    <t>LUIS HERNAN</t>
  </si>
  <si>
    <t>MACCHI SEBASTIAN</t>
  </si>
  <si>
    <t>MALASPINA ISABEL</t>
  </si>
  <si>
    <t>MANZIONE BIANCA</t>
  </si>
  <si>
    <t>MAREQUE MORENO MARIA PAULA</t>
  </si>
  <si>
    <t>MARTIN EMILIANO</t>
  </si>
  <si>
    <t>MARTINEZ ARIEL GUSTAVO</t>
  </si>
  <si>
    <t>MARTINEZ MELINA</t>
  </si>
  <si>
    <t>MARTINO MARCELA NATALIA</t>
  </si>
  <si>
    <t>MATEOS CARLOS ALFONSO</t>
  </si>
  <si>
    <t>MAZU OSCAR EDUARDO</t>
  </si>
  <si>
    <t>MEDRANO ORTIZ GONZALO</t>
  </si>
  <si>
    <t>MEGALOECONOMOS SOFIA</t>
  </si>
  <si>
    <t>MENDEZ RUBEN HECTOR</t>
  </si>
  <si>
    <t>MEREÑUK TATIANA</t>
  </si>
  <si>
    <t>MESTROCRISTINO MARTINA</t>
  </si>
  <si>
    <t>MOLLER JENSEN RAÚL</t>
  </si>
  <si>
    <t>MONOCHIO GINO</t>
  </si>
  <si>
    <t>MONTES ROJAS MICAELA</t>
  </si>
  <si>
    <t>MOÑINO ALEJO</t>
  </si>
  <si>
    <t>MORALES GOMEZ JIMENA MAGALÍ</t>
  </si>
  <si>
    <t>MORENO MELISA</t>
  </si>
  <si>
    <t>MUÑOZ VICTOR</t>
  </si>
  <si>
    <t>NAVEIRA OSCAR</t>
  </si>
  <si>
    <t>NIETO JULIETA</t>
  </si>
  <si>
    <t>ÑAMANDÚ FACUNDO</t>
  </si>
  <si>
    <t>OLIVA JUAN</t>
  </si>
  <si>
    <t>ONS MAXIMILIANO</t>
  </si>
  <si>
    <t>PARED NATALIA</t>
  </si>
  <si>
    <t>PAREDES FRANCISCO</t>
  </si>
  <si>
    <t>PASCUAL FLORENCIA</t>
  </si>
  <si>
    <t>PELLEGRINO ALISON</t>
  </si>
  <si>
    <t>PERAZZO  PATRICIO</t>
  </si>
  <si>
    <t>PEREZ  VICTOR RUBEN</t>
  </si>
  <si>
    <t>PEREZ CABRIADA MARIANO PABLO</t>
  </si>
  <si>
    <t>PEREZ LUCIANA</t>
  </si>
  <si>
    <t>PICO GUILLERMINA</t>
  </si>
  <si>
    <t>PINASCO LUIS</t>
  </si>
  <si>
    <t>PISTOIA AGUSTINA INES</t>
  </si>
  <si>
    <t>PIWOWARSKI GABRIELA SUSANA</t>
  </si>
  <si>
    <t>PRESS ANA</t>
  </si>
  <si>
    <t>RAMON BADIA JAZMIN</t>
  </si>
  <si>
    <t>RAMOS RAFAEL ALDO</t>
  </si>
  <si>
    <t>RESTUCCIO MARCELO</t>
  </si>
  <si>
    <t>RICHINO ADRIAN EZEQUIEL</t>
  </si>
  <si>
    <t>ROCA LUIS GASTON</t>
  </si>
  <si>
    <t>ROCA MANOUKIAN MATIAS</t>
  </si>
  <si>
    <t>RODRIGUEZ JORGE ADRIAN</t>
  </si>
  <si>
    <t>ROIG GUILLERMO</t>
  </si>
  <si>
    <t>SACCO JULIETA</t>
  </si>
  <si>
    <t>SADIER EMILIO</t>
  </si>
  <si>
    <t>SALAZAR JOSUE JOEL</t>
  </si>
  <si>
    <t>SALOMONE GUILLERMO</t>
  </si>
  <si>
    <t>SANCHEZ FABIAN</t>
  </si>
  <si>
    <t>SANCHEZ LUCIA</t>
  </si>
  <si>
    <t>SANCHEZ PAYA CAROLA LUCIANA</t>
  </si>
  <si>
    <t>SARAZOLA LEANDRO</t>
  </si>
  <si>
    <t>SCAGNOLARI MARIA LAURA</t>
  </si>
  <si>
    <t>SCHARGORODSKY LAURA</t>
  </si>
  <si>
    <t>SCHENONE LEANDRO</t>
  </si>
  <si>
    <t>SELZER MARIANA</t>
  </si>
  <si>
    <t>SILVA URTISA CARLOS</t>
  </si>
  <si>
    <t>SOBRINO LUCIANA YAMILA</t>
  </si>
  <si>
    <t>SOIMER NICOLAS</t>
  </si>
  <si>
    <t>SOLIZ MIGUEL</t>
  </si>
  <si>
    <t>SOTOMAYOR ARIEL</t>
  </si>
  <si>
    <t>TELLO LUCÍA</t>
  </si>
  <si>
    <t>TENEGLIA JOSE</t>
  </si>
  <si>
    <t>TEVES NANCY FLORENCIA</t>
  </si>
  <si>
    <t>TEVEZ CAROLINA</t>
  </si>
  <si>
    <t>TOLCACHIER NICOLAS</t>
  </si>
  <si>
    <t>TORANZO AGUSTIN</t>
  </si>
  <si>
    <t>TORRES GUSTAVO</t>
  </si>
  <si>
    <t>TRICARICO MARCOS DAMIAN</t>
  </si>
  <si>
    <t>TRONCOSO SAMANTA</t>
  </si>
  <si>
    <t>UASSOUF GURMAN GABRIELA</t>
  </si>
  <si>
    <t>URTIAGA VICTOR</t>
  </si>
  <si>
    <t>VARELA PABLO</t>
  </si>
  <si>
    <t>VAZQUEZ JAVIER ALEJANDRO</t>
  </si>
  <si>
    <t>VEGA VICTOR</t>
  </si>
  <si>
    <t>VELASQUEZ JORGE RICARDO</t>
  </si>
  <si>
    <t>VERON María Encarnación</t>
  </si>
  <si>
    <t>VICO FERNANDO</t>
  </si>
  <si>
    <t>VILLALBA FERNANDO</t>
  </si>
  <si>
    <t>VILLAR MARIA BELEN</t>
  </si>
  <si>
    <t>VILLAR MARTA ALICIA</t>
  </si>
  <si>
    <t>VILTE CRISTIAN GABRIEL</t>
  </si>
  <si>
    <t>VILTE PABLO ALFREDO</t>
  </si>
  <si>
    <t>VRANJES WALTER</t>
  </si>
  <si>
    <t>YEVARA MARCELO EDUARDO</t>
  </si>
  <si>
    <t>ZAMORA RAUL ALFREDO</t>
  </si>
  <si>
    <t>ZOTHNER CELIA LUCIANA</t>
  </si>
  <si>
    <t>UNLAM- dga</t>
  </si>
  <si>
    <t>UNLAM- TDA</t>
  </si>
  <si>
    <t>UNLAM- INFO</t>
  </si>
  <si>
    <t xml:space="preserve">LEY MARCO </t>
  </si>
  <si>
    <t>UNLAM -TDA</t>
  </si>
  <si>
    <t>Cuenta de APELLIDO Y NOMBRE/S</t>
  </si>
  <si>
    <t>TOTALEs</t>
  </si>
  <si>
    <t>UNSAM- LADA</t>
  </si>
  <si>
    <t>CUEVAS DANIEL</t>
  </si>
  <si>
    <t>HUTCHINSON RICARDO</t>
  </si>
  <si>
    <t>KLIMASEK CLAUIDO</t>
  </si>
  <si>
    <t>MENER ALEJANDRO</t>
  </si>
  <si>
    <t>SUAREZ JUAN CARLOS</t>
  </si>
  <si>
    <t>TRAPANI ALEJANDRO</t>
  </si>
  <si>
    <t>(en blanco)</t>
  </si>
  <si>
    <t>TDA</t>
  </si>
  <si>
    <t>LEY MARCO</t>
  </si>
  <si>
    <t>LM O AT</t>
  </si>
  <si>
    <t>A3</t>
  </si>
  <si>
    <t>PLANTEL SFMyCP (en transición MINPLAN/SGP/OTROS)</t>
  </si>
  <si>
    <t>DIRECCION NACIONAL DE CENTROS TEMATICOS</t>
  </si>
  <si>
    <t>GANCHEGUI MARTIN</t>
  </si>
  <si>
    <t>(Todas)</t>
  </si>
  <si>
    <t>MACCARI PABLO</t>
  </si>
  <si>
    <t xml:space="preserve">PORTO OSVALDO </t>
  </si>
  <si>
    <t xml:space="preserve">FERREIRA SERGIO </t>
  </si>
  <si>
    <t>AZZOLINI MARCELO</t>
  </si>
  <si>
    <t>BLANCO ALEJANDRO RAMON</t>
  </si>
  <si>
    <t>DIR NAC EXPRESIONES FEDERALES</t>
  </si>
  <si>
    <t>MESA DE ENTRADA</t>
  </si>
  <si>
    <t>LANNO LORENA</t>
  </si>
  <si>
    <t>OPERATIVA Y LOGISTICA</t>
  </si>
  <si>
    <t>EQUIPO CONTROL Y PLANIFICACION</t>
  </si>
  <si>
    <t xml:space="preserve">SEGURIDAD  </t>
  </si>
  <si>
    <t>SECRETARIA</t>
  </si>
  <si>
    <t>COSTA ANABELLA ROXANA</t>
  </si>
  <si>
    <t>Total (en blanco)</t>
  </si>
  <si>
    <t>COMPRAS Y CONTRATACIONES</t>
  </si>
  <si>
    <t>INFORMATICA Y SISTEMAS</t>
  </si>
  <si>
    <t>UNIDAD DE MINISTRO</t>
  </si>
  <si>
    <t>DIR GRAL TECNICA ADMINISTRATIVA Y LEGAL</t>
  </si>
  <si>
    <t>SUBSECRETARÍA</t>
  </si>
  <si>
    <t>SEC CONTENIDOS PUBLICOS</t>
  </si>
  <si>
    <t>SUBSEC CENTROS TEMATICOS Y EXP FEDERALES</t>
  </si>
  <si>
    <t>SFMyCP</t>
  </si>
  <si>
    <t>DIR NAC GENERACION DE CONTENIDOS</t>
  </si>
  <si>
    <t xml:space="preserve">SANZ FERNANDA </t>
  </si>
  <si>
    <t>BERTERRE LETICIA</t>
  </si>
  <si>
    <t>WAINERMAN LAURA</t>
  </si>
  <si>
    <t>BEURET GUSTAVO</t>
  </si>
  <si>
    <t>HOROVITZ HERNAN</t>
  </si>
  <si>
    <t>PRIETO ESTEBAN</t>
  </si>
  <si>
    <t xml:space="preserve">DORATO MARIA SOLEDAD </t>
  </si>
  <si>
    <t>D´HERS TOMAS</t>
  </si>
  <si>
    <t xml:space="preserve">FERNANDEZ CARLOS  </t>
  </si>
  <si>
    <t>RICHINO LEANDRO</t>
  </si>
  <si>
    <t>D´HERS JUAN</t>
  </si>
  <si>
    <t>JURIDICOS</t>
  </si>
  <si>
    <t>VTO CONTRATO</t>
  </si>
  <si>
    <t>BORELLI, AVELINO OSCAR</t>
  </si>
  <si>
    <t>NIELSEN, OSCAR</t>
  </si>
  <si>
    <t>MARINCOVIK, PABLO</t>
  </si>
  <si>
    <t>HORTAS, DANIEL</t>
  </si>
  <si>
    <t>VITALE, NICOLAS</t>
  </si>
  <si>
    <t>SANTOS, LILIANA INES</t>
  </si>
  <si>
    <t>GARCIA CONEJERO, MARIA LAURA</t>
  </si>
  <si>
    <t>PEDROSA, FERNANDO HECTOR</t>
  </si>
  <si>
    <t>CONSIGLI, JULIANA</t>
  </si>
  <si>
    <t>SOLARZ, VALERIA</t>
  </si>
  <si>
    <t>CIORDIA, GENOVEVA SUSANA</t>
  </si>
  <si>
    <t>BARROZO, KARINA ISABEL</t>
  </si>
  <si>
    <t>GONZALEZ NOGUERA, MICHELLE</t>
  </si>
  <si>
    <t>POLLINI, MARGARITA</t>
  </si>
  <si>
    <t>NOVIK, FLORENCIA</t>
  </si>
  <si>
    <t>ACEBO, SILVIA</t>
  </si>
  <si>
    <t>TORRETA, CLAUDIO</t>
  </si>
  <si>
    <t>HAMILTON, FEDERICO</t>
  </si>
  <si>
    <t>SANNMARTIN, ALEJANDRA</t>
  </si>
  <si>
    <t>SILBERGLEIT, SILVINA</t>
  </si>
  <si>
    <t>FREGA, DANIELA</t>
  </si>
  <si>
    <t>BENEDETTI, RICARDO</t>
  </si>
  <si>
    <t>GALEOTTI, MONICA</t>
  </si>
  <si>
    <t>SATRIANO, ROBERTO</t>
  </si>
  <si>
    <t>GONZALEZ HEREDIA, GUILLERMO</t>
  </si>
  <si>
    <t>PIQUET, MARINA LORENA</t>
  </si>
  <si>
    <t>KAPSIUK, ELIO</t>
  </si>
  <si>
    <t>CIBEIRA, MARIA</t>
  </si>
  <si>
    <t>VIDELA, MARIA EVA</t>
  </si>
  <si>
    <t>TARDITTI, EDUARDO JORGE</t>
  </si>
  <si>
    <t>BARELA, LILIANA</t>
  </si>
  <si>
    <t>BALSAMO, RICARDO</t>
  </si>
  <si>
    <t>LUCAS, MARTÍN</t>
  </si>
  <si>
    <t>MUÑIZ, GONZALO</t>
  </si>
  <si>
    <t>URTIAGA, GABRIELA</t>
  </si>
  <si>
    <t>LA TORELLA, MARIANA</t>
  </si>
  <si>
    <t>OLOCCO, LEANDRO</t>
  </si>
  <si>
    <t>ZAMBLERA, MARIÁNGELES</t>
  </si>
  <si>
    <t>CAVA, FERNANDA</t>
  </si>
  <si>
    <t>AGÜERO, LISANDRO</t>
  </si>
  <si>
    <t>KARAVAITIS, ALEJANDRA</t>
  </si>
  <si>
    <t>CALZADO, MATÍAS</t>
  </si>
  <si>
    <t>CUEVAS, GUSTAVO</t>
  </si>
  <si>
    <t>ELMO, ALEJANDRA</t>
  </si>
  <si>
    <t>MILIONE, MARCELA</t>
  </si>
  <si>
    <t>PRIVADA</t>
  </si>
  <si>
    <t>Administración</t>
  </si>
  <si>
    <t>IGNATTI GUIDO</t>
  </si>
  <si>
    <t>DE GANAY AGUSTINA</t>
  </si>
  <si>
    <t>PALACIOS LUCIA RUIZ</t>
  </si>
  <si>
    <t>CAJADE VALERIA SOLEDAD</t>
  </si>
  <si>
    <t>BALDIOLI CLAUIDA ALEJANDRA</t>
  </si>
  <si>
    <t>MARTINEZ ANAHÍ</t>
  </si>
  <si>
    <t>BARBIERI MAXIMILIANO</t>
  </si>
  <si>
    <t>MOZZI GUSTAVO</t>
  </si>
  <si>
    <t>SUAREZ AGUSTINA</t>
  </si>
  <si>
    <t>JEFATURA DE GABINETE</t>
  </si>
  <si>
    <t>Jefe de Gabinete</t>
  </si>
  <si>
    <t>Director</t>
  </si>
  <si>
    <t>IGLESIAS LEANDRO</t>
  </si>
  <si>
    <t>Sub Director</t>
  </si>
  <si>
    <t>BERDINI MARIA ANGELICA</t>
  </si>
  <si>
    <t>GUERRERO IGNACIO</t>
  </si>
  <si>
    <t>MONTERO FLORENCIA</t>
  </si>
  <si>
    <t>LIPARI KARIN</t>
  </si>
  <si>
    <t>LASTRA CLAUDIO</t>
  </si>
  <si>
    <t>DEL CASSALE DANIELA</t>
  </si>
  <si>
    <t>CLAUDINO MARIELA</t>
  </si>
  <si>
    <t>GONZALEZ DIEGO</t>
  </si>
  <si>
    <t>COMUNICACIÓN - SIN ASIGNAR TAREA</t>
  </si>
  <si>
    <t>DIRECCION DE GESTION EDILICIA</t>
  </si>
  <si>
    <t>---------</t>
  </si>
  <si>
    <t>TAGARELLI CARLA MARIA</t>
  </si>
  <si>
    <t>DIRECCION GENERAL</t>
  </si>
  <si>
    <t>CTRO INV PALPALA</t>
  </si>
  <si>
    <t>.</t>
  </si>
  <si>
    <t>AT</t>
  </si>
  <si>
    <t>LM</t>
  </si>
  <si>
    <t>TIPO</t>
  </si>
  <si>
    <t>ACTUAL</t>
  </si>
  <si>
    <t>PROPUESTO</t>
  </si>
  <si>
    <t>Analista Sr de RR.HH.</t>
  </si>
  <si>
    <t>PLANIF  Y ADM DE REC HUMANOS</t>
  </si>
  <si>
    <t>Total SUBSEC CENTROS TEMATICOS Y EXP FEDERALES</t>
  </si>
  <si>
    <t>GARCIA DANIELA</t>
  </si>
  <si>
    <t>Secretaria</t>
  </si>
  <si>
    <t>Coordinación</t>
  </si>
  <si>
    <t>LYNCH EMANUEL</t>
  </si>
  <si>
    <t>VIATICOS</t>
  </si>
  <si>
    <t>COMUNICACIONES</t>
  </si>
  <si>
    <t>CARPENA NICOLAS</t>
  </si>
  <si>
    <t>MORAN MELINA</t>
  </si>
  <si>
    <t>MAC DONALD LINDA</t>
  </si>
  <si>
    <t>RAMOS MIRIAM</t>
  </si>
  <si>
    <t>MENA GRISELDA</t>
  </si>
  <si>
    <t xml:space="preserve"> Mayo 2016</t>
  </si>
  <si>
    <t>Valores</t>
  </si>
  <si>
    <t>Tecnica</t>
  </si>
  <si>
    <t>DE SIMONE PABLO JAVIER</t>
  </si>
  <si>
    <t>ALBORNOZ MARIA CLARA</t>
  </si>
  <si>
    <t>DONATI VALERIA</t>
  </si>
  <si>
    <t>SALGADO JUAN MANUEL</t>
  </si>
  <si>
    <t>BERDYSZAK CLAUDIA ELENA</t>
  </si>
  <si>
    <t>VARELA INES</t>
  </si>
  <si>
    <t>FILIPPELLI GUIDO</t>
  </si>
  <si>
    <t>FERRUFINO MARCO</t>
  </si>
  <si>
    <t>MARQUEZ CARLOS ANTONIO</t>
  </si>
  <si>
    <t>PAGES VERONICA</t>
  </si>
  <si>
    <t>LARRALDE FRANCISCO</t>
  </si>
  <si>
    <t>GALLIZZI MARIANO NAHUEL</t>
  </si>
  <si>
    <t>EKART KARINA</t>
  </si>
  <si>
    <t>MLADINEO IVANA</t>
  </si>
  <si>
    <t>ESCOBAR MARIA FERNANDA</t>
  </si>
  <si>
    <t>FAOUR MICHELLE</t>
  </si>
  <si>
    <t>PINEDA RUGELES FEILPE</t>
  </si>
  <si>
    <t>RODRIGUEZ MIGUEL ANGEL</t>
  </si>
  <si>
    <t>REY MARIA ELENA</t>
  </si>
  <si>
    <t>ARTES VISUALES</t>
  </si>
  <si>
    <t>SUPERMAX</t>
  </si>
  <si>
    <t>FUERTES MARIA EUGENIA</t>
  </si>
  <si>
    <t>LOPEZ LARRAQUY FLORENCIA</t>
  </si>
  <si>
    <t>OLIVA VELEZ MANUEL</t>
  </si>
  <si>
    <t>GREGORIC LUIS</t>
  </si>
  <si>
    <t>LATTANZIO AITA</t>
  </si>
  <si>
    <t>SPOSITO, LUCAS</t>
  </si>
  <si>
    <t>KACANAS VALERIA ANA</t>
  </si>
  <si>
    <t>PUCCIARELLI ROMINA</t>
  </si>
  <si>
    <t>Junio + 7%</t>
  </si>
  <si>
    <t>Julio + 10%</t>
  </si>
  <si>
    <t xml:space="preserve">PERSONAL SISTEMA FEDERAL DE MEDIOS Y CONTENIDOS PUBLICOS </t>
  </si>
  <si>
    <t>JUAREZ CLAUDIO NESTOR</t>
  </si>
  <si>
    <t>GOMEZ NADIA CAROLINA</t>
  </si>
  <si>
    <t>KUPFERMAN MAXIMILIANO</t>
  </si>
  <si>
    <t>SCHWARZ WERNER AMADEO</t>
  </si>
  <si>
    <t>ARIAS CRISTIAN</t>
  </si>
  <si>
    <t>ARRIAGA CRISTIAN</t>
  </si>
  <si>
    <t>BOASS DIEGO</t>
  </si>
  <si>
    <t>CASADO MARIANO</t>
  </si>
  <si>
    <t>D´ANGELO LORENZO</t>
  </si>
  <si>
    <t>ERBEA JUAN</t>
  </si>
  <si>
    <t>ITURRALDE ADRIAN</t>
  </si>
  <si>
    <t>LECH SOSINSKI ADAM</t>
  </si>
  <si>
    <t>MACHO VIRGINIA</t>
  </si>
  <si>
    <t>MASTANDREA SERGIO</t>
  </si>
  <si>
    <t>NANYO FEDERICO</t>
  </si>
  <si>
    <t>OLIVA MARTIN</t>
  </si>
  <si>
    <t>OYAHARÇABAL JUAN</t>
  </si>
  <si>
    <t>PIETRACCONNE MARIANELLA</t>
  </si>
  <si>
    <t>REFOJOS MARIANO</t>
  </si>
  <si>
    <t>RIOS FERNANDO</t>
  </si>
  <si>
    <t>SAAVEDRA NESTOR</t>
  </si>
  <si>
    <t>SANCHEZ QUIJANO EMILIANO</t>
  </si>
  <si>
    <t>SUAREZ RUBIO IGNACIO</t>
  </si>
  <si>
    <t>TABAREZ VIDECKIS NICOLAS</t>
  </si>
  <si>
    <t>TOSCANI LUCAS SEBASTIAN</t>
  </si>
  <si>
    <t>ZIRALDO DIEGO</t>
  </si>
  <si>
    <t>AGUSTINHO GUSTAVO</t>
  </si>
  <si>
    <t>ALVAREZ AGUSTIN</t>
  </si>
  <si>
    <t>AVRUJ FERNANDO</t>
  </si>
  <si>
    <t>CACCIOLA TOMAS</t>
  </si>
  <si>
    <t>CARINI DIEGO</t>
  </si>
  <si>
    <t>FERNANDEZ MACEDONIO</t>
  </si>
  <si>
    <t>FRIEDENBACH MARTIN</t>
  </si>
  <si>
    <t xml:space="preserve">IGLESIAS ANA </t>
  </si>
  <si>
    <t>LENTINI DIEGO</t>
  </si>
  <si>
    <t>LOJO MATIAS</t>
  </si>
  <si>
    <t xml:space="preserve">NOVILLO IGNACIO </t>
  </si>
  <si>
    <t xml:space="preserve">PETTITI PABLO </t>
  </si>
  <si>
    <t>PINELLA JUAN</t>
  </si>
  <si>
    <t>RAMPELINI DIEGO</t>
  </si>
  <si>
    <t>RUIZ ANDRES</t>
  </si>
  <si>
    <t>SANCHEZ ARIEL</t>
  </si>
  <si>
    <t>ULRICH SEBASTIAN</t>
  </si>
  <si>
    <t>PRESIDENCIA</t>
  </si>
  <si>
    <t>FONTANA LUCIANO</t>
  </si>
  <si>
    <t>ORTIZ JOANA DENISSE</t>
  </si>
  <si>
    <t>SALAS JOSEFINA</t>
  </si>
  <si>
    <t>VALLONE ORNELLA PAULA</t>
  </si>
  <si>
    <t>VILLAVERDE NADIA GISELA</t>
  </si>
  <si>
    <t>CALVELO ALFREDO</t>
  </si>
  <si>
    <t>MUJICA JULIAN</t>
  </si>
  <si>
    <t>EFRON HORACIO</t>
  </si>
  <si>
    <t>DIAZ CARRASCO MANUEL</t>
  </si>
  <si>
    <t>RICCI LIAJOVETSKY GABRIEL</t>
  </si>
  <si>
    <t>PASSAGLIA VICTORIA</t>
  </si>
  <si>
    <t>DE ARTEAGA ALICIA MARIA</t>
  </si>
  <si>
    <t>LANSON DANIEL</t>
  </si>
  <si>
    <t>MANELLI MATÍAS NAHUEL</t>
  </si>
  <si>
    <t>NOBILO GRACIELA</t>
  </si>
  <si>
    <t>CTO</t>
  </si>
  <si>
    <t>LANARI SOFIA</t>
  </si>
  <si>
    <t>CARDUS MARIA MOHORADE</t>
  </si>
  <si>
    <t>FERNANDEZ FLORENCIA</t>
  </si>
  <si>
    <t>GONZALEZ NICOLÁS</t>
  </si>
  <si>
    <t>COPELLO ALEJANDRO</t>
  </si>
  <si>
    <t>COPELLO MARINA</t>
  </si>
  <si>
    <t>PEREZ PABLO</t>
  </si>
  <si>
    <t>RUIZ NORA</t>
  </si>
  <si>
    <t>ciara</t>
  </si>
  <si>
    <t>QUINTANA CARLOS ANTONIO</t>
  </si>
  <si>
    <t>MONGANO GUIDO NICOLAS</t>
  </si>
  <si>
    <t xml:space="preserve">SANTINI GAMARRA MOISES </t>
  </si>
  <si>
    <t>+FC[-1]*1,1</t>
  </si>
  <si>
    <t>+FC[-2]*1,24</t>
  </si>
  <si>
    <t>LOPEZ MARIA LUCILA</t>
  </si>
  <si>
    <t>VEGEZZI NICOLAS HERNAN</t>
  </si>
  <si>
    <t>IALUNER HÜLSEN GABRIELA</t>
  </si>
  <si>
    <t>D2</t>
  </si>
  <si>
    <t>FAVERIO LAMOTHE ANTONIO</t>
  </si>
  <si>
    <t>PEREZ FELIX ALAN</t>
  </si>
  <si>
    <t>Agosto + 14%</t>
  </si>
  <si>
    <t>HURTADO DENIS</t>
  </si>
  <si>
    <t>TOKUMORI MARIA KAMI</t>
  </si>
  <si>
    <t>OCHOA, SERGIO MIGUEL</t>
  </si>
  <si>
    <t>SENRA MARIA CELESTE</t>
  </si>
  <si>
    <t>ROSSI MARIA EVELIA</t>
  </si>
  <si>
    <t>NOVOTNY YANINA</t>
  </si>
  <si>
    <t>PEZZANO FERNANDEZ SANTIAGO</t>
  </si>
  <si>
    <t>NIEVAS  SERGIO ALEJANDRO</t>
  </si>
  <si>
    <t>BELTRAN LEONARDO ANTONIO</t>
  </si>
  <si>
    <t>CARUSO DIEGO EZEQUIEL</t>
  </si>
  <si>
    <t xml:space="preserve">MALDONADO JONATHAN </t>
  </si>
  <si>
    <t>MENDOZA MARIA ZULEMA</t>
  </si>
  <si>
    <t>SILVA CRISTHIAN LUIS</t>
  </si>
  <si>
    <t>VERON DIEGO HORACIO</t>
  </si>
  <si>
    <t>DVORKIN PABLO</t>
  </si>
  <si>
    <t>GUERRA LUCAS</t>
  </si>
  <si>
    <t>VISITAS GUIADAS</t>
  </si>
  <si>
    <t>FAZZITO JUAN CARLOS</t>
  </si>
  <si>
    <t>CESPEDES MARICONDA VICTORIA</t>
  </si>
  <si>
    <t>GAVIOLI SANTIAGO</t>
  </si>
  <si>
    <t>MONZON ROCIO MACARENA</t>
  </si>
  <si>
    <t>MAZZEI LAURA</t>
  </si>
  <si>
    <t>GAERE CLAUDIA ALICIA</t>
  </si>
  <si>
    <t>SEMERIA JULIETA</t>
  </si>
  <si>
    <t>MONTES DE OCA YESICA</t>
  </si>
  <si>
    <t>CASAK ANDRES</t>
  </si>
  <si>
    <t>JUAREZ JUAQUIN NEMESIO</t>
  </si>
  <si>
    <t>RIVADENEIRA CAMILA</t>
  </si>
  <si>
    <t>SILVENTE FACUNDO</t>
  </si>
  <si>
    <t>MATUK SEBASTIAN</t>
  </si>
  <si>
    <t>BETELLA MARITA TERESITA</t>
  </si>
  <si>
    <t>INGEGNIERI FRANCISCO</t>
  </si>
  <si>
    <t>AVALOS MONICA</t>
  </si>
  <si>
    <t>ULRICH INGRID</t>
  </si>
  <si>
    <t>CONCILIO MARIA DEL ROSARIO</t>
  </si>
  <si>
    <t>SANABRIA GABRIELA</t>
  </si>
  <si>
    <t>ZAREMBA CLARA</t>
  </si>
  <si>
    <t>FERNANDEZ NADALE LUCIA</t>
  </si>
  <si>
    <t>ARCIDIACONO SEBASTIAN</t>
  </si>
  <si>
    <t>FARANNA OSCAR ALBERTO</t>
  </si>
  <si>
    <t>GISFREDI GABRIEL ESTEBAN</t>
  </si>
  <si>
    <t>GUTIERRE SERGIO EDUARDO</t>
  </si>
  <si>
    <t>COSTA IVANA</t>
  </si>
  <si>
    <t>FERRARI LUCAS</t>
  </si>
  <si>
    <t>RABELLINO NESTOR OSCAR</t>
  </si>
  <si>
    <t>IVANOSKI MARIA LUCILA</t>
  </si>
  <si>
    <t>GONZALEZ SANTIAGO MANUEL</t>
  </si>
  <si>
    <t>GRANDINETTI CLAUDIO</t>
  </si>
  <si>
    <t>SEC MEDIOS PUBLICOS</t>
  </si>
  <si>
    <t>MINISTERIO</t>
  </si>
  <si>
    <t>ZADRA ROLANDO JUAN</t>
  </si>
  <si>
    <t>CARDOZO EDUARDO HERNAN</t>
  </si>
  <si>
    <t>SUAREZ ROBERTO DANIEL</t>
  </si>
  <si>
    <t>CAMINOS GONZALEZ JOAQUIN</t>
  </si>
  <si>
    <t>FEYLING ANA PAULINA</t>
  </si>
  <si>
    <t>DIRECTOR</t>
  </si>
  <si>
    <t>DIR DE COOPERACION INTERNACIONAL</t>
  </si>
  <si>
    <t>FAMA ANTONIO JULIAN</t>
  </si>
  <si>
    <t>ORTEGA VINCENT</t>
  </si>
  <si>
    <t>PROYECTOS ESPECIALES</t>
  </si>
  <si>
    <t>SIMONIAN JUAN MANUEL</t>
  </si>
  <si>
    <t>JGM</t>
  </si>
  <si>
    <t>CARDERO HORACIO</t>
  </si>
  <si>
    <t>SUMMA RODRIGO EZEQUIEL</t>
  </si>
  <si>
    <t>MARTINEZ DIEGO</t>
  </si>
  <si>
    <t>CARCATERRA VICTORIA</t>
  </si>
  <si>
    <t>KATZ LAURA</t>
  </si>
  <si>
    <t>LANDRIEL AGUSTIN</t>
  </si>
  <si>
    <t>MALOWICKI ZOLKWER GABRIEL</t>
  </si>
  <si>
    <t>MARIN JAVIER ALEJANDRO</t>
  </si>
  <si>
    <t>MUIÑO JUAN PABLO</t>
  </si>
  <si>
    <t>ORZALI GRETA</t>
  </si>
  <si>
    <t>RAMIRES MARIA PAULA</t>
  </si>
  <si>
    <t>SANCHEZ LAMOTHE FRANCISCO</t>
  </si>
  <si>
    <t>CUIT</t>
  </si>
  <si>
    <t>GONZALEZ ARCE DANIEL</t>
  </si>
  <si>
    <t>ARBOR JULIA</t>
  </si>
  <si>
    <t>ZULIANI MANUELA</t>
  </si>
  <si>
    <t>PIORNO GASTÓN</t>
  </si>
  <si>
    <t>GOMEZ CARLOS LUIS</t>
  </si>
  <si>
    <t>MONTAJE</t>
  </si>
  <si>
    <t>KALOC PABLO DAMIAN</t>
  </si>
  <si>
    <t>KALOC JULIETA SOLEDAD</t>
  </si>
  <si>
    <t>MANSILLA PILAR MURIEL</t>
  </si>
  <si>
    <t>CORSALINI MARCO PABLO</t>
  </si>
  <si>
    <t>REYNELI AGUSTIN</t>
  </si>
  <si>
    <t>PONCE MARIA AGUSTINA</t>
  </si>
  <si>
    <t>PECORA NATALY GISELLE</t>
  </si>
  <si>
    <t>DOBARRO ALEJANDRO</t>
  </si>
  <si>
    <t>FLEITAS MAGDALENA DELFINA</t>
  </si>
  <si>
    <t>20046071183</t>
  </si>
  <si>
    <t>27059303665</t>
  </si>
  <si>
    <t>27062374417</t>
  </si>
  <si>
    <t>23065602199</t>
  </si>
  <si>
    <t>20078231425</t>
  </si>
  <si>
    <t>20104763198</t>
  </si>
  <si>
    <t>23107955364</t>
  </si>
  <si>
    <t>23112626514</t>
  </si>
  <si>
    <t>20115662652</t>
  </si>
  <si>
    <t>20116923352</t>
  </si>
  <si>
    <t>20117217176</t>
  </si>
  <si>
    <t>20117359337</t>
  </si>
  <si>
    <t>27119586254</t>
  </si>
  <si>
    <t>20124254370</t>
  </si>
  <si>
    <t>23128039759</t>
  </si>
  <si>
    <t>20129454831</t>
  </si>
  <si>
    <t>27131656616</t>
  </si>
  <si>
    <t>20135017176</t>
  </si>
  <si>
    <t>20138520286</t>
  </si>
  <si>
    <t>27141062218</t>
  </si>
  <si>
    <t>20142891450</t>
  </si>
  <si>
    <t>20149721976</t>
  </si>
  <si>
    <t>23160956739</t>
  </si>
  <si>
    <t>20162370104</t>
  </si>
  <si>
    <t>27162537976</t>
  </si>
  <si>
    <t>20163053110</t>
  </si>
  <si>
    <t>27164471646</t>
  </si>
  <si>
    <t>20166390401</t>
  </si>
  <si>
    <t>20168954795</t>
  </si>
  <si>
    <t>27169751655</t>
  </si>
  <si>
    <t>27169752198</t>
  </si>
  <si>
    <t>20171106401</t>
  </si>
  <si>
    <t>23172833209</t>
  </si>
  <si>
    <t>27173325016</t>
  </si>
  <si>
    <t>27174765168</t>
  </si>
  <si>
    <t>20176865564</t>
  </si>
  <si>
    <t>27178028885</t>
  </si>
  <si>
    <t>20178158520</t>
  </si>
  <si>
    <t>20179285089</t>
  </si>
  <si>
    <t>20179647479</t>
  </si>
  <si>
    <t>27179723994</t>
  </si>
  <si>
    <t>20182050343</t>
  </si>
  <si>
    <t>27182211651</t>
  </si>
  <si>
    <t>20183591895</t>
  </si>
  <si>
    <t>20183836111</t>
  </si>
  <si>
    <t>27186413364</t>
  </si>
  <si>
    <t>20187619492</t>
  </si>
  <si>
    <t>20187809143</t>
  </si>
  <si>
    <t>27188472422</t>
  </si>
  <si>
    <t>23188820034</t>
  </si>
  <si>
    <t>20200054653</t>
  </si>
  <si>
    <t>20202944192</t>
  </si>
  <si>
    <t>27203413896</t>
  </si>
  <si>
    <t>27203503666</t>
  </si>
  <si>
    <t>20203540907</t>
  </si>
  <si>
    <t>20204778826</t>
  </si>
  <si>
    <t>20205526871</t>
  </si>
  <si>
    <t>27206403913</t>
  </si>
  <si>
    <t>20209569583</t>
  </si>
  <si>
    <t>20210945165</t>
  </si>
  <si>
    <t>20211673738</t>
  </si>
  <si>
    <t>20215569471</t>
  </si>
  <si>
    <t>20216183453</t>
  </si>
  <si>
    <t>27217102516</t>
  </si>
  <si>
    <t>20220069835</t>
  </si>
  <si>
    <t>20220488838</t>
  </si>
  <si>
    <t>27222782479</t>
  </si>
  <si>
    <t>20224781939</t>
  </si>
  <si>
    <t>20225331538</t>
  </si>
  <si>
    <t>20226090364</t>
  </si>
  <si>
    <t>20226949675</t>
  </si>
  <si>
    <t>20227774321</t>
  </si>
  <si>
    <t>20227963450</t>
  </si>
  <si>
    <t>20228258882</t>
  </si>
  <si>
    <t>27228494173</t>
  </si>
  <si>
    <t>27228967659</t>
  </si>
  <si>
    <t>27230378059</t>
  </si>
  <si>
    <t>23230447144</t>
  </si>
  <si>
    <t>23231025189</t>
  </si>
  <si>
    <t>27231239729</t>
  </si>
  <si>
    <t>20231243004</t>
  </si>
  <si>
    <t>20231266705</t>
  </si>
  <si>
    <t>20231798375</t>
  </si>
  <si>
    <t>20231955411</t>
  </si>
  <si>
    <t>23232754184</t>
  </si>
  <si>
    <t>27232846599</t>
  </si>
  <si>
    <t>27233269862</t>
  </si>
  <si>
    <t>20233561178</t>
  </si>
  <si>
    <t>20234265211</t>
  </si>
  <si>
    <t>20234266757</t>
  </si>
  <si>
    <t>27234478244</t>
  </si>
  <si>
    <t>20234774698</t>
  </si>
  <si>
    <t>20234969316</t>
  </si>
  <si>
    <t>20235103398</t>
  </si>
  <si>
    <t>27236520191</t>
  </si>
  <si>
    <t>23236566099</t>
  </si>
  <si>
    <t>20237006373</t>
  </si>
  <si>
    <t>27237822892</t>
  </si>
  <si>
    <t>23238653959</t>
  </si>
  <si>
    <t>20240075920</t>
  </si>
  <si>
    <t>27242615234</t>
  </si>
  <si>
    <t>27242701440</t>
  </si>
  <si>
    <t>20242705263</t>
  </si>
  <si>
    <t>27242902403</t>
  </si>
  <si>
    <t>20243201536</t>
  </si>
  <si>
    <t>20244708294</t>
  </si>
  <si>
    <t>20245153067</t>
  </si>
  <si>
    <t>20245345845</t>
  </si>
  <si>
    <t>27248566332</t>
  </si>
  <si>
    <t>20248811200</t>
  </si>
  <si>
    <t>27249036221</t>
  </si>
  <si>
    <t>20249217523</t>
  </si>
  <si>
    <t>20249467228</t>
  </si>
  <si>
    <t>20249625338</t>
  </si>
  <si>
    <t>27249632037</t>
  </si>
  <si>
    <t>27251216601</t>
  </si>
  <si>
    <t>27251511417</t>
  </si>
  <si>
    <t>27251901983</t>
  </si>
  <si>
    <t>20252012185</t>
  </si>
  <si>
    <t>20252042416</t>
  </si>
  <si>
    <t>27252168961</t>
  </si>
  <si>
    <t>20252508407</t>
  </si>
  <si>
    <t>27252849624</t>
  </si>
  <si>
    <t>20252968017</t>
  </si>
  <si>
    <t>27253252516</t>
  </si>
  <si>
    <t>23253302089</t>
  </si>
  <si>
    <t>27254954018</t>
  </si>
  <si>
    <t>20255536975</t>
  </si>
  <si>
    <t>27255541280</t>
  </si>
  <si>
    <t>20257018254</t>
  </si>
  <si>
    <t>27257953039</t>
  </si>
  <si>
    <t>20258389299</t>
  </si>
  <si>
    <t>20258653158</t>
  </si>
  <si>
    <t>23258759559</t>
  </si>
  <si>
    <t>27259066625</t>
  </si>
  <si>
    <t>20259243107</t>
  </si>
  <si>
    <t>20259366713</t>
  </si>
  <si>
    <t>20259405107</t>
  </si>
  <si>
    <t>20259972907</t>
  </si>
  <si>
    <t>20260475682</t>
  </si>
  <si>
    <t>20260535855</t>
  </si>
  <si>
    <t>27260712204</t>
  </si>
  <si>
    <t>23262391264</t>
  </si>
  <si>
    <t>20262469183</t>
  </si>
  <si>
    <t>20263382103</t>
  </si>
  <si>
    <t>20263484666</t>
  </si>
  <si>
    <t>27263647950</t>
  </si>
  <si>
    <t>20263654928</t>
  </si>
  <si>
    <t>23263979494</t>
  </si>
  <si>
    <t>27264039539</t>
  </si>
  <si>
    <t>27264753282</t>
  </si>
  <si>
    <t>27265169754</t>
  </si>
  <si>
    <t>20265808264</t>
  </si>
  <si>
    <t>20265808604</t>
  </si>
  <si>
    <t>20266212055</t>
  </si>
  <si>
    <t>23266743009</t>
  </si>
  <si>
    <t>20267498068</t>
  </si>
  <si>
    <t>27268050367</t>
  </si>
  <si>
    <t>20268444956</t>
  </si>
  <si>
    <t>20269383004</t>
  </si>
  <si>
    <t>20269496739</t>
  </si>
  <si>
    <t>20269531054</t>
  </si>
  <si>
    <t>20270002375</t>
  </si>
  <si>
    <t>20270272658</t>
  </si>
  <si>
    <t>20270672427</t>
  </si>
  <si>
    <t>20270849416</t>
  </si>
  <si>
    <t>27271082571</t>
  </si>
  <si>
    <t>27271136566</t>
  </si>
  <si>
    <t>20271841257</t>
  </si>
  <si>
    <t>20272573353</t>
  </si>
  <si>
    <t>27272592093</t>
  </si>
  <si>
    <t>20272637246</t>
  </si>
  <si>
    <t>27272648749</t>
  </si>
  <si>
    <t>20272879770</t>
  </si>
  <si>
    <t>20274193655</t>
  </si>
  <si>
    <t>20275373061</t>
  </si>
  <si>
    <t>27275762887</t>
  </si>
  <si>
    <t>27276642559</t>
  </si>
  <si>
    <t>20277041104</t>
  </si>
  <si>
    <t>27277814957</t>
  </si>
  <si>
    <t>27278227621</t>
  </si>
  <si>
    <t>27279267546</t>
  </si>
  <si>
    <t>20279465459</t>
  </si>
  <si>
    <t>20279523599</t>
  </si>
  <si>
    <t>27280771908</t>
  </si>
  <si>
    <t>27280798644</t>
  </si>
  <si>
    <t>20280801012</t>
  </si>
  <si>
    <t>27283259183</t>
  </si>
  <si>
    <t>20283610420</t>
  </si>
  <si>
    <t>23285095034</t>
  </si>
  <si>
    <t>27286282925</t>
  </si>
  <si>
    <t>20286359915</t>
  </si>
  <si>
    <t>20286438696</t>
  </si>
  <si>
    <t>20286440321</t>
  </si>
  <si>
    <t>20287107669</t>
  </si>
  <si>
    <t>20287137363</t>
  </si>
  <si>
    <t>20288002119</t>
  </si>
  <si>
    <t>20288019690</t>
  </si>
  <si>
    <t>23288632154</t>
  </si>
  <si>
    <t>20289163698</t>
  </si>
  <si>
    <t>23289270884</t>
  </si>
  <si>
    <t>23289506349</t>
  </si>
  <si>
    <t>20289692704</t>
  </si>
  <si>
    <t>23290185459</t>
  </si>
  <si>
    <t>20290402981</t>
  </si>
  <si>
    <t>27291300540</t>
  </si>
  <si>
    <t>27291365693</t>
  </si>
  <si>
    <t>20293007196</t>
  </si>
  <si>
    <t>27293303555</t>
  </si>
  <si>
    <t>20293597430</t>
  </si>
  <si>
    <t>23294145419</t>
  </si>
  <si>
    <t>23295483539</t>
  </si>
  <si>
    <t>27295826113</t>
  </si>
  <si>
    <t>20295998920</t>
  </si>
  <si>
    <t>20297043596</t>
  </si>
  <si>
    <t>20297214129</t>
  </si>
  <si>
    <t>20297520319</t>
  </si>
  <si>
    <t>27298710469</t>
  </si>
  <si>
    <t>27299515872</t>
  </si>
  <si>
    <t>20299753329</t>
  </si>
  <si>
    <t>27299861355</t>
  </si>
  <si>
    <t>20300204644</t>
  </si>
  <si>
    <t>20301607858</t>
  </si>
  <si>
    <t>20302190519</t>
  </si>
  <si>
    <t>20302766968</t>
  </si>
  <si>
    <t>23302774714</t>
  </si>
  <si>
    <t>27302786564</t>
  </si>
  <si>
    <t>20303682709</t>
  </si>
  <si>
    <t>27304018424</t>
  </si>
  <si>
    <t>27304074502</t>
  </si>
  <si>
    <t>20304112809</t>
  </si>
  <si>
    <t>20304489236</t>
  </si>
  <si>
    <t>27305165455</t>
  </si>
  <si>
    <t>20305309746</t>
  </si>
  <si>
    <t>20305664856</t>
  </si>
  <si>
    <t>20308326269</t>
  </si>
  <si>
    <t>27308338911</t>
  </si>
  <si>
    <t>20308619630</t>
  </si>
  <si>
    <t>20309200382</t>
  </si>
  <si>
    <t>27309252905</t>
  </si>
  <si>
    <t>27309274151</t>
  </si>
  <si>
    <t>20309305524</t>
  </si>
  <si>
    <t>23310091049</t>
  </si>
  <si>
    <t>27310231008</t>
  </si>
  <si>
    <t>20310396703</t>
  </si>
  <si>
    <t>20310417360</t>
  </si>
  <si>
    <t>20310613852</t>
  </si>
  <si>
    <t>20310916138</t>
  </si>
  <si>
    <t>27311746753</t>
  </si>
  <si>
    <t>27311980446</t>
  </si>
  <si>
    <t>20312704537</t>
  </si>
  <si>
    <t>27312927727</t>
  </si>
  <si>
    <t>23312929929</t>
  </si>
  <si>
    <t>27313436158</t>
  </si>
  <si>
    <t>27314259683</t>
  </si>
  <si>
    <t>20314523734</t>
  </si>
  <si>
    <t>27316321629</t>
  </si>
  <si>
    <t>20317325313</t>
  </si>
  <si>
    <t>20317724269</t>
  </si>
  <si>
    <t>27318326105</t>
  </si>
  <si>
    <t>20318519448</t>
  </si>
  <si>
    <t>20319124595</t>
  </si>
  <si>
    <t>27319538149</t>
  </si>
  <si>
    <t>27319632374</t>
  </si>
  <si>
    <t>20319822640</t>
  </si>
  <si>
    <t>27320226525</t>
  </si>
  <si>
    <t>23320364744</t>
  </si>
  <si>
    <t>27321026783</t>
  </si>
  <si>
    <t>20321250956</t>
  </si>
  <si>
    <t>20321883479</t>
  </si>
  <si>
    <t>27322242307</t>
  </si>
  <si>
    <t>27322365786</t>
  </si>
  <si>
    <t>20322441631</t>
  </si>
  <si>
    <t>27322627411</t>
  </si>
  <si>
    <t>20322678240</t>
  </si>
  <si>
    <t>20323210986</t>
  </si>
  <si>
    <t>27323594444</t>
  </si>
  <si>
    <t>20324220721</t>
  </si>
  <si>
    <t>27324384524</t>
  </si>
  <si>
    <t>20324785540</t>
  </si>
  <si>
    <t>27324982049</t>
  </si>
  <si>
    <t>20325009633</t>
  </si>
  <si>
    <t>23325253509</t>
  </si>
  <si>
    <t>20325959836</t>
  </si>
  <si>
    <t>20326034925</t>
  </si>
  <si>
    <t>23326041394</t>
  </si>
  <si>
    <t>20326045544</t>
  </si>
  <si>
    <t>27326201680</t>
  </si>
  <si>
    <t>20326289044</t>
  </si>
  <si>
    <t>27326905173</t>
  </si>
  <si>
    <t>27327839530</t>
  </si>
  <si>
    <t>20328238560</t>
  </si>
  <si>
    <t>20328429137</t>
  </si>
  <si>
    <t>20328451280</t>
  </si>
  <si>
    <t>24329491222</t>
  </si>
  <si>
    <t>23329690849</t>
  </si>
  <si>
    <t>20330848236</t>
  </si>
  <si>
    <t>20331547299</t>
  </si>
  <si>
    <t>27332050740</t>
  </si>
  <si>
    <t>20332199758</t>
  </si>
  <si>
    <t>27332209200</t>
  </si>
  <si>
    <t>27332755531</t>
  </si>
  <si>
    <t>27333002960</t>
  </si>
  <si>
    <t>23333055139</t>
  </si>
  <si>
    <t>20334036260</t>
  </si>
  <si>
    <t>20334268196</t>
  </si>
  <si>
    <t>20334268366</t>
  </si>
  <si>
    <t>27334268468</t>
  </si>
  <si>
    <t>27334431598</t>
  </si>
  <si>
    <t>20334860419</t>
  </si>
  <si>
    <t>27334987596</t>
  </si>
  <si>
    <t>20336055696</t>
  </si>
  <si>
    <t>27336263552</t>
  </si>
  <si>
    <t>27337003740</t>
  </si>
  <si>
    <t>20337806822</t>
  </si>
  <si>
    <t>23337929389</t>
  </si>
  <si>
    <t>20337941290</t>
  </si>
  <si>
    <t>27338399834</t>
  </si>
  <si>
    <t>27340005347</t>
  </si>
  <si>
    <t>27340012262</t>
  </si>
  <si>
    <t>27340192295</t>
  </si>
  <si>
    <t>27341035770</t>
  </si>
  <si>
    <t>20341144141</t>
  </si>
  <si>
    <t>20341371326</t>
  </si>
  <si>
    <t>23341464099</t>
  </si>
  <si>
    <t>20342539131</t>
  </si>
  <si>
    <t>27342652080</t>
  </si>
  <si>
    <t>20342658521</t>
  </si>
  <si>
    <t>20342951032</t>
  </si>
  <si>
    <t>20343341823</t>
  </si>
  <si>
    <t>20343639326</t>
  </si>
  <si>
    <t>27344237293</t>
  </si>
  <si>
    <t>24344346999</t>
  </si>
  <si>
    <t>20344356204</t>
  </si>
  <si>
    <t>23344828784</t>
  </si>
  <si>
    <t>27344928121</t>
  </si>
  <si>
    <t>20345205277</t>
  </si>
  <si>
    <t>23345293744</t>
  </si>
  <si>
    <t>20346169533</t>
  </si>
  <si>
    <t>27346699405</t>
  </si>
  <si>
    <t>24347383747</t>
  </si>
  <si>
    <t>20347715280</t>
  </si>
  <si>
    <t>20347822214</t>
  </si>
  <si>
    <t>27348011575</t>
  </si>
  <si>
    <t>27348704201</t>
  </si>
  <si>
    <t>20350843206</t>
  </si>
  <si>
    <t>20351117711</t>
  </si>
  <si>
    <t>20351610906</t>
  </si>
  <si>
    <t>27351722814</t>
  </si>
  <si>
    <t>20352554767</t>
  </si>
  <si>
    <t>27352698097</t>
  </si>
  <si>
    <t>20353172183</t>
  </si>
  <si>
    <t>23353208934</t>
  </si>
  <si>
    <t>20353486382</t>
  </si>
  <si>
    <t>27353561966</t>
  </si>
  <si>
    <t>20353608747</t>
  </si>
  <si>
    <t>27353645825</t>
  </si>
  <si>
    <t>27353781656</t>
  </si>
  <si>
    <t>20354291577</t>
  </si>
  <si>
    <t>27354523278</t>
  </si>
  <si>
    <t>20355693490</t>
  </si>
  <si>
    <t>20355693571</t>
  </si>
  <si>
    <t>20357131899</t>
  </si>
  <si>
    <t>27357284940</t>
  </si>
  <si>
    <t>20357661499</t>
  </si>
  <si>
    <t>20358976701</t>
  </si>
  <si>
    <t>27358976935</t>
  </si>
  <si>
    <t>23360860159</t>
  </si>
  <si>
    <t>20360864872</t>
  </si>
  <si>
    <t>20361799969</t>
  </si>
  <si>
    <t>20362940924</t>
  </si>
  <si>
    <t>20364927828</t>
  </si>
  <si>
    <t>20365363057</t>
  </si>
  <si>
    <t>20365470457</t>
  </si>
  <si>
    <t>20365606227</t>
  </si>
  <si>
    <t>27366376041</t>
  </si>
  <si>
    <t>20366609688</t>
  </si>
  <si>
    <t>20366884816</t>
  </si>
  <si>
    <t>20367612658</t>
  </si>
  <si>
    <t>20369447328</t>
  </si>
  <si>
    <t>20369484274</t>
  </si>
  <si>
    <t>20370079073</t>
  </si>
  <si>
    <t>27370235517</t>
  </si>
  <si>
    <t>20370410799</t>
  </si>
  <si>
    <t>20371138464</t>
  </si>
  <si>
    <t>20371417010</t>
  </si>
  <si>
    <t>20372339552</t>
  </si>
  <si>
    <t>20372741210</t>
  </si>
  <si>
    <t>20373454924</t>
  </si>
  <si>
    <t>20373507807</t>
  </si>
  <si>
    <t>27373768141</t>
  </si>
  <si>
    <t>20376861083</t>
  </si>
  <si>
    <t>27377528153</t>
  </si>
  <si>
    <t>23377535014</t>
  </si>
  <si>
    <t>20377559925</t>
  </si>
  <si>
    <t>27378064584</t>
  </si>
  <si>
    <t>27379006979</t>
  </si>
  <si>
    <t>20379007474</t>
  </si>
  <si>
    <t>20379699511</t>
  </si>
  <si>
    <t>20379922776</t>
  </si>
  <si>
    <t>20381765793</t>
  </si>
  <si>
    <t>20382971834</t>
  </si>
  <si>
    <t>20383537747</t>
  </si>
  <si>
    <t>20383547300</t>
  </si>
  <si>
    <t>27383571125</t>
  </si>
  <si>
    <t>27383999303</t>
  </si>
  <si>
    <t>20384022961</t>
  </si>
  <si>
    <t>20384232818</t>
  </si>
  <si>
    <t>20384443746</t>
  </si>
  <si>
    <t>27384642506</t>
  </si>
  <si>
    <t>20385225947</t>
  </si>
  <si>
    <t>23385512759</t>
  </si>
  <si>
    <t>20386296694</t>
  </si>
  <si>
    <t>27386827791</t>
  </si>
  <si>
    <t>23388425369</t>
  </si>
  <si>
    <t>20388544571</t>
  </si>
  <si>
    <t>23389283959</t>
  </si>
  <si>
    <t>27389951914</t>
  </si>
  <si>
    <t>27390004325</t>
  </si>
  <si>
    <t>27390563111</t>
  </si>
  <si>
    <t>20391003263</t>
  </si>
  <si>
    <t>20395628403</t>
  </si>
  <si>
    <t>20397065104</t>
  </si>
  <si>
    <t>27399174444</t>
  </si>
  <si>
    <t>20401660608</t>
  </si>
  <si>
    <t>20405165490</t>
  </si>
  <si>
    <t>20408430632</t>
  </si>
  <si>
    <t>27426634223</t>
  </si>
  <si>
    <t>27457352935</t>
  </si>
  <si>
    <t>20626955208</t>
  </si>
  <si>
    <t>20925668185</t>
  </si>
  <si>
    <t>20927786231</t>
  </si>
  <si>
    <t>27933559241</t>
  </si>
  <si>
    <t>20939596055</t>
  </si>
  <si>
    <t>27941389460</t>
  </si>
  <si>
    <t>20945123223</t>
  </si>
  <si>
    <t>20946149382</t>
  </si>
  <si>
    <t>27946547846</t>
  </si>
  <si>
    <t>20951476871</t>
  </si>
  <si>
    <t>27290411667</t>
  </si>
  <si>
    <t>20247532170</t>
  </si>
  <si>
    <t>27342079828</t>
  </si>
  <si>
    <t>23282335794</t>
  </si>
  <si>
    <t>20949299822</t>
  </si>
  <si>
    <t>20349758688</t>
  </si>
  <si>
    <t>23228250309</t>
  </si>
  <si>
    <t>20268191985</t>
  </si>
  <si>
    <t>20143148166</t>
  </si>
  <si>
    <t>20183930762</t>
  </si>
  <si>
    <t>27245244148</t>
  </si>
  <si>
    <t>20329447287</t>
  </si>
  <si>
    <t>20169651443</t>
  </si>
  <si>
    <t>23247563199</t>
  </si>
  <si>
    <t>27344178238</t>
  </si>
  <si>
    <t>20204053686</t>
  </si>
  <si>
    <t>20183039106</t>
  </si>
  <si>
    <t>27236088753</t>
  </si>
  <si>
    <t>20258244479</t>
  </si>
  <si>
    <t>20928201660</t>
  </si>
  <si>
    <t>27365265300</t>
  </si>
  <si>
    <t>27067155314</t>
  </si>
  <si>
    <t>20312139864</t>
  </si>
  <si>
    <t>27254525052</t>
  </si>
  <si>
    <t>27315046160</t>
  </si>
  <si>
    <t>20255701011</t>
  </si>
  <si>
    <t>24351361758</t>
  </si>
  <si>
    <t>20345245007</t>
  </si>
  <si>
    <t>20277669804</t>
  </si>
  <si>
    <t>20309793324</t>
  </si>
  <si>
    <t>DE LA FUENTE SILVIA ANDREA</t>
  </si>
  <si>
    <t>DI BELLO LORENA</t>
  </si>
  <si>
    <t xml:space="preserve"> ---</t>
  </si>
  <si>
    <t>MELITA ELEONORA</t>
  </si>
  <si>
    <t>VIÑA SEBASTIAN</t>
  </si>
  <si>
    <t>KUTALEK GERMAN</t>
  </si>
  <si>
    <t>SZMULEWICZ DEMIAN</t>
  </si>
  <si>
    <t>ALFIE  MARIA SOL</t>
  </si>
  <si>
    <t>Fin Contrato</t>
  </si>
  <si>
    <t>BOAZZO GASTON LEONEL</t>
  </si>
  <si>
    <t>BEDINI HERNANDEZ LUCILA</t>
  </si>
  <si>
    <t>PENNELA ORLANDO OSVALDO</t>
  </si>
  <si>
    <t>RODRGUEZ JULIA</t>
  </si>
  <si>
    <t>ORTIZ FRANK NICOLAS</t>
  </si>
  <si>
    <t>LOMBARDI MARTIN</t>
  </si>
  <si>
    <t>NEYRA CATALINA</t>
  </si>
  <si>
    <t>CASTELLUCCI MARIANA</t>
  </si>
  <si>
    <t>REYNOSO CAMILA ANAHI</t>
  </si>
  <si>
    <t>MONTES ANA LAURA</t>
  </si>
  <si>
    <t>SANCHEZ SAÑUDO RICARDO</t>
  </si>
  <si>
    <t>PAEZ CRISTIAN</t>
  </si>
  <si>
    <t>RUPPERTO BARBARA</t>
  </si>
  <si>
    <t>VERCELLI CARLOS LUIS</t>
  </si>
  <si>
    <t>MORADO MARIA CLAUDIA</t>
  </si>
  <si>
    <t>SMOCOCICH ADRIANO DUILIO</t>
  </si>
  <si>
    <t>MUINELLO NORMA</t>
  </si>
  <si>
    <t>FIGLIOLIA OMAR</t>
  </si>
  <si>
    <t>GARCIA CARDENAS MARTIN</t>
  </si>
  <si>
    <t>COORD GESTIÓN FEDERAL Z. NORTE</t>
  </si>
  <si>
    <t xml:space="preserve">COORD GESTIÓN FEDERAL </t>
  </si>
  <si>
    <t>ASISTENTE COORD NORTE</t>
  </si>
  <si>
    <t>ASISTENTE COORD SUR</t>
  </si>
  <si>
    <t>IBARGUREN MANUELA</t>
  </si>
  <si>
    <t>GIMENEZ JAZMIN</t>
  </si>
  <si>
    <t>GOMEZ SABRINA</t>
  </si>
  <si>
    <t>DOCTOR</t>
  </si>
  <si>
    <t>BRADLEY GUILLERMO</t>
  </si>
  <si>
    <t>CUELLAR OLGA</t>
  </si>
  <si>
    <t>MORENO KARINA MERCEDES</t>
  </si>
  <si>
    <t>GUTIERREZ RODRIGO</t>
  </si>
  <si>
    <t>PEÑA WALTER</t>
  </si>
  <si>
    <t>Cuenta de Julio + 10%</t>
  </si>
  <si>
    <t xml:space="preserve">MARICH EKEL </t>
  </si>
  <si>
    <t>MALAGRABA, MARIA GABRIELA</t>
  </si>
  <si>
    <t>BIAUS IBARBORDE MARIA VIRGINIA</t>
  </si>
  <si>
    <t>MIHANOVICH CAROLINA INES</t>
  </si>
  <si>
    <t>CABEZA ALMIRON LUCIANO</t>
  </si>
  <si>
    <t>FIORRUCIO JOSE LUIS</t>
  </si>
  <si>
    <t>ESTANGA SARRAUA ANDRES</t>
  </si>
  <si>
    <t>FERNANDEZ VICENTA LUCIA</t>
  </si>
  <si>
    <t>FERNANDEZ CARLOS HORACIO</t>
  </si>
  <si>
    <t>FLORES FLORENCIA CAROLINA</t>
  </si>
  <si>
    <t>EN TRAMITE</t>
  </si>
  <si>
    <t>AVALOS MAIRA JAVMIN IARA</t>
  </si>
  <si>
    <t>Total SFMyCP</t>
  </si>
  <si>
    <t>AGENTES SISTEMA FEDERAL DE MEDIOS y CONTENIDOS PUBLICOS</t>
  </si>
  <si>
    <t>LANARI EUGENIA</t>
  </si>
  <si>
    <t>ASESOR</t>
  </si>
  <si>
    <t>ESQUIVEL GABRIELA ZULMA</t>
  </si>
  <si>
    <t>ALVAREZ LUIS ALBERTO</t>
  </si>
  <si>
    <t>v2</t>
  </si>
  <si>
    <t>OCHOA GERMAN EMILIANO</t>
  </si>
  <si>
    <t>LUDUEÑA MAXIMILIANO</t>
  </si>
  <si>
    <t>RODRIGUEZ JORGE GUILLERMO</t>
  </si>
  <si>
    <t>RUIZ NATALI MELINA</t>
  </si>
  <si>
    <t>ARZUAGA ANDRES</t>
  </si>
  <si>
    <t>RAMIREZ JOSÉ</t>
  </si>
  <si>
    <t>SIERRA GUSTAVO</t>
  </si>
  <si>
    <t>PICO ESTRADA MARGARITA</t>
  </si>
  <si>
    <t>PEREZ ALBERTO LUIS</t>
  </si>
  <si>
    <t>F Nacimiento</t>
  </si>
  <si>
    <t>LADA SANTIAGO RUBEN</t>
  </si>
  <si>
    <t>CALCARAMI EUGENIA</t>
  </si>
  <si>
    <t>GUZMÁN WALTER</t>
  </si>
  <si>
    <t xml:space="preserve">PAPPOLLA MARIA CELESTE </t>
  </si>
  <si>
    <t>DE LA CUADRA GONZALO</t>
  </si>
  <si>
    <t>GOMEZ GABRIELA</t>
  </si>
  <si>
    <t>GOMEZ HECTOR ANDRES</t>
  </si>
  <si>
    <t>GOMEZ YÉSICA MABEL</t>
  </si>
  <si>
    <t>RAMON GLADYS</t>
  </si>
  <si>
    <t>RAMON JOSE HUMBERTO</t>
  </si>
  <si>
    <t>REBOLLO JORGE FERNANDO</t>
  </si>
  <si>
    <t>RIOS MARIA ISABEL</t>
  </si>
  <si>
    <t>RODRIGUEZ JONATHAN</t>
  </si>
  <si>
    <t>RODRIGUEZ JUAN RAMON</t>
  </si>
  <si>
    <t>14/08/1979</t>
  </si>
  <si>
    <t>GIMENEZ JERONIMO</t>
  </si>
  <si>
    <t>CAMBIAGGI HOLZMANN JOAQUIN ARIEL</t>
  </si>
  <si>
    <t>BAZAN MARCELA ADRIANA</t>
  </si>
  <si>
    <t>CO</t>
  </si>
  <si>
    <t>BONATO LUCAS GASTON</t>
  </si>
  <si>
    <t>CACCAMO SILVIA GRACIELA</t>
  </si>
  <si>
    <t>HABERMEHL ANDRES</t>
  </si>
  <si>
    <t>JUAREZ JESUS EMMANUEL MARIO</t>
  </si>
  <si>
    <t>MEDINA SUSANA EDIT</t>
  </si>
  <si>
    <t>AUDITORIA Y CONTROL</t>
  </si>
  <si>
    <t>CONTROL Y PLANIFICACION</t>
  </si>
  <si>
    <t>FERNANDEZ DIEGO OSCAR </t>
  </si>
  <si>
    <t>ADMINISTRATIVO</t>
  </si>
  <si>
    <t>CADETE</t>
  </si>
  <si>
    <t>RECEPCIONISTA</t>
  </si>
  <si>
    <t>Tareas Generales</t>
  </si>
  <si>
    <t>COCINA</t>
  </si>
  <si>
    <t>SATRIANO JULIO CESAR</t>
  </si>
  <si>
    <t>PRODUCCION GRAL DE RECETAS, MANIPULACIÓN DE INGREDIENTES, DESPCACHO DE ALIMENTOS</t>
  </si>
  <si>
    <t>MANTENIMIENTO GRAL DEL PARQUE</t>
  </si>
  <si>
    <t>LIMPIEZA DE OFICINAS/BAÑOS Y CAFETARIA DEL IBC</t>
  </si>
  <si>
    <t>HERRERO</t>
  </si>
  <si>
    <t>RECEPCION IBC</t>
  </si>
  <si>
    <t>MANTENIMIENTO DE ESPACIOS VERDES</t>
  </si>
  <si>
    <t>PAÑOL</t>
  </si>
  <si>
    <t>MANTENIMIENTO INTERNO</t>
  </si>
  <si>
    <t>ENCARGADO DE LIMPIEZA</t>
  </si>
  <si>
    <t>SUPERVISION DE REDES DE AGUA/ATENCION DEL RESERVORIO</t>
  </si>
  <si>
    <t>TRASLADOS/CARGA Y DESCARGA</t>
  </si>
  <si>
    <t>TRABAJO DE COSTURA A MAQUINA/CORTADOR</t>
  </si>
  <si>
    <t>COORDINADOR GENERAL DE LIMPIEZA</t>
  </si>
  <si>
    <t>OPERACIÓN/MONTAJE/MANTENIMIENTO</t>
  </si>
  <si>
    <t>ATENCIÓN DE MOSTRADOR</t>
  </si>
  <si>
    <t>ADMINISTRACION,DSTRIBUCION Y SEGUIMIENTO DE TAREAS/ORGANIZACIÓN DEL AEREA MANTENIMIENTO</t>
  </si>
  <si>
    <t>SUPERVISOR DE PARQUIZACIÓN</t>
  </si>
  <si>
    <t>SUPERVISION DE REDES DE AGUA Y CLOACAS</t>
  </si>
  <si>
    <t>LIMPIEZA GENERAL DEL PARQUE</t>
  </si>
  <si>
    <t>MANTENIMIENTO GENERAÑ</t>
  </si>
  <si>
    <t>SUPERVISÓN CONTROL DE CALIDAD DE MERCADERÍA/ISO</t>
  </si>
  <si>
    <t>PRODUCCIÓN DE CAMPO/LOGISTICA/ARMADO</t>
  </si>
  <si>
    <t>CONTROL/SUPERVICION DE LA LIMPIEZA PREDIO</t>
  </si>
  <si>
    <t>TRABAJO ADMINISTRATIVO/TRABAJO COSTURA A MAQUINA</t>
  </si>
  <si>
    <t>CONTROL DE DEPOSITOS/RELEVAMIENTOS</t>
  </si>
  <si>
    <t>ORGANIZACIÓN DE MERCADERÍA DE DEPÓSITOS/COMANDO DE ACTIVIDADES/PRODUCCIÓN GRAL DE RECETAS</t>
  </si>
  <si>
    <t>CONTROL DE ACCESOS/DIGITALIZACION VEHICULAR</t>
  </si>
  <si>
    <t>ARQUITECTO</t>
  </si>
  <si>
    <t>CHEF EJECUTIVO</t>
  </si>
  <si>
    <t>SUPERVISORA DE LIMPIEZA</t>
  </si>
  <si>
    <t>MANEJO DE IMPRESORA DIGITAL PLOTTER MIMAKI DE MATERIALES DE GRAFICA PARA COLOCACIÓN. MANTENIMIENTO DÉPOSITO/CARTELERÍA</t>
  </si>
  <si>
    <t>CONTROL DE ACCESOS/DEPOSITOS DEL PREDIO TURNO NOCHE</t>
  </si>
  <si>
    <t>SUPERVISIÓN DEL ESTADO DE MODULOS GASTRONOMICOS INTERIOR Y EXTERIOR</t>
  </si>
  <si>
    <t>COORDINADOR DE TALLER</t>
  </si>
  <si>
    <t>MANTENIMIENTO GRAL DE GRÁFICA/CONFECCIÓN DE ESTRUCTURAS/COLOCACIÓN VINILO/REPARACIÓN DE ESTRUCTURAS</t>
  </si>
  <si>
    <t>COORDINADORA PERSONAL TEMPORARIO</t>
  </si>
  <si>
    <t>PRODUCCION GRAL DE RECETAS, MANIPULACIÓN DE INGREDIENTES, DESPCAHO DE ALIMENTOS</t>
  </si>
  <si>
    <t>CONTROL DE STOCK Y EVOLUCIÓN DE HERRAMIENTAS</t>
  </si>
  <si>
    <t>CARPINTERO</t>
  </si>
  <si>
    <t>COLOCACIÓN DE CARTELERIA/DESARME DE ESTRUCTURAS/MANTENIMIENTO</t>
  </si>
  <si>
    <t>CONTROL DE STOCK/CONTROL DE COMBUSTIBLE</t>
  </si>
  <si>
    <t>TAREAS EN GENERAL TALLER CARPINTERIA/HERRERÍA/TEXTIL</t>
  </si>
  <si>
    <t>TAREAS EN GENERAL PAÑOL</t>
  </si>
  <si>
    <t>FUNCION</t>
  </si>
  <si>
    <t>Tecnico</t>
  </si>
  <si>
    <t>Asistencia Juridica</t>
  </si>
  <si>
    <t>COORDINACIÖN</t>
  </si>
  <si>
    <t>PRODUCTOR de EXTERIORES</t>
  </si>
  <si>
    <t>EDICION</t>
  </si>
  <si>
    <t>PASSADORE MIRTHA EDITH</t>
  </si>
  <si>
    <t>PAVONNE LUCIA GABRIELA</t>
  </si>
  <si>
    <t>Entrega Banelcos</t>
  </si>
  <si>
    <t>CCK - Alem 351</t>
  </si>
  <si>
    <t>NO ENTREGAR</t>
  </si>
  <si>
    <t>TECNOPOLIS</t>
  </si>
  <si>
    <t>Total AT</t>
  </si>
  <si>
    <t>Total LM</t>
  </si>
  <si>
    <t>Cuenta de TIPO</t>
  </si>
  <si>
    <t>Total COMUNICACIONES</t>
  </si>
  <si>
    <t>Total DIR DE COOPERACION INTERNACIONAL</t>
  </si>
  <si>
    <t>Total DIR GRAL TECNICA ADMINISTRATIVA Y LEGAL</t>
  </si>
  <si>
    <t>Total DIR NAC EXPRESIONES FEDERALES</t>
  </si>
  <si>
    <t>Total DIR NAC GENERACION DE CONTENIDOS</t>
  </si>
  <si>
    <t>Total DIRECCION NACIONAL DE CENTROS TEMATICOS</t>
  </si>
  <si>
    <t>Total UNIDAD DE MINISTRO</t>
  </si>
  <si>
    <t>Total COMUNICACIÓN</t>
  </si>
  <si>
    <t>Total COMPRAS Y CONTRATACIONES</t>
  </si>
  <si>
    <t>Total DIRECCION GENERAL</t>
  </si>
  <si>
    <t>Total INFORMATICA Y SISTEMAS</t>
  </si>
  <si>
    <t>Total JURIDICOS</t>
  </si>
  <si>
    <t>Total MESA DE ENTRADA</t>
  </si>
  <si>
    <t>Total PLANIF  Y ADM DE REC HUMANOS</t>
  </si>
  <si>
    <t>Total PRESUPUESTO</t>
  </si>
  <si>
    <t>Total ADMINISTRACION</t>
  </si>
  <si>
    <t>Total AUDIOVISUALES</t>
  </si>
  <si>
    <t>Total DIRECCION</t>
  </si>
  <si>
    <t>Total DIRECCION DE GESTION EDILICIA</t>
  </si>
  <si>
    <t>Total INSTITUCIONALES</t>
  </si>
  <si>
    <t>Total JEFATURA DE GABINETE</t>
  </si>
  <si>
    <t>Total PRODUCCIÓN</t>
  </si>
  <si>
    <t>Total TECNICA</t>
  </si>
  <si>
    <t>Total COMUNICACIÓN - SIN ASIGNAR TAREA</t>
  </si>
  <si>
    <t>Total FOMENTO</t>
  </si>
  <si>
    <t>Total INV. AP. RECURSOS DIGITALES</t>
  </si>
  <si>
    <t>Total TELEVISION DIGITAL ABIERTA</t>
  </si>
  <si>
    <t>Total ARTES VISUALES</t>
  </si>
  <si>
    <t>Total CIBERSALUD</t>
  </si>
  <si>
    <t>JACOBO LOLA MARIA</t>
  </si>
  <si>
    <t>Total SEC CONTENIDOS PUBLICOS</t>
  </si>
  <si>
    <t>ALONSO RODRIGO</t>
  </si>
  <si>
    <t>BATTISTOZZI ANA</t>
  </si>
  <si>
    <t>LOPEZ MARCOS</t>
  </si>
  <si>
    <t>GARCIA FERNANDO</t>
  </si>
  <si>
    <t>PERSICO GASTON</t>
  </si>
  <si>
    <t>SAHADE PABLO</t>
  </si>
  <si>
    <t>VAZQUEZ NIEVES</t>
  </si>
  <si>
    <t>PERLES CLAUDIO</t>
  </si>
  <si>
    <t>Sept</t>
  </si>
  <si>
    <t>Suma de Agosto + 14%</t>
  </si>
  <si>
    <t>Total SEC MEDIOS PUBLICOS</t>
  </si>
  <si>
    <t>Oct</t>
  </si>
  <si>
    <t>Posible Letra</t>
  </si>
  <si>
    <t>?</t>
  </si>
  <si>
    <t>Presup 2017</t>
  </si>
  <si>
    <t>F0</t>
  </si>
  <si>
    <t xml:space="preserve"> --</t>
  </si>
  <si>
    <t>E0</t>
  </si>
  <si>
    <t>UNIDAD SUBSECRETARIO</t>
  </si>
  <si>
    <t>Total UNIDAD SUBSECRETARIO</t>
  </si>
  <si>
    <t>DIAZ MARIA  VIRGINIA</t>
  </si>
  <si>
    <t>Nov</t>
  </si>
  <si>
    <t>Dic</t>
  </si>
  <si>
    <t>Orientador de Sala</t>
  </si>
  <si>
    <t>FONTES SELVA</t>
  </si>
  <si>
    <t>JALIL CAROLINA</t>
  </si>
  <si>
    <t>VILLALBA AMPARO</t>
  </si>
  <si>
    <t>VILLAROEL CAROL</t>
  </si>
  <si>
    <t>ZARCO DELGADO GIMENA</t>
  </si>
  <si>
    <t>MARTINEZ DAVILA FIORELLA</t>
  </si>
  <si>
    <t>MC CARTHY VICTORIA</t>
  </si>
  <si>
    <t>UNIDAD SECRETARÍA</t>
  </si>
  <si>
    <t>Total UNIDAD SECRETARÍA</t>
  </si>
  <si>
    <t>ACHAVAL PABLO</t>
  </si>
  <si>
    <t>CASTELLANOS ANA MARIEL</t>
  </si>
  <si>
    <t>JUAREZ JULIAN</t>
  </si>
  <si>
    <t>EGNER SERGIO DANIEL</t>
  </si>
  <si>
    <t>DIAZ WLODKOWSKI JANO</t>
  </si>
  <si>
    <t>FONTANA JUAN CARLOS</t>
  </si>
  <si>
    <t>FERRARI GRACIELA CARMEN</t>
  </si>
  <si>
    <t>FERRARI SANDRA PATRICIA</t>
  </si>
  <si>
    <t>SOTO CLAUDIA</t>
  </si>
  <si>
    <t>GABIOUD SNÖBOHM AGUSTINA</t>
  </si>
  <si>
    <t>LEON MERCEDES MABEL</t>
  </si>
  <si>
    <t>PRESUTTI JEREMIAS</t>
  </si>
  <si>
    <t>CARRERA LUCIA</t>
  </si>
  <si>
    <t>ARONA BARBARA</t>
  </si>
  <si>
    <t>BACIGALUPO SOFIA</t>
  </si>
  <si>
    <t>BARBONI CONSTANZA</t>
  </si>
  <si>
    <t>LOS MELINA VIVIANA</t>
  </si>
  <si>
    <t>BEY PRISCILA</t>
  </si>
  <si>
    <t>MARTINEZ YAIR</t>
  </si>
  <si>
    <t>DIAMENT DENISE GISELLE</t>
  </si>
  <si>
    <t>CASAÑA PABLO MARTIN</t>
  </si>
  <si>
    <t>VAZQUEZ AGUSTINA</t>
  </si>
  <si>
    <t>BENAVIDES SOL</t>
  </si>
  <si>
    <t>CABALLERO CACERES JUANMANUELA</t>
  </si>
  <si>
    <t>HERRERA CLAUDIA MARCELA</t>
  </si>
  <si>
    <t>MARTINEZ MARIA MAGDALENA</t>
  </si>
  <si>
    <t>Estudios</t>
  </si>
  <si>
    <t>Dirección</t>
  </si>
  <si>
    <t>Teléfono</t>
  </si>
  <si>
    <t>Celular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</si>
</sst>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 &quot;$&quot;\ * #,##0.00_ ;_ &quot;$&quot;\ * \-#,##0.00_ ;_ &quot;$&quot;\ * &quot;-&quot;??_ ;_ @_ "/>
    <numFmt numFmtId="165" formatCode="[$$-2C0A]#,##0"/>
    <numFmt numFmtId="166" formatCode="[$$-2C0A]\ #,##0.00"/>
    <numFmt numFmtId="167" formatCode="_ &quot;$&quot;\ * #,##0_ ;_ &quot;$&quot;\ * \-#,##0_ ;_ &quot;$&quot;\ * &quot;-&quot;??_ ;_ @_ "/>
    <numFmt numFmtId="168" formatCode="&quot;$&quot;\ #,##0.00"/>
  </numFmts>
  <fonts count="3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Calibri"/>
      <family val="2"/>
    </font>
    <font>
      <sz val="11"/>
      <name val="Calibri"/>
      <family val="2"/>
    </font>
    <font>
      <sz val="8"/>
      <name val="Calibri"/>
      <family val="2"/>
    </font>
    <font>
      <b/>
      <sz val="8"/>
      <name val="Calibri"/>
      <family val="2"/>
    </font>
    <font>
      <b/>
      <sz val="8"/>
      <name val="Calibri"/>
      <family val="2"/>
    </font>
    <font>
      <sz val="8"/>
      <color rgb="FF000000"/>
      <name val="Calibri"/>
      <family val="2"/>
    </font>
    <font>
      <sz val="8"/>
      <color rgb="FF000000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  <charset val="1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</font>
    <font>
      <sz val="1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  <font>
      <sz val="20"/>
      <color rgb="FF000000"/>
      <name val="Calibri"/>
      <family val="2"/>
    </font>
    <font>
      <sz val="18"/>
      <name val="Calibri"/>
      <family val="2"/>
    </font>
    <font>
      <sz val="2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0"/>
      <name val="Calibri"/>
    </font>
    <font>
      <sz val="10"/>
      <color rgb="FF000000"/>
      <name val="Calibri"/>
    </font>
    <font>
      <sz val="14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7" fillId="0" borderId="0"/>
    <xf numFmtId="164" fontId="19" fillId="0" borderId="0" applyFont="0" applyFill="0" applyBorder="0" applyAlignment="0" applyProtection="0"/>
    <xf numFmtId="0" fontId="3" fillId="0" borderId="0"/>
    <xf numFmtId="0" fontId="2" fillId="0" borderId="0"/>
    <xf numFmtId="0" fontId="18" fillId="0" borderId="0"/>
    <xf numFmtId="0" fontId="1" fillId="0" borderId="0"/>
    <xf numFmtId="0" fontId="1" fillId="0" borderId="0"/>
    <xf numFmtId="0" fontId="24" fillId="0" borderId="0">
      <alignment vertical="top"/>
    </xf>
  </cellStyleXfs>
  <cellXfs count="110">
    <xf numFmtId="0" fontId="0" fillId="0" borderId="0" xfId="0"/>
    <xf numFmtId="2" fontId="0" fillId="0" borderId="0" xfId="0" applyNumberFormat="1" applyFont="1" applyAlignment="1">
      <alignment horizontal="left" vertical="center"/>
    </xf>
    <xf numFmtId="2" fontId="9" fillId="0" borderId="1" xfId="0" applyNumberFormat="1" applyFont="1" applyFill="1" applyBorder="1" applyAlignment="1">
      <alignment horizontal="left" vertical="center"/>
    </xf>
    <xf numFmtId="2" fontId="10" fillId="0" borderId="1" xfId="0" applyNumberFormat="1" applyFont="1" applyFill="1" applyBorder="1" applyAlignment="1">
      <alignment horizontal="left" vertical="center"/>
    </xf>
    <xf numFmtId="2" fontId="11" fillId="0" borderId="1" xfId="0" applyNumberFormat="1" applyFont="1" applyFill="1" applyBorder="1" applyAlignment="1">
      <alignment horizontal="left" vertical="center"/>
    </xf>
    <xf numFmtId="165" fontId="9" fillId="0" borderId="1" xfId="0" applyNumberFormat="1" applyFont="1" applyFill="1" applyBorder="1" applyAlignment="1">
      <alignment horizontal="left" vertical="center"/>
    </xf>
    <xf numFmtId="2" fontId="0" fillId="0" borderId="0" xfId="0" applyNumberFormat="1" applyFont="1" applyFill="1" applyAlignment="1">
      <alignment horizontal="left" vertical="center"/>
    </xf>
    <xf numFmtId="2" fontId="6" fillId="0" borderId="1" xfId="0" applyNumberFormat="1" applyFont="1" applyFill="1" applyBorder="1" applyAlignment="1">
      <alignment horizontal="left" vertical="center"/>
    </xf>
    <xf numFmtId="2" fontId="0" fillId="0" borderId="1" xfId="0" applyNumberFormat="1" applyFont="1" applyBorder="1" applyAlignment="1">
      <alignment horizontal="left" vertical="center"/>
    </xf>
    <xf numFmtId="0" fontId="10" fillId="0" borderId="1" xfId="0" applyFont="1" applyFill="1" applyBorder="1" applyAlignment="1"/>
    <xf numFmtId="2" fontId="10" fillId="0" borderId="0" xfId="0" applyNumberFormat="1" applyFont="1" applyAlignment="1">
      <alignment horizontal="left" vertical="center"/>
    </xf>
    <xf numFmtId="0" fontId="0" fillId="0" borderId="0" xfId="0" pivotButton="1"/>
    <xf numFmtId="14" fontId="10" fillId="0" borderId="1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2" fontId="10" fillId="0" borderId="1" xfId="0" applyNumberFormat="1" applyFont="1" applyBorder="1" applyAlignment="1">
      <alignment horizontal="left" vertical="center"/>
    </xf>
    <xf numFmtId="3" fontId="10" fillId="0" borderId="1" xfId="0" applyNumberFormat="1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left" vertical="top"/>
    </xf>
    <xf numFmtId="0" fontId="16" fillId="0" borderId="1" xfId="1" applyFont="1" applyBorder="1" applyAlignment="1">
      <alignment horizontal="left"/>
    </xf>
    <xf numFmtId="14" fontId="15" fillId="0" borderId="1" xfId="0" applyNumberFormat="1" applyFont="1" applyFill="1" applyBorder="1" applyAlignment="1">
      <alignment horizontal="center" vertical="top"/>
    </xf>
    <xf numFmtId="14" fontId="16" fillId="3" borderId="1" xfId="0" applyNumberFormat="1" applyFont="1" applyFill="1" applyBorder="1" applyAlignment="1">
      <alignment horizontal="left"/>
    </xf>
    <xf numFmtId="0" fontId="16" fillId="0" borderId="1" xfId="0" applyFont="1" applyBorder="1" applyAlignment="1">
      <alignment horizontal="left"/>
    </xf>
    <xf numFmtId="14" fontId="16" fillId="3" borderId="1" xfId="0" applyNumberFormat="1" applyFont="1" applyFill="1" applyBorder="1" applyAlignment="1">
      <alignment horizontal="left" vertical="center"/>
    </xf>
    <xf numFmtId="0" fontId="16" fillId="4" borderId="1" xfId="1" applyFont="1" applyFill="1" applyBorder="1" applyAlignment="1">
      <alignment horizontal="left"/>
    </xf>
    <xf numFmtId="166" fontId="16" fillId="0" borderId="1" xfId="0" applyNumberFormat="1" applyFont="1" applyFill="1" applyBorder="1" applyAlignment="1">
      <alignment horizontal="left"/>
    </xf>
    <xf numFmtId="166" fontId="16" fillId="5" borderId="1" xfId="0" applyNumberFormat="1" applyFont="1" applyFill="1" applyBorder="1" applyAlignment="1">
      <alignment horizontal="left"/>
    </xf>
    <xf numFmtId="0" fontId="16" fillId="5" borderId="1" xfId="0" applyFont="1" applyFill="1" applyBorder="1" applyAlignment="1">
      <alignment horizontal="left" vertical="center"/>
    </xf>
    <xf numFmtId="0" fontId="16" fillId="3" borderId="1" xfId="1" applyFont="1" applyFill="1" applyBorder="1" applyAlignment="1">
      <alignment horizontal="left"/>
    </xf>
    <xf numFmtId="2" fontId="9" fillId="0" borderId="1" xfId="0" applyNumberFormat="1" applyFont="1" applyFill="1" applyBorder="1" applyAlignment="1">
      <alignment horizontal="center" vertical="center"/>
    </xf>
    <xf numFmtId="2" fontId="9" fillId="0" borderId="1" xfId="0" applyNumberFormat="1" applyFont="1" applyBorder="1" applyAlignment="1">
      <alignment horizontal="left" vertical="center"/>
    </xf>
    <xf numFmtId="0" fontId="18" fillId="0" borderId="0" xfId="0" applyFont="1"/>
    <xf numFmtId="0" fontId="14" fillId="0" borderId="1" xfId="0" applyFont="1" applyFill="1" applyBorder="1" applyAlignment="1">
      <alignment wrapText="1"/>
    </xf>
    <xf numFmtId="0" fontId="0" fillId="0" borderId="0" xfId="0" applyNumberFormat="1"/>
    <xf numFmtId="2" fontId="11" fillId="0" borderId="1" xfId="0" applyNumberFormat="1" applyFont="1" applyFill="1" applyBorder="1" applyAlignment="1">
      <alignment horizontal="center" vertical="center"/>
    </xf>
    <xf numFmtId="167" fontId="0" fillId="0" borderId="0" xfId="0" applyNumberFormat="1"/>
    <xf numFmtId="2" fontId="5" fillId="0" borderId="0" xfId="0" applyNumberFormat="1" applyFont="1" applyFill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14" fontId="15" fillId="0" borderId="1" xfId="0" applyNumberFormat="1" applyFont="1" applyFill="1" applyBorder="1" applyAlignment="1">
      <alignment horizontal="left" vertical="center"/>
    </xf>
    <xf numFmtId="14" fontId="10" fillId="0" borderId="1" xfId="0" applyNumberFormat="1" applyFont="1" applyFill="1" applyBorder="1" applyAlignment="1">
      <alignment horizontal="left" vertical="center"/>
    </xf>
    <xf numFmtId="14" fontId="6" fillId="0" borderId="1" xfId="0" applyNumberFormat="1" applyFont="1" applyFill="1" applyBorder="1" applyAlignment="1">
      <alignment horizontal="left" vertical="center"/>
    </xf>
    <xf numFmtId="167" fontId="0" fillId="0" borderId="0" xfId="6" applyNumberFormat="1" applyFont="1"/>
    <xf numFmtId="2" fontId="9" fillId="0" borderId="1" xfId="0" applyNumberFormat="1" applyFont="1" applyFill="1" applyBorder="1" applyAlignment="1">
      <alignment horizontal="left"/>
    </xf>
    <xf numFmtId="0" fontId="14" fillId="0" borderId="1" xfId="0" applyFont="1" applyFill="1" applyBorder="1" applyAlignment="1"/>
    <xf numFmtId="0" fontId="14" fillId="0" borderId="1" xfId="0" applyFont="1" applyFill="1" applyBorder="1" applyAlignment="1">
      <alignment horizontal="left" wrapText="1"/>
    </xf>
    <xf numFmtId="2" fontId="6" fillId="0" borderId="1" xfId="0" applyNumberFormat="1" applyFont="1" applyFill="1" applyBorder="1" applyAlignment="1">
      <alignment horizontal="left"/>
    </xf>
    <xf numFmtId="0" fontId="14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left"/>
    </xf>
    <xf numFmtId="3" fontId="9" fillId="0" borderId="1" xfId="0" applyNumberFormat="1" applyFont="1" applyFill="1" applyBorder="1" applyAlignment="1">
      <alignment horizontal="left" vertical="center"/>
    </xf>
    <xf numFmtId="14" fontId="15" fillId="0" borderId="1" xfId="0" applyNumberFormat="1" applyFont="1" applyFill="1" applyBorder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3" fontId="9" fillId="0" borderId="1" xfId="9" applyNumberFormat="1" applyFont="1" applyFill="1" applyBorder="1" applyAlignment="1">
      <alignment horizontal="left" vertical="center" wrapText="1"/>
    </xf>
    <xf numFmtId="167" fontId="0" fillId="0" borderId="0" xfId="0" pivotButton="1" applyNumberFormat="1"/>
    <xf numFmtId="165" fontId="6" fillId="0" borderId="1" xfId="0" applyNumberFormat="1" applyFont="1" applyFill="1" applyBorder="1" applyAlignment="1">
      <alignment horizontal="left" vertical="center"/>
    </xf>
    <xf numFmtId="0" fontId="9" fillId="0" borderId="1" xfId="0" applyFont="1" applyFill="1" applyBorder="1" applyAlignment="1"/>
    <xf numFmtId="0" fontId="3" fillId="0" borderId="0" xfId="7"/>
    <xf numFmtId="2" fontId="0" fillId="0" borderId="0" xfId="0" applyNumberFormat="1" applyFont="1" applyBorder="1" applyAlignment="1">
      <alignment horizontal="left" vertical="center"/>
    </xf>
    <xf numFmtId="0" fontId="14" fillId="0" borderId="0" xfId="0" applyFont="1" applyFill="1" applyBorder="1" applyAlignment="1">
      <alignment horizontal="left" wrapText="1"/>
    </xf>
    <xf numFmtId="2" fontId="5" fillId="0" borderId="0" xfId="0" applyNumberFormat="1" applyFont="1" applyFill="1" applyBorder="1" applyAlignment="1">
      <alignment horizontal="left" vertical="center"/>
    </xf>
    <xf numFmtId="2" fontId="0" fillId="0" borderId="0" xfId="0" applyNumberFormat="1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vertical="center"/>
    </xf>
    <xf numFmtId="0" fontId="10" fillId="0" borderId="1" xfId="0" applyNumberFormat="1" applyFont="1" applyFill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5" fillId="0" borderId="0" xfId="0" applyFont="1"/>
    <xf numFmtId="2" fontId="26" fillId="0" borderId="0" xfId="0" applyNumberFormat="1" applyFont="1" applyBorder="1" applyAlignment="1">
      <alignment vertical="center"/>
    </xf>
    <xf numFmtId="2" fontId="21" fillId="0" borderId="0" xfId="0" applyNumberFormat="1" applyFont="1" applyBorder="1" applyAlignment="1">
      <alignment vertical="center"/>
    </xf>
    <xf numFmtId="2" fontId="20" fillId="0" borderId="0" xfId="0" applyNumberFormat="1" applyFont="1" applyFill="1" applyBorder="1" applyAlignment="1">
      <alignment vertical="center"/>
    </xf>
    <xf numFmtId="2" fontId="27" fillId="0" borderId="0" xfId="0" applyNumberFormat="1" applyFont="1" applyBorder="1" applyAlignment="1">
      <alignment vertical="center"/>
    </xf>
    <xf numFmtId="0" fontId="15" fillId="0" borderId="2" xfId="0" applyFont="1" applyFill="1" applyBorder="1" applyAlignment="1">
      <alignment horizontal="left" vertical="top"/>
    </xf>
    <xf numFmtId="2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left" vertical="center"/>
    </xf>
    <xf numFmtId="2" fontId="8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 wrapText="1"/>
    </xf>
    <xf numFmtId="165" fontId="9" fillId="0" borderId="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left" vertical="center"/>
    </xf>
    <xf numFmtId="0" fontId="28" fillId="0" borderId="0" xfId="0" applyFont="1"/>
    <xf numFmtId="0" fontId="0" fillId="0" borderId="1" xfId="0" pivotButton="1" applyBorder="1"/>
    <xf numFmtId="0" fontId="0" fillId="0" borderId="1" xfId="0" applyBorder="1"/>
    <xf numFmtId="14" fontId="18" fillId="0" borderId="0" xfId="0" applyNumberFormat="1" applyFont="1"/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14" fontId="18" fillId="0" borderId="0" xfId="0" applyNumberFormat="1" applyFont="1" applyBorder="1" applyAlignment="1">
      <alignment vertical="center"/>
    </xf>
    <xf numFmtId="2" fontId="9" fillId="6" borderId="1" xfId="0" applyNumberFormat="1" applyFont="1" applyFill="1" applyBorder="1" applyAlignment="1">
      <alignment horizontal="left"/>
    </xf>
    <xf numFmtId="0" fontId="0" fillId="0" borderId="3" xfId="0" applyBorder="1"/>
    <xf numFmtId="3" fontId="9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/>
    </xf>
    <xf numFmtId="2" fontId="20" fillId="0" borderId="0" xfId="0" applyNumberFormat="1" applyFont="1" applyFill="1" applyBorder="1" applyAlignment="1">
      <alignment horizontal="center" vertical="center"/>
    </xf>
    <xf numFmtId="0" fontId="10" fillId="0" borderId="1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Alignment="1">
      <alignment horizontal="center" vertical="center"/>
    </xf>
    <xf numFmtId="2" fontId="29" fillId="0" borderId="0" xfId="0" applyNumberFormat="1" applyFont="1" applyAlignment="1">
      <alignment horizontal="left" vertical="center"/>
    </xf>
    <xf numFmtId="0" fontId="30" fillId="0" borderId="0" xfId="0" applyFont="1"/>
    <xf numFmtId="0" fontId="31" fillId="0" borderId="1" xfId="0" pivotButton="1" applyFont="1" applyBorder="1"/>
    <xf numFmtId="0" fontId="30" fillId="0" borderId="1" xfId="0" applyFont="1" applyBorder="1"/>
    <xf numFmtId="0" fontId="32" fillId="0" borderId="0" xfId="0" pivotButton="1" applyFont="1"/>
    <xf numFmtId="167" fontId="30" fillId="0" borderId="0" xfId="0" applyNumberFormat="1" applyFont="1"/>
    <xf numFmtId="14" fontId="10" fillId="7" borderId="1" xfId="0" applyNumberFormat="1" applyFont="1" applyFill="1" applyBorder="1" applyAlignment="1">
      <alignment horizontal="left" vertical="center"/>
    </xf>
    <xf numFmtId="2" fontId="6" fillId="0" borderId="1" xfId="0" applyNumberFormat="1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vertical="center"/>
    </xf>
    <xf numFmtId="0" fontId="0" fillId="0" borderId="4" xfId="0" applyBorder="1"/>
    <xf numFmtId="0" fontId="30" fillId="0" borderId="0" xfId="0" applyNumberFormat="1" applyFont="1"/>
    <xf numFmtId="168" fontId="0" fillId="0" borderId="0" xfId="0" applyNumberFormat="1"/>
    <xf numFmtId="2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left" vertical="center"/>
    </xf>
    <xf numFmtId="2" fontId="7" fillId="2" borderId="5" xfId="0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left" vertical="center"/>
    </xf>
    <xf numFmtId="2" fontId="0" fillId="0" borderId="1" xfId="0" applyNumberFormat="1" applyFont="1" applyFill="1" applyBorder="1" applyAlignment="1">
      <alignment horizontal="left" vertical="center"/>
    </xf>
    <xf numFmtId="2" fontId="18" fillId="0" borderId="1" xfId="0" applyNumberFormat="1" applyFont="1" applyFill="1" applyBorder="1" applyAlignment="1">
      <alignment horizontal="left" vertical="center"/>
    </xf>
    <xf numFmtId="0" fontId="0" fillId="0" borderId="0" xfId="0" applyBorder="1"/>
    <xf numFmtId="0" fontId="30" fillId="0" borderId="3" xfId="0" applyFont="1" applyBorder="1"/>
  </cellXfs>
  <cellStyles count="13">
    <cellStyle name="Excel Built-in Normal" xfId="5"/>
    <cellStyle name="Moneda" xfId="6" builtinId="4"/>
    <cellStyle name="Normal" xfId="0" builtinId="0"/>
    <cellStyle name="Normal 2" xfId="7"/>
    <cellStyle name="Normal 2 3" xfId="3"/>
    <cellStyle name="Normal 3" xfId="4"/>
    <cellStyle name="Normal 3 2" xfId="11"/>
    <cellStyle name="Normal 4" xfId="2"/>
    <cellStyle name="Normal 5" xfId="8"/>
    <cellStyle name="Normal 6" xfId="9"/>
    <cellStyle name="Normal 7" xfId="10"/>
    <cellStyle name="Normal 8" xfId="12"/>
    <cellStyle name="Normal_Hoja1" xfId="1"/>
  </cellStyles>
  <dxfs count="2798">
    <dxf>
      <alignment wrapText="1" readingOrder="0"/>
    </dxf>
    <dxf>
      <numFmt numFmtId="168" formatCode="&quot;$&quot;\ #,##0.00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font>
        <sz val="14"/>
      </font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ont>
        <color theme="0"/>
      </font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numFmt numFmtId="167" formatCode="_ &quot;$&quot;\ * #,##0_ ;_ &quot;$&quot;\ * \-#,##0_ ;_ &quot;$&quot;\ * &quot;-&quot;??_ ;_ @_ 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BASE RRHH SFMyC 22-08-2016.xlsm]X AREA!Tabla dinámica2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</c:pivotFmts>
    <c:plotArea>
      <c:layout/>
      <c:pieChart>
        <c:varyColors val="1"/>
        <c:ser>
          <c:idx val="0"/>
          <c:order val="0"/>
          <c:tx>
            <c:strRef>
              <c:f>'X AREA'!$B$3:$B$4</c:f>
              <c:strCache>
                <c:ptCount val="1"/>
                <c:pt idx="0">
                  <c:v>Cuenta de APELLIDO Y NOMBRE/S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'X AREA'!$A$5:$A$16</c:f>
              <c:strCache>
                <c:ptCount val="11"/>
                <c:pt idx="0">
                  <c:v>DIR GRAL TECNICA ADMINISTRATIVA Y LEGAL</c:v>
                </c:pt>
                <c:pt idx="1">
                  <c:v>DIR NAC EXPRESIONES FEDERALES</c:v>
                </c:pt>
                <c:pt idx="2">
                  <c:v>DIR NAC GENERACION DE CONTENIDOS</c:v>
                </c:pt>
                <c:pt idx="3">
                  <c:v>DIRECCION NACIONAL DE CENTROS TEMATICOS</c:v>
                </c:pt>
                <c:pt idx="4">
                  <c:v>UNIDAD DE MINISTRO</c:v>
                </c:pt>
                <c:pt idx="5">
                  <c:v>(en blanco)</c:v>
                </c:pt>
                <c:pt idx="6">
                  <c:v>COMUNICACIONES</c:v>
                </c:pt>
                <c:pt idx="7">
                  <c:v>DIR DE COOPERACION INTERNACIONAL</c:v>
                </c:pt>
                <c:pt idx="8">
                  <c:v>ARTES VISUALES</c:v>
                </c:pt>
                <c:pt idx="9">
                  <c:v>UNIDAD SUBSECRETARIO</c:v>
                </c:pt>
                <c:pt idx="10">
                  <c:v>UNIDAD SECRETARÍA</c:v>
                </c:pt>
              </c:strCache>
            </c:strRef>
          </c:cat>
          <c:val>
            <c:numRef>
              <c:f>'X AREA'!$B$5:$B$16</c:f>
              <c:numCache>
                <c:formatCode>General</c:formatCode>
                <c:ptCount val="11"/>
                <c:pt idx="0">
                  <c:v>133</c:v>
                </c:pt>
                <c:pt idx="1">
                  <c:v>223</c:v>
                </c:pt>
                <c:pt idx="2">
                  <c:v>231</c:v>
                </c:pt>
                <c:pt idx="3">
                  <c:v>270</c:v>
                </c:pt>
                <c:pt idx="4">
                  <c:v>29</c:v>
                </c:pt>
                <c:pt idx="5">
                  <c:v>7</c:v>
                </c:pt>
                <c:pt idx="6">
                  <c:v>20</c:v>
                </c:pt>
                <c:pt idx="7">
                  <c:v>3</c:v>
                </c:pt>
                <c:pt idx="8">
                  <c:v>35</c:v>
                </c:pt>
                <c:pt idx="9">
                  <c:v>31</c:v>
                </c:pt>
                <c:pt idx="10">
                  <c:v>33</c:v>
                </c:pt>
              </c:numCache>
            </c:numRef>
          </c:val>
        </c:ser>
        <c:ser>
          <c:idx val="1"/>
          <c:order val="1"/>
          <c:tx>
            <c:strRef>
              <c:f>'X AREA'!$C$3:$C$4</c:f>
              <c:strCache>
                <c:ptCount val="1"/>
                <c:pt idx="0">
                  <c:v>Cuenta de Julio + 10%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'X AREA'!$A$5:$A$16</c:f>
              <c:strCache>
                <c:ptCount val="11"/>
                <c:pt idx="0">
                  <c:v>DIR GRAL TECNICA ADMINISTRATIVA Y LEGAL</c:v>
                </c:pt>
                <c:pt idx="1">
                  <c:v>DIR NAC EXPRESIONES FEDERALES</c:v>
                </c:pt>
                <c:pt idx="2">
                  <c:v>DIR NAC GENERACION DE CONTENIDOS</c:v>
                </c:pt>
                <c:pt idx="3">
                  <c:v>DIRECCION NACIONAL DE CENTROS TEMATICOS</c:v>
                </c:pt>
                <c:pt idx="4">
                  <c:v>UNIDAD DE MINISTRO</c:v>
                </c:pt>
                <c:pt idx="5">
                  <c:v>(en blanco)</c:v>
                </c:pt>
                <c:pt idx="6">
                  <c:v>COMUNICACIONES</c:v>
                </c:pt>
                <c:pt idx="7">
                  <c:v>DIR DE COOPERACION INTERNACIONAL</c:v>
                </c:pt>
                <c:pt idx="8">
                  <c:v>ARTES VISUALES</c:v>
                </c:pt>
                <c:pt idx="9">
                  <c:v>UNIDAD SUBSECRETARIO</c:v>
                </c:pt>
                <c:pt idx="10">
                  <c:v>UNIDAD SECRETARÍA</c:v>
                </c:pt>
              </c:strCache>
            </c:strRef>
          </c:cat>
          <c:val>
            <c:numRef>
              <c:f>'X AREA'!$C$5:$C$16</c:f>
              <c:numCache>
                <c:formatCode>General</c:formatCode>
                <c:ptCount val="11"/>
                <c:pt idx="0">
                  <c:v>128</c:v>
                </c:pt>
                <c:pt idx="1">
                  <c:v>222</c:v>
                </c:pt>
                <c:pt idx="2">
                  <c:v>231</c:v>
                </c:pt>
                <c:pt idx="3">
                  <c:v>270</c:v>
                </c:pt>
                <c:pt idx="4">
                  <c:v>29</c:v>
                </c:pt>
                <c:pt idx="5">
                  <c:v>5</c:v>
                </c:pt>
                <c:pt idx="6">
                  <c:v>20</c:v>
                </c:pt>
                <c:pt idx="7">
                  <c:v>3</c:v>
                </c:pt>
                <c:pt idx="8">
                  <c:v>20</c:v>
                </c:pt>
                <c:pt idx="9">
                  <c:v>31</c:v>
                </c:pt>
                <c:pt idx="10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/>
          </a:pPr>
          <a:endParaRPr lang="es-A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BASE RRHH SFMyC 22-08-2016.xlsm]SECRETARIA!Tabla dinámica3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SECRETARIA!$B$3:$B$4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SECRETARIA!$A$5:$A$8</c:f>
              <c:strCache>
                <c:ptCount val="3"/>
                <c:pt idx="0">
                  <c:v>SEC CONTENIDOS PUBLICOS</c:v>
                </c:pt>
                <c:pt idx="1">
                  <c:v>(en blanco)</c:v>
                </c:pt>
                <c:pt idx="2">
                  <c:v>SEC MEDIOS PUBLICOS</c:v>
                </c:pt>
              </c:strCache>
            </c:strRef>
          </c:cat>
          <c:val>
            <c:numRef>
              <c:f>SECRETARIA!$B$5:$B$8</c:f>
              <c:numCache>
                <c:formatCode>General</c:formatCode>
                <c:ptCount val="3"/>
                <c:pt idx="0">
                  <c:v>839</c:v>
                </c:pt>
                <c:pt idx="1">
                  <c:v>168</c:v>
                </c:pt>
                <c:pt idx="2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</xdr:row>
      <xdr:rowOff>138112</xdr:rowOff>
    </xdr:from>
    <xdr:to>
      <xdr:col>12</xdr:col>
      <xdr:colOff>57150</xdr:colOff>
      <xdr:row>29</xdr:row>
      <xdr:rowOff>114300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352424</xdr:colOff>
      <xdr:row>3</xdr:row>
      <xdr:rowOff>33336</xdr:rowOff>
    </xdr:from>
    <xdr:to>
      <xdr:col>9</xdr:col>
      <xdr:colOff>495299</xdr:colOff>
      <xdr:row>22</xdr:row>
      <xdr:rowOff>95249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BRIEL RRHH" refreshedDate="42600.500718055555" createdVersion="4" refreshedVersion="4" minRefreshableVersion="3" recordCount="1018">
  <cacheSource type="worksheet">
    <worksheetSource ref="A3:AB1020" sheet="BASE DATOS"/>
  </cacheSource>
  <cacheFields count="25">
    <cacheField name="MINISTERIO" numFmtId="2">
      <sharedItems/>
    </cacheField>
    <cacheField name="SECRETARÍA" numFmtId="2">
      <sharedItems containsBlank="1" count="15">
        <s v="SEC CONTENIDOS PUBLICOS"/>
        <m/>
        <s v="SEC MEDIOS PUBLICOS"/>
        <s v="SFMyCP" u="1"/>
        <s v="PROG 59" u="1"/>
        <s v="MODERNIZACIÓN" u="1"/>
        <s v="MODERNIZACION" u="1"/>
        <s v="MIN SALUD" u="1"/>
        <s v="OBRAS PUBLICAS" u="1"/>
        <s v="TECNÓPOLIS" u="1"/>
        <s v="CCK" u="1"/>
        <s v="SEDRONAR" u="1"/>
        <s v="MIN COMUNICACIÓNES" u="1"/>
        <s v="JEFATURA DE GABINETE DE MINISTROS" u="1"/>
        <s v="MIN COMUNICACIONES" u="1"/>
      </sharedItems>
    </cacheField>
    <cacheField name="SUBSECRETARÍA" numFmtId="2">
      <sharedItems containsBlank="1"/>
    </cacheField>
    <cacheField name="DIRECCIÓN/ÁREA" numFmtId="2">
      <sharedItems containsBlank="1"/>
    </cacheField>
    <cacheField name="AREA / DEPENDENCIA" numFmtId="2">
      <sharedItems containsBlank="1"/>
    </cacheField>
    <cacheField name="SECTOR" numFmtId="2">
      <sharedItems containsBlank="1"/>
    </cacheField>
    <cacheField name="SUB SECTOR" numFmtId="2">
      <sharedItems containsBlank="1"/>
    </cacheField>
    <cacheField name="PUESTO" numFmtId="2">
      <sharedItems containsBlank="1"/>
    </cacheField>
    <cacheField name="FUNCION" numFmtId="2">
      <sharedItems containsBlank="1"/>
    </cacheField>
    <cacheField name="UBICACIÓN FÍSICA" numFmtId="2">
      <sharedItems containsBlank="1"/>
    </cacheField>
    <cacheField name="Entrega Banelcos" numFmtId="2">
      <sharedItems containsBlank="1"/>
    </cacheField>
    <cacheField name="APELLIDO Y NOMBRE/S" numFmtId="0">
      <sharedItems containsBlank="1"/>
    </cacheField>
    <cacheField name="DNI" numFmtId="2">
      <sharedItems containsBlank="1"/>
    </cacheField>
    <cacheField name="NRO" numFmtId="3">
      <sharedItems containsString="0" containsBlank="1" containsNumber="1" containsInteger="1" minValue="1826888" maxValue="95147687"/>
    </cacheField>
    <cacheField name="CUIT" numFmtId="0">
      <sharedItems containsBlank="1" containsMixedTypes="1" containsNumber="1" containsInteger="1" minValue="33623466" maxValue="27947799814"/>
    </cacheField>
    <cacheField name="F Nacimiento" numFmtId="0">
      <sharedItems containsDate="1" containsBlank="1" containsMixedTypes="1" minDate="1938-08-03T00:00:00" maxDate="1998-05-16T00:00:00"/>
    </cacheField>
    <cacheField name="LM O AT" numFmtId="0">
      <sharedItems containsBlank="1"/>
    </cacheField>
    <cacheField name="TIPO" numFmtId="0">
      <sharedItems containsBlank="1"/>
    </cacheField>
    <cacheField name="INGRESO" numFmtId="14">
      <sharedItems containsNonDate="0" containsDate="1" containsString="0" containsBlank="1" minDate="2005-01-01T00:00:00" maxDate="2016-08-02T00:00:00"/>
    </cacheField>
    <cacheField name="VTO CONTRATO" numFmtId="14">
      <sharedItems containsNonDate="0" containsDate="1" containsString="0" containsBlank="1" minDate="2016-03-31T00:00:00" maxDate="2017-01-01T00:00:00"/>
    </cacheField>
    <cacheField name="Fin Contrato" numFmtId="14">
      <sharedItems containsNonDate="0" containsDate="1" containsString="0" containsBlank="1" minDate="2016-07-31T00:00:00" maxDate="2017-01-01T00:00:00"/>
    </cacheField>
    <cacheField name="CATEG LM" numFmtId="2">
      <sharedItems containsBlank="1"/>
    </cacheField>
    <cacheField name="UNIVERSIDAD" numFmtId="0">
      <sharedItems containsBlank="1"/>
    </cacheField>
    <cacheField name="CONVENIO AT" numFmtId="0">
      <sharedItems containsBlank="1"/>
    </cacheField>
    <cacheField name="ANTERIOR" numFmtId="165">
      <sharedItems containsBlank="1" containsMixedTypes="1" containsNumber="1" minValue="1700" maxValue="3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BRIEL RRHH" refreshedDate="42605.5284181713" createdVersion="4" refreshedVersion="4" minRefreshableVersion="3" recordCount="1019">
  <cacheSource type="worksheet">
    <worksheetSource ref="A3:AF1020" sheet="BASE DATOS"/>
  </cacheSource>
  <cacheFields count="38">
    <cacheField name="MINISTERIO" numFmtId="2">
      <sharedItems containsBlank="1" count="2">
        <s v="SFMyCP"/>
        <m u="1"/>
      </sharedItems>
    </cacheField>
    <cacheField name="SECRETARÍA" numFmtId="2">
      <sharedItems containsBlank="1" count="8">
        <s v="SEC CONTENIDOS PUBLICOS"/>
        <m/>
        <s v="SEC MEDIOS PUBLICOS"/>
        <s v="MIN SALUD" u="1"/>
        <s v="SFMyCP" u="1"/>
        <s v="MODERNIZACION" u="1"/>
        <s v="MIN COMUNICACIÓNES" u="1"/>
        <s v="SEDRONAR" u="1"/>
      </sharedItems>
    </cacheField>
    <cacheField name="SUBSECRETARÍA" numFmtId="2">
      <sharedItems containsBlank="1" count="2">
        <m/>
        <s v="SUBSEC CENTROS TEMATICOS Y EXP FEDERALES"/>
      </sharedItems>
    </cacheField>
    <cacheField name="DIRECCIÓN/ÁREA" numFmtId="2">
      <sharedItems containsBlank="1" count="16">
        <s v="DIR NAC GENERACION DE CONTENIDOS"/>
        <s v="DIR NAC EXPRESIONES FEDERALES"/>
        <s v="UNIDAD DE MINISTRO"/>
        <s v="DIRECCION NACIONAL DE CENTROS TEMATICOS"/>
        <s v="UNIDAD SECRETARÍA"/>
        <s v="DIR GRAL TECNICA ADMINISTRATIVA Y LEGAL"/>
        <s v="ARTES VISUALES"/>
        <s v="UNIDAD SUBSECRETARIO"/>
        <s v="COMUNICACIONES"/>
        <s v="DIR DE COOPERACION INTERNACIONAL"/>
        <m/>
        <s v="MODERNIZACION" u="1"/>
        <s v="DIRECCIÓN GESIÓN DE CONVENIOS" u="1"/>
        <s v="UNIDAD SECRETARIO" u="1"/>
        <s v="SEDRONAR" u="1"/>
        <s v="SUB SEC CENTROS TEMATICOS Y EXP FEDERALES" u="1"/>
      </sharedItems>
    </cacheField>
    <cacheField name="AREA / DEPENDENCIA" numFmtId="2">
      <sharedItems containsBlank="1" count="55">
        <s v="INV. AP. RECURSOS DIGITALES"/>
        <s v="COMUNICACIÓN"/>
        <m/>
        <s v="INTENDENCIA - LIMPIEZA"/>
        <s v="GASTRONOMIA"/>
        <s v="DIRECCION DE GESTION EDILICIA"/>
        <s v="INTENDENCIA- MANTENIMIENTO"/>
        <s v="PRESUPUESTO"/>
        <s v="TELEVISION DIGITAL ABIERTA"/>
        <s v="ADMINISTRACION- RRHH"/>
        <s v="PRODUCCIÓN"/>
        <s v="PROYECTOS ESPECIALES"/>
        <s v="ARTES VISUALES"/>
        <s v="ADMINISTRACION -LEGALES"/>
        <s v="AUDIOVISUALES"/>
        <s v="INTENDENCIA - TALLERES"/>
        <s v="INSTITUCIONALES"/>
        <s v="PLANIF  Y ADM DE REC HUMANOS"/>
        <s v="JURIDICOS"/>
        <s v="ADMINISTRACION- RECEPCION"/>
        <s v="OPERATIVA"/>
        <s v="INTENDENCIA- PARQUIZACION"/>
        <s v="INTENDENCIA- ACREDITACIONES"/>
        <s v="ARQUITECTURA Y OBRA"/>
        <s v="COOPERATIVAS"/>
        <s v="MESA DE ENTRADA"/>
        <s v="INFORMATICA Y SISTEMAS"/>
        <s v="TECNICA"/>
        <s v="INTENDENCIA - MESA DE AYUDA"/>
        <s v="INTENDENCIA -MESA DE AYUDA"/>
        <s v="COMPRAS Y CONTRATACIONES"/>
        <s v="DIRECCION"/>
        <s v="INTENDENCIA - FERIAL"/>
        <s v="ADMINISTRACION- RELACIONES INSTITUCIONALES"/>
        <s v="JEFATURA DE GABINETE"/>
        <s v="MANTENIMIENTO"/>
        <s v="INTENDENCIA - PARQUIZACION"/>
        <s v="DIRECCION GENERAL"/>
        <s v="COMUNICACIONES"/>
        <s v="ADMINISTRACION"/>
        <s v="OPERATIVA (ADMINISTRACION)"/>
        <s v="INTENDENCIA- LIMPIEZA/ PARQUIZACION"/>
        <s v="INTENDENCIA - PREDIO FERIAL"/>
        <s v="FOMENTO"/>
        <s v="INTENDENCIA - MANTENIMIENTO"/>
        <s v="MESA DE AYUDA"/>
        <s v="INTENDENCIA- FERIAL"/>
        <s v="CIBERSALUD"/>
        <s v="COMUNICACIÓN - SIN ASIGNAR TAREA"/>
        <s v="ADMINISTRACION- CADETE"/>
        <s v="DIRECCION " u="1"/>
        <s v="DIRECCIÓN " u="1"/>
        <s v="NÚCLEOS DE ACCESO AL CONOCIMIENTO" u="1"/>
        <s v="UNIDAD DE MINISTRO" u="1"/>
        <s v="DIRECCIÓN GESIÓN DE CONVENIOS" u="1"/>
      </sharedItems>
    </cacheField>
    <cacheField name="SECTOR" numFmtId="2">
      <sharedItems containsBlank="1" count="29">
        <s v="CTRO INV PALPALA"/>
        <s v="PRENSA"/>
        <m/>
        <s v="OPERATIVA Y LOGISTICA"/>
        <s v="PRESIDENCIA"/>
        <s v="MESA DE AYUDA"/>
        <s v="CIARA"/>
        <s v="SUPERMAX"/>
        <s v="ESPACIOS FISICOS"/>
        <s v="TDA"/>
        <s v="TECNICA"/>
        <s v="VISITAS GUIADAS"/>
        <s v="S. GENERALES - AUTOMOTORES"/>
        <s v="MANTENIMIENTO"/>
        <s v="SERVICIOS GENERALES"/>
        <s v="MEDICINA DEL TRABAJO"/>
        <s v="AUDITORIA Y CONTROL"/>
        <s v="RECURSOS HUMANOS"/>
        <s v="DIRECCION"/>
        <s v="SEGURIDAD  "/>
        <s v="MONTAJE"/>
        <s v="SEGURIDAD E HIGIENE"/>
        <s v="COOPERATIVAS"/>
        <s v="CONTROL Y PLANIFICACION"/>
        <s v="EQUIPO CONTROL Y PLANIFICACION"/>
        <s v="VIATICOS"/>
        <s v="INTEGRACION DIGITAL"/>
        <s v="COORDINACION OPERATIVA NAC" u="1"/>
        <s v="Técnica" u="1"/>
      </sharedItems>
    </cacheField>
    <cacheField name="SUB SECTOR" numFmtId="2">
      <sharedItems containsBlank="1"/>
    </cacheField>
    <cacheField name="PUESTO" numFmtId="2">
      <sharedItems containsBlank="1"/>
    </cacheField>
    <cacheField name="FUNCION" numFmtId="2">
      <sharedItems containsBlank="1"/>
    </cacheField>
    <cacheField name="UBICACIÓN FÍSICA" numFmtId="2">
      <sharedItems containsBlank="1"/>
    </cacheField>
    <cacheField name="Entrega Banelcos" numFmtId="2">
      <sharedItems containsBlank="1"/>
    </cacheField>
    <cacheField name="APELLIDO Y NOMBRE/S" numFmtId="0">
      <sharedItems containsBlank="1" count="1119">
        <s v="ABARZA VICTOR"/>
        <s v="ABREU NICOLAS"/>
        <s v="ACEBO, SILVIA"/>
        <s v="ACHAGNA Alberto Emanuel"/>
        <s v="ACOSTA  NATALIA LORENA"/>
        <s v="ACOSTA HUGO"/>
        <s v="ACOSTA Noelia Noemí"/>
        <s v="AGÜERO, LISANDRO"/>
        <s v="AGUIAR  NÉSTOR"/>
        <s v="AGUILAR NADIA CANDELA"/>
        <s v="AGUSTINHO GUSTAVO"/>
        <s v="AHUMADA CABRERA Claudia Ximena"/>
        <s v="AHUMADA CABRERA Erika Sofia"/>
        <s v="AHUMADA HECTOR DANIEL"/>
        <s v="ALBERTI CYNTHIA"/>
        <s v="ALBORNOZ MARIA CLARA"/>
        <s v="ALDAVE GABRIELA"/>
        <s v="ALEMAN JUAN MANUEL"/>
        <s v="ALFARO AGUSTÍN "/>
        <s v="ALFIE  MARIA SOL"/>
        <s v="ALMIRON MIRTA NOEMI"/>
        <s v="ALONSO RODRIGO"/>
        <s v="ALSINA Agustin Santiago"/>
        <s v="ALVAREZ  MARIA PAZ"/>
        <s v="ALVAREZ AGUSTIN"/>
        <s v="ALVAREZ LUIS ALBERTO"/>
        <s v="ALVAREZ VICENTE IGNACIO"/>
        <s v="ALVAREZ VICENTE MARIA"/>
        <s v="AMANTE Alberto Daniel"/>
        <s v="AMAYA MARCELA"/>
        <s v="AMODEO Laura"/>
        <s v="ANDINO FLORENCIA"/>
        <s v="ANGELOZZI MELISA"/>
        <s v="ANTÍA BERNARDO"/>
        <s v="APAZA CAROLINA CECILIA"/>
        <s v="APICELLA FABIANA"/>
        <s v="ARAMBURU PEIRETTI VICTORIA"/>
        <s v="ARANA CARLOS ALBERTO"/>
        <s v="ARANEGA JEREMÍAS ALBERTO"/>
        <s v="ARAUJO Luciano Andres"/>
        <s v="ARBO SANTIAGO"/>
        <s v="ARBOR JULIA"/>
        <s v="ARCE  ALBERTO SEBASTIAN"/>
        <s v="ARCE  NOEMI PATRICIA"/>
        <s v="ARCIDIACONO SEBASTIAN"/>
        <s v="ARELLANO KARINA"/>
        <s v="ARGONDIZZO DANIEL"/>
        <s v="ARIAS CRISTIAN"/>
        <s v="ARICETA MARCELA"/>
        <s v="ARRIAGA CRISTIAN"/>
        <s v="ARZUAGA ANDRES"/>
        <s v="ASTARITO María Florencia"/>
        <s v="AUCAPIÑA MATIAS ROBERTO"/>
        <s v="AUED María Cecilia"/>
        <s v="AVALOS  JORGE RUBEN"/>
        <s v="AVALOS MAIRA JAVMIN IARA"/>
        <s v="AVALOS MONICA"/>
        <s v="AVRUJ FERNANDO"/>
        <s v="AZUAGA BAEZ Lucian Beder"/>
        <s v="AZZAM ANA"/>
        <s v="AZZOLINI MARCELO"/>
        <s v="BAEZ  ANGEL"/>
        <s v="BAEZ ESTEBAN"/>
        <s v="BALBUENA  DIEGO DANIE"/>
        <s v="BALCAZAR JORGE DANIEL"/>
        <s v="BALDASSARRE Luz María "/>
        <s v="BALDIOLI CLAUIDA ALEJANDRA"/>
        <s v="BALDUCCI  ANALÍA"/>
        <s v="BALMACEDA NAYLA "/>
        <s v="BALSAMO, RICARDO"/>
        <s v="BARBIERI MAXIMILIANO"/>
        <s v="BAREIRO Carla Maribel"/>
        <s v="BARELA, LILIANA"/>
        <s v="BAROLI  DANIEL RUBEN"/>
        <s v="BARRAGAN Ricardo"/>
        <s v="BARRAZA MARCELO"/>
        <s v="BARRIONUEVO MARIA MARTA"/>
        <s v="BARRIONUEVO Ricardo Javier"/>
        <s v="BARROZO, KARINA ISABEL"/>
        <s v="BARTOLOMÉ PAULA"/>
        <s v="PRESUTTI JEREMIAS"/>
        <s v="CARRERA LUCIA"/>
        <s v="ARONA BARBARA"/>
        <s v="BACIGALUPO SOFIA"/>
        <s v="BARBONI CONSTANZA"/>
        <s v="LOS MELINA VIVIANA"/>
        <s v="BEY PRISCILA"/>
        <s v="MARTINEZ YAIR"/>
        <s v="DIAMENT DENISE GISELLE"/>
        <s v="CASAÑA PABLO MARTIN"/>
        <s v="VAZQUEZ AGUSTINA"/>
        <s v="BENAVIDES SOL"/>
        <s v="BATTISTOZZI ANA"/>
        <s v="BAZAN MARCELA ADRIANA"/>
        <s v="BEDINI HERNANDEZ LUCILA"/>
        <s v="BEHN FABRIZIO"/>
        <s v="BELTRAME ÉNOLA"/>
        <s v="BELTRAN LEONARDO ANTONIO"/>
        <s v="BENANTAR FAYÇAL"/>
        <s v="BENAVIDEZ CORDOBA Lucas Belisario A."/>
        <s v="BENEDETTI, RICARDO"/>
        <s v="BENGOLEA, MARTIN HERNAN"/>
        <s v="BENITEZ  FELIX SATURNINO"/>
        <s v="BENITEZ  JULIO CESAR"/>
        <s v="BENITEZ STRAKA ORLANDO"/>
        <s v="BERDINI MARIA ANGELICA"/>
        <s v="BERDYSZAK CLAUDIA ELENA"/>
        <s v="BERENGUA LUCIANO"/>
        <s v="BERMUDEZ CORTEZ Ariel Felipe"/>
        <s v="BERNARDO MARIA MURIEL"/>
        <s v="BERSUSKY DIEGO MARTIN"/>
        <s v="BERTERRE LETICIA"/>
        <s v="BESSE YESSICA"/>
        <s v="BETELLA MARITA TERESITA"/>
        <s v="BEURET GUSTAVO"/>
        <s v="BIAUS IBARBORDE MARIA VIRGINIA"/>
        <s v="BIELE Carlos David"/>
        <s v="BILLONI AHUMADA NAHUEL ANIBAL"/>
        <s v="BIONDO PAULA"/>
        <s v="BLANCO ALEJANDRO RAMON"/>
        <s v="BOASS DIEGO"/>
        <s v="BOAZZO GASTON LEONEL"/>
        <s v="BOBILLO GABRIEL"/>
        <s v="BOCCI FIORELLA"/>
        <s v="BONANNI Héctor Daniel"/>
        <s v="BONATO LUCAS GASTON"/>
        <s v="BONAVERA RENDO SANTIAGO"/>
        <s v="BORELLI, AVELINO OSCAR"/>
        <s v="BORGET JUAN MARTIN"/>
        <s v="BORREL MARIA JULIETA"/>
        <s v="BOTTAZZI MARIA"/>
        <s v="BOUZON ARIANA"/>
        <s v="BRADLEY GUILLERMO"/>
        <s v="BRAHIN MARIANELLA"/>
        <s v="BRAUDE SEBASTIAN"/>
        <s v="BRAVO  MARCELO"/>
        <s v="BRITEZ  GUSTAVO"/>
        <s v="BRUNO ANALIA"/>
        <s v="BRUNO SABRINA ALEJANDRA"/>
        <s v="BRUZZONI Ariel Esteban"/>
        <s v="BUGLIO  EMILIANO CRUZ"/>
        <s v="BUNSOW GUSTAVO"/>
        <s v="BUONOCORE NATALIA"/>
        <s v="BURLATO ROSA ANGELA"/>
        <s v="BURSZTYN ANDRES"/>
        <s v="BUSSOLA FLORENCIA"/>
        <s v="BUSTOS  JORGE JONATHAN"/>
        <s v="BUSTOS CIUCOLI FERNANDA"/>
        <s v="BUSTOS Lucas Matías"/>
        <s v="BUSTOS VIVIANA"/>
        <s v="CABALLERO CACERES JUANMANUELA"/>
        <s v="CABEZA ALMIRON LUCIANO"/>
        <s v="CABRAL JUAN"/>
        <s v="CABRERA  FLAVIA GRACIELA"/>
        <s v="CABRERA VALERIA"/>
        <s v="CACCAMO SILVIA GRACIELA"/>
        <s v="CACCIOLA TOMAS"/>
        <s v="CACERES LEGUIZAMON SELVA"/>
        <s v="CACERES SASSO NICOLAS"/>
        <s v="CAIGUARA NORA VIVIANA"/>
        <s v="CAJADE VALERIA SOLEDAD"/>
        <s v="CALCARAMI EUGENIA"/>
        <s v="CALCATELLI HERNÁN"/>
        <s v="CALDERON MARIA EUGENIA"/>
        <s v="CALIUSCO PERLA EDITH"/>
        <s v="CALVELO ALFREDO"/>
        <s v="CALZADO, MATÍAS"/>
        <s v="CAMATS DIEGO"/>
        <s v="CAMBIAGGI HOLZMANN JOAQUIN ARIEL"/>
        <s v="CAMINOS GONZALEZ JOAQUIN"/>
        <s v="CAMPANA JAVIER"/>
        <s v="CANGIANI EMMANUEL"/>
        <s v="CANNIZZARO ANA"/>
        <s v="CANOSA MARICEL"/>
        <s v="CARABAJAL ALEJANDRO NICOLAS"/>
        <s v="CARACINI ANDRES HORACIO"/>
        <s v="CARAM ADRIAN"/>
        <s v="CARCA GUSTAVO"/>
        <s v="CARCATERRA VICTORIA"/>
        <s v="CARDENES HECTOR DANIEL"/>
        <s v="CARDERO HORACIO"/>
        <s v="CARDOZO  GRACIELA DELMIRA"/>
        <s v="CARDOZO ANDREA"/>
        <s v="CARDOZO EDUARDO HERNAN"/>
        <s v="CARDUS MARIA MOHORADE"/>
        <s v="CARELLO SABRINA"/>
        <s v="CARINI DIEGO"/>
        <s v="CARNEVALE  María Luciana"/>
        <s v="CARPENA NICOLAS"/>
        <s v="CARRILLO FELIX EDUARDO"/>
        <s v="CARRUTHERS FEDERICO"/>
        <s v="CARUSO DIEGO EZEQUIEL"/>
        <s v="CASADO MARIANO"/>
        <s v="CASAK ANDRES"/>
        <s v="CASCO GUILLERMO"/>
        <s v="CASTELLI Carla"/>
        <s v="CASTELLUCCI MARIANA"/>
        <s v="CASTIELLO NICOLAS"/>
        <s v="CASTILLO  MARIA ANGELES"/>
        <s v="CASTILLO ENZO"/>
        <s v="CASTRO  MARIA INES"/>
        <s v="CASTRO ABRAHAM"/>
        <s v="CASTRO ANALIA"/>
        <s v="CASTRO Diego Fernando"/>
        <s v="CATERBERG LEANDRO"/>
        <s v="CATTANEO Juan Ignacio"/>
        <s v="CAVA, FERNANDA"/>
        <s v="CELANO  JUAN MANUEL"/>
        <s v="CENA RODOLFO ELIAS"/>
        <s v="CERINI CAROLINA "/>
        <s v="CERNIUS GUSTAVO ALBERTO"/>
        <s v="CES OZAN CAROLINA"/>
        <s v="CESPEDES MARICONDA VICTORIA"/>
        <s v="CHACON PABLO GREGORIO"/>
        <s v="CHAPARRO Yanina"/>
        <s v="CHAVES  JUAN CARLOS"/>
        <s v="CHAVES Anahí Soledad"/>
        <s v="CHEMES, MARIANO"/>
        <s v="CHIMENTON LOURDES"/>
        <s v="CHIOCCONI Carlos Alberto"/>
        <s v="CHRISTENSEN ANDREA VANINA"/>
        <s v="CIARLANTINI DARIO"/>
        <s v="CIBEIRA, MARIA"/>
        <s v="CICCOTOSTTO ROMINA"/>
        <s v="CIORDIA, GENOVEVA SUSANA"/>
        <s v="CLAUDINO MARIELA"/>
        <s v="COLER PAOLA"/>
        <s v="COLO DANIELA"/>
        <s v="COLONNA Marilyn"/>
        <s v="CONCILIO MARIA DEL ROSARIO"/>
        <s v="CONSIGLI, JULIANA"/>
        <s v="COPELLO ALEJANDRO"/>
        <s v="COPELLO MARINA"/>
        <s v="CORIAS IACOVINO ADRIEL"/>
        <s v="ACHAVAL PABLO"/>
        <s v="CASTELLANOS ANA MARIEL"/>
        <s v="CORONEL MARCELO ADRIAN"/>
        <s v="CORSALINI MARCO PABLO"/>
        <s v="CORTEZ Silvia Luisa"/>
        <s v="COSTA ANABELLA ROXANA"/>
        <s v="COSTA IVANA"/>
        <s v="CRETELLA Pablo Gabriel"/>
        <s v="CREVATINI  María Sol"/>
        <s v="CRUZ MATEO EZEQUIEL"/>
        <s v="CUASNICU JULIA"/>
        <s v="CUELLAR Jonathan Nahuel"/>
        <s v="CUELLAR OLGA"/>
        <s v="CUEVAS DANIEL"/>
        <s v="CUEVAS, GUSTAVO"/>
        <s v="CURRAS OSCAR"/>
        <s v="CUSI MARIEL"/>
        <s v="D´AMBROSIO Mara"/>
        <s v="D´ANGELO LORENZO"/>
        <s v="D´AURIA LEONARDO"/>
        <s v="D´HERS JUAN"/>
        <s v="D´HERS TOMAS"/>
        <s v="DAGUANNO FLORENCIA CAROLINA"/>
        <s v="DALIA Gonzalo Martin"/>
        <s v="DANIEL DANIRA"/>
        <s v="DE ARTEAGA ALICIA MARIA"/>
        <s v="DE CESARE Martin Julian"/>
        <s v="DE GANAY AGUSTINA"/>
        <s v="DE GENNARO LUCÍA"/>
        <s v="DE LA CUADRA GONZALO"/>
        <s v="DE LA FUENTE SILVIA ANDREA"/>
        <s v="DE MIGUEL NAHIR DEBORA"/>
        <s v="DE SIMONE PABLO JAVIER"/>
        <s v="DEL CASSALE DANIELA"/>
        <s v="DEL VALLE  LUCAS JAVIER"/>
        <s v="DELGADO  ALICIA SUSANA"/>
        <s v="DELGADO PAMELA ROMINA"/>
        <s v="DELGADO PATRICIO"/>
        <s v="DELUCA NICOLAS"/>
        <s v="DEROTIER NORMA NOEMÍ"/>
        <s v="DI BELLO LORENA"/>
        <s v="DI RENZO NANCY GABRIELA"/>
        <s v="DIALISANDRO JORGE"/>
        <s v="DIAZ CARRASCO MANUEL"/>
        <s v="DIAZ GABRIEL PABLO"/>
        <s v="DIAZ MARIA"/>
        <s v="DIAZ MARIA  VIRGINIA"/>
        <s v="DIAZ ZULMA"/>
        <s v="DIEZ  IRENE MARCELA"/>
        <s v="DOBARRO ALEJANDRO"/>
        <s v="DOMINGUEZ Diego Fernando"/>
        <s v="DOMINGUEZ EMILIANO"/>
        <s v="DONATI VALERIA"/>
        <s v="DOPICO FERNANDO"/>
        <s v="DORATO MARIA SOLEDAD "/>
        <s v="DOTTA LETICIA"/>
        <s v="DRAGO CUTELLE Andrea Fabiana"/>
        <s v="DUARTE CARLOS DIONISIO"/>
        <s v="DUARTE MARIO ALEJANDRO"/>
        <s v="DUGO CHRISTIAN"/>
        <s v="DURAN DANIEL AUGUSTO"/>
        <s v="DVORKIN PABLO"/>
        <s v="ECHEVERRIA LAUTARO"/>
        <s v="ECHEVERRIA MARIANA"/>
        <s v="EFRON HORACIO"/>
        <s v="EILETZ CATALINA"/>
        <s v="EKART KARINA"/>
        <s v="ELEM VIVIAN BEATRIZ"/>
        <s v="ELMO, ALEJANDRA"/>
        <s v="EMBON GUSTAVO"/>
        <s v="ENCIZO CRISTIAN RAMON"/>
        <s v="ERBEA JUAN"/>
        <s v="ESCOBAR GONZALEZ  MARIO SEBASTIAN"/>
        <s v="ESCOBAR Hector Jorge"/>
        <s v="ESCOBAR MARIA FERNANDA"/>
        <s v="ESCOBAR Raúl Eduardo"/>
        <s v="ESCRIÑA María Carmen"/>
        <s v="ESNAOLA  JUAN JOSE"/>
        <s v="ESPINOLA CINTIA"/>
        <s v="ESQUIVEL GABRIELA ZULMA"/>
        <s v="ESTANGA SARRAUA ANDRES"/>
        <s v="FACENTE VERONICA LUJAN"/>
        <s v="FACHAL Esteban Federico"/>
        <s v="FAMA ANTONIO JULIAN"/>
        <s v="FAOUR MICHELLE"/>
        <s v="FARA ERNESTO LEANDRO"/>
        <s v="FARANNA OSCAR ALBERTO"/>
        <s v="FARINAZZO PAOLA ANDREA"/>
        <s v="FARIÑA MARIELA NOEMI"/>
        <s v="FAVERIO LAMOTHE ANTONIO"/>
        <s v="FAZIO NATALIA"/>
        <s v="FAZZITO JUAN CARLOS"/>
        <s v="FEIS MARA"/>
        <s v="FERNANDEZ ALEJANDRO"/>
        <s v="FERNANDEZ CARLOS  "/>
        <s v="FERNANDEZ Carlos Germán"/>
        <s v="FERNANDEZ CARLOS HORACIO"/>
        <s v="FERNANDEZ DIEGO OSCAR "/>
        <s v="FERNANDEZ FLORENCIA"/>
        <s v="FERNANDEZ MACEDONIO"/>
        <s v="FERNANDEZ MANTEROLA Amalia"/>
        <s v="FERNANDEZ MARA"/>
        <s v="FERNANDEZ NADALE LUCIA"/>
        <s v="FERNANDEZ VICENTA LUCIA"/>
        <s v="FERRANDO Andrea Bibiana"/>
        <s v="FERRANTE ANDRES"/>
        <s v="FERRARI LUCAS"/>
        <s v="FERRARI SANDRA PATRICIA"/>
        <s v="FERREIRA ESPINDOLA  MARIANA PAMELA"/>
        <s v="FERREIRA SERGIO "/>
        <s v="FERREIRO PABLO DANIEL"/>
        <s v="FERRERES Juan Ignacio"/>
        <s v="FERRUFINO MARCO"/>
        <s v="FEYLING ANA PAULINA"/>
        <s v="FIAMINGO YAGO"/>
        <s v="FIDALME MARIA NATALIA"/>
        <s v="FIGLIOLIA OMAR"/>
        <s v="FIGUEROA  MIGUEL ANGEL"/>
        <s v="FIGUEROA José Luis"/>
        <s v="FILIPPELLI GUIDO"/>
        <s v="FIORRUCIO JOSE LUIS"/>
        <s v="FLAMMINIO SERGIO"/>
        <s v="FLEITAS MAGDALENA DELFINA"/>
        <s v="FLORENTIN JOSÉ GABRIEL"/>
        <s v="FLORENTIN Marcelo Max Roy"/>
        <s v="FLORES Diego Alexis"/>
        <s v="FLORES FLORENCIA CAROLINA"/>
        <s v="FONTANA LUCIANO"/>
        <s v="FONTES SELVA"/>
        <s v="FORNERO FABRICIO"/>
        <s v="FRANCESCHI SANTIAGO"/>
        <s v="FRATTESI Gabriel Hernán"/>
        <s v="FREGA, DANIELA"/>
        <s v="FREIBERG INGRID"/>
        <s v="FRIEDENBACH MARTIN"/>
        <s v="FUENTES JUAN"/>
        <s v="FUENTES LANESAN MANUEL"/>
        <s v="FUENTES LANESAN RUBEN"/>
        <s v="FUERTES MARIA EUGENIA"/>
        <s v="FUSCO Jenaro Hugo"/>
        <s v="GAERE CLAUDIA ALICIA"/>
        <s v="GAILLARD  ADRIANA"/>
        <s v="GAILLARD  NORMA BEATRIZ"/>
        <s v="GAITÁN MATÍAS ÁNGEL"/>
        <s v="GALARZA HUGO MARCELO"/>
        <s v="GALEOTTI, MONICA"/>
        <s v="GALLIZZI MARIANO NAHUEL"/>
        <s v="GANCHEGUI MARTIN"/>
        <s v="GANEM Mariano"/>
        <s v="GARAY Walter Damian"/>
        <s v="GARBE VERONICA"/>
        <s v="GARCÍA BARLETTA SANTIAGO"/>
        <s v="GARCIA CAFFI VICTORIA"/>
        <s v="GARCIA CARDENAS MARTIN"/>
        <s v="GARCIA CONEJERO, MARIA LAURA"/>
        <s v="GARCIA DANIELA"/>
        <s v="GARCIA FERNANDO"/>
        <s v="GARCIA HORACIO"/>
        <s v="GARCIA SANTIAGO ANDRES"/>
        <s v="GAUNA MARIA LUCILA"/>
        <s v="GAVIOLI SANTIAGO"/>
        <s v="GERBINO MARIANO"/>
        <s v="GERVASIO MONICA LAURA"/>
        <s v="GIBEAUD ELIANA JACQELINE"/>
        <s v="GIL RIVERA Borja Santiago"/>
        <s v="GIMENEZ FABIAN"/>
        <s v="GIMENEZ JAZMIN"/>
        <s v="GIMENEZ JERONIMO"/>
        <s v="GIMENEZ JORGE"/>
        <s v="GIMENEZ Leonel Guillermo"/>
        <s v="GIRODO LORENA"/>
        <s v="GISFREDI GABRIEL ESTEBAN"/>
        <s v="GOFMAN MARIA"/>
        <s v="GOLDEMBERG PAMINA"/>
        <s v="GOMA Mariángeles"/>
        <s v="GOMEZ ALICIA"/>
        <s v="GOMEZ CARLOS LUIS"/>
        <s v="GOMEZ FABIAN"/>
        <s v="GOMEZ FERNANDEZ ANDREA"/>
        <s v="GOMEZ Flavia Romina"/>
        <s v="GOMEZ GABRIELA"/>
        <s v="GOMEZ GARNERO IGNACIO"/>
        <s v="GOMEZ HECTOR ANDRES"/>
        <s v="GOMEZ JUAN LEONARDO"/>
        <s v="GOMEZ Marta Margarita"/>
        <s v="GOMEZ NADIA CAROLINA"/>
        <s v="GOMEZ SABRINA"/>
        <s v="GOMEZ WILSON"/>
        <s v="GOMEZ YÉSICA MABEL"/>
        <s v="GONZALEZ Aníbal Adrián"/>
        <s v="GONZALEZ ARCE DANIEL"/>
        <s v="GONZALEZ DIEGO"/>
        <s v="GONZALEZ HEREDIA, GUILLERMO"/>
        <s v="GONZALEZ HORACIO"/>
        <s v="GONZALEZ Juan Carlos"/>
        <s v="GONZALEZ MARIA"/>
        <s v="GONZALEZ Mariela"/>
        <s v="GONZALEZ NELSON"/>
        <s v="GONZALEZ NICOLÁS"/>
        <s v="GONZALEZ NOGUERA, MICHELLE"/>
        <s v="GONZALEZ ROCIO CRISTAL"/>
        <s v="GONZALEZ SANTIAGO MANUEL"/>
        <s v="GOÑI HERNAN"/>
        <s v="GORGONE Adrian"/>
        <s v="GORGONE Vanesa Andrea"/>
        <s v="GORNO  CLEMENTE ERNESTO"/>
        <s v="GRANDINETTI CLAUDIO"/>
        <s v="GRANERO MARIA NOEL"/>
        <s v="GRASSO María Inés"/>
        <s v="GREGORIC LUIS"/>
        <s v="GRIMBLAT IANINA"/>
        <s v="GUELBERT BENJAMIN DAVID"/>
        <s v="GUELET MUÑOZ JOHANA ANAHI"/>
        <s v="GUERRA LUCAS"/>
        <s v="GUERRERO IGNACIO"/>
        <s v="GUINSBURG DANIELA"/>
        <s v="GUTIERRE SERGIO EDUARDO"/>
        <s v="GUTIERREZ GABRIEL ALBERTO"/>
        <s v="GUTIERREZ RODRIGO"/>
        <s v="GUZMAN  MAXIMILIANO JOSUE"/>
        <s v="GUZMÁN WALTER"/>
        <s v="HABERMEHL ANDRES"/>
        <s v="HAMILTON, FEDERICO"/>
        <s v="HENCEK ANDREA MARIANA"/>
        <s v="HENCEK FERNANDA GABRIELA"/>
        <s v="HERAS MAURICIO"/>
        <s v="HERMOSA SILVINA"/>
        <s v="HERNANDEZ MAXIMILIANO PABLO"/>
        <s v="HERRERA LARA MARIELA"/>
        <s v="HERRERA MARIA DEL MAR"/>
        <s v="HERRERA MARIA EUGENIA"/>
        <s v="HERRERA CLAUDIA MARCELA"/>
        <s v="HERRERA VERONICA LORENA"/>
        <s v="HERRERA WALTER NICOLAS"/>
        <s v="HOROVITZ HERNAN"/>
        <s v="HORTAS, DANIEL"/>
        <s v="HURTADO DENIS"/>
        <s v="HURTADO RICARDO"/>
        <s v="HUTCHINSON RICARDO"/>
        <s v="IALUNER HÜLSEN GABRIELA"/>
        <s v="IBAÑEZ ORLANDO"/>
        <s v="IBARGUREN MANUELA"/>
        <s v="IGARTUA  SEBASTIAN"/>
        <s v="IGLESIAS ANA "/>
        <s v="IGLESIAS LEANDRO"/>
        <s v="IGNATTI GUIDO"/>
        <s v="ILLANES SANTIAGO"/>
        <s v="IMAZ KARINA PAOLA"/>
        <s v="INGEGNIERI FRANCISCO"/>
        <s v="IÑIGO  MARIA CRISTINA"/>
        <s v="IRIART, SERGIO"/>
        <s v="IRIONDO MATIAS"/>
        <s v="ITURRALDE ADRIAN"/>
        <s v="IVANOSKI MARIA LUCILA"/>
        <s v="JACOBO LOLA MARIA"/>
        <s v="JALIL CAROLINA"/>
        <s v="JECHSMAYR HERNAN"/>
        <s v="JIMENEZ ALEGRE NELLY GLADYS"/>
        <s v="JIMENEZ LUIS"/>
        <s v="JORDAN MARIANO"/>
        <s v="JORGE MARTHA"/>
        <s v="JOSA ANDREA FABIANA"/>
        <s v="JUAREZ CLAUDIO NESTOR"/>
        <s v="JUAREZ JESUS EMMANUEL MARIO"/>
        <s v="JUAREZ JUAQUIN NEMESIO"/>
        <s v="JUAREZ JULIAN"/>
        <s v="JURI GABRIEL"/>
        <s v="JUSTO MARIA DEL ROSARIO"/>
        <s v="KACANAS VALERIA ANA"/>
        <s v="KAIRUZ GISELA VANINA "/>
        <s v="KALOC JULIETA SOLEDAD"/>
        <s v="KALOC PABLO DAMIAN"/>
        <s v="KAPLUN FEDERICO BRUNO"/>
        <s v="KAPLUN NICOLAS"/>
        <s v="KAPSIUK, ELIO"/>
        <s v="KARAVAITIS, ALEJANDRA"/>
        <s v="KARMASÍN  MARTÍN"/>
        <s v="KATZ GABRIEL"/>
        <s v="KATZ LAURA"/>
        <s v="KEEGAN MARY"/>
        <s v="KLIMASEK CLAUIDO"/>
        <s v="KOTIK GUSTAVO SERGIO"/>
        <s v="KUPFERMAN MAXIMILIANO"/>
        <s v="KUTALEK GERMAN"/>
        <s v="LA TORELLA, MARIANA"/>
        <s v="LABORDE ERICA SOLEDAD"/>
        <s v="LADA ALEJANDRO"/>
        <s v="LADA SANTIAGO RUBEN"/>
        <s v="LAMARQUE EUGENIO"/>
        <s v="LAMAS AGUSTIN MATEO"/>
        <s v="LAMPART GABRIEL NICOLAS"/>
        <s v="LANARI EUGENIA"/>
        <s v="LANARI SOFIA"/>
        <s v="LANDONI DIEGO"/>
        <s v="LANDRIEL AGUSTIN"/>
        <s v="LANNO LORENA"/>
        <s v="LANSON DANIEL"/>
        <s v="LARRALDE FRANCISCO"/>
        <s v="LARREGINA FLORENCIA"/>
        <s v="LARROSA FEDERICO"/>
        <s v="LASAGNI AGUSTINA"/>
        <s v="LASTRA CLAUDIO"/>
        <s v="LATTANZIO AITA"/>
        <s v="LAVAYEN FRANCO BRUNO"/>
        <s v="LAZARTE ARMANDO FABIO"/>
        <s v="LEAL CAMILA"/>
        <s v="LECH SOSINSKI ADAM"/>
        <s v="LEDESMA NESTOR DAMIAN"/>
        <s v="LEGUIZAMON  RODRIGO"/>
        <s v="LEGUIZAMON MARGARITA"/>
        <s v="LEIBOUSKI ELIZABETH"/>
        <s v="LEMME JOSE MARIA"/>
        <s v="LENCINAS MARIA LAURA"/>
        <s v="LENTINI DIEGO"/>
        <s v="LENTIS JHONATAN"/>
        <s v="LENZBERG JULIA"/>
        <s v="LEON MERCEDES MABEL"/>
        <s v="LEONE AGOSTINA"/>
        <s v="LEVY ALEJANDRO"/>
        <s v="LEYES SABRINA"/>
        <s v="LIPARI KARIN"/>
        <s v="LIRUSSO RAUL"/>
        <s v="LISERA MARIANO HUGO"/>
        <s v="LIZARRAGA CARLOS ALBERTO"/>
        <s v="LIZARRAGA MARIO DEL VALLE"/>
        <s v="LOBO ABELLA NORA BELEN"/>
        <s v="LOJO MATIAS"/>
        <s v="LOMBARDI MARTIN"/>
        <s v="LOPEZ  EDMUNDO EUGENIO"/>
        <s v="LOPEZ IBAÑEZ SOLEDAD ROMINA"/>
        <s v="LOPEZ LARRAQUY FLORENCIA"/>
        <s v="LOPEZ LAURA"/>
        <s v="LOPEZ MARCOS"/>
        <s v="LOPEZ MARIA LUCILA"/>
        <s v="LOPEZ NUÑEZ MARIA"/>
        <s v="LOPEZ QUIROZ  ADRIAN HORACIO"/>
        <s v="LORENZO AGUSTIN"/>
        <s v="LORENZO MARIANA"/>
        <s v="LOTO  RENE ANTONIO"/>
        <s v="LOTZ GUILLERMO"/>
        <s v="LUCANO SANDRA"/>
        <s v="LUCAS, MARTÍN"/>
        <s v="LUDUEÑA MAXIMILIANO"/>
        <s v="LUIS HERNAN"/>
        <s v="LUNA ROMAN DARIO"/>
        <s v="LYNCH EMANUEL"/>
        <s v="MAC DONALD LINDA"/>
        <s v="MACAGNI IRINA MARÍA NELLY"/>
        <s v="MACCARI PABLO"/>
        <s v="MACCHI SEBASTIAN"/>
        <s v="MACHADO Carmen Noemi"/>
        <s v="MACHO VIRGINIA"/>
        <s v="MACIÁ PABLO ARIEL"/>
        <s v="MAHAFUD JOEL"/>
        <s v="MALAGRABA, MARIA GABRIELA"/>
        <s v="MALASPINA ISABEL"/>
        <s v="MALDONADO JONATHAN "/>
        <s v="MALOWICKI ZOLKWER GABRIEL"/>
        <s v="MANELLI MATÍAS NAHUEL"/>
        <s v="MANSILLA PILAR MURIEL"/>
        <s v="MANZIONE BIANCA"/>
        <s v="MARA FRANCO"/>
        <s v="MARCOTE MARIANO"/>
        <s v="MARECOS Roberto Carlos"/>
        <s v="MAREQUE MORENO MARIA PAULA"/>
        <s v="MARICH EKEL "/>
        <s v="MARIN JAVIER ALEJANDRO"/>
        <s v="MARINCOVIK, PABLO"/>
        <s v="MARQUEZ CARLOS ANTONIO"/>
        <s v="MARTIN EMILIANO"/>
        <s v="MARTINEZ  HECTOR MARCELO"/>
        <s v="MARTINEZ ALBERTO"/>
        <s v="MARTINEZ ANAHÍ"/>
        <s v="MARTINEZ MARIA MAGDALENA"/>
        <s v="MARTINEZ ARIEL GUSTAVO"/>
        <s v="MARTINEZ DAVILA FIORELLA"/>
        <s v="MARTINEZ DIEGO"/>
        <s v="MARTINEZ JAVIER MARCELO"/>
        <s v="MARTINEZ MELINA"/>
        <s v="MARTINO MARCELA NATALIA"/>
        <s v="MASÑUK  JUAN CARLOS"/>
        <s v="MASTANDREA SERGIO"/>
        <s v="MATEOS CARLOS ALFONSO"/>
        <s v="MATUK SEBASTIAN"/>
        <s v="MAZU OSCAR EDUARDO"/>
        <s v="MAZZEI LAURA"/>
        <s v="MC CARTHY VICTORIA"/>
        <s v="MEANA ADRIAN"/>
        <s v="MEDINA SUSANA EDIT"/>
        <s v="MEDRANO ORTIZ GONZALO"/>
        <s v="MEGALOECONOMOS SOFIA"/>
        <s v="MEGIAS MANUEL"/>
        <s v="MELILLO LUCIA"/>
        <s v="MELITA ELEONORA"/>
        <s v="MENA CAROLINA"/>
        <s v="MENA GRISELDA"/>
        <s v="MENDEZ RUBEN HECTOR"/>
        <s v="MENDOZA MARIA ZULEMA"/>
        <s v="MENER ALEJANDRO"/>
        <s v="MENNA LEANDRO ARIEL"/>
        <s v="MERA MAURICIO VALENTIN"/>
        <s v="MEREÑUK TATIANA"/>
        <s v="MESTROCRISTINO MARTINA"/>
        <s v="MIHANOVICH CAROLINA INES"/>
        <s v="MILANESE FERNANDO"/>
        <s v="MILIONE, MARCELA"/>
        <s v="MIÑO  FERNANDO  LUIS"/>
        <s v="MIÑO  JUAN RAMON"/>
        <s v="MIÑO RAFAEL DIEGO"/>
        <s v="MIZZAU CAROLINA"/>
        <s v="MLADINEO IVANA"/>
        <s v="MOLINA ANAHI "/>
        <s v="MOLLER JENSEN RAÚL"/>
        <s v="MOLLO MELISA ALEJANDRA "/>
        <s v="MONACO ELIAS GERMAN"/>
        <s v="MONGANO GUIDO NICOLAS"/>
        <s v="MONOCHIO GINO"/>
        <s v="MONSERRAT RICARDO"/>
        <s v="MONTENEGRO  CARLOS ALBERTO"/>
        <s v="MONTENEGRO  CARLOS MARCELO"/>
        <s v="MONTENEGRO  JOSE MAXIMILANO"/>
        <s v="MONTERO FLORENCIA"/>
        <s v="MONTES ANA LAURA"/>
        <s v="MONTES DE OCA YESICA"/>
        <s v="MONTES ROJAS MICAELA"/>
        <s v="MONZON ROCIO MACARENA"/>
        <s v="MOÑINO ALEJO"/>
        <s v="MORADO MARIA CLAUDIA"/>
        <s v="MORALES GOMEZ JIMENA MAGALÍ"/>
        <s v="MORAN MELINA"/>
        <s v="MORENO  VERA TEODORA"/>
        <s v="MORENO KARINA MERCEDES"/>
        <s v="MORENO MARIA LAURA"/>
        <s v="MORENO MELISA"/>
        <s v="MOREYRA EDUARDO HERNAN"/>
        <s v="MOREYRA MARTIN EZEQUIEL"/>
        <s v="MORRONE LUCRECIA IVANA"/>
        <s v="MOYA  JUAN ABEL"/>
        <s v="MOYA  PATRICIA"/>
        <s v="MOZZI GUSTAVO"/>
        <s v="MUINELLO NORMA"/>
        <s v="MUIÑO JUAN PABLO"/>
        <s v="MUJICA JULIAN"/>
        <s v="EGNER SERGIO DANIEL"/>
        <s v="DIAZ WLODKOWSKI JANO"/>
        <s v="FONTANA JUAN CARLOS"/>
        <s v="FERRARI GRACIELA CARMEN"/>
        <s v="SOTO CLAUDIA"/>
        <s v="MUÑIZ, GONZALO"/>
        <s v="MUÑOZ VICTOR"/>
        <s v="NANYO FEDERICO"/>
        <s v="NAVEIRA OSCAR"/>
        <s v="NEYRA CATALINA"/>
        <s v="NIELSEN, OSCAR"/>
        <s v="NIETO JULIETA"/>
        <s v="NIEVAS  SERGIO ALEJANDRO"/>
        <s v="NOBILO GRACIELA"/>
        <s v="NOVIK, FLORENCIA"/>
        <s v="NOVILLO IGNACIO "/>
        <s v="NOVOTNY YANINA"/>
        <s v="NUÑEZ  CELIA NOEMI"/>
        <s v="NUÑEZ MARÍA GABRIELA"/>
        <s v="ÑAMANDÚ FACUNDO"/>
        <s v="OCHOA GERMAN EMILIANO"/>
        <s v="OCHOA, SERGIO MIGUEL"/>
        <s v="OLIVA ALDANA GIMENA"/>
        <s v="OLIVA JUAN"/>
        <s v="OLIVA MARTIN"/>
        <s v="OLIVA VELEZ MANUEL"/>
        <s v="OLOCCO, LEANDRO"/>
        <s v="ONS MAXIMILIANO"/>
        <s v="ORLANDO PABLO MARTIN"/>
        <s v="ORTEGA VINCENT"/>
        <s v="ORTIZ FRANK NICOLAS"/>
        <s v="ORTIZ JOANA DENISSE"/>
        <s v="ORTIZ PEREZ PLATA PATRICIO LISANDRO"/>
        <s v="ORZALI GRETA"/>
        <s v="OVADIA MARCELO NURY"/>
        <s v="OVEJERO JOSE ALEJANDRO"/>
        <s v="OYAHARÇABAL JUAN"/>
        <s v="OZORIO JUAN BAUTISTA ALBERTO"/>
        <s v="PACHECO  VICTOR HUGO"/>
        <s v="PACHECO FRANCO"/>
        <s v="PAEZ CRISTIAN"/>
        <s v="PAGES VERONICA"/>
        <s v="PAGNI MARTA INES"/>
        <s v="PALACIOS DANIELA"/>
        <s v="PALACIOS LUCIA RUIZ"/>
        <s v="PAPPOLLA MARIA CELESTE "/>
        <s v="PARED NATALIA"/>
        <s v="PAREDES FRANCISCO"/>
        <s v="PARMA TAMARA"/>
        <s v="PARODI ADRIANA NOEMI"/>
        <s v="PASCUAL FLORENCIA"/>
        <s v="PASSADORE MIRTHA EDITH"/>
        <s v="PASSAGLIA VICTORIA"/>
        <s v="PASSERO NICOLAS MANUEL"/>
        <s v="PATRONE MIGUEL SANTOS"/>
        <s v="PAULINO  ALEX DARIO"/>
        <s v="PAVON ERNESTO FABIAN"/>
        <s v="PAVONNE LUCIA GABRIELA"/>
        <s v="PAZ  JUAN FRANCISCO"/>
        <s v="PECORA NATALY GISELLE"/>
        <s v="PEDROSA, FERNANDO HECTOR"/>
        <s v="PELLEGATA PAULO NICOLAS"/>
        <s v="PELLEGRINO ALISON"/>
        <s v="PELLEGROTTI ANTONELA"/>
        <s v="PENNELA ORLANDO OSVALDO"/>
        <s v="PENNINO LILIANA BEATRIZ"/>
        <s v="PEÑA RAMIRO MARTIN"/>
        <s v="PEÑA WALTER"/>
        <s v="PERAZZO  PATRICIO"/>
        <s v="PEREZ  VICTOR RUBEN"/>
        <s v="PEREZ ALBERTO LUIS"/>
        <s v="PEREZ CABRIADA MARIANO PABLO"/>
        <s v="PEREZ CARLOS WALTER"/>
        <s v="PEREZ FELIX ALAN"/>
        <s v="PEREZ FERNANDEZ ALEJANDRO"/>
        <s v="PEREZ LUCIANA"/>
        <s v="PEREZ PABLO"/>
        <s v="PERLES CLAUDIO"/>
        <s v="PERSICO GASTON"/>
        <s v="PETTITI PABLO "/>
        <s v="PEZZANO FERNANDEZ SANTIAGO"/>
        <s v="PICCOLOMINI SEBASTIAN"/>
        <s v="PICO ESTRADA MARGARITA"/>
        <s v="PICO GUILLERMINA"/>
        <s v="PIETRACCONNE MARIANELLA"/>
        <s v="PINASCO LUIS"/>
        <s v="PINEDA RUGELES FEILPE"/>
        <s v="PINELLA JUAN"/>
        <s v="PIORNO GASTÓN"/>
        <s v="PIQUET, MARINA LORENA"/>
        <s v="PIRRI FRANCISCO VICENTE"/>
        <s v="PISTOIA AGUSTINA INES"/>
        <s v="PIWOWARSKI GABRIELA SUSANA"/>
        <s v="PIZZI JUAN JOSE"/>
        <s v="PLAUL MAXIMILIANO ADRIAN"/>
        <s v="POLLINI, MARGARITA"/>
        <s v="POMMARES PABLO IGNACIO"/>
        <s v="PONCE MARIA AGUSTINA"/>
        <s v="PONCE RAMON"/>
        <s v="PORTO OSVALDO "/>
        <s v="PRESS ANA"/>
        <s v="PRIETO ESTEBAN"/>
        <s v="PROIETTO INGRID MARIA LOURDES"/>
        <s v="PUCCIARELLI ROMINA"/>
        <s v="QUINTANA CARLOS ANTONIO"/>
        <s v="QUINTANA JUAN MARTIN"/>
        <s v="QUIÑOÑEZ CECILIA ANDREA"/>
        <s v="QUIÑOÑEZ DAHIANA"/>
        <s v="QUIROGA WALTER DAMIAN"/>
        <s v="RABELLINO NESTOR OSCAR"/>
        <s v="RAMIRES MARIA PAULA"/>
        <s v="RAMIREZ Brain Esteban"/>
        <s v="RAMIREZ JOSÉ"/>
        <s v="RAMON BADIA JAZMIN"/>
        <s v="RAMON GLADYS"/>
        <s v="RAMON JOSE HUMBERTO"/>
        <s v="RAMOS  JUAN CARLOS"/>
        <s v="RAMOS MIRIAM"/>
        <s v="RAMOS RAFAEL ALDO"/>
        <s v="RAMPELINI DIEGO"/>
        <s v="REBOLLO JORGE FERNANDO"/>
        <s v="REFOJOS MARIANO"/>
        <s v="REPETTI ARIEL"/>
        <s v="RESTUCCIO MARCELO"/>
        <s v="REY MARIA ELENA"/>
        <s v="REYES DAMIAN GUILLERMO"/>
        <s v="REYNELI AGUSTIN"/>
        <s v="REYNOSO CAMILA ANAHI"/>
        <s v="REYNOSO NICHOLAS"/>
        <s v="RICCI LIAJOVETSKY GABRIEL"/>
        <s v="RICCITELLI MIGUEL ANGEL"/>
        <s v="RICHINO ADRIAN EZEQUIEL"/>
        <s v="RICHINO LEANDRO"/>
        <s v="RIOS FERNANDO"/>
        <s v="RIOS Gustavo Francisco"/>
        <s v="RIOS MARIA ISABEL"/>
        <s v="RIOS NÉSTOR FABIAN"/>
        <s v="RISSO PATRON FACUNDO"/>
        <s v="RIVADENEIRA CAMILA"/>
        <s v="RIVERA Soledad"/>
        <s v="ROCA LUIS GASTON"/>
        <s v="ROCA MANOUKIAN MATIAS"/>
        <s v="RODRGUEZ JULIA"/>
        <s v="RODRIGUEZ JONATHAN"/>
        <s v="RODRIGUEZ JORGE ADRIAN"/>
        <s v="RODRIGUEZ JORGE GUILLERMO"/>
        <s v="RODRIGUEZ JUAN RAMON"/>
        <s v="RODRIGUEZ LEILA"/>
        <s v="RODRIGUEZ MIGUEL ANGEL"/>
        <s v="ROIG GUILLERMO"/>
        <s v="ROJAS MIRTA"/>
        <s v="ROJAS SILVIO"/>
        <s v="ROMANO María Natalia"/>
        <s v="ROMANO VALENTINA DEL PILAR"/>
        <s v="ROMERO CRISTIAN ADRIAN"/>
        <s v="ROSSI MARIA EVELIA"/>
        <s v="RUIZ ANDRES"/>
        <s v="RUIZ DIAZ  PEDRO DAMIAN"/>
        <s v="RUIZ LEONARDO EZEQUIEL"/>
        <s v="RUIZ NATALI MELINA"/>
        <s v="RUIZ NORA"/>
        <s v="RUPPERTO BARBARA"/>
        <s v="SAAVEDRA NESTOR"/>
        <s v="SACCO JULIETA"/>
        <s v="SADIER EMILIO"/>
        <s v="SAEZ MARCIAL  Ignacio"/>
        <s v="SAHADE PABLO"/>
        <s v="SALAS JOSEFINA"/>
        <s v="SALAZAR  MAXIMILIANO"/>
        <s v="SALAZAR JOSUE JOEL"/>
        <s v="SALGADO JUAN MANUEL"/>
        <s v="SALINAS NESTOR"/>
        <s v="SALOMONE GUILLERMO"/>
        <s v="SALVO ROMAN ROSS JONATHAN"/>
        <s v="SANABRIA GABRIELA"/>
        <s v="SANCHEZ ARIEL"/>
        <s v="SANCHEZ FABIAN"/>
        <s v="SANCHEZ Florencia Anabella"/>
        <s v="SÁNCHEZ GABRIEL "/>
        <s v="SANCHEZ LAMOTHE FRANCISCO"/>
        <s v="SANCHEZ LUCIA"/>
        <s v="SANCHEZ PAULA"/>
        <s v="SANCHEZ PAYA CAROLA LUCIANA"/>
        <s v="SANCHEZ QUIJANO EMILIANO"/>
        <s v="SANCHEZ SAÑUDO RICARDO"/>
        <s v="SANNMARTIN, ALEJANDRA"/>
        <s v="SANTINI GAMARRA MOISES "/>
        <s v="SANTOS, LILIANA INES"/>
        <s v="SANZ FERNANDA "/>
        <s v="SARAZOLA LEANDRO"/>
        <s v="SASTRE PEDRO"/>
        <s v="SATRIANO JULIO CESAR"/>
        <s v="SATRIANO, ROBERTO"/>
        <s v="SAURIT  ESTANISLAO ANDRES"/>
        <s v="SAVIGNON LEILA"/>
        <s v="SCAGNOLARI MARIA LAURA"/>
        <s v="SCARPINO ANTONIO MARCELO"/>
        <s v="SCHARGORODSKY LAURA"/>
        <s v="SCHENONE LEANDRO"/>
        <s v="SCHIAVI ANA"/>
        <s v="SCHUPPISSER Manuela"/>
        <s v="SCHWARZ WERNER AMADEO"/>
        <s v="SEIF MAXIMILIANO"/>
        <s v="SELZER MARIANA"/>
        <s v="SEMERIA FEDERICO "/>
        <s v="SEMERIA JULIETA"/>
        <s v="SENRA MARIA CELESTE"/>
        <s v="SEQUEIRA Adrián Anibal"/>
        <s v="SICILIANO LAURA PATRICIA"/>
        <s v="SIERRA GUSTAVO"/>
        <s v="SILBERGLEIT, SILVINA"/>
        <s v="SILVA  IVAN LEANDRO"/>
        <s v="SILVA  JORGE YONATAN"/>
        <s v="SILVA  RICARDO LUIS"/>
        <s v="SILVA CRISTHIAN LUIS"/>
        <s v="SILVA URTISA CARLOS"/>
        <s v="SILVENTE FACUNDO"/>
        <s v="SIMONIAN JUAN MANUEL"/>
        <s v="SMOCOCICH ADRIANO DUILIO"/>
        <s v="SOBRINO LUCIANA YAMILA"/>
        <s v="SOIMER ISAAC "/>
        <s v="SOIMER NICOLAS"/>
        <s v="SOLARZ, VALERIA"/>
        <s v="SOLIZ MIGUEL"/>
        <s v="SOLODUJIN DANIEL DE LOS SANTOS"/>
        <s v="SOLODUJIN Noelia Edith"/>
        <s v="GABIOUD SNÖBOHM AGUSTINA"/>
        <s v="SOSA  Lucas Tomas"/>
        <s v="SOSA LUNA JUAN MARIO"/>
        <s v="SOTELO David Antonio"/>
        <s v="SOTELO YONATHAN DAVID"/>
        <s v="SOTO JONATAN"/>
        <s v="SOTOMAYOR ARIEL"/>
        <s v="SPEAKE RANDY"/>
        <s v="SPOSITO, LUCAS"/>
        <s v="SPROVIERO TAMARA VANINA"/>
        <s v="SUAREZ AGUSTINA"/>
        <s v="SUAREZ JUAN CARLOS"/>
        <s v="SUAREZ Laura Beatriz"/>
        <s v="SUAREZ LUCAS ALEJANDRO"/>
        <s v="SUAREZ ROBERTO DANIEL"/>
        <s v="SUAREZ RUBIO IGNACIO"/>
        <s v="SUIFFET ANA CLARA"/>
        <s v="SUMMA RODRIGO EZEQUIEL"/>
        <s v="SZENKIERMAN,  Laura Gisela"/>
        <s v="SZMULEWICZ DEMIAN"/>
        <s v="TABAREZ VIDECKIS NICOLAS"/>
        <s v="TAGARELLI CARLA MARIA"/>
        <s v="TARDITTI, EDUARDO JORGE"/>
        <s v="TELLO LUCÍA"/>
        <s v="TENEGLIA JOSE"/>
        <s v="TEVES NANCY FLORENCIA"/>
        <s v="TEVEZ CAROLINA"/>
        <s v="TOKUMORI MARIA KAMI"/>
        <s v="TOLCACHIER NICOLAS"/>
        <s v="TOLEDO CARLOS IVÁN"/>
        <s v="TOLEDO WIDENSKY JULIETA"/>
        <s v="TORANZO AGUSTIN"/>
        <s v="TORMANN LUCAS ALEJANDRO"/>
        <s v="TORNESE Alejandro Federico"/>
        <s v="TORRES  MAXIMILIANO JOSE"/>
        <s v="TORRES GUSTAVO"/>
        <s v="TORRES Jorge David"/>
        <s v="TORRETA, CLAUDIO"/>
        <s v="TORRICO GUTIERREZ ANTONIO FRANCO"/>
        <s v="TOSCANI LUCAS SEBASTIAN"/>
        <s v="TRAPANI ALEJANDRO"/>
        <s v="TRESER CARLOS"/>
        <s v="TRICARICO MARCOS DAMIAN"/>
        <s v="TRONCOSO SAMANTA"/>
        <s v="TRYBULSKI CHRISTIAN"/>
        <s v="TUZIEKIEVICZ GABRIELA"/>
        <s v="UASSOUF GURMAN GABRIELA"/>
        <s v="ULRICH INGRID"/>
        <s v="ULRICH SEBASTIAN"/>
        <s v="UMPIERREZ MANUEL"/>
        <s v="URTIAGA VICTOR"/>
        <s v="URTIAGA, GABRIELA"/>
        <s v="USTARES Matias Nicolas"/>
        <s v="VALDOVINO CARMEN"/>
        <s v="VALLADARES CANDELA"/>
        <s v="VALLONE ORNELLA PAULA"/>
        <s v="VANVICHA Laura Andrea"/>
        <s v="VARELA INES"/>
        <s v="VARELA PABLO"/>
        <s v="VARGAS NANCY PATRICIA"/>
        <s v="VAZQUEZ JAVIER ALEJANDRO"/>
        <s v="VAZQUEZ NIEVES"/>
        <s v="VEDOYA EMANUEL"/>
        <s v="VEGA VICTOR"/>
        <s v="VEGEZZI NICOLAS HERNAN"/>
        <s v="VELASQUEZ JORGE RICARDO"/>
        <s v="VELAZQUEZ EDUARDO"/>
        <s v="VERA Mónica"/>
        <s v="VERCELLI CARLOS LUIS"/>
        <s v="VERON DIEGO HORACIO"/>
        <s v="VERON María Encarnación"/>
        <s v="VICO FERNANDO"/>
        <s v="VIDELA, MARIA EVA"/>
        <s v="VILLALBA AMPARO"/>
        <s v="VILLALBA FERNANDO"/>
        <s v="VILLAR MARIA BELEN"/>
        <s v="VILLAR MARTA ALICIA"/>
        <s v="VILLAROEL CAROL"/>
        <s v="VILLAVERDE Claudia"/>
        <s v="VILLAVERDE NADIA GISELA"/>
        <s v="VILTE CRISTIAN GABRIEL"/>
        <s v="VILTE PABLO ALFREDO"/>
        <s v="VIÑA SEBASTIAN"/>
        <s v="VITALE, NICOLAS"/>
        <m/>
        <s v="VITULLO FEDERICO"/>
        <s v="VOLA RODRIGO EZEQUIEL"/>
        <s v="VRANJES WALTER"/>
        <s v="WAINERMAN LAURA"/>
        <s v="WARSCHAVSKI MATIAS IGOR "/>
        <s v="WEIDERT FERNANDO RAUL"/>
        <s v="WILCHEN MARTIN"/>
        <s v="WRIGHT Leonardo"/>
        <s v="YEVARA MARCELO EDUARDO"/>
        <s v="ZABALA Nair"/>
        <s v="ZADRA ROLANDO JUAN"/>
        <s v="ZAFONTE  DIEGO"/>
        <s v="ZAMBLERA, MARIÁNGELES"/>
        <s v="ZAMBONINI  SANTIAGO MARIA"/>
        <s v="ZAMBONINI Mariano Andrés"/>
        <s v="ZAMBONINI Tomás Simón"/>
        <s v="ZAMORA RAUL ALFREDO"/>
        <s v="ZAPATA ALEJANDRA"/>
        <s v="ZARAGOZA LEONARDO JAVIER"/>
        <s v="ZARATE HUGO  HUGO DANIEL"/>
        <s v="ZARCO DELGADO GIMENA"/>
        <s v="ZAREMBA CLARA"/>
        <s v="ZEÑIUK GABRIEL"/>
        <s v="ZIRALDO DIEGO"/>
        <s v="ZOTHNER CELIA LUCIANA"/>
        <s v="ZULIANI MANUELA"/>
        <s v="ZUQUI  MARIANO"/>
        <s v="GOMEZ  YÉSICA MABEL" u="1"/>
        <s v="BARBITTA, NESTOR" u="1"/>
        <s v="STEFANOLO MARIANA" u="1"/>
        <s v="MACIERO MARIA CECILIA" u="1"/>
        <s v="PAFUNDO ALONSO MARTIN" u="1"/>
        <s v="PAVONNE   LUCIA GABRIELA" u="1"/>
        <s v="FERNANDEZ MARIANO" u="1"/>
        <s v="RODRIGUEZ  JUAN RAMON" u="1"/>
        <s v="VIDAL MARINA" u="1"/>
        <s v="MARIA CELESTE PAPPOLLA" u="1"/>
        <s v="ALVAREZ NURIA BELEN" u="1"/>
        <s v="CAPUTO Caterina María" u="1"/>
        <s v="VILLALONGA MARTIN" u="1"/>
        <s v="FERNANDEZ  VICENTA LUCIA" u="1"/>
        <s v="GOMEZ DAVID" u="1"/>
        <s v="FLORES LUCAS MARTIN" u="1"/>
        <s v="PÉREZ CORREA, PABLO" u="1"/>
        <s v="CHARA SCARDIGIO JUAN MANUEL" u="1"/>
        <s v="RAMIREZ, JOSÉ" u="1"/>
        <s v="GUTIERREZ, RODRIGO" u="1"/>
        <s v="BIDEBERRIPE SEBASTIÁN" u="1"/>
        <s v="CICERO JORGE" u="1"/>
        <s v="FRANCO MARIA LAURA" u="1"/>
        <s v="LEON MABEL" u="1"/>
        <s v="RAMON  JOSE HUMBERTO" u="1"/>
        <s v="CABALLERO CACERES JUANA MANUELA" u="1"/>
        <s v="FERRARI, MARIA" u="1"/>
        <s v="DE LA CASA María Eugenia" u="1"/>
        <s v="ARCE, FEDERICO" u="1"/>
        <s v="COSTA FEDERICO BRUNO" u="1"/>
        <s v="CARNIGLIA LUIS" u="1"/>
        <s v="ARNONI GUSTAVO JULIO" u="1"/>
        <s v="SZWARC PABLO ARIEL" u="1"/>
        <s v="CIFONE MARIA TERESA" u="1"/>
        <s v="ORTIZ NICOLAS" u="1"/>
        <s v="GIRIBALDI JUAN ESTEBAN" u="1"/>
        <s v="OSTROWERCHA IRENE LAURA" u="1"/>
        <s v="DENHOLM ALBERTO" u="1"/>
        <s v="RAIBERTI MARIANA" u="1"/>
        <s v="MAGGI JUAN ANDRES" u="1"/>
        <s v="CAGNOLA LETICIA" u="1"/>
        <s v="LUQUEZ MIGUEL ANGEL" u="1"/>
        <s v="BARROS MENDEZ  MARTIN " u="1"/>
        <s v="MANZINI NICOLAS" u="1"/>
        <s v="CORIA CRISTIAN ADOLFO" u="1"/>
        <s v="HERNANDEZ MARIANA" u="1"/>
        <s v="URBIETA MARIA CAROLINA" u="1"/>
        <s v="RODRIGUEZ  JONATHAN" u="1"/>
        <s v="SANTANDER RIVEROS ALEXIS" u="1"/>
        <s v="GRIMAUX MARIA AGUSTINA" u="1"/>
        <s v="GOMEZ  GABRIELA" u="1"/>
        <s v="BARANDALLA ROBERTO" u="1"/>
        <s v="IGLESIAS MICAELA" u="1"/>
        <s v="GRAMAJO MARIELA" u="1"/>
        <s v="BAUZA BELEN" u="1"/>
        <s v="REBOLLO  JORGE FERNANDO" u="1"/>
        <s v="BIASETTI PABLO ADRIÁN" u="1"/>
        <s v="HEINE ROCIO" u="1"/>
        <s v="IULIANI GUTAVO NICOLAS" u="1"/>
        <s v="SORIANO LAURA" u="1"/>
        <s v="HARRIS JULIO" u="1"/>
        <s v="JEREZ BARBARA" u="1"/>
        <s v="UMBIDES, OSCAR MARCIAL" u="1"/>
        <s v="ESTANGA SERRUA ANDRES" u="1"/>
        <s v="TOROSSIAN SUSANA NELIDA" u="1"/>
        <s v="PECORA, PATRICIA VICENTA" u="1"/>
        <s v="EKEL MARICH" u="1"/>
        <s v="DÍAZ MARÍA  VIRGINIA" u="1"/>
        <s v="SIERRA, GUSTAVO" u="1"/>
        <s v="CERDA Maximiliano" u="1"/>
        <s v="HAZAN  GUSTAVO " u="1"/>
        <s v="BARBIERI MARIA GUADALUPE" u="1"/>
        <s v="RISSAU NAHUEL" u="1"/>
        <s v="FIORRUCIO JOSE LIS" u="1"/>
        <s v="MARICHEKEL" u="1"/>
        <s v="OLSTEIN MELINA CLAUDIA" u="1"/>
        <s v="LOTO Mauro Fabián" u="1"/>
        <s v="FERREYRA MARIANA SOLEDAD" u="1"/>
        <s v="DE LA CUADRA GONZALO CUADRA" u="1"/>
        <s v="LAURENZI ROCIO BELÉN" u="1"/>
        <s v="BASCUR CRISTINA BELÉN" u="1"/>
        <s v="GOMEZ  HECTOR ANDRES" u="1"/>
        <s v="TOLEDO Carlos Alberto" u="1"/>
        <s v="FIGUEROA GARRO MILAGROS" u="1"/>
        <s v="TEJADA AUGUSTO " u="1"/>
        <s v="BARRIONUEVO Jorge Cristian" u="1"/>
        <s v="DEUS MAURO" u="1"/>
        <s v="RAMON  GLADYS" u="1"/>
        <s v="PRATI CARLOS FRANCISCO" u="1"/>
        <s v="PEINADO MAGALI" u="1"/>
        <s v="FERNANDEZ  CARLOS HORACIO" u="1"/>
        <s v="SEMEÑENCO JAVIER" u="1"/>
        <s v="FILIPPELLI LAURA CECILIA" u="1"/>
        <s v="GIMENEZ, JERONIMO" u="1"/>
        <s v="DIAZ CORDOBA GABRIEL ANTONIO" u="1"/>
        <s v="LÓPEZ EMILIANO" u="1"/>
        <s v="RIOS  MARIA ISABEL" u="1"/>
        <s v="MOSTAJO CARLOS" u="1"/>
        <s v="COHEN ELISA DIANA" u="1"/>
        <s v="BARAJAS, LEANDRO" u="1"/>
        <s v="SOTO, MARIANO" u="1"/>
        <s v="GRINGAS LUCAS GABRIEL" u="1"/>
        <s v="GUZMÁN, WALTER" u="1"/>
        <s v="BOERIS, MARCELA" u="1"/>
      </sharedItems>
    </cacheField>
    <cacheField name="DNI" numFmtId="2">
      <sharedItems containsBlank="1"/>
    </cacheField>
    <cacheField name="NRO" numFmtId="3">
      <sharedItems containsString="0" containsBlank="1" containsNumber="1" containsInteger="1" minValue="1826888" maxValue="95147687"/>
    </cacheField>
    <cacheField name="CUIT" numFmtId="0">
      <sharedItems containsBlank="1" containsMixedTypes="1" containsNumber="1" containsInteger="1" minValue="33623466" maxValue="27947799814"/>
    </cacheField>
    <cacheField name="F Nacimiento" numFmtId="0">
      <sharedItems containsDate="1" containsBlank="1" containsMixedTypes="1" minDate="1938-08-03T00:00:00" maxDate="1998-05-16T00:00:00"/>
    </cacheField>
    <cacheField name="Estudios" numFmtId="0">
      <sharedItems containsNonDate="0" containsString="0" containsBlank="1"/>
    </cacheField>
    <cacheField name="Dirección" numFmtId="0">
      <sharedItems containsNonDate="0" containsString="0" containsBlank="1"/>
    </cacheField>
    <cacheField name="Teléfono" numFmtId="0">
      <sharedItems containsNonDate="0" containsString="0" containsBlank="1"/>
    </cacheField>
    <cacheField name="Celular" numFmtId="0">
      <sharedItems containsNonDate="0" containsString="0" containsBlank="1"/>
    </cacheField>
    <cacheField name="LM O AT" numFmtId="0">
      <sharedItems containsBlank="1" count="3">
        <s v="ASISTENCIA TÉCNICA"/>
        <s v="LEY MARCO"/>
        <m/>
      </sharedItems>
    </cacheField>
    <cacheField name="TIPO" numFmtId="0">
      <sharedItems containsBlank="1" count="4">
        <s v="AT"/>
        <s v="LM"/>
        <s v="CO"/>
        <m/>
      </sharedItems>
    </cacheField>
    <cacheField name="INGRESO" numFmtId="14">
      <sharedItems containsNonDate="0" containsDate="1" containsString="0" containsBlank="1" minDate="2005-01-01T00:00:00" maxDate="2016-08-03T00:00:00"/>
    </cacheField>
    <cacheField name="VTO CONTRATO" numFmtId="14">
      <sharedItems containsNonDate="0" containsDate="1" containsString="0" containsBlank="1" minDate="2016-03-31T00:00:00" maxDate="2017-01-01T00:00:00"/>
    </cacheField>
    <cacheField name="Fin Contrato" numFmtId="14">
      <sharedItems containsNonDate="0" containsDate="1" containsString="0" containsBlank="1" minDate="2016-07-31T00:00:00" maxDate="2017-01-01T00:00:00"/>
    </cacheField>
    <cacheField name="CATEG LM" numFmtId="2">
      <sharedItems containsBlank="1" count="28">
        <m/>
        <s v="D0"/>
        <s v="C1"/>
        <s v="C0"/>
        <s v="B1"/>
        <s v="A1"/>
        <s v="A0"/>
        <s v="B3"/>
        <s v="D1"/>
        <s v="B0"/>
        <s v="B5"/>
        <s v="B2"/>
        <s v="A2"/>
        <s v="F0"/>
        <s v="A3"/>
        <s v="D2"/>
        <s v="C2"/>
        <s v="C4"/>
        <s v="D-0" u="1"/>
        <s v="D-1" u="1"/>
        <s v="B-0" u="1"/>
        <s v="B-1" u="1"/>
        <s v="B-3" u="1"/>
        <s v=" D-0" u="1"/>
        <s v="B-5" u="1"/>
        <s v="C-0" u="1"/>
        <s v="C-1" u="1"/>
        <s v="F-0" u="1"/>
      </sharedItems>
    </cacheField>
    <cacheField name="UNIVERSIDAD" numFmtId="0">
      <sharedItems containsBlank="1"/>
    </cacheField>
    <cacheField name="CONVENIO AT" numFmtId="0">
      <sharedItems containsBlank="1"/>
    </cacheField>
    <cacheField name="ANTERIOR" numFmtId="165">
      <sharedItems containsBlank="1" containsMixedTypes="1" containsNumber="1" minValue="1700" maxValue="39000"/>
    </cacheField>
    <cacheField name="ACTUAL" numFmtId="165">
      <sharedItems containsBlank="1" containsMixedTypes="1" containsNumber="1" minValue="1700" maxValue="39000" count="293">
        <n v="10000"/>
        <n v="17102"/>
        <n v="27370"/>
        <n v="16289.4"/>
        <n v="12516"/>
        <n v="12500"/>
        <n v="12484.6"/>
        <n v="12000"/>
        <n v="11449.4"/>
        <n v="12547"/>
        <n v="23288"/>
        <n v="20253.28"/>
        <n v="29781"/>
        <n v="10408.549999999999"/>
        <s v="."/>
        <n v="20959"/>
        <n v="10553"/>
        <n v="16465"/>
        <m/>
        <n v="9995.51"/>
        <n v="13835"/>
        <n v="16731"/>
        <n v="15234"/>
        <n v="12274"/>
        <n v="20266"/>
        <n v="17751"/>
        <n v="20413"/>
        <n v="23417"/>
        <n v="11500"/>
        <n v="16000"/>
        <n v="14000"/>
        <n v="27374"/>
        <n v="13084.78"/>
        <n v="29089"/>
        <n v="9673.07"/>
        <n v="24523"/>
        <n v="19353"/>
        <n v="18795"/>
        <n v="25252"/>
        <n v="11410.59"/>
        <n v="8000"/>
        <n v="28237"/>
        <n v="1700"/>
        <n v="17074"/>
        <n v="19041"/>
        <n v="10190"/>
        <n v="12143.3"/>
        <n v="20839.14"/>
        <n v="25000"/>
        <n v="13500"/>
        <n v="17000"/>
        <n v="11730"/>
        <n v="13896"/>
        <n v="27000"/>
        <n v="26021.360000000001"/>
        <n v="29784"/>
        <n v="21162"/>
        <n v="18000"/>
        <n v="22151"/>
        <n v="12003"/>
        <n v="29420"/>
        <n v="21133.05"/>
        <n v="12275"/>
        <n v="18735.38"/>
        <n v="17105"/>
        <n v="24000"/>
        <n v="21056"/>
        <n v="22409"/>
        <n v="17505"/>
        <n v="15933"/>
        <n v="13240.15"/>
        <n v="25093"/>
        <n v="20907.810000000001"/>
        <n v="24060"/>
        <n v="21266"/>
        <n v="20498"/>
        <n v="35000"/>
        <n v="9500"/>
        <n v="22590"/>
        <n v="16168.13"/>
        <n v="32782"/>
        <n v="19096"/>
        <n v="12245.32"/>
        <n v="17849"/>
        <n v="17146"/>
        <n v="10540.72"/>
        <n v="21271"/>
        <n v="13450"/>
        <n v="18277"/>
        <n v="13638"/>
        <n v="13000"/>
        <n v="35111"/>
        <n v="15503.4"/>
        <n v="30000"/>
        <n v="8035.31"/>
        <n v="9955.51"/>
        <n v="14014"/>
        <n v="18334"/>
        <n v="20989"/>
        <n v="22174"/>
        <n v="19987"/>
        <n v="22491"/>
        <n v="28848.48"/>
        <n v="18724.21"/>
        <n v="17107"/>
        <n v="22781.79"/>
        <n v="17694.53"/>
        <n v="15043.07"/>
        <n v="31238"/>
        <n v="25047.11"/>
        <n v="15000"/>
        <n v="21612.91"/>
        <n v="36000"/>
        <n v="20000"/>
        <n v="25763"/>
        <n v="23441.14"/>
        <n v="26338.41"/>
        <n v="29747"/>
        <n v="22118.560000000001"/>
        <n v="15533.86"/>
        <n v="29000"/>
        <n v="34485"/>
        <n v="12273.52"/>
        <n v="18391.28"/>
        <n v="22812"/>
        <n v="15838.72"/>
        <n v="15732"/>
        <n v="12908.93"/>
        <n v="24516"/>
        <n v="21517"/>
        <n v="19100"/>
        <n v="24294"/>
        <n v="27488.85"/>
        <n v="19528"/>
        <n v="21255"/>
        <n v="19000"/>
        <n v="15159.27"/>
        <n v="14667.81"/>
        <n v="16544.11"/>
        <n v="15601"/>
        <n v="31094"/>
        <n v="17672.34"/>
        <n v="4700"/>
        <n v="20545"/>
        <n v="13533.35"/>
        <n v="28000"/>
        <n v="17571.04"/>
        <n v="16139.51"/>
        <n v="25954"/>
        <n v="24741"/>
        <n v="18324"/>
        <n v="20921.8"/>
        <n v="30743"/>
        <n v="25915.89"/>
        <n v="6000"/>
        <n v="11187.23"/>
        <n v="36529"/>
        <n v="13638.95"/>
        <n v="39000"/>
        <n v="24333"/>
        <n v="13135.25"/>
        <n v="19334"/>
        <n v="22829"/>
        <n v="14242.4"/>
        <n v="23039"/>
        <n v="27576"/>
        <n v="18500"/>
        <n v="10731"/>
        <n v="22640"/>
        <n v="26690"/>
        <n v="27262"/>
        <n v="27420"/>
        <n v="22000"/>
        <n v="31056"/>
        <n v="20266.82"/>
        <n v="13783.6"/>
        <n v="12246"/>
        <n v="32195"/>
        <n v="10829"/>
        <n v="17065"/>
        <n v="11289.69"/>
        <n v="28909"/>
        <n v="29206.37"/>
        <n v="26237"/>
        <n v="13593.330000000002"/>
        <n v="16242.17"/>
        <n v="32363"/>
        <n v="17564"/>
        <n v="13786"/>
        <n v="16292"/>
        <n v="25021.33"/>
        <n v="20839"/>
        <n v="27366"/>
        <n v="20628.54"/>
        <n v="21963.653000000002"/>
        <n v="23810"/>
        <n v="25981"/>
        <n v="15730"/>
        <n v="30145"/>
        <n v="13106"/>
        <n v="21640"/>
        <n v="10910"/>
        <n v="20106.650000000001"/>
        <n v="12960"/>
        <n v="16470.8"/>
        <n v="21576.62"/>
        <n v="10497.15"/>
        <n v="13990"/>
        <n v="23386"/>
        <n v="23901"/>
        <n v="11657.4"/>
        <n v="18168"/>
        <n v="13079.52"/>
        <n v="16053"/>
        <n v="7680"/>
        <n v="15679.55"/>
        <n v="14027"/>
        <n v="21683"/>
        <n v="18118.63"/>
        <n v="24716"/>
        <n v="17567.86"/>
        <n v="21340.27"/>
        <n v="22828"/>
        <n v="19552"/>
        <n v="19499.72"/>
        <n v="9991"/>
        <n v="29724.25"/>
        <n v="11456"/>
        <n v="23404"/>
        <n v="13531.11"/>
        <n v="21928.32"/>
        <n v="22875"/>
        <n v="21121.22"/>
        <n v="26079"/>
        <n v="15839.72"/>
        <n v="12142"/>
        <n v="29800.97"/>
        <n v="13084"/>
        <n v="14558"/>
        <n v="11499.3"/>
        <n v="17101"/>
        <n v="12172"/>
        <n v="22890"/>
        <n v="16757"/>
        <n v="19930"/>
        <n v="14500"/>
        <n v="20817.09"/>
        <n v="12742"/>
        <n v="10188"/>
        <n v="17148"/>
        <n v="25480"/>
        <n v="22662"/>
        <n v="26000"/>
        <n v="21792.89"/>
        <n v="15925"/>
        <n v="13270"/>
        <n v="18164"/>
        <n v="15793.59"/>
        <n v="18219"/>
        <n v="19227"/>
        <n v="24220.959999999999"/>
        <n v="27582"/>
        <n v="27717"/>
        <n v="20583"/>
        <n v="11499"/>
        <n v="13233"/>
        <n v="27850"/>
        <n v="15418.33"/>
        <n v="25599"/>
        <n v="20034"/>
        <n v="14433"/>
        <n v="14250"/>
        <n v="34500"/>
        <n v="17657"/>
        <n v="13094"/>
        <n v="19925"/>
        <n v="21891"/>
        <n v="21042"/>
        <n v="28555.22"/>
        <n v="32000"/>
        <n v="24909"/>
        <n v="22661"/>
        <n v="30753"/>
        <n v="17606" u="1"/>
        <n v="21262" u="1"/>
        <n v="15909" u="1"/>
        <n v="35672" u="1"/>
        <n v="17980.52" u="1"/>
        <n v="9000" u="1"/>
        <n v="12735" u="1"/>
        <n v="12799" u="1"/>
        <n v="19110" u="1"/>
        <n v="17505.54" u="1"/>
      </sharedItems>
    </cacheField>
    <cacheField name="PROPUESTO" numFmtId="165">
      <sharedItems containsBlank="1" containsMixedTypes="1" containsNumber="1" minValue="9000" maxValue="36529" count="55">
        <s v="---------"/>
        <n v="17102"/>
        <n v="27370"/>
        <m/>
        <n v="12000"/>
        <s v="."/>
        <n v="20413"/>
        <n v="14000"/>
        <n v="20000"/>
        <n v="15000"/>
        <n v="13000"/>
        <n v="25000"/>
        <n v="17000"/>
        <n v="27000"/>
        <n v="18000"/>
        <n v="12275"/>
        <n v="17105"/>
        <n v="24000"/>
        <n v="16000"/>
        <n v="35000"/>
        <n v="30000"/>
        <n v="14014"/>
        <n v="36000"/>
        <n v="15182"/>
        <n v="29000"/>
        <n v="17107"/>
        <n v="15732"/>
        <n v="24294"/>
        <n v="21255"/>
        <n v="15159.27"/>
        <n v="28000"/>
        <n v="36529"/>
        <n v="18500"/>
        <n v="12500"/>
        <n v="22000"/>
        <n v="19000"/>
        <n v="26000"/>
        <n v="16292"/>
        <n v="27366"/>
        <n v="15730"/>
        <n v="30145"/>
        <n v="10533"/>
        <n v="21340"/>
        <n v="21928.32"/>
        <n v="10000"/>
        <n v="17101"/>
        <n v="13500"/>
        <n v="23000"/>
        <n v="12742"/>
        <n v="25480"/>
        <n v="34500"/>
        <n v="19925"/>
        <n v="17200"/>
        <n v="9000" u="1"/>
        <n v="24523" u="1"/>
      </sharedItems>
    </cacheField>
    <cacheField name="PROPUESTO 2" numFmtId="165">
      <sharedItems containsBlank="1" containsMixedTypes="1" containsNumber="1" minValue="10000" maxValue="36529"/>
    </cacheField>
    <cacheField name="Aprobado 30-4" numFmtId="165">
      <sharedItems containsBlank="1" containsMixedTypes="1" containsNumber="1" containsInteger="1" minValue="11500" maxValue="36000"/>
    </cacheField>
    <cacheField name="PROPUESTO Mayo" numFmtId="165">
      <sharedItems containsBlank="1" containsMixedTypes="1" containsNumber="1" containsInteger="1" minValue="10533" maxValue="27000"/>
    </cacheField>
    <cacheField name=" Mayo 2016" numFmtId="0">
      <sharedItems containsBlank="1" containsMixedTypes="1" containsNumber="1" containsInteger="1" minValue="0" maxValue="1000"/>
    </cacheField>
    <cacheField name="Junio + 7%" numFmtId="165">
      <sharedItems containsBlank="1" containsMixedTypes="1" containsNumber="1" minValue="1000" maxValue="72225" count="185">
        <n v="1070"/>
        <m/>
        <n v="1000"/>
        <s v=" ---"/>
        <n v="18797.610200000003" u="1"/>
        <n v="8217.6" u="1"/>
        <n v="15000" u="1"/>
        <n v="20330" u="1"/>
        <n v="24060" u="1"/>
        <n v="28909" u="1"/>
        <n v="15408" u="1"/>
        <n v="18298.07" u="1"/>
        <n v="24200" u="1"/>
        <n v="8560" u="1"/>
        <n v="28000" u="1"/>
        <n v="33000" u="1"/>
        <n v="18168" u="1"/>
        <n v="17432.440000000002" u="1"/>
        <n v="24480" u="1"/>
        <n v="30145" u="1"/>
        <n v="19740.84" u="1"/>
        <n v="36917" u="1"/>
        <n v="10901.16" u="1"/>
        <n v="21840" u="1"/>
        <n v="27843" u="1"/>
        <n v="14027" u="1"/>
        <n v="30052" u="1"/>
        <n v="62060" u="1"/>
        <n v="22662" u="1"/>
        <n v="14980" u="1"/>
        <n v="35111" u="1"/>
        <n v="18302.350000000002" u="1"/>
        <n v="19987" u="1"/>
        <n v="27820" u="1"/>
        <n v="8998.7000000000007" u="1"/>
        <n v="21683" u="1"/>
        <n v="10902.230000000001" u="1"/>
        <n v="18838.420000000002" u="1"/>
        <n v="16000" u="1"/>
        <n v="12305" u="1"/>
        <n v="46010" u="1"/>
        <n v="10000" u="1"/>
        <n v="14391.5" u="1"/>
        <n v="30000" u="1"/>
        <n v="19795" u="1"/>
        <n v="25763" u="1"/>
        <n v="14479" u="1"/>
        <n v="20034" u="1"/>
        <n v="18000" u="1"/>
        <n v="17120" u="1"/>
        <n v="13626.45" u="1"/>
        <n v="18299.14" u="1"/>
        <n v="52002" u="1"/>
        <n v="29285.9" u="1"/>
        <n v="22890" u="1"/>
        <n v="23502" u="1"/>
        <n v="72225" u="1"/>
        <n v="15435" u="1"/>
        <n v="22019.530000000002" u="1"/>
        <n v="25000" u="1"/>
        <n v="11270.310000000001" u="1"/>
        <n v="15234" u="1"/>
        <n v="17849" u="1"/>
        <n v="27582" u="1"/>
        <n v="46000" u="1"/>
        <n v="16050" u="1"/>
        <n v="16835" u="1"/>
        <n v="16050.000000000002" u="1"/>
        <n v="29960" u="1"/>
        <n v="32782" u="1"/>
        <n v="23386" u="1"/>
        <n v="14392" u="1"/>
        <n v="13375" u="1"/>
        <n v="17657" u="1"/>
        <n v="19353" u="1"/>
        <n v="22372" u="1"/>
        <n v="24610" u="1"/>
        <n v="20000" u="1"/>
        <n v="17299.899099999999" u="1"/>
        <n v="10699.999999999996" u="1"/>
        <n v="39501.19" u="1"/>
        <n v="10700" u="1"/>
        <n v="17564" u="1"/>
        <n v="19260" u="1"/>
        <n v="21122.698800000002" u="1"/>
        <n v="34240" u="1"/>
        <n v="17500" u="1"/>
        <n v="15925" u="1"/>
        <n v="34485" u="1"/>
        <n v="16028.6" u="1"/>
        <n v="22151" u="1"/>
        <n v="27000" u="1"/>
        <n v="13694.93" u="1"/>
        <n v="15013" u="1"/>
        <n v="13996" u="1"/>
        <n v="18934" u="1"/>
        <n v="27717" u="1"/>
        <n v="22710.75" u="1"/>
        <n v="12000" u="1"/>
        <n v="19552" u="1"/>
        <n v="45314.5" u="1"/>
        <n v="26849.510000000002" u="1"/>
        <n v="29285" u="1"/>
        <n v="32100.000000000004" u="1"/>
        <n v="25252" u="1"/>
        <n v="25083" u="1"/>
        <n v="45000" u="1"/>
        <n v="23288" u="1"/>
        <n v="22000" u="1"/>
        <n v="14445" u="1"/>
        <n v="26750" u="1"/>
        <n v="16588.637999999999" u="1"/>
        <n v="49220" u="1"/>
        <n v="21056" u="1"/>
        <n v="6420" u="1"/>
        <n v="11587.03" u="1"/>
        <n v="17903" u="1"/>
        <n v="21260" u="1"/>
        <n v="14544.863100000002" u="1"/>
        <n v="40000" u="1"/>
        <n v="21400" u="1"/>
        <n v="38520" u="1"/>
        <n v="25981" u="1"/>
        <n v="31238" u="1"/>
        <n v="21684.620000000003" u="1"/>
        <n v="35000" u="1"/>
        <n v="18795" u="1"/>
        <n v="38169.040000000001" u="1"/>
        <n v="42600" u="1"/>
        <n v="17000" u="1"/>
        <n v="7000" u="1"/>
        <n v="16244.740000000002" u="1"/>
        <n v="34628.410000000003" u="1"/>
        <n v="40071" u="1"/>
        <n v="20447.7" u="1"/>
        <n v="13000" u="1"/>
        <n v="1819" u="1"/>
        <n v="22875" u="1"/>
        <n v="29420" u="1"/>
        <n v="17146" u="1"/>
        <n v="18300" u="1"/>
        <n v="20579" u="1"/>
        <n v="15515" u="1"/>
        <n v="27263.600000000002" u="1"/>
        <n v="28890" u="1"/>
        <n v="13134.25" u="1"/>
        <n v="24991" u="1"/>
        <n v="31979" u="1"/>
        <n v="32155.640000000003" u="1"/>
        <n v="12840" u="1"/>
        <n v="20859" u="1"/>
        <n v="48150" u="1"/>
        <n v="21640" u="1"/>
        <n v="23540" u="1"/>
        <n v="39000" u="1"/>
        <n v="42800" u="1"/>
        <n v="19000" u="1"/>
        <n v="20865" u="1"/>
        <n v="16220.418900000001" u="1"/>
        <n v="37450" u="1"/>
        <n v="22835" u="1"/>
        <n v="18190" u="1"/>
        <n v="19463.300000000003" u="1"/>
        <n v="21319.75" u="1"/>
        <n v="39373.86" u="1"/>
        <n v="20498" u="1"/>
        <n v="15932" u="1"/>
        <n v="19041" u="1"/>
        <n v="14000" u="1"/>
        <n v="16465" u="1"/>
        <n v="24741" u="1"/>
        <n v="25994.58" u="1"/>
        <n v="39086.03" u="1"/>
        <n v="26000" u="1"/>
        <n v="10142.530000000001" u="1"/>
        <n v="5029" u="1"/>
        <n v="20545" u="1"/>
        <n v="22276" u="1"/>
        <n v="20959" u="1"/>
        <n v="15909" u="1"/>
        <n v="43000" u="1"/>
        <n v="13910" u="1"/>
        <n v="17270" u="1"/>
        <n v="25680" u="1"/>
        <n v="16515.45" u="1"/>
      </sharedItems>
    </cacheField>
    <cacheField name="Julio + 10%" numFmtId="165">
      <sharedItems containsBlank="1" containsMixedTypes="1" containsNumber="1" minValue="0" maxValue="100100" count="362">
        <n v="1170"/>
        <m/>
        <n v="0"/>
        <s v=" ---"/>
        <n v="37415.32" u="1"/>
        <n v="20000" u="1"/>
        <n v="39000" u="1"/>
        <n v="16379.999999999998" u="1"/>
        <n v="16380" u="1"/>
        <n v="14300.000000000002" u="1"/>
        <n v="11700" u="1"/>
        <n v="19463.37" u="1"/>
        <n v="8000" u="1"/>
        <n v="22970.3" u="1"/>
        <n v="18071.45" u="1"/>
        <n v="21947.95" u="1"/>
        <n v="21640" u="1"/>
        <n v="15435" u="1"/>
        <n v="33014.25" u="1"/>
        <n v="22882.560000000001" u="1"/>
        <n v="36040" u="1"/>
        <n v="31150.95" u="1"/>
        <n v="37018.04" u="1"/>
        <n v="12000" u="1"/>
        <n v="19411.97" u="1"/>
        <n v="3675.78" u="1"/>
        <n v="21262.5" u="1"/>
        <n v="22358.699999999997" u="1"/>
        <n v="17932.009999999998" u="1"/>
        <n v="32813.15" u="1"/>
        <n v="38500" u="1"/>
        <n v="17526.599999999999" u="1"/>
        <n v="20034" u="1"/>
        <n v="19840.91" u="1"/>
        <n v="38739.4" u="1"/>
        <n v="37430" u="1"/>
        <n v="31979" u="1"/>
        <n v="31642.26" u="1"/>
        <n v="23312.25" u="1"/>
        <n v="34954.06" u="1"/>
        <n v="18932.54" u="1"/>
        <n v="31978.12" u="1"/>
        <n v="27000" u="1"/>
        <n v="42600" u="1"/>
        <n v="1632.65" u="1"/>
        <n v="22119.59" u="1"/>
        <n v="27494.15" u="1"/>
        <n v="14286" u="1"/>
        <n v="13120" u="1"/>
        <n v="35100" u="1"/>
        <n v="25949.360000000001" u="1"/>
        <n v="10000" u="1"/>
        <n v="25740" u="1"/>
        <n v="15925" u="1"/>
        <n v="38000" u="1"/>
        <n v="31384.46" u="1"/>
        <n v="20140.509999999998" u="1"/>
        <n v="19464.66" u="1"/>
        <n v="36920.57" u="1"/>
        <n v="24480" u="1"/>
        <n v="19618.32" u="1"/>
        <n v="28166.12" u="1"/>
        <n v="15845.54" u="1"/>
        <n v="29700.61" u="1"/>
        <n v="20009.34" u="1"/>
        <n v="15500" u="1"/>
        <n v="19372.830000000002" u="1"/>
        <n v="36300" u="1"/>
        <n v="15736.499999999998" u="1"/>
        <n v="22862.9" u="1"/>
        <n v="24001.200000000001" u="1"/>
        <n v="6000" u="1"/>
        <n v="100100" u="1"/>
        <n v="20733.71" u="1"/>
        <n v="42738.93" u="1"/>
        <n v="20008.169999999998" u="1"/>
        <n v="24254.49" u="1"/>
        <n v="21645" u="1"/>
        <n v="13199.999999999995" u="1"/>
        <n v="18138.977999999999" u="1"/>
        <n v="17298.419999999998" u="1"/>
        <n v="9828" u="1"/>
        <n v="25059.26" u="1"/>
        <n v="22875" u="1"/>
        <n v="15832" u="1"/>
        <n v="24901.47" u="1"/>
        <n v="32015" u="1"/>
        <n v="33892.639999999999" u="1"/>
        <n v="11420" u="1"/>
        <n v="24357" u="1"/>
        <n v="22151" u="1"/>
        <n v="19643.060000000001" u="1"/>
        <n v="24251.360000000001" u="1"/>
        <n v="14692.18" u="1"/>
        <n v="20859" u="1"/>
        <n v="26910" u="1"/>
        <n v="17550" u="1"/>
        <n v="38260" u="1"/>
        <n v="29215.09" u="1"/>
        <n v="24200.000000000004" u="1"/>
        <n v="39768.910000000003" u="1"/>
        <n v="19000" u="1"/>
        <n v="23885" u="1"/>
        <n v="24864.959999999999" u="1"/>
        <n v="33868.519999999997" u="1"/>
        <n v="15234" u="1"/>
        <n v="20545" u="1"/>
        <n v="12323.609999999999" u="1"/>
        <n v="30000" u="1"/>
        <n v="30444.9912" u="1"/>
        <n v="35111" u="1"/>
        <n v="48600" u="1"/>
        <n v="18686.25" u="1"/>
        <n v="20010" u="1"/>
        <n v="18364.2" u="1"/>
        <n v="22815" u="1"/>
        <n v="23288" u="1"/>
        <n v="17424.87" u="1"/>
        <n v="20884.57" u="1"/>
        <n v="12430" u="1"/>
        <n v="21726.06" u="1"/>
        <n v="12202.97" u="1"/>
        <n v="32782" u="1"/>
        <n v="16576" u="1"/>
        <n v="12840" u="1"/>
        <n v="24833.25" u="1"/>
        <n v="24991" u="1"/>
        <n v="31865.59" u="1"/>
        <n v="14054.98" u="1"/>
        <n v="20579" u="1"/>
        <n v="34485" u="1"/>
        <n v="18598.63" u="1"/>
        <n v="24624.39" u="1"/>
        <n v="28080" u="1"/>
        <n v="26000" u="1"/>
        <n v="43053.659999999996" u="1"/>
        <n v="26864.31" u="1"/>
        <n v="18720" u="1"/>
        <n v="13455" u="1"/>
        <n v="56862" u="1"/>
        <n v="7449.07" u="1"/>
        <n v="37864.71" u="1"/>
        <n v="18405" u="1"/>
        <n v="32857.26" u="1"/>
        <n v="18082.95" u="1"/>
        <n v="19130" u="1"/>
        <n v="18738.689999999999" u="1"/>
        <n v="21683" u="1"/>
        <n v="15821.44" u="1"/>
        <n v="25503.55" u="1"/>
        <n v="14899.949999999999" u="1"/>
        <n v="17492" u="1"/>
        <n v="46590" u="1"/>
        <n v="25479.599999999999" u="1"/>
        <n v="29994.78" u="1"/>
        <n v="20886.78" u="1"/>
        <n v="19446.25" u="1"/>
        <n v="20959" u="1"/>
        <n v="38817.050000000003" u="1"/>
        <n v="24741" u="1"/>
        <n v="15000" u="1"/>
        <n v="12400" u="1"/>
        <n v="38434.959999999999" u="1"/>
        <n v="17762.939999999999" u="1"/>
        <n v="23386" u="1"/>
        <n v="18511.009999999998" u="1"/>
        <n v="17146" u="1"/>
        <n v="17999.96" u="1"/>
        <n v="41736.239999999998" u="1"/>
        <n v="22000" u="1"/>
        <n v="30916.83" u="1"/>
        <n v="32017.91" u="1"/>
        <n v="21282.3" u="1"/>
        <n v="43000" u="1"/>
        <n v="18614.689999999999" u="1"/>
        <n v="22662" u="1"/>
        <n v="23711.219999999998" u="1"/>
        <n v="19353" u="1"/>
        <n v="16188.07" u="1"/>
        <n v="18615.98" u="1"/>
        <n v="23117.06" u="1"/>
        <n v="18567.669999999998" u="1"/>
        <n v="18041.14" u="1"/>
        <n v="29378.46" u="1"/>
        <n v="20599.02" u="1"/>
        <n v="31994.46" u="1"/>
        <n v="29666.55" u="1"/>
        <n v="42120" u="1"/>
        <n v="29250" u="1"/>
        <n v="21056" u="1"/>
        <n v="19890" u="1"/>
        <n v="14040" u="1"/>
        <n v="13000" u="1"/>
        <n v="18892.89" u="1"/>
        <n v="9360" u="1"/>
        <n v="28431" u="1"/>
        <n v="16326.48" u="1"/>
        <n v="18117.32" u="1"/>
        <n v="29358.809999999998" u="1"/>
        <n v="18000" u="1"/>
        <n v="19596.11" u="1"/>
        <n v="17237.490000000002" u="1"/>
        <n v="35000" u="1"/>
        <n v="19576" u="1"/>
        <n v="48026.8" u="1"/>
        <n v="26069.040000000001" u="1"/>
        <n v="17624.96" u="1"/>
        <n v="18471.330000000002" u="1"/>
        <n v="52650" u="1"/>
        <n v="34592.54" u="1"/>
        <n v="19041" u="1"/>
        <n v="29000" u="1"/>
        <n v="27248.560000000001" u="1"/>
        <n v="18600" u="1"/>
        <n v="20975.68" u="1"/>
        <n v="15932" u="1"/>
        <n v="27582" u="1"/>
        <n v="18604.34" u="1"/>
        <n v="16263" u="1"/>
        <n v="19327.96" u="1"/>
        <n v="31238" u="1"/>
        <n v="13143" u="1"/>
        <n v="19987" u="1"/>
        <n v="18884" u="1"/>
        <n v="23460.799999999999" u="1"/>
        <n v="18043.009999999998" u="1"/>
        <n v="23627.52" u="1"/>
        <n v="28589.62" u="1"/>
        <n v="5499" u="1"/>
        <n v="23330.959999999999" u="1"/>
        <n v="19303.22" u="1"/>
        <n v="78975" u="1"/>
        <n v="20555" u="1"/>
        <n v="29600" u="1"/>
        <n v="24463" u="1"/>
        <n v="22006.04" u="1"/>
        <n v="30419.999999999996" u="1"/>
        <n v="21060" u="1"/>
        <n v="14625" u="1"/>
        <n v="7020" u="1"/>
        <n v="19740.84" u="1"/>
        <n v="40404.720000000001" u="1"/>
        <n v="25252" u="1"/>
        <n v="25000" u="1"/>
        <n v="19800" u="1"/>
        <n v="17657" u="1"/>
        <n v="27427" u="1"/>
        <n v="26195.83" u="1"/>
        <n v="24969" u="1"/>
        <n v="34800.559999999998" u="1"/>
        <n v="9000" u="1"/>
        <n v="19086.89" u="1"/>
        <n v="34621.57" u="1"/>
        <n v="31843.84" u="1"/>
        <n v="36496.21" u="1"/>
        <n v="27731.61" u="1"/>
        <n v="11090.429999999998" u="1"/>
        <n v="28909" u="1"/>
        <n v="14027" u="1"/>
        <n v="17377.21" u="1"/>
        <n v="30800.000000000004" u="1"/>
        <n v="28423.98" u="1"/>
        <n v="16965" u="1"/>
        <n v="22890" u="1"/>
        <n v="1988.9999999999998" u="1"/>
        <n v="1989" u="1"/>
        <n v="34399.519999999997" u="1"/>
        <n v="17564" u="1"/>
        <n v="15019.04" u="1"/>
        <n v="47659.8" u="1"/>
        <n v="18916.712099999997" u="1"/>
        <n v="26202.17" u="1"/>
        <n v="32400.32" u="1"/>
        <n v="11921.13" u="1"/>
        <n v="21205.52" u="1"/>
        <n v="20498.96" u="1"/>
        <n v="16165.43" u="1"/>
        <n v="17849" u="1"/>
        <n v="18700" u="1"/>
        <n v="31589.999999999996" u="1"/>
        <n v="15689.28" u="1"/>
        <n v="18289.12" u="1"/>
        <n v="17365.36" u="1"/>
        <n v="22230" u="1"/>
        <n v="15209.999999999998" u="1"/>
        <n v="15210" u="1"/>
        <n v="32000" u="1"/>
        <n v="18795" u="1"/>
        <n v="20933.91" u="1"/>
        <n v="19131.650000000001" u="1"/>
        <n v="25981" u="1"/>
        <n v="29700.000000000004" u="1"/>
        <n v="19552" u="1"/>
        <n v="22344.48" u="1"/>
        <n v="21822.04" u="1"/>
        <n v="24719.62" u="1"/>
        <n v="16377.71" u="1"/>
        <n v="22040.87" u="1"/>
        <n v="25698" u="1"/>
        <n v="20498" u="1"/>
        <n v="17000" u="1"/>
        <n v="33000" u="1"/>
        <n v="15400" u="1"/>
        <n v="32022.899999999998" u="1"/>
        <n v="33974.199999999997" u="1"/>
        <n v="14381.84" u="1"/>
        <n v="24060" u="1"/>
        <n v="16627.38" u="1"/>
        <n v="16465" u="1"/>
        <n v="32794.559999999998" u="1"/>
        <n v="55000" u="1"/>
        <n v="35687.96" u="1"/>
        <n v="28423.56" u="1"/>
        <n v="25763" u="1"/>
        <n v="27717" u="1"/>
        <n v="15905" u="1"/>
        <n v="12627.77" u="1"/>
        <n v="19061.64" u="1"/>
        <n v="18168" u="1"/>
        <n v="29468.94" u="1"/>
        <n v="46124.26" u="1"/>
        <n v="32759.999999999996" u="1"/>
        <n v="29811.599999999999" u="1"/>
        <n v="30061.68" u="1"/>
        <n v="18126.400000000001" u="1"/>
        <n v="23400" u="1"/>
        <n v="15794.999999999998" u="1"/>
        <n v="39875" u="1"/>
        <n v="26318.73" u="1"/>
        <n v="16000" u="1"/>
        <n v="16404" u="1"/>
        <n v="32247.279999999999" u="1"/>
        <n v="10800" u="1"/>
        <n v="29420" u="1"/>
        <n v="25714.560000000001" u="1"/>
        <n v="20702.600099999996" u="1"/>
        <n v="26818.6" u="1"/>
        <n v="41953.99" u="1"/>
        <n v="12669.929999999998" u="1"/>
        <n v="36735.760000000002" u="1"/>
        <n v="14361.75" u="1"/>
        <n v="40950" u="1"/>
        <n v="16500" u="1"/>
        <n v="29844.560000000001" u="1"/>
        <n v="21867.759999999998" u="1"/>
        <n v="33319.660000000003" u="1"/>
        <n v="15494.58" u="1"/>
        <n v="28762.71" u="1"/>
        <n v="30052" u="1"/>
        <n v="22929.5" u="1"/>
        <n v="36917" u="1"/>
        <n v="20012.849999999999" u="1"/>
        <n v="24694.75" u="1"/>
        <n v="18148.72" u="1"/>
        <n v="14000" u="1"/>
        <n v="33524.26" u="1"/>
        <n v="23171.11" u="1"/>
        <n v="27500.000000000004" u="1"/>
        <n v="8985.5999999999985" u="1"/>
        <n v="22300" u="1"/>
        <n v="24249.91" u="1"/>
        <n v="41477.269999999997" u="1"/>
      </sharedItems>
    </cacheField>
    <cacheField name="Agosto + 14%" numFmtId="165">
      <sharedItems containsBlank="1" containsMixedTypes="1" containsNumber="1" minValue="0" maxValue="109309.20000000001" count="336">
        <n v="1310"/>
        <s v=" ---"/>
        <n v="0"/>
        <m/>
        <n v="21418" u="1"/>
        <n v="31440" u="1"/>
        <n v="17884.459320000002" u="1"/>
        <n v="37865" u="1"/>
        <n v="20000" u="1"/>
        <n v="24987.755520000002" u="1"/>
        <n v="34937.950320000004" u="1"/>
        <n v="39000" u="1"/>
        <n v="38971.25232" u="1"/>
        <n v="21254.000039999999" u="1"/>
        <n v="109309.20000000001" u="1"/>
        <n v="8000" u="1"/>
        <n v="22270" u="1"/>
        <n v="35850" u="1"/>
        <n v="23013.8966" u="1"/>
        <n v="40115.449920000006" u="1"/>
        <n v="31000" u="1"/>
        <n v="21640" u="1"/>
        <n v="40317.262440000006" u="1"/>
        <n v="19818.402240000003" u="1"/>
        <n v="17677.372439999999" u="1"/>
        <n v="12000" u="1"/>
        <n v="20631.035879999999" u="1"/>
        <n v="31408.87932" u="1"/>
        <n v="22641.211320000002" u="1"/>
        <n v="21197.871240000004" u="1"/>
        <n v="19794.028800000004" u="1"/>
        <n v="21666.273720000001" u="1"/>
        <n v="25234" u="1"/>
        <n v="13798.230000000001" u="1"/>
        <n v="20034" u="1"/>
        <n v="35831.959800000004" u="1"/>
        <n v="22384.864320000001" u="1"/>
        <n v="21342.52" u="1"/>
        <n v="36385.068720000003" u="1"/>
        <n v="41970.976320000002" u="1"/>
        <n v="2227" u="1"/>
        <n v="15348.03816" u="1"/>
        <n v="31979" u="1"/>
        <n v="34797.224280000002" u="1"/>
        <n v="20309.703960000003" u="1"/>
        <n v="37746" u="1"/>
        <n v="6157" u="1"/>
        <n v="18995" u="1"/>
        <n v="27000" u="1"/>
        <n v="33145" u="1"/>
        <n v="20462.64948" u="1"/>
        <n v="42600" u="1"/>
        <n v="20891.761800000004" u="1"/>
        <n v="15720" u="1"/>
        <n v="18975.91332" u="1"/>
        <n v="19581.754919999999" u="1"/>
        <n v="16400.791680000002" u="1"/>
        <n v="10000" u="1"/>
        <n v="19702.966919999999" u="1"/>
        <n v="15925" u="1"/>
        <n v="35880.127920000006" u="1"/>
        <n v="32754.299760000002" u="1"/>
        <n v="38000" u="1"/>
        <n v="34016.837400000004" u="1"/>
        <n v="37775.053680000005" u="1"/>
        <n v="35811.659520000001" u="1"/>
        <n v="19027.958040000001" u="1"/>
        <n v="24480" u="1"/>
        <n v="18366" u="1"/>
        <n v="22400" u="1"/>
        <n v="33378.800000000003" u="1"/>
        <n v="24890" u="1"/>
        <n v="32433.066120000003" u="1"/>
        <n v="24068.63004" u="1"/>
        <n v="26966.667000000001" u="1"/>
        <n v="17725.754100000002" u="1"/>
        <n v="22407.55" u="1"/>
        <n v="14185.99" u="1"/>
        <n v="18962.973120000002" u="1"/>
        <n v="6000" u="1"/>
        <n v="38192.000000000007" u="1"/>
        <n v="13347.59" u="1"/>
        <n v="21450.221520000003" u="1"/>
        <n v="43427.649720000009" u="1"/>
        <n v="20842.883880000001" u="1"/>
        <n v="45000" u="1"/>
        <n v="36680" u="1"/>
        <n v="21917.61" u="1"/>
        <n v="17828.516159999999" u="1"/>
        <n v="25083.567600000002" u="1"/>
        <n v="17277.012480000001" u="1"/>
        <n v="22875" u="1"/>
        <n v="17360" u="1"/>
        <n v="13500" u="1"/>
        <n v="22859.829720000002" u="1"/>
        <n v="22151" u="1"/>
        <n v="35381.149440000001" u="1"/>
        <n v="40423.699680000005" u="1"/>
        <n v="7860" u="1"/>
        <n v="20859" u="1"/>
        <n v="17550" u="1"/>
        <n v="20852.832000000002" u="1"/>
        <n v="19000" u="1"/>
        <n v="32081.278320000001" u="1"/>
        <n v="15234" u="1"/>
        <n v="27364.711920000002" u="1"/>
        <n v="18157.098960000003" u="1"/>
        <n v="37564.275840000002" u="1"/>
        <n v="26889.833880000002" u="1"/>
        <n v="20545" u="1"/>
        <n v="18823.339080000002" u="1"/>
        <n v="30000" u="1"/>
        <n v="35111" u="1"/>
        <n v="24800" u="1"/>
        <n v="37010.762880000002" u="1"/>
        <n v="22403.620000000003" u="1"/>
        <n v="45813.757080000003" u="1"/>
        <n v="25801.251840000001" u="1"/>
        <n v="18340" u="1"/>
        <n v="23288" u="1"/>
        <n v="20830" u="1"/>
        <n v="30707.893400000001" u="1"/>
        <n v="21079.116240000003" u="1"/>
        <n v="39853.861320000004" u="1"/>
        <n v="28605.846360000003" u="1"/>
        <n v="29755.427520000005" u="1"/>
        <n v="32180.082480000001" u="1"/>
        <n v="32782" u="1"/>
        <n v="20610" u="1"/>
        <n v="12840" u="1"/>
        <n v="26993.82504" u="1"/>
        <n v="24991" u="1"/>
        <n v="28773" u="1"/>
        <n v="34485" u="1"/>
        <n v="24235" u="1"/>
        <n v="17132.693760000002" u="1"/>
        <n v="26000" u="1"/>
        <n v="43053.659999999996" u="1"/>
        <n v="24030.595680000002" u="1"/>
        <n v="24154.592280000001" u="1"/>
        <n v="19888.420000000002" u="1"/>
        <n v="26485.903080000004" u="1"/>
        <n v="17652.649560000002" u="1"/>
        <n v="21683" u="1"/>
        <n v="22808.36376" u="1"/>
        <n v="34963.557720000004" u="1"/>
        <n v="23179.834299999999" u="1"/>
        <n v="50367.691920000005" u="1"/>
        <n v="52044.501600000011" u="1"/>
        <n v="35370" u="1"/>
        <n v="23829.667680000002" u="1"/>
        <n v="21398.952120000002" u="1"/>
        <n v="40350" u="1"/>
        <n v="30130" u="1"/>
        <n v="20959" u="1"/>
        <n v="31219.865040000001" u="1"/>
        <n v="30023.611800000002" u="1"/>
        <n v="24741" u="1"/>
        <n v="15000" u="1"/>
        <n v="27152.536320000003" u="1"/>
        <n v="20315.939280000002" u="1"/>
        <n v="34773.473280000006" u="1"/>
        <n v="23386" u="1"/>
        <n v="17146" u="1"/>
        <n v="34553.34792" u="1"/>
        <n v="27956" u="1"/>
        <n v="17808" u="1"/>
        <n v="36608.491920000008" u="1"/>
        <n v="23218.65" u="1"/>
        <n v="29285.911200000002" u="1"/>
        <n v="22000" u="1"/>
        <n v="20960" u="1"/>
        <n v="17619.5" u="1"/>
        <n v="22662" u="1"/>
        <n v="19971.71904" u="1"/>
        <n v="19353" u="1"/>
        <n v="21181" u="1"/>
        <n v="27390" u="1"/>
        <n v="28080.299520000004" u="1"/>
        <n v="19655.956320000001" u="1"/>
        <n v="21155.130360000003" u="1"/>
        <n v="42120" u="1"/>
        <n v="32590.259520000003" u="1"/>
        <n v="19246.456320000001" u="1"/>
        <n v="21056" u="1"/>
        <n v="16120" u="1"/>
        <n v="15600" u="1"/>
        <n v="13000" u="1"/>
        <n v="21993.43692" u="1"/>
        <n v="20214.022919999999" u="1"/>
        <n v="18000" u="1"/>
        <n v="31993" u="1"/>
        <n v="10060.800000000001" u="1"/>
        <n v="35000" u="1"/>
        <n v="17685" u="1"/>
        <n v="32827.35456" u="1"/>
        <n v="20405.385000000002" u="1"/>
        <n v="26480.901720000002" u="1"/>
        <n v="13325.643239999999" u="1"/>
        <n v="20900" u="1"/>
        <n v="15065" u="1"/>
        <n v="40857.529440000006" u="1"/>
        <n v="32750" u="1"/>
        <n v="20053.706400000003" u="1"/>
        <n v="19041" u="1"/>
        <n v="15704.969280000001" u="1"/>
        <n v="33761.178360000005" u="1"/>
        <n v="25477.408320000002" u="1"/>
        <n v="15932" u="1"/>
        <n v="27582" u="1"/>
        <n v="24400.172160000002" u="1"/>
        <n v="8134.3844400000007" u="1"/>
        <n v="31238" u="1"/>
        <n v="19987" u="1"/>
        <n v="10480" u="1"/>
        <n v="23580" u="1"/>
        <n v="38169.83352" u="1"/>
        <n v="26101.75" u="1"/>
        <n v="13789.524840000002" u="1"/>
        <n v="22320" u="1"/>
        <n v="19700.924880000002" u="1"/>
        <n v="25302.852120000003" u="1"/>
        <n v="44121.954240000006" u="1"/>
        <n v="16043.860560000001" u="1"/>
        <n v="36984.423839999996" u="1"/>
        <n v="34060" u="1"/>
        <n v="1782.8538000000003" u="1"/>
        <n v="14625" u="1"/>
        <n v="27804.75" u="1"/>
        <n v="25252" u="1"/>
        <n v="20328.650160000001" u="1"/>
        <n v="25000" u="1"/>
        <n v="19800" u="1"/>
        <n v="34920.107040000003" u="1"/>
        <n v="17657" u="1"/>
        <n v="35854.700000000004" u="1"/>
        <n v="19784.113440000001" u="1"/>
        <n v="26198" u="1"/>
        <n v="28467.391680000004" u="1"/>
        <n v="21423.205440000002" u="1"/>
        <n v="45850" u="1"/>
        <n v="28909" u="1"/>
        <n v="14027" u="1"/>
        <n v="42303.424800000008" u="1"/>
        <n v="16375" u="1"/>
        <n v="28740.053160000003" u="1"/>
        <n v="22890" u="1"/>
        <n v="17564" u="1"/>
        <n v="22805.950440000001" u="1"/>
        <n v="30757.403040000001" u="1"/>
        <n v="26482.485120000001" u="1"/>
        <n v="42388.218600000007" u="1"/>
        <n v="17303.329680000003" u="1"/>
        <n v="34087.981599999999" u="1"/>
        <n v="26200" u="1"/>
        <n v="21000" u="1"/>
        <n v="31038.527520000003" u="1"/>
        <n v="23724.857520000005" u="1"/>
        <n v="24966.286800000002" u="1"/>
        <n v="27272" u="1"/>
        <n v="30282.918120000002" u="1"/>
        <n v="23156.427840000004" u="1"/>
        <n v="17849" u="1"/>
        <n v="52445.265600000006" u="1"/>
        <n v="17030" u="1"/>
        <n v="39300" u="1"/>
        <n v="18795" u="1"/>
        <n v="25619.193600000002" u="1"/>
        <n v="28612.769639999999" u="1"/>
        <n v="18889.874639999998" u="1"/>
        <n v="4013.9517600000004" u="1"/>
        <n v="25981" u="1"/>
        <n v="27823.7232" u="1"/>
        <n v="25243.829520000003" u="1"/>
        <n v="19552" u="1"/>
        <n v="23879.593919999999" u="1"/>
        <n v="36051.561000000002" u="1"/>
        <n v="20498" u="1"/>
        <n v="22402.31" u="1"/>
        <n v="20275.895639999999" u="1"/>
        <n v="23967.161400000001" u="1"/>
        <n v="17000" u="1"/>
        <n v="37099.826399999998" u="1"/>
        <n v="33000" u="1"/>
        <n v="21235.305" u="1"/>
        <n v="32022.899999999998" u="1"/>
        <n v="19746.581400000003" u="1"/>
        <n v="23828.9" u="1"/>
        <n v="20327.241480000001" u="1"/>
        <n v="24060" u="1"/>
        <n v="26209.310400000002" u="1"/>
        <n v="19585" u="1"/>
        <n v="16465" u="1"/>
        <n v="20310" u="1"/>
        <n v="21255.408720000003" u="1"/>
        <n v="19623.8" u="1"/>
        <n v="27192.405240000004" u="1"/>
        <n v="55000" u="1"/>
        <n v="42835" u="1"/>
        <n v="17600" u="1"/>
        <n v="34271.830320000001" u="1"/>
        <n v="13100" u="1"/>
        <n v="31825.140000000003" u="1"/>
        <n v="21106.132320000001" u="1"/>
        <n v="28820" u="1"/>
        <n v="25763" u="1"/>
        <n v="26740" u="1"/>
        <n v="27717" u="1"/>
        <n v="21142.758100000003" u="1"/>
        <n v="22905.442560000003" u="1"/>
        <n v="45293.17884" u="1"/>
        <n v="18168" u="1"/>
        <n v="14692" u="1"/>
        <n v="16000" u="1"/>
        <n v="19650" u="1"/>
        <n v="29420" u="1"/>
        <n v="24630" u="1"/>
        <n v="16920.08136" u="1"/>
        <n v="35214.029760000005" u="1"/>
        <n v="29335.826520000002" u="1"/>
        <n v="38002.211519999997" u="1"/>
        <n v="14015" u="1"/>
        <n v="37806.754440000004" u="1"/>
        <n v="16500" u="1"/>
        <n v="25545" u="1"/>
        <n v="31902.878280000001" u="1"/>
        <n v="18013" u="1"/>
        <n v="20674.333680000003" u="1"/>
        <n v="32395.872600000002" u="1"/>
        <n v="25039.014000000003" u="1"/>
        <n v="14000" u="1"/>
        <n v="20170.692360000005" u="1"/>
        <n v="19734.023400000002" u="1"/>
        <n v="28336.701120000002" u="1"/>
        <n v="16080.25" u="1"/>
        <n v="27849.876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ABRIEL RRHH" refreshedDate="42605.528613541668" createdVersion="4" refreshedVersion="4" minRefreshableVersion="3" recordCount="1019">
  <cacheSource type="worksheet">
    <worksheetSource ref="A3:AB1020" sheet="BASE DATOS"/>
  </cacheSource>
  <cacheFields count="29">
    <cacheField name="MINISTERIO" numFmtId="2">
      <sharedItems/>
    </cacheField>
    <cacheField name="SECRETARÍA" numFmtId="2">
      <sharedItems containsBlank="1" count="16">
        <s v="SEC CONTENIDOS PUBLICOS"/>
        <m/>
        <s v="SEC MEDIOS PUBLICOS"/>
        <s v="SFMyCP" u="1"/>
        <s v="PROG 59" u="1"/>
        <s v="MODERNIZACIÓN" u="1"/>
        <s v="MODERNIZACION" u="1"/>
        <s v="MIN SALUD" u="1"/>
        <s v="OBRAS PUBLICAS" u="1"/>
        <s v="CCK" u="1"/>
        <s v="SEDRONAR" u="1"/>
        <s v="MIN COMUNICACIÓNES" u="1"/>
        <s v="CONTENIDOS PUBLICOS" u="1"/>
        <s v="JEFATURA DE GABINETE DE MINISTROS" u="1"/>
        <s v="MIN COMUNICACIONES" u="1"/>
        <s v="SECRETARIA DE CONTENIDOS PUBLICOS" u="1"/>
      </sharedItems>
    </cacheField>
    <cacheField name="SUBSECRETARÍA" numFmtId="2">
      <sharedItems containsBlank="1"/>
    </cacheField>
    <cacheField name="DIRECCIÓN/ÁREA" numFmtId="2">
      <sharedItems containsBlank="1" count="43">
        <s v="DIR NAC GENERACION DE CONTENIDOS"/>
        <s v="DIR NAC EXPRESIONES FEDERALES"/>
        <s v="UNIDAD DE MINISTRO"/>
        <s v="DIRECCION NACIONAL DE CENTROS TEMATICOS"/>
        <s v="UNIDAD SECRETARÍA"/>
        <s v="DIR GRAL TECNICA ADMINISTRATIVA Y LEGAL"/>
        <s v="ARTES VISUALES"/>
        <s v="UNIDAD SUBSECRETARIO"/>
        <s v="COMUNICACIONES"/>
        <s v="DIR DE COOPERACION INTERNACIONAL"/>
        <m/>
        <s v="INSTITUCIONALES" u="1"/>
        <s v="GESTIÓN DE CONVENIOS" u="1"/>
        <s v="UNIDAD ADMIN. Y LEGAL " u="1"/>
        <s v="MODERNIZACIÓN" u="1"/>
        <s v="DIRECCIÓN NACIONAL DE GENERACIÓN DE CONTENIDOS" u="1"/>
        <s v="MODERNIZACION" u="1"/>
        <s v="DIRECCIÓN GESIÓN DE CONVENIOS" u="1"/>
        <s v="TECNÓPOLIS" u="1"/>
        <s v="A DESIGNAR" u="1"/>
        <s v="UNIDAD SECRETARIO" u="1"/>
        <s v="CIBERSALUD" u="1"/>
        <s v="DIRECCION GENERAL TECNICA ADMINISTRATIVA Y LEGAL" u="1"/>
        <s v="COORDINACION" u="1"/>
        <s v="UNIDAD EJECUTORA DEL P 59" u="1"/>
        <s v="DIRECCIÓN GENERAL EXPRESIONES FEDERALES" u="1"/>
        <s v="SEDRONAR" u="1"/>
        <s v="SECRETARIA DE MEDIOS PUBLICOS" u="1"/>
        <s v="RECUPERAR INCLUSION" u="1"/>
        <s v="IGUALDAD CULTURAL" u="1"/>
        <s v="PRODUCCIÓN GENERAL" u="1"/>
        <s v="NÚCLEOS DE ACCESO AL CONOCIMIENTO" u="1"/>
        <s v="SUB SECRETARIA CTEF" u="1"/>
        <s v="COMUNICACIÓN" u="1"/>
        <s v="JEFATURA DE GABINETE DE MINISTROS" u="1"/>
        <s v="TELEVISION DIGITAL ABIERTA" u="1"/>
        <s v="INV. AP. RECURSOS DIGITALES" u="1"/>
        <s v="INFORMATICA " u="1"/>
        <s v="MIN COMUNICACIONES" u="1"/>
        <s v="ENAMORAR" u="1"/>
        <s v="SUB SEC CENTROS TEMATICOS Y EXP FEDERALES" u="1"/>
        <s v="DIR GENERAL TECNICO ADMINISTRATIVO Y LEGAL" u="1"/>
        <s v="GESTIÓN OPERATIVA" u="1"/>
      </sharedItems>
    </cacheField>
    <cacheField name="AREA / DEPENDENCIA" numFmtId="2">
      <sharedItems containsBlank="1"/>
    </cacheField>
    <cacheField name="SECTOR" numFmtId="2">
      <sharedItems containsBlank="1"/>
    </cacheField>
    <cacheField name="SUB SECTOR" numFmtId="2">
      <sharedItems containsBlank="1"/>
    </cacheField>
    <cacheField name="PUESTO" numFmtId="2">
      <sharedItems containsBlank="1"/>
    </cacheField>
    <cacheField name="FUNCION" numFmtId="2">
      <sharedItems containsBlank="1"/>
    </cacheField>
    <cacheField name="UBICACIÓN FÍSICA" numFmtId="2">
      <sharedItems containsBlank="1"/>
    </cacheField>
    <cacheField name="Entrega Banelcos" numFmtId="2">
      <sharedItems containsBlank="1"/>
    </cacheField>
    <cacheField name="APELLIDO Y NOMBRE/S" numFmtId="0">
      <sharedItems containsBlank="1"/>
    </cacheField>
    <cacheField name="DNI" numFmtId="2">
      <sharedItems containsBlank="1"/>
    </cacheField>
    <cacheField name="NRO" numFmtId="3">
      <sharedItems containsString="0" containsBlank="1" containsNumber="1" containsInteger="1" minValue="1826888" maxValue="95147687"/>
    </cacheField>
    <cacheField name="CUIT" numFmtId="0">
      <sharedItems containsBlank="1" containsMixedTypes="1" containsNumber="1" containsInteger="1" minValue="33623466" maxValue="27947799814"/>
    </cacheField>
    <cacheField name="F Nacimiento" numFmtId="0">
      <sharedItems containsDate="1" containsBlank="1" containsMixedTypes="1" minDate="1938-08-03T00:00:00" maxDate="1998-05-16T00:00:00"/>
    </cacheField>
    <cacheField name="Estudios" numFmtId="0">
      <sharedItems containsNonDate="0" containsString="0" containsBlank="1"/>
    </cacheField>
    <cacheField name="Dirección" numFmtId="0">
      <sharedItems containsNonDate="0" containsString="0" containsBlank="1"/>
    </cacheField>
    <cacheField name="Teléfono" numFmtId="0">
      <sharedItems containsNonDate="0" containsString="0" containsBlank="1"/>
    </cacheField>
    <cacheField name="Celular" numFmtId="0">
      <sharedItems containsNonDate="0" containsString="0" containsBlank="1"/>
    </cacheField>
    <cacheField name="LM O AT" numFmtId="0">
      <sharedItems containsBlank="1" count="3">
        <s v="ASISTENCIA TÉCNICA"/>
        <s v="LEY MARCO"/>
        <m/>
      </sharedItems>
    </cacheField>
    <cacheField name="TIPO" numFmtId="0">
      <sharedItems containsBlank="1" count="4">
        <s v="AT"/>
        <s v="LM"/>
        <s v="CO"/>
        <m/>
      </sharedItems>
    </cacheField>
    <cacheField name="INGRESO" numFmtId="14">
      <sharedItems containsNonDate="0" containsDate="1" containsString="0" containsBlank="1" minDate="2005-01-01T00:00:00" maxDate="2016-08-03T00:00:00"/>
    </cacheField>
    <cacheField name="VTO CONTRATO" numFmtId="14">
      <sharedItems containsNonDate="0" containsDate="1" containsString="0" containsBlank="1" minDate="2016-03-31T00:00:00" maxDate="2017-01-01T00:00:00"/>
    </cacheField>
    <cacheField name="Fin Contrato" numFmtId="14">
      <sharedItems containsNonDate="0" containsDate="1" containsString="0" containsBlank="1" minDate="2016-07-31T00:00:00" maxDate="2017-01-01T00:00:00"/>
    </cacheField>
    <cacheField name="CATEG LM" numFmtId="2">
      <sharedItems containsBlank="1"/>
    </cacheField>
    <cacheField name="UNIVERSIDAD" numFmtId="0">
      <sharedItems containsBlank="1"/>
    </cacheField>
    <cacheField name="CONVENIO AT" numFmtId="0">
      <sharedItems containsBlank="1"/>
    </cacheField>
    <cacheField name="ANTERIOR" numFmtId="165">
      <sharedItems containsBlank="1" containsMixedTypes="1" containsNumber="1" minValue="1700" maxValue="3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GABRIEL RRHH" refreshedDate="42605.528727314813" createdVersion="4" refreshedVersion="4" minRefreshableVersion="3" recordCount="1019">
  <cacheSource type="worksheet">
    <worksheetSource ref="A3:AB1020" sheet="BASE DATOS"/>
  </cacheSource>
  <cacheFields count="31">
    <cacheField name="MINISTERIO" numFmtId="2">
      <sharedItems/>
    </cacheField>
    <cacheField name="SECRETARÍA" numFmtId="2">
      <sharedItems containsBlank="1" count="9">
        <s v="SEC CONTENIDOS PUBLICOS"/>
        <m/>
        <s v="SEC MEDIOS PUBLICOS"/>
        <s v="MIN SALUD" u="1"/>
        <s v="SFMyCP" u="1"/>
        <s v="MODERNIZACION" u="1"/>
        <s v="MIN COMUNICACIONES" u="1"/>
        <s v="MIN COMUNICACIÓNES" u="1"/>
        <s v="SEDRONAR" u="1"/>
      </sharedItems>
    </cacheField>
    <cacheField name="SUBSECRETARÍA" numFmtId="2">
      <sharedItems containsBlank="1" count="2">
        <m/>
        <s v="SUBSEC CENTROS TEMATICOS Y EXP FEDERALES"/>
      </sharedItems>
    </cacheField>
    <cacheField name="DIRECCIÓN/ÁREA" numFmtId="2">
      <sharedItems containsBlank="1" count="18">
        <s v="DIR NAC GENERACION DE CONTENIDOS"/>
        <s v="DIR NAC EXPRESIONES FEDERALES"/>
        <s v="UNIDAD DE MINISTRO"/>
        <s v="DIRECCION NACIONAL DE CENTROS TEMATICOS"/>
        <s v="UNIDAD SECRETARÍA"/>
        <s v="DIR GRAL TECNICA ADMINISTRATIVA Y LEGAL"/>
        <s v="ARTES VISUALES"/>
        <s v="UNIDAD SUBSECRETARIO"/>
        <s v="COMUNICACIONES"/>
        <s v="DIR DE COOPERACION INTERNACIONAL"/>
        <m/>
        <s v="MODERNIZACIÓN" u="1"/>
        <s v="MODERNIZACION" u="1"/>
        <s v="DIRECCIÓN GESIÓN DE CONVENIOS" u="1"/>
        <s v="A DESIGNAR" u="1"/>
        <s v="SEDRONAR" u="1"/>
        <s v="MIN COMUNICACIONES" u="1"/>
        <s v="SUB SEC CENTROS TEMATICOS Y EXP FEDERALES" u="1"/>
      </sharedItems>
    </cacheField>
    <cacheField name="AREA / DEPENDENCIA" numFmtId="2">
      <sharedItems containsBlank="1" count="56">
        <s v="INV. AP. RECURSOS DIGITALES"/>
        <s v="COMUNICACIÓN"/>
        <m/>
        <s v="INTENDENCIA - LIMPIEZA"/>
        <s v="GASTRONOMIA"/>
        <s v="DIRECCION DE GESTION EDILICIA"/>
        <s v="INTENDENCIA- MANTENIMIENTO"/>
        <s v="PRESUPUESTO"/>
        <s v="TELEVISION DIGITAL ABIERTA"/>
        <s v="ADMINISTRACION- RRHH"/>
        <s v="PRODUCCIÓN"/>
        <s v="PROYECTOS ESPECIALES"/>
        <s v="ARTES VISUALES"/>
        <s v="ADMINISTRACION -LEGALES"/>
        <s v="AUDIOVISUALES"/>
        <s v="INTENDENCIA - TALLERES"/>
        <s v="INSTITUCIONALES"/>
        <s v="PLANIF  Y ADM DE REC HUMANOS"/>
        <s v="JURIDICOS"/>
        <s v="ADMINISTRACION- RECEPCION"/>
        <s v="OPERATIVA"/>
        <s v="INTENDENCIA- PARQUIZACION"/>
        <s v="INTENDENCIA- ACREDITACIONES"/>
        <s v="ARQUITECTURA Y OBRA"/>
        <s v="COOPERATIVAS"/>
        <s v="MESA DE ENTRADA"/>
        <s v="INFORMATICA Y SISTEMAS"/>
        <s v="TECNICA"/>
        <s v="INTENDENCIA - MESA DE AYUDA"/>
        <s v="INTENDENCIA -MESA DE AYUDA"/>
        <s v="COMPRAS Y CONTRATACIONES"/>
        <s v="DIRECCION"/>
        <s v="INTENDENCIA - FERIAL"/>
        <s v="ADMINISTRACION- RELACIONES INSTITUCIONALES"/>
        <s v="JEFATURA DE GABINETE"/>
        <s v="MANTENIMIENTO"/>
        <s v="INTENDENCIA - PARQUIZACION"/>
        <s v="DIRECCION GENERAL"/>
        <s v="COMUNICACIONES"/>
        <s v="ADMINISTRACION"/>
        <s v="OPERATIVA (ADMINISTRACION)"/>
        <s v="INTENDENCIA- LIMPIEZA/ PARQUIZACION"/>
        <s v="INTENDENCIA - PREDIO FERIAL"/>
        <s v="FOMENTO"/>
        <s v="INTENDENCIA - MANTENIMIENTO"/>
        <s v="MESA DE AYUDA"/>
        <s v="INTENDENCIA- FERIAL"/>
        <s v="CIBERSALUD"/>
        <s v="COMUNICACIÓN - SIN ASIGNAR TAREA"/>
        <s v="ADMINISTRACION- CADETE"/>
        <s v="PLANIFICACION Y ADMINISTRACION DE RRHH" u="1"/>
        <s v="DIRECCIÓN " u="1"/>
        <s v="PLAN Y ADM DE REC HUMANOS" u="1"/>
        <s v="NÚCLEOS DE ACCESO AL CONOCIMIENTO" u="1"/>
        <s v="UNIDAD DE MINISTRO" u="1"/>
        <s v="DIRECCIÓN GESIÓN DE CONVENIOS" u="1"/>
      </sharedItems>
    </cacheField>
    <cacheField name="SECTOR" numFmtId="2">
      <sharedItems containsBlank="1" count="35">
        <s v="CTRO INV PALPALA"/>
        <s v="PRENSA"/>
        <m/>
        <s v="OPERATIVA Y LOGISTICA"/>
        <s v="PRESIDENCIA"/>
        <s v="MESA DE AYUDA"/>
        <s v="CIARA"/>
        <s v="SUPERMAX"/>
        <s v="ESPACIOS FISICOS"/>
        <s v="TDA"/>
        <s v="TECNICA"/>
        <s v="VISITAS GUIADAS"/>
        <s v="S. GENERALES - AUTOMOTORES"/>
        <s v="MANTENIMIENTO"/>
        <s v="SERVICIOS GENERALES"/>
        <s v="MEDICINA DEL TRABAJO"/>
        <s v="AUDITORIA Y CONTROL"/>
        <s v="RECURSOS HUMANOS"/>
        <s v="DIRECCION"/>
        <s v="SEGURIDAD  "/>
        <s v="MONTAJE"/>
        <s v="SEGURIDAD E HIGIENE"/>
        <s v="COOPERATIVAS"/>
        <s v="CONTROL Y PLANIFICACION"/>
        <s v="EQUIPO CONTROL Y PLANIFICACION"/>
        <s v="VIATICOS"/>
        <s v="INTEGRACION DIGITAL"/>
        <s v="CONSEJO ASESOR TDA" u="1"/>
        <s v="SERVICIOS TÉCNICOS-CUECA CABA (TELEVISION DIGITAL ABIERTA)" u="1"/>
        <s v="COORDINACION" u="1"/>
        <s v="UNASEC (CUECA CABA)" u="1"/>
        <s v="COORDINACION OPERATIVA NAC" u="1"/>
        <s v="Técnica" u="1"/>
        <s v="CUECA" u="1"/>
        <s v="EQUIPO TECNICO OPERATIVO" u="1"/>
      </sharedItems>
    </cacheField>
    <cacheField name="SUB SECTOR" numFmtId="2">
      <sharedItems containsBlank="1"/>
    </cacheField>
    <cacheField name="PUESTO" numFmtId="2">
      <sharedItems containsBlank="1"/>
    </cacheField>
    <cacheField name="FUNCION" numFmtId="2">
      <sharedItems containsBlank="1"/>
    </cacheField>
    <cacheField name="UBICACIÓN FÍSICA" numFmtId="2">
      <sharedItems containsBlank="1"/>
    </cacheField>
    <cacheField name="Entrega Banelcos" numFmtId="2">
      <sharedItems containsBlank="1"/>
    </cacheField>
    <cacheField name="APELLIDO Y NOMBRE/S" numFmtId="0">
      <sharedItems containsBlank="1" count="1206">
        <s v="ABARZA VICTOR"/>
        <s v="ABREU NICOLAS"/>
        <s v="ACEBO, SILVIA"/>
        <s v="ACHAGNA Alberto Emanuel"/>
        <s v="ACOSTA  NATALIA LORENA"/>
        <s v="ACOSTA HUGO"/>
        <s v="ACOSTA Noelia Noemí"/>
        <s v="AGÜERO, LISANDRO"/>
        <s v="AGUIAR  NÉSTOR"/>
        <s v="AGUILAR NADIA CANDELA"/>
        <s v="AGUSTINHO GUSTAVO"/>
        <s v="AHUMADA CABRERA Claudia Ximena"/>
        <s v="AHUMADA CABRERA Erika Sofia"/>
        <s v="AHUMADA HECTOR DANIEL"/>
        <s v="ALBERTI CYNTHIA"/>
        <s v="ALBORNOZ MARIA CLARA"/>
        <s v="ALDAVE GABRIELA"/>
        <s v="ALEMAN JUAN MANUEL"/>
        <s v="ALFARO AGUSTÍN "/>
        <s v="ALFIE  MARIA SOL"/>
        <s v="ALMIRON MIRTA NOEMI"/>
        <s v="ALONSO RODRIGO"/>
        <s v="ALSINA Agustin Santiago"/>
        <s v="ALVAREZ  MARIA PAZ"/>
        <s v="ALVAREZ AGUSTIN"/>
        <s v="ALVAREZ LUIS ALBERTO"/>
        <s v="ALVAREZ VICENTE IGNACIO"/>
        <s v="ALVAREZ VICENTE MARIA"/>
        <s v="AMANTE Alberto Daniel"/>
        <s v="AMAYA MARCELA"/>
        <s v="AMODEO Laura"/>
        <s v="ANDINO FLORENCIA"/>
        <s v="ANGELOZZI MELISA"/>
        <s v="ANTÍA BERNARDO"/>
        <s v="APAZA CAROLINA CECILIA"/>
        <s v="APICELLA FABIANA"/>
        <s v="ARAMBURU PEIRETTI VICTORIA"/>
        <s v="ARANA CARLOS ALBERTO"/>
        <s v="ARANEGA JEREMÍAS ALBERTO"/>
        <s v="ARAUJO Luciano Andres"/>
        <s v="ARBO SANTIAGO"/>
        <s v="ARBOR JULIA"/>
        <s v="ARCE  ALBERTO SEBASTIAN"/>
        <s v="ARCE  NOEMI PATRICIA"/>
        <s v="ARCIDIACONO SEBASTIAN"/>
        <s v="ARELLANO KARINA"/>
        <s v="ARGONDIZZO DANIEL"/>
        <s v="ARIAS CRISTIAN"/>
        <s v="ARICETA MARCELA"/>
        <s v="ARRIAGA CRISTIAN"/>
        <s v="ARZUAGA ANDRES"/>
        <s v="ASTARITO María Florencia"/>
        <s v="AUCAPIÑA MATIAS ROBERTO"/>
        <s v="AUED María Cecilia"/>
        <s v="AVALOS  JORGE RUBEN"/>
        <s v="AVALOS MAIRA JAVMIN IARA"/>
        <s v="AVALOS MONICA"/>
        <s v="AVRUJ FERNANDO"/>
        <s v="AZUAGA BAEZ Lucian Beder"/>
        <s v="AZZAM ANA"/>
        <s v="AZZOLINI MARCELO"/>
        <s v="BAEZ  ANGEL"/>
        <s v="BAEZ ESTEBAN"/>
        <s v="BALBUENA  DIEGO DANIE"/>
        <s v="BALCAZAR JORGE DANIEL"/>
        <s v="BALDASSARRE Luz María "/>
        <s v="BALDIOLI CLAUIDA ALEJANDRA"/>
        <s v="BALDUCCI  ANALÍA"/>
        <s v="BALMACEDA NAYLA "/>
        <s v="BALSAMO, RICARDO"/>
        <s v="BARBIERI MAXIMILIANO"/>
        <s v="BAREIRO Carla Maribel"/>
        <s v="BARELA, LILIANA"/>
        <s v="BAROLI  DANIEL RUBEN"/>
        <s v="BARRAGAN Ricardo"/>
        <s v="BARRAZA MARCELO"/>
        <s v="BARRIONUEVO MARIA MARTA"/>
        <s v="BARRIONUEVO Ricardo Javier"/>
        <s v="BARROZO, KARINA ISABEL"/>
        <s v="BARTOLOMÉ PAULA"/>
        <s v="PRESUTTI JEREMIAS"/>
        <s v="CARRERA LUCIA"/>
        <s v="ARONA BARBARA"/>
        <s v="BACIGALUPO SOFIA"/>
        <s v="BARBONI CONSTANZA"/>
        <s v="LOS MELINA VIVIANA"/>
        <s v="BEY PRISCILA"/>
        <s v="MARTINEZ YAIR"/>
        <s v="DIAMENT DENISE GISELLE"/>
        <s v="CASAÑA PABLO MARTIN"/>
        <s v="VAZQUEZ AGUSTINA"/>
        <s v="BENAVIDES SOL"/>
        <s v="BATTISTOZZI ANA"/>
        <s v="BAZAN MARCELA ADRIANA"/>
        <s v="BEDINI HERNANDEZ LUCILA"/>
        <s v="BEHN FABRIZIO"/>
        <s v="BELTRAME ÉNOLA"/>
        <s v="BELTRAN LEONARDO ANTONIO"/>
        <s v="BENANTAR FAYÇAL"/>
        <s v="BENAVIDEZ CORDOBA Lucas Belisario A."/>
        <s v="BENEDETTI, RICARDO"/>
        <s v="BENGOLEA, MARTIN HERNAN"/>
        <s v="BENITEZ  FELIX SATURNINO"/>
        <s v="BENITEZ  JULIO CESAR"/>
        <s v="BENITEZ STRAKA ORLANDO"/>
        <s v="BERDINI MARIA ANGELICA"/>
        <s v="BERDYSZAK CLAUDIA ELENA"/>
        <s v="BERENGUA LUCIANO"/>
        <s v="BERMUDEZ CORTEZ Ariel Felipe"/>
        <s v="BERNARDO MARIA MURIEL"/>
        <s v="BERSUSKY DIEGO MARTIN"/>
        <s v="BERTERRE LETICIA"/>
        <s v="BESSE YESSICA"/>
        <s v="BETELLA MARITA TERESITA"/>
        <s v="BEURET GUSTAVO"/>
        <s v="BIAUS IBARBORDE MARIA VIRGINIA"/>
        <s v="BIELE Carlos David"/>
        <s v="BILLONI AHUMADA NAHUEL ANIBAL"/>
        <s v="BIONDO PAULA"/>
        <s v="BLANCO ALEJANDRO RAMON"/>
        <s v="BOASS DIEGO"/>
        <s v="BOAZZO GASTON LEONEL"/>
        <s v="BOBILLO GABRIEL"/>
        <s v="BOCCI FIORELLA"/>
        <s v="BONANNI Héctor Daniel"/>
        <s v="BONATO LUCAS GASTON"/>
        <s v="BONAVERA RENDO SANTIAGO"/>
        <s v="BORELLI, AVELINO OSCAR"/>
        <s v="BORGET JUAN MARTIN"/>
        <s v="BORREL MARIA JULIETA"/>
        <s v="BOTTAZZI MARIA"/>
        <s v="BOUZON ARIANA"/>
        <s v="BRADLEY GUILLERMO"/>
        <s v="BRAHIN MARIANELLA"/>
        <s v="BRAUDE SEBASTIAN"/>
        <s v="BRAVO  MARCELO"/>
        <s v="BRITEZ  GUSTAVO"/>
        <s v="BRUNO ANALIA"/>
        <s v="BRUNO SABRINA ALEJANDRA"/>
        <s v="BRUZZONI Ariel Esteban"/>
        <s v="BUGLIO  EMILIANO CRUZ"/>
        <s v="BUNSOW GUSTAVO"/>
        <s v="BUONOCORE NATALIA"/>
        <s v="BURLATO ROSA ANGELA"/>
        <s v="BURSZTYN ANDRES"/>
        <s v="BUSSOLA FLORENCIA"/>
        <s v="BUSTOS  JORGE JONATHAN"/>
        <s v="BUSTOS CIUCOLI FERNANDA"/>
        <s v="BUSTOS Lucas Matías"/>
        <s v="BUSTOS VIVIANA"/>
        <s v="CABALLERO CACERES JUANMANUELA"/>
        <s v="CABEZA ALMIRON LUCIANO"/>
        <s v="CABRAL JUAN"/>
        <s v="CABRERA  FLAVIA GRACIELA"/>
        <s v="CABRERA VALERIA"/>
        <s v="CACCAMO SILVIA GRACIELA"/>
        <s v="CACCIOLA TOMAS"/>
        <s v="CACERES LEGUIZAMON SELVA"/>
        <s v="CACERES SASSO NICOLAS"/>
        <s v="CAIGUARA NORA VIVIANA"/>
        <s v="CAJADE VALERIA SOLEDAD"/>
        <s v="CALCARAMI EUGENIA"/>
        <s v="CALCATELLI HERNÁN"/>
        <s v="CALDERON MARIA EUGENIA"/>
        <s v="CALIUSCO PERLA EDITH"/>
        <s v="CALVELO ALFREDO"/>
        <s v="CALZADO, MATÍAS"/>
        <s v="CAMATS DIEGO"/>
        <s v="CAMBIAGGI HOLZMANN JOAQUIN ARIEL"/>
        <s v="CAMINOS GONZALEZ JOAQUIN"/>
        <s v="CAMPANA JAVIER"/>
        <s v="CANGIANI EMMANUEL"/>
        <s v="CANNIZZARO ANA"/>
        <s v="CANOSA MARICEL"/>
        <s v="CARABAJAL ALEJANDRO NICOLAS"/>
        <s v="CARACINI ANDRES HORACIO"/>
        <s v="CARAM ADRIAN"/>
        <s v="CARCA GUSTAVO"/>
        <s v="CARCATERRA VICTORIA"/>
        <s v="CARDENES HECTOR DANIEL"/>
        <s v="CARDERO HORACIO"/>
        <s v="CARDOZO  GRACIELA DELMIRA"/>
        <s v="CARDOZO ANDREA"/>
        <s v="CARDOZO EDUARDO HERNAN"/>
        <s v="CARDUS MARIA MOHORADE"/>
        <s v="CARELLO SABRINA"/>
        <s v="CARINI DIEGO"/>
        <s v="CARNEVALE  María Luciana"/>
        <s v="CARPENA NICOLAS"/>
        <s v="CARRILLO FELIX EDUARDO"/>
        <s v="CARRUTHERS FEDERICO"/>
        <s v="CARUSO DIEGO EZEQUIEL"/>
        <s v="CASADO MARIANO"/>
        <s v="CASAK ANDRES"/>
        <s v="CASCO GUILLERMO"/>
        <s v="CASTELLI Carla"/>
        <s v="CASTELLUCCI MARIANA"/>
        <s v="CASTIELLO NICOLAS"/>
        <s v="CASTILLO  MARIA ANGELES"/>
        <s v="CASTILLO ENZO"/>
        <s v="CASTRO  MARIA INES"/>
        <s v="CASTRO ABRAHAM"/>
        <s v="CASTRO ANALIA"/>
        <s v="CASTRO Diego Fernando"/>
        <s v="CATERBERG LEANDRO"/>
        <s v="CATTANEO Juan Ignacio"/>
        <s v="CAVA, FERNANDA"/>
        <s v="CELANO  JUAN MANUEL"/>
        <s v="CENA RODOLFO ELIAS"/>
        <s v="CERINI CAROLINA "/>
        <s v="CERNIUS GUSTAVO ALBERTO"/>
        <s v="CES OZAN CAROLINA"/>
        <s v="CESPEDES MARICONDA VICTORIA"/>
        <s v="CHACON PABLO GREGORIO"/>
        <s v="CHAPARRO Yanina"/>
        <s v="CHAVES  JUAN CARLOS"/>
        <s v="CHAVES Anahí Soledad"/>
        <s v="CHEMES, MARIANO"/>
        <s v="CHIMENTON LOURDES"/>
        <s v="CHIOCCONI Carlos Alberto"/>
        <s v="CHRISTENSEN ANDREA VANINA"/>
        <s v="CIARLANTINI DARIO"/>
        <s v="CIBEIRA, MARIA"/>
        <s v="CICCOTOSTTO ROMINA"/>
        <s v="CIORDIA, GENOVEVA SUSANA"/>
        <s v="CLAUDINO MARIELA"/>
        <s v="COLER PAOLA"/>
        <s v="COLO DANIELA"/>
        <s v="COLONNA Marilyn"/>
        <s v="CONCILIO MARIA DEL ROSARIO"/>
        <s v="CONSIGLI, JULIANA"/>
        <s v="COPELLO ALEJANDRO"/>
        <s v="COPELLO MARINA"/>
        <s v="CORIAS IACOVINO ADRIEL"/>
        <s v="ACHAVAL PABLO"/>
        <s v="CASTELLANOS ANA MARIEL"/>
        <s v="CORONEL MARCELO ADRIAN"/>
        <s v="CORSALINI MARCO PABLO"/>
        <s v="CORTEZ Silvia Luisa"/>
        <s v="COSTA ANABELLA ROXANA"/>
        <s v="COSTA IVANA"/>
        <s v="CRETELLA Pablo Gabriel"/>
        <s v="CREVATINI  María Sol"/>
        <s v="CRUZ MATEO EZEQUIEL"/>
        <s v="CUASNICU JULIA"/>
        <s v="CUELLAR Jonathan Nahuel"/>
        <s v="CUELLAR OLGA"/>
        <s v="CUEVAS DANIEL"/>
        <s v="CUEVAS, GUSTAVO"/>
        <s v="CURRAS OSCAR"/>
        <s v="CUSI MARIEL"/>
        <s v="D´AMBROSIO Mara"/>
        <s v="D´ANGELO LORENZO"/>
        <s v="D´AURIA LEONARDO"/>
        <s v="D´HERS JUAN"/>
        <s v="D´HERS TOMAS"/>
        <s v="DAGUANNO FLORENCIA CAROLINA"/>
        <s v="DALIA Gonzalo Martin"/>
        <s v="DANIEL DANIRA"/>
        <s v="DE ARTEAGA ALICIA MARIA"/>
        <s v="DE CESARE Martin Julian"/>
        <s v="DE GANAY AGUSTINA"/>
        <s v="DE GENNARO LUCÍA"/>
        <s v="DE LA CUADRA GONZALO"/>
        <s v="DE LA FUENTE SILVIA ANDREA"/>
        <s v="DE MIGUEL NAHIR DEBORA"/>
        <s v="DE SIMONE PABLO JAVIER"/>
        <s v="DEL CASSALE DANIELA"/>
        <s v="DEL VALLE  LUCAS JAVIER"/>
        <s v="DELGADO  ALICIA SUSANA"/>
        <s v="DELGADO PAMELA ROMINA"/>
        <s v="DELGADO PATRICIO"/>
        <s v="DELUCA NICOLAS"/>
        <s v="DEROTIER NORMA NOEMÍ"/>
        <s v="DI BELLO LORENA"/>
        <s v="DI RENZO NANCY GABRIELA"/>
        <s v="DIALISANDRO JORGE"/>
        <s v="DIAZ CARRASCO MANUEL"/>
        <s v="DIAZ GABRIEL PABLO"/>
        <s v="DIAZ MARIA"/>
        <s v="DIAZ MARIA  VIRGINIA"/>
        <s v="DIAZ ZULMA"/>
        <s v="DIEZ  IRENE MARCELA"/>
        <s v="DOBARRO ALEJANDRO"/>
        <s v="DOMINGUEZ Diego Fernando"/>
        <s v="DOMINGUEZ EMILIANO"/>
        <s v="DONATI VALERIA"/>
        <s v="DOPICO FERNANDO"/>
        <s v="DORATO MARIA SOLEDAD "/>
        <s v="DOTTA LETICIA"/>
        <s v="DRAGO CUTELLE Andrea Fabiana"/>
        <s v="DUARTE CARLOS DIONISIO"/>
        <s v="DUARTE MARIO ALEJANDRO"/>
        <s v="DUGO CHRISTIAN"/>
        <s v="DURAN DANIEL AUGUSTO"/>
        <s v="DVORKIN PABLO"/>
        <s v="ECHEVERRIA LAUTARO"/>
        <s v="ECHEVERRIA MARIANA"/>
        <s v="EFRON HORACIO"/>
        <s v="EILETZ CATALINA"/>
        <s v="EKART KARINA"/>
        <s v="ELEM VIVIAN BEATRIZ"/>
        <s v="ELMO, ALEJANDRA"/>
        <s v="EMBON GUSTAVO"/>
        <s v="ENCIZO CRISTIAN RAMON"/>
        <s v="ERBEA JUAN"/>
        <s v="ESCOBAR GONZALEZ  MARIO SEBASTIAN"/>
        <s v="ESCOBAR Hector Jorge"/>
        <s v="ESCOBAR MARIA FERNANDA"/>
        <s v="ESCOBAR Raúl Eduardo"/>
        <s v="ESCRIÑA María Carmen"/>
        <s v="ESNAOLA  JUAN JOSE"/>
        <s v="ESPINOLA CINTIA"/>
        <s v="ESQUIVEL GABRIELA ZULMA"/>
        <s v="ESTANGA SARRAUA ANDRES"/>
        <s v="FACENTE VERONICA LUJAN"/>
        <s v="FACHAL Esteban Federico"/>
        <s v="FAMA ANTONIO JULIAN"/>
        <s v="FAOUR MICHELLE"/>
        <s v="FARA ERNESTO LEANDRO"/>
        <s v="FARANNA OSCAR ALBERTO"/>
        <s v="FARINAZZO PAOLA ANDREA"/>
        <s v="FARIÑA MARIELA NOEMI"/>
        <s v="FAVERIO LAMOTHE ANTONIO"/>
        <s v="FAZIO NATALIA"/>
        <s v="FAZZITO JUAN CARLOS"/>
        <s v="FEIS MARA"/>
        <s v="FERNANDEZ ALEJANDRO"/>
        <s v="FERNANDEZ CARLOS  "/>
        <s v="FERNANDEZ Carlos Germán"/>
        <s v="FERNANDEZ CARLOS HORACIO"/>
        <s v="FERNANDEZ DIEGO OSCAR "/>
        <s v="FERNANDEZ FLORENCIA"/>
        <s v="FERNANDEZ MACEDONIO"/>
        <s v="FERNANDEZ MANTEROLA Amalia"/>
        <s v="FERNANDEZ MARA"/>
        <s v="FERNANDEZ NADALE LUCIA"/>
        <s v="FERNANDEZ VICENTA LUCIA"/>
        <s v="FERRANDO Andrea Bibiana"/>
        <s v="FERRANTE ANDRES"/>
        <s v="FERRARI LUCAS"/>
        <s v="FERRARI SANDRA PATRICIA"/>
        <s v="FERREIRA ESPINDOLA  MARIANA PAMELA"/>
        <s v="FERREIRA SERGIO "/>
        <s v="FERREIRO PABLO DANIEL"/>
        <s v="FERRERES Juan Ignacio"/>
        <s v="FERRUFINO MARCO"/>
        <s v="FEYLING ANA PAULINA"/>
        <s v="FIAMINGO YAGO"/>
        <s v="FIDALME MARIA NATALIA"/>
        <s v="FIGLIOLIA OMAR"/>
        <s v="FIGUEROA  MIGUEL ANGEL"/>
        <s v="FIGUEROA José Luis"/>
        <s v="FILIPPELLI GUIDO"/>
        <s v="FIORRUCIO JOSE LUIS"/>
        <s v="FLAMMINIO SERGIO"/>
        <s v="FLEITAS MAGDALENA DELFINA"/>
        <s v="FLORENTIN JOSÉ GABRIEL"/>
        <s v="FLORENTIN Marcelo Max Roy"/>
        <s v="FLORES Diego Alexis"/>
        <s v="FLORES FLORENCIA CAROLINA"/>
        <s v="FONTANA LUCIANO"/>
        <s v="FONTES SELVA"/>
        <s v="FORNERO FABRICIO"/>
        <s v="FRANCESCHI SANTIAGO"/>
        <s v="FRATTESI Gabriel Hernán"/>
        <s v="FREGA, DANIELA"/>
        <s v="FREIBERG INGRID"/>
        <s v="FRIEDENBACH MARTIN"/>
        <s v="FUENTES JUAN"/>
        <s v="FUENTES LANESAN MANUEL"/>
        <s v="FUENTES LANESAN RUBEN"/>
        <s v="FUERTES MARIA EUGENIA"/>
        <s v="FUSCO Jenaro Hugo"/>
        <s v="GAERE CLAUDIA ALICIA"/>
        <s v="GAILLARD  ADRIANA"/>
        <s v="GAILLARD  NORMA BEATRIZ"/>
        <s v="GAITÁN MATÍAS ÁNGEL"/>
        <s v="GALARZA HUGO MARCELO"/>
        <s v="GALEOTTI, MONICA"/>
        <s v="GALLIZZI MARIANO NAHUEL"/>
        <s v="GANCHEGUI MARTIN"/>
        <s v="GANEM Mariano"/>
        <s v="GARAY Walter Damian"/>
        <s v="GARBE VERONICA"/>
        <s v="GARCÍA BARLETTA SANTIAGO"/>
        <s v="GARCIA CAFFI VICTORIA"/>
        <s v="GARCIA CARDENAS MARTIN"/>
        <s v="GARCIA CONEJERO, MARIA LAURA"/>
        <s v="GARCIA DANIELA"/>
        <s v="GARCIA FERNANDO"/>
        <s v="GARCIA HORACIO"/>
        <s v="GARCIA SANTIAGO ANDRES"/>
        <s v="GAUNA MARIA LUCILA"/>
        <s v="GAVIOLI SANTIAGO"/>
        <s v="GERBINO MARIANO"/>
        <s v="GERVASIO MONICA LAURA"/>
        <s v="GIBEAUD ELIANA JACQELINE"/>
        <s v="GIL RIVERA Borja Santiago"/>
        <s v="GIMENEZ FABIAN"/>
        <s v="GIMENEZ JAZMIN"/>
        <s v="GIMENEZ JERONIMO"/>
        <s v="GIMENEZ JORGE"/>
        <s v="GIMENEZ Leonel Guillermo"/>
        <s v="GIRODO LORENA"/>
        <s v="GISFREDI GABRIEL ESTEBAN"/>
        <s v="GOFMAN MARIA"/>
        <s v="GOLDEMBERG PAMINA"/>
        <s v="GOMA Mariángeles"/>
        <s v="GOMEZ ALICIA"/>
        <s v="GOMEZ CARLOS LUIS"/>
        <s v="GOMEZ FABIAN"/>
        <s v="GOMEZ FERNANDEZ ANDREA"/>
        <s v="GOMEZ Flavia Romina"/>
        <s v="GOMEZ GABRIELA"/>
        <s v="GOMEZ GARNERO IGNACIO"/>
        <s v="GOMEZ HECTOR ANDRES"/>
        <s v="GOMEZ JUAN LEONARDO"/>
        <s v="GOMEZ Marta Margarita"/>
        <s v="GOMEZ NADIA CAROLINA"/>
        <s v="GOMEZ SABRINA"/>
        <s v="GOMEZ WILSON"/>
        <s v="GOMEZ YÉSICA MABEL"/>
        <s v="GONZALEZ Aníbal Adrián"/>
        <s v="GONZALEZ ARCE DANIEL"/>
        <s v="GONZALEZ DIEGO"/>
        <s v="GONZALEZ HEREDIA, GUILLERMO"/>
        <s v="GONZALEZ HORACIO"/>
        <s v="GONZALEZ Juan Carlos"/>
        <s v="GONZALEZ MARIA"/>
        <s v="GONZALEZ Mariela"/>
        <s v="GONZALEZ NELSON"/>
        <s v="GONZALEZ NICOLÁS"/>
        <s v="GONZALEZ NOGUERA, MICHELLE"/>
        <s v="GONZALEZ ROCIO CRISTAL"/>
        <s v="GONZALEZ SANTIAGO MANUEL"/>
        <s v="GOÑI HERNAN"/>
        <s v="GORGONE Adrian"/>
        <s v="GORGONE Vanesa Andrea"/>
        <s v="GORNO  CLEMENTE ERNESTO"/>
        <s v="GRANDINETTI CLAUDIO"/>
        <s v="GRANERO MARIA NOEL"/>
        <s v="GRASSO María Inés"/>
        <s v="GREGORIC LUIS"/>
        <s v="GRIMBLAT IANINA"/>
        <s v="GUELBERT BENJAMIN DAVID"/>
        <s v="GUELET MUÑOZ JOHANA ANAHI"/>
        <s v="GUERRA LUCAS"/>
        <s v="GUERRERO IGNACIO"/>
        <s v="GUINSBURG DANIELA"/>
        <s v="GUTIERRE SERGIO EDUARDO"/>
        <s v="GUTIERREZ GABRIEL ALBERTO"/>
        <s v="GUTIERREZ RODRIGO"/>
        <s v="GUZMAN  MAXIMILIANO JOSUE"/>
        <s v="GUZMÁN WALTER"/>
        <s v="HABERMEHL ANDRES"/>
        <s v="HAMILTON, FEDERICO"/>
        <s v="HENCEK ANDREA MARIANA"/>
        <s v="HENCEK FERNANDA GABRIELA"/>
        <s v="HERAS MAURICIO"/>
        <s v="HERMOSA SILVINA"/>
        <s v="HERNANDEZ MAXIMILIANO PABLO"/>
        <s v="HERRERA LARA MARIELA"/>
        <s v="HERRERA MARIA DEL MAR"/>
        <s v="HERRERA MARIA EUGENIA"/>
        <s v="HERRERA CLAUDIA MARCELA"/>
        <s v="HERRERA VERONICA LORENA"/>
        <s v="HERRERA WALTER NICOLAS"/>
        <s v="HOROVITZ HERNAN"/>
        <s v="HORTAS, DANIEL"/>
        <s v="HURTADO DENIS"/>
        <s v="HURTADO RICARDO"/>
        <s v="HUTCHINSON RICARDO"/>
        <s v="IALUNER HÜLSEN GABRIELA"/>
        <s v="IBAÑEZ ORLANDO"/>
        <s v="IBARGUREN MANUELA"/>
        <s v="IGARTUA  SEBASTIAN"/>
        <s v="IGLESIAS ANA "/>
        <s v="IGLESIAS LEANDRO"/>
        <s v="IGNATTI GUIDO"/>
        <s v="ILLANES SANTIAGO"/>
        <s v="IMAZ KARINA PAOLA"/>
        <s v="INGEGNIERI FRANCISCO"/>
        <s v="IÑIGO  MARIA CRISTINA"/>
        <s v="IRIART, SERGIO"/>
        <s v="IRIONDO MATIAS"/>
        <s v="ITURRALDE ADRIAN"/>
        <s v="IVANOSKI MARIA LUCILA"/>
        <s v="JACOBO LOLA MARIA"/>
        <s v="JALIL CAROLINA"/>
        <s v="JECHSMAYR HERNAN"/>
        <s v="JIMENEZ ALEGRE NELLY GLADYS"/>
        <s v="JIMENEZ LUIS"/>
        <s v="JORDAN MARIANO"/>
        <s v="JORGE MARTHA"/>
        <s v="JOSA ANDREA FABIANA"/>
        <s v="JUAREZ CLAUDIO NESTOR"/>
        <s v="JUAREZ JESUS EMMANUEL MARIO"/>
        <s v="JUAREZ JUAQUIN NEMESIO"/>
        <s v="JUAREZ JULIAN"/>
        <s v="JURI GABRIEL"/>
        <s v="JUSTO MARIA DEL ROSARIO"/>
        <s v="KACANAS VALERIA ANA"/>
        <s v="KAIRUZ GISELA VANINA "/>
        <s v="KALOC JULIETA SOLEDAD"/>
        <s v="KALOC PABLO DAMIAN"/>
        <s v="KAPLUN FEDERICO BRUNO"/>
        <s v="KAPLUN NICOLAS"/>
        <s v="KAPSIUK, ELIO"/>
        <s v="KARAVAITIS, ALEJANDRA"/>
        <s v="KARMASÍN  MARTÍN"/>
        <s v="KATZ GABRIEL"/>
        <s v="KATZ LAURA"/>
        <s v="KEEGAN MARY"/>
        <s v="KLIMASEK CLAUIDO"/>
        <s v="KOTIK GUSTAVO SERGIO"/>
        <s v="KUPFERMAN MAXIMILIANO"/>
        <s v="KUTALEK GERMAN"/>
        <s v="LA TORELLA, MARIANA"/>
        <s v="LABORDE ERICA SOLEDAD"/>
        <s v="LADA ALEJANDRO"/>
        <s v="LADA SANTIAGO RUBEN"/>
        <s v="LAMARQUE EUGENIO"/>
        <s v="LAMAS AGUSTIN MATEO"/>
        <s v="LAMPART GABRIEL NICOLAS"/>
        <s v="LANARI EUGENIA"/>
        <s v="LANARI SOFIA"/>
        <s v="LANDONI DIEGO"/>
        <s v="LANDRIEL AGUSTIN"/>
        <s v="LANNO LORENA"/>
        <s v="LANSON DANIEL"/>
        <s v="LARRALDE FRANCISCO"/>
        <s v="LARREGINA FLORENCIA"/>
        <s v="LARROSA FEDERICO"/>
        <s v="LASAGNI AGUSTINA"/>
        <s v="LASTRA CLAUDIO"/>
        <s v="LATTANZIO AITA"/>
        <s v="LAVAYEN FRANCO BRUNO"/>
        <s v="LAZARTE ARMANDO FABIO"/>
        <s v="LEAL CAMILA"/>
        <s v="LECH SOSINSKI ADAM"/>
        <s v="LEDESMA NESTOR DAMIAN"/>
        <s v="LEGUIZAMON  RODRIGO"/>
        <s v="LEGUIZAMON MARGARITA"/>
        <s v="LEIBOUSKI ELIZABETH"/>
        <s v="LEMME JOSE MARIA"/>
        <s v="LENCINAS MARIA LAURA"/>
        <s v="LENTINI DIEGO"/>
        <s v="LENTIS JHONATAN"/>
        <s v="LENZBERG JULIA"/>
        <s v="LEON MERCEDES MABEL"/>
        <s v="LEONE AGOSTINA"/>
        <s v="LEVY ALEJANDRO"/>
        <s v="LEYES SABRINA"/>
        <s v="LIPARI KARIN"/>
        <s v="LIRUSSO RAUL"/>
        <s v="LISERA MARIANO HUGO"/>
        <s v="LIZARRAGA CARLOS ALBERTO"/>
        <s v="LIZARRAGA MARIO DEL VALLE"/>
        <s v="LOBO ABELLA NORA BELEN"/>
        <s v="LOJO MATIAS"/>
        <s v="LOMBARDI MARTIN"/>
        <s v="LOPEZ  EDMUNDO EUGENIO"/>
        <s v="LOPEZ IBAÑEZ SOLEDAD ROMINA"/>
        <s v="LOPEZ LARRAQUY FLORENCIA"/>
        <s v="LOPEZ LAURA"/>
        <s v="LOPEZ MARCOS"/>
        <s v="LOPEZ MARIA LUCILA"/>
        <s v="LOPEZ NUÑEZ MARIA"/>
        <s v="LOPEZ QUIROZ  ADRIAN HORACIO"/>
        <s v="LORENZO AGUSTIN"/>
        <s v="LORENZO MARIANA"/>
        <s v="LOTO  RENE ANTONIO"/>
        <s v="LOTZ GUILLERMO"/>
        <s v="LUCANO SANDRA"/>
        <s v="LUCAS, MARTÍN"/>
        <s v="LUDUEÑA MAXIMILIANO"/>
        <s v="LUIS HERNAN"/>
        <s v="LUNA ROMAN DARIO"/>
        <s v="LYNCH EMANUEL"/>
        <s v="MAC DONALD LINDA"/>
        <s v="MACAGNI IRINA MARÍA NELLY"/>
        <s v="MACCARI PABLO"/>
        <s v="MACCHI SEBASTIAN"/>
        <s v="MACHADO Carmen Noemi"/>
        <s v="MACHO VIRGINIA"/>
        <s v="MACIÁ PABLO ARIEL"/>
        <s v="MAHAFUD JOEL"/>
        <s v="MALAGRABA, MARIA GABRIELA"/>
        <s v="MALASPINA ISABEL"/>
        <s v="MALDONADO JONATHAN "/>
        <s v="MALOWICKI ZOLKWER GABRIEL"/>
        <s v="MANELLI MATÍAS NAHUEL"/>
        <s v="MANSILLA PILAR MURIEL"/>
        <s v="MANZIONE BIANCA"/>
        <s v="MARA FRANCO"/>
        <s v="MARCOTE MARIANO"/>
        <s v="MARECOS Roberto Carlos"/>
        <s v="MAREQUE MORENO MARIA PAULA"/>
        <s v="MARICH EKEL "/>
        <s v="MARIN JAVIER ALEJANDRO"/>
        <s v="MARINCOVIK, PABLO"/>
        <s v="MARQUEZ CARLOS ANTONIO"/>
        <s v="MARTIN EMILIANO"/>
        <s v="MARTINEZ  HECTOR MARCELO"/>
        <s v="MARTINEZ ALBERTO"/>
        <s v="MARTINEZ ANAHÍ"/>
        <s v="MARTINEZ MARIA MAGDALENA"/>
        <s v="MARTINEZ ARIEL GUSTAVO"/>
        <s v="MARTINEZ DAVILA FIORELLA"/>
        <s v="MARTINEZ DIEGO"/>
        <s v="MARTINEZ JAVIER MARCELO"/>
        <s v="MARTINEZ MELINA"/>
        <s v="MARTINO MARCELA NATALIA"/>
        <s v="MASÑUK  JUAN CARLOS"/>
        <s v="MASTANDREA SERGIO"/>
        <s v="MATEOS CARLOS ALFONSO"/>
        <s v="MATUK SEBASTIAN"/>
        <s v="MAZU OSCAR EDUARDO"/>
        <s v="MAZZEI LAURA"/>
        <s v="MC CARTHY VICTORIA"/>
        <s v="MEANA ADRIAN"/>
        <s v="MEDINA SUSANA EDIT"/>
        <s v="MEDRANO ORTIZ GONZALO"/>
        <s v="MEGALOECONOMOS SOFIA"/>
        <s v="MEGIAS MANUEL"/>
        <s v="MELILLO LUCIA"/>
        <s v="MELITA ELEONORA"/>
        <s v="MENA CAROLINA"/>
        <s v="MENA GRISELDA"/>
        <s v="MENDEZ RUBEN HECTOR"/>
        <s v="MENDOZA MARIA ZULEMA"/>
        <s v="MENER ALEJANDRO"/>
        <s v="MENNA LEANDRO ARIEL"/>
        <s v="MERA MAURICIO VALENTIN"/>
        <s v="MEREÑUK TATIANA"/>
        <s v="MESTROCRISTINO MARTINA"/>
        <s v="MIHANOVICH CAROLINA INES"/>
        <s v="MILANESE FERNANDO"/>
        <s v="MILIONE, MARCELA"/>
        <s v="MIÑO  FERNANDO  LUIS"/>
        <s v="MIÑO  JUAN RAMON"/>
        <s v="MIÑO RAFAEL DIEGO"/>
        <s v="MIZZAU CAROLINA"/>
        <s v="MLADINEO IVANA"/>
        <s v="MOLINA ANAHI "/>
        <s v="MOLLER JENSEN RAÚL"/>
        <s v="MOLLO MELISA ALEJANDRA "/>
        <s v="MONACO ELIAS GERMAN"/>
        <s v="MONGANO GUIDO NICOLAS"/>
        <s v="MONOCHIO GINO"/>
        <s v="MONSERRAT RICARDO"/>
        <s v="MONTENEGRO  CARLOS ALBERTO"/>
        <s v="MONTENEGRO  CARLOS MARCELO"/>
        <s v="MONTENEGRO  JOSE MAXIMILANO"/>
        <s v="MONTERO FLORENCIA"/>
        <s v="MONTES ANA LAURA"/>
        <s v="MONTES DE OCA YESICA"/>
        <s v="MONTES ROJAS MICAELA"/>
        <s v="MONZON ROCIO MACARENA"/>
        <s v="MOÑINO ALEJO"/>
        <s v="MORADO MARIA CLAUDIA"/>
        <s v="MORALES GOMEZ JIMENA MAGALÍ"/>
        <s v="MORAN MELINA"/>
        <s v="MORENO  VERA TEODORA"/>
        <s v="MORENO KARINA MERCEDES"/>
        <s v="MORENO MARIA LAURA"/>
        <s v="MORENO MELISA"/>
        <s v="MOREYRA EDUARDO HERNAN"/>
        <s v="MOREYRA MARTIN EZEQUIEL"/>
        <s v="MORRONE LUCRECIA IVANA"/>
        <s v="MOYA  JUAN ABEL"/>
        <s v="MOYA  PATRICIA"/>
        <s v="MOZZI GUSTAVO"/>
        <s v="MUINELLO NORMA"/>
        <s v="MUIÑO JUAN PABLO"/>
        <s v="MUJICA JULIAN"/>
        <s v="EGNER SERGIO DANIEL"/>
        <s v="DIAZ WLODKOWSKI JANO"/>
        <s v="FONTANA JUAN CARLOS"/>
        <s v="FERRARI GRACIELA CARMEN"/>
        <s v="SOTO CLAUDIA"/>
        <s v="MUÑIZ, GONZALO"/>
        <s v="MUÑOZ VICTOR"/>
        <s v="NANYO FEDERICO"/>
        <s v="NAVEIRA OSCAR"/>
        <s v="NEYRA CATALINA"/>
        <s v="NIELSEN, OSCAR"/>
        <s v="NIETO JULIETA"/>
        <s v="NIEVAS  SERGIO ALEJANDRO"/>
        <s v="NOBILO GRACIELA"/>
        <s v="NOVIK, FLORENCIA"/>
        <s v="NOVILLO IGNACIO "/>
        <s v="NOVOTNY YANINA"/>
        <s v="NUÑEZ  CELIA NOEMI"/>
        <s v="NUÑEZ MARÍA GABRIELA"/>
        <s v="ÑAMANDÚ FACUNDO"/>
        <s v="OCHOA GERMAN EMILIANO"/>
        <s v="OCHOA, SERGIO MIGUEL"/>
        <s v="OLIVA ALDANA GIMENA"/>
        <s v="OLIVA JUAN"/>
        <s v="OLIVA MARTIN"/>
        <s v="OLIVA VELEZ MANUEL"/>
        <s v="OLOCCO, LEANDRO"/>
        <s v="ONS MAXIMILIANO"/>
        <s v="ORLANDO PABLO MARTIN"/>
        <s v="ORTEGA VINCENT"/>
        <s v="ORTIZ FRANK NICOLAS"/>
        <s v="ORTIZ JOANA DENISSE"/>
        <s v="ORTIZ PEREZ PLATA PATRICIO LISANDRO"/>
        <s v="ORZALI GRETA"/>
        <s v="OVADIA MARCELO NURY"/>
        <s v="OVEJERO JOSE ALEJANDRO"/>
        <s v="OYAHARÇABAL JUAN"/>
        <s v="OZORIO JUAN BAUTISTA ALBERTO"/>
        <s v="PACHECO  VICTOR HUGO"/>
        <s v="PACHECO FRANCO"/>
        <s v="PAEZ CRISTIAN"/>
        <s v="PAGES VERONICA"/>
        <s v="PAGNI MARTA INES"/>
        <s v="PALACIOS DANIELA"/>
        <s v="PALACIOS LUCIA RUIZ"/>
        <s v="PAPPOLLA MARIA CELESTE "/>
        <s v="PARED NATALIA"/>
        <s v="PAREDES FRANCISCO"/>
        <s v="PARMA TAMARA"/>
        <s v="PARODI ADRIANA NOEMI"/>
        <s v="PASCUAL FLORENCIA"/>
        <s v="PASSADORE MIRTHA EDITH"/>
        <s v="PASSAGLIA VICTORIA"/>
        <s v="PASSERO NICOLAS MANUEL"/>
        <s v="PATRONE MIGUEL SANTOS"/>
        <s v="PAULINO  ALEX DARIO"/>
        <s v="PAVON ERNESTO FABIAN"/>
        <s v="PAVONNE LUCIA GABRIELA"/>
        <s v="PAZ  JUAN FRANCISCO"/>
        <s v="PECORA NATALY GISELLE"/>
        <s v="PEDROSA, FERNANDO HECTOR"/>
        <s v="PELLEGATA PAULO NICOLAS"/>
        <s v="PELLEGRINO ALISON"/>
        <s v="PELLEGROTTI ANTONELA"/>
        <s v="PENNELA ORLANDO OSVALDO"/>
        <s v="PENNINO LILIANA BEATRIZ"/>
        <s v="PEÑA RAMIRO MARTIN"/>
        <s v="PEÑA WALTER"/>
        <s v="PERAZZO  PATRICIO"/>
        <s v="PEREZ  VICTOR RUBEN"/>
        <s v="PEREZ ALBERTO LUIS"/>
        <s v="PEREZ CABRIADA MARIANO PABLO"/>
        <s v="PEREZ CARLOS WALTER"/>
        <s v="PEREZ FELIX ALAN"/>
        <s v="PEREZ FERNANDEZ ALEJANDRO"/>
        <s v="PEREZ LUCIANA"/>
        <s v="PEREZ PABLO"/>
        <s v="PERLES CLAUDIO"/>
        <s v="PERSICO GASTON"/>
        <s v="PETTITI PABLO "/>
        <s v="PEZZANO FERNANDEZ SANTIAGO"/>
        <s v="PICCOLOMINI SEBASTIAN"/>
        <s v="PICO ESTRADA MARGARITA"/>
        <s v="PICO GUILLERMINA"/>
        <s v="PIETRACCONNE MARIANELLA"/>
        <s v="PINASCO LUIS"/>
        <s v="PINEDA RUGELES FEILPE"/>
        <s v="PINELLA JUAN"/>
        <s v="PIORNO GASTÓN"/>
        <s v="PIQUET, MARINA LORENA"/>
        <s v="PIRRI FRANCISCO VICENTE"/>
        <s v="PISTOIA AGUSTINA INES"/>
        <s v="PIWOWARSKI GABRIELA SUSANA"/>
        <s v="PIZZI JUAN JOSE"/>
        <s v="PLAUL MAXIMILIANO ADRIAN"/>
        <s v="POLLINI, MARGARITA"/>
        <s v="POMMARES PABLO IGNACIO"/>
        <s v="PONCE MARIA AGUSTINA"/>
        <s v="PONCE RAMON"/>
        <s v="PORTO OSVALDO "/>
        <s v="PRESS ANA"/>
        <s v="PRIETO ESTEBAN"/>
        <s v="PROIETTO INGRID MARIA LOURDES"/>
        <s v="PUCCIARELLI ROMINA"/>
        <s v="QUINTANA CARLOS ANTONIO"/>
        <s v="QUINTANA JUAN MARTIN"/>
        <s v="QUIÑOÑEZ CECILIA ANDREA"/>
        <s v="QUIÑOÑEZ DAHIANA"/>
        <s v="QUIROGA WALTER DAMIAN"/>
        <s v="RABELLINO NESTOR OSCAR"/>
        <s v="RAMIRES MARIA PAULA"/>
        <s v="RAMIREZ Brain Esteban"/>
        <s v="RAMIREZ JOSÉ"/>
        <s v="RAMON BADIA JAZMIN"/>
        <s v="RAMON GLADYS"/>
        <s v="RAMON JOSE HUMBERTO"/>
        <s v="RAMOS  JUAN CARLOS"/>
        <s v="RAMOS MIRIAM"/>
        <s v="RAMOS RAFAEL ALDO"/>
        <s v="RAMPELINI DIEGO"/>
        <s v="REBOLLO JORGE FERNANDO"/>
        <s v="REFOJOS MARIANO"/>
        <s v="REPETTI ARIEL"/>
        <s v="RESTUCCIO MARCELO"/>
        <s v="REY MARIA ELENA"/>
        <s v="REYES DAMIAN GUILLERMO"/>
        <s v="REYNELI AGUSTIN"/>
        <s v="REYNOSO CAMILA ANAHI"/>
        <s v="REYNOSO NICHOLAS"/>
        <s v="RICCI LIAJOVETSKY GABRIEL"/>
        <s v="RICCITELLI MIGUEL ANGEL"/>
        <s v="RICHINO ADRIAN EZEQUIEL"/>
        <s v="RICHINO LEANDRO"/>
        <s v="RIOS FERNANDO"/>
        <s v="RIOS Gustavo Francisco"/>
        <s v="RIOS MARIA ISABEL"/>
        <s v="RIOS NÉSTOR FABIAN"/>
        <s v="RISSO PATRON FACUNDO"/>
        <s v="RIVADENEIRA CAMILA"/>
        <s v="RIVERA Soledad"/>
        <s v="ROCA LUIS GASTON"/>
        <s v="ROCA MANOUKIAN MATIAS"/>
        <s v="RODRGUEZ JULIA"/>
        <s v="RODRIGUEZ JONATHAN"/>
        <s v="RODRIGUEZ JORGE ADRIAN"/>
        <s v="RODRIGUEZ JORGE GUILLERMO"/>
        <s v="RODRIGUEZ JUAN RAMON"/>
        <s v="RODRIGUEZ LEILA"/>
        <s v="RODRIGUEZ MIGUEL ANGEL"/>
        <s v="ROIG GUILLERMO"/>
        <s v="ROJAS MIRTA"/>
        <s v="ROJAS SILVIO"/>
        <s v="ROMANO María Natalia"/>
        <s v="ROMANO VALENTINA DEL PILAR"/>
        <s v="ROMERO CRISTIAN ADRIAN"/>
        <s v="ROSSI MARIA EVELIA"/>
        <s v="RUIZ ANDRES"/>
        <s v="RUIZ DIAZ  PEDRO DAMIAN"/>
        <s v="RUIZ LEONARDO EZEQUIEL"/>
        <s v="RUIZ NATALI MELINA"/>
        <s v="RUIZ NORA"/>
        <s v="RUPPERTO BARBARA"/>
        <s v="SAAVEDRA NESTOR"/>
        <s v="SACCO JULIETA"/>
        <s v="SADIER EMILIO"/>
        <s v="SAEZ MARCIAL  Ignacio"/>
        <s v="SAHADE PABLO"/>
        <s v="SALAS JOSEFINA"/>
        <s v="SALAZAR  MAXIMILIANO"/>
        <s v="SALAZAR JOSUE JOEL"/>
        <s v="SALGADO JUAN MANUEL"/>
        <s v="SALINAS NESTOR"/>
        <s v="SALOMONE GUILLERMO"/>
        <s v="SALVO ROMAN ROSS JONATHAN"/>
        <s v="SANABRIA GABRIELA"/>
        <s v="SANCHEZ ARIEL"/>
        <s v="SANCHEZ FABIAN"/>
        <s v="SANCHEZ Florencia Anabella"/>
        <s v="SÁNCHEZ GABRIEL "/>
        <s v="SANCHEZ LAMOTHE FRANCISCO"/>
        <s v="SANCHEZ LUCIA"/>
        <s v="SANCHEZ PAULA"/>
        <s v="SANCHEZ PAYA CAROLA LUCIANA"/>
        <s v="SANCHEZ QUIJANO EMILIANO"/>
        <s v="SANCHEZ SAÑUDO RICARDO"/>
        <s v="SANNMARTIN, ALEJANDRA"/>
        <s v="SANTINI GAMARRA MOISES "/>
        <s v="SANTOS, LILIANA INES"/>
        <s v="SANZ FERNANDA "/>
        <s v="SARAZOLA LEANDRO"/>
        <s v="SASTRE PEDRO"/>
        <s v="SATRIANO JULIO CESAR"/>
        <s v="SATRIANO, ROBERTO"/>
        <s v="SAURIT  ESTANISLAO ANDRES"/>
        <s v="SAVIGNON LEILA"/>
        <s v="SCAGNOLARI MARIA LAURA"/>
        <s v="SCARPINO ANTONIO MARCELO"/>
        <s v="SCHARGORODSKY LAURA"/>
        <s v="SCHENONE LEANDRO"/>
        <s v="SCHIAVI ANA"/>
        <s v="SCHUPPISSER Manuela"/>
        <s v="SCHWARZ WERNER AMADEO"/>
        <s v="SEIF MAXIMILIANO"/>
        <s v="SELZER MARIANA"/>
        <s v="SEMERIA FEDERICO "/>
        <s v="SEMERIA JULIETA"/>
        <s v="SENRA MARIA CELESTE"/>
        <s v="SEQUEIRA Adrián Anibal"/>
        <s v="SICILIANO LAURA PATRICIA"/>
        <s v="SIERRA GUSTAVO"/>
        <s v="SILBERGLEIT, SILVINA"/>
        <s v="SILVA  IVAN LEANDRO"/>
        <s v="SILVA  JORGE YONATAN"/>
        <s v="SILVA  RICARDO LUIS"/>
        <s v="SILVA CRISTHIAN LUIS"/>
        <s v="SILVA URTISA CARLOS"/>
        <s v="SILVENTE FACUNDO"/>
        <s v="SIMONIAN JUAN MANUEL"/>
        <s v="SMOCOCICH ADRIANO DUILIO"/>
        <s v="SOBRINO LUCIANA YAMILA"/>
        <s v="SOIMER ISAAC "/>
        <s v="SOIMER NICOLAS"/>
        <s v="SOLARZ, VALERIA"/>
        <s v="SOLIZ MIGUEL"/>
        <s v="SOLODUJIN DANIEL DE LOS SANTOS"/>
        <s v="SOLODUJIN Noelia Edith"/>
        <s v="GABIOUD SNÖBOHM AGUSTINA"/>
        <s v="SOSA  Lucas Tomas"/>
        <s v="SOSA LUNA JUAN MARIO"/>
        <s v="SOTELO David Antonio"/>
        <s v="SOTELO YONATHAN DAVID"/>
        <s v="SOTO JONATAN"/>
        <s v="SOTOMAYOR ARIEL"/>
        <s v="SPEAKE RANDY"/>
        <s v="SPOSITO, LUCAS"/>
        <s v="SPROVIERO TAMARA VANINA"/>
        <s v="SUAREZ AGUSTINA"/>
        <s v="SUAREZ JUAN CARLOS"/>
        <s v="SUAREZ Laura Beatriz"/>
        <s v="SUAREZ LUCAS ALEJANDRO"/>
        <s v="SUAREZ ROBERTO DANIEL"/>
        <s v="SUAREZ RUBIO IGNACIO"/>
        <s v="SUIFFET ANA CLARA"/>
        <s v="SUMMA RODRIGO EZEQUIEL"/>
        <s v="SZENKIERMAN,  Laura Gisela"/>
        <s v="SZMULEWICZ DEMIAN"/>
        <s v="TABAREZ VIDECKIS NICOLAS"/>
        <s v="TAGARELLI CARLA MARIA"/>
        <s v="TARDITTI, EDUARDO JORGE"/>
        <s v="TELLO LUCÍA"/>
        <s v="TENEGLIA JOSE"/>
        <s v="TEVES NANCY FLORENCIA"/>
        <s v="TEVEZ CAROLINA"/>
        <s v="TOKUMORI MARIA KAMI"/>
        <s v="TOLCACHIER NICOLAS"/>
        <s v="TOLEDO CARLOS IVÁN"/>
        <s v="TOLEDO WIDENSKY JULIETA"/>
        <s v="TORANZO AGUSTIN"/>
        <s v="TORMANN LUCAS ALEJANDRO"/>
        <s v="TORNESE Alejandro Federico"/>
        <s v="TORRES  MAXIMILIANO JOSE"/>
        <s v="TORRES GUSTAVO"/>
        <s v="TORRES Jorge David"/>
        <s v="TORRETA, CLAUDIO"/>
        <s v="TORRICO GUTIERREZ ANTONIO FRANCO"/>
        <s v="TOSCANI LUCAS SEBASTIAN"/>
        <s v="TRAPANI ALEJANDRO"/>
        <s v="TRESER CARLOS"/>
        <s v="TRICARICO MARCOS DAMIAN"/>
        <s v="TRONCOSO SAMANTA"/>
        <s v="TRYBULSKI CHRISTIAN"/>
        <s v="TUZIEKIEVICZ GABRIELA"/>
        <s v="UASSOUF GURMAN GABRIELA"/>
        <s v="ULRICH INGRID"/>
        <s v="ULRICH SEBASTIAN"/>
        <s v="UMPIERREZ MANUEL"/>
        <s v="URTIAGA VICTOR"/>
        <s v="URTIAGA, GABRIELA"/>
        <s v="USTARES Matias Nicolas"/>
        <s v="VALDOVINO CARMEN"/>
        <s v="VALLADARES CANDELA"/>
        <s v="VALLONE ORNELLA PAULA"/>
        <s v="VANVICHA Laura Andrea"/>
        <s v="VARELA INES"/>
        <s v="VARELA PABLO"/>
        <s v="VARGAS NANCY PATRICIA"/>
        <s v="VAZQUEZ JAVIER ALEJANDRO"/>
        <s v="VAZQUEZ NIEVES"/>
        <s v="VEDOYA EMANUEL"/>
        <s v="VEGA VICTOR"/>
        <s v="VEGEZZI NICOLAS HERNAN"/>
        <s v="VELASQUEZ JORGE RICARDO"/>
        <s v="VELAZQUEZ EDUARDO"/>
        <s v="VERA Mónica"/>
        <s v="VERCELLI CARLOS LUIS"/>
        <s v="VERON DIEGO HORACIO"/>
        <s v="VERON María Encarnación"/>
        <s v="VICO FERNANDO"/>
        <s v="VIDELA, MARIA EVA"/>
        <s v="VILLALBA AMPARO"/>
        <s v="VILLALBA FERNANDO"/>
        <s v="VILLAR MARIA BELEN"/>
        <s v="VILLAR MARTA ALICIA"/>
        <s v="VILLAROEL CAROL"/>
        <s v="VILLAVERDE Claudia"/>
        <s v="VILLAVERDE NADIA GISELA"/>
        <s v="VILTE CRISTIAN GABRIEL"/>
        <s v="VILTE PABLO ALFREDO"/>
        <s v="VIÑA SEBASTIAN"/>
        <s v="VITALE, NICOLAS"/>
        <m/>
        <s v="VITULLO FEDERICO"/>
        <s v="VOLA RODRIGO EZEQUIEL"/>
        <s v="VRANJES WALTER"/>
        <s v="WAINERMAN LAURA"/>
        <s v="WARSCHAVSKI MATIAS IGOR "/>
        <s v="WEIDERT FERNANDO RAUL"/>
        <s v="WILCHEN MARTIN"/>
        <s v="WRIGHT Leonardo"/>
        <s v="YEVARA MARCELO EDUARDO"/>
        <s v="ZABALA Nair"/>
        <s v="ZADRA ROLANDO JUAN"/>
        <s v="ZAFONTE  DIEGO"/>
        <s v="ZAMBLERA, MARIÁNGELES"/>
        <s v="ZAMBONINI  SANTIAGO MARIA"/>
        <s v="ZAMBONINI Mariano Andrés"/>
        <s v="ZAMBONINI Tomás Simón"/>
        <s v="ZAMORA RAUL ALFREDO"/>
        <s v="ZAPATA ALEJANDRA"/>
        <s v="ZARAGOZA LEONARDO JAVIER"/>
        <s v="ZARATE HUGO  HUGO DANIEL"/>
        <s v="ZARCO DELGADO GIMENA"/>
        <s v="ZAREMBA CLARA"/>
        <s v="ZEÑIUK GABRIEL"/>
        <s v="ZIRALDO DIEGO"/>
        <s v="ZOTHNER CELIA LUCIANA"/>
        <s v="ZULIANI MANUELA"/>
        <s v="ZUQUI  MARIANO"/>
        <s v="GOMEZ  YÉSICA MABEL" u="1"/>
        <s v="SKOREPA CARLOS EMANUEL" u="1"/>
        <s v="PORTO SEBASTIAN DANIEL" u="1"/>
        <s v="BARBITTA, NESTOR" u="1"/>
        <s v="LEYES CARLOS ROBERTO" u="1"/>
        <s v="MACIERO MARIA CECILIA" u="1"/>
        <s v="COPELLO, MARINA" u="1"/>
        <s v="IBAÑEZ  GLADIS YOLANDA" u="1"/>
        <s v="PAFUNDO ALONSO MARTIN" u="1"/>
        <s v="GOMEZ JORGE ANTONIO" u="1"/>
        <s v="PAVONNE   LUCIA GABRIELA" u="1"/>
        <s v="FERNANDEZ MARIANO" u="1"/>
        <s v="PLENCOVICH  MARÍA FERNANDA" u="1"/>
        <s v="RODRIGUEZ  JUAN RAMON" u="1"/>
        <s v="VIDAL MARINA" u="1"/>
        <s v="MARIA CELESTE PAPPOLLA" u="1"/>
        <s v="ALVAREZ NURIA BELEN" u="1"/>
        <s v="CAPUTO Caterina María" u="1"/>
        <s v="VILLALONGA MARTIN" u="1"/>
        <s v="FERNANDEZ  VICENTA LUCIA" u="1"/>
        <s v="GOMEZ DAVID" u="1"/>
        <s v="FONTANA JUNA CARLOS" u="1"/>
        <s v="CUENCA MARCELO" u="1"/>
        <s v="FLORES LUCAS MARTIN" u="1"/>
        <s v="PÉREZ CORREA, PABLO" u="1"/>
        <s v="CHARA SCARDIGIO JUAN MANUEL" u="1"/>
        <s v="COPELLO, ALEJANDRO" u="1"/>
        <s v="RAMIREZ, JOSÉ" u="1"/>
        <s v="APARICIO, PEDRO" u="1"/>
        <s v="RIZZO JAVIER" u="1"/>
        <s v="GUTIERREZ, RODRIGO" u="1"/>
        <s v="GUTIÉRREZ, RODRIGO" u="1"/>
        <s v="BIDEBERRIPE SEBASTIÁN" u="1"/>
        <s v="CICERO JORGE" u="1"/>
        <s v="FRANCO MARIA LAURA" u="1"/>
        <s v="LEON MABEL" u="1"/>
        <s v="RAMON  JOSE HUMBERTO" u="1"/>
        <s v="PASQUINI GISELA" u="1"/>
        <s v="CABALLERO CACERES JUANA MANUELA" u="1"/>
        <s v="FERRARI, MARIA" u="1"/>
        <s v="DE LA CASA María Eugenia" u="1"/>
        <s v="ARCE, FEDERICO" u="1"/>
        <s v="COSTA FEDERICO BRUNO" u="1"/>
        <s v="GARCIA, DANIELA" u="1"/>
        <s v="CIARLOTTI, MARIANA" u="1"/>
        <s v="HARRIS JUL" u="1"/>
        <s v="IRARRAZABAL, FRANCISCO" u="1"/>
        <s v="CARNIGLIA LUIS" u="1"/>
        <s v="VILLASREO MATIAS RUBEN" u="1"/>
        <s v="ARNONI GUSTAVO JULIO" u="1"/>
        <s v="SZWARC PABLO ARIEL" u="1"/>
        <s v="CIFONE MARIA TERESA" u="1"/>
        <s v="CASTILLO EUGENIA ALEJANDRA" u="1"/>
        <s v="ORTIZ NICOLAS" u="1"/>
        <s v="DE SOUSA  MARIO" u="1"/>
        <s v="RUIZ, NORA" u="1"/>
        <s v="GIRIBALDI JUAN ESTEBAN" u="1"/>
        <s v="MARCOS EZEQUIEL" u="1"/>
        <s v="OSTROWERCHA IRENE LAURA" u="1"/>
        <s v="DENHOLM ALBERTO" u="1"/>
        <s v="RAIBERTI MARIANA" u="1"/>
        <s v="BARRIOS ANALIA" u="1"/>
        <s v="MAGGI JUAN ANDRES" u="1"/>
        <s v="RESNIK MATIAS" u="1"/>
        <s v="CAGNOLA LETICIA" u="1"/>
        <s v="BARCA CARINA VANESA" u="1"/>
        <s v="VITULLO, LUIS" u="1"/>
        <s v="LUQUEZ MIGUEL ANGEL" u="1"/>
        <s v="BARROS MENDEZ  MARTIN " u="1"/>
        <s v="FERREYRA LORENA ALEJANDRA" u="1"/>
        <s v="MANZINI NICOLAS" u="1"/>
        <s v="CABRERA MANUEL" u="1"/>
        <s v="FERNANDEZ DIEGO ANSELMO" u="1"/>
        <s v="MOROTE SAAVEDRA LILIANA MILAGROS LILIANA" u="1"/>
        <s v="CORIA CRISTIAN ADOLFO" u="1"/>
        <s v="HERNANDEZ MARIANA" u="1"/>
        <s v="URBIETA MARIA CAROLINA" u="1"/>
        <s v="SANTORO PATRICIA" u="1"/>
        <s v="RODRIGUEZ  JONATHAN" u="1"/>
        <s v="SANTANDER RIVEROS ALEXIS" u="1"/>
        <s v="LORENZATTI JORGE LUIS" u="1"/>
        <s v="GRIMAUX MARIA AGUSTINA" u="1"/>
        <s v="GOMEZ  GABRIELA" u="1"/>
        <s v="BARANDALLA ROBERTO" u="1"/>
        <s v="RODRIGUEZ  BRIAN EMANUEL" u="1"/>
        <s v="FERNANDEZ LEONEL" u="1"/>
        <s v="PELINSKI, SERGIO" u="1"/>
        <s v="IGLESIAS MICAELA" u="1"/>
        <s v="GRAMAJO MARIELA" u="1"/>
        <s v="VAZQUEZ MANGANO, MARIANO LUIS" u="1"/>
        <s v="IULIANI GUSTAVO" u="1"/>
        <s v="BAUZA BELEN" u="1"/>
        <s v="REBOLLO  JORGE FERNANDO" u="1"/>
        <s v="PEREZ, PABLO" u="1"/>
        <s v="D ANGELI SANDRA VERONICA" u="1"/>
        <s v="CENTENO BRIAN NAHUEL" u="1"/>
        <s v="BIASETTI PABLO ADRIÁN" u="1"/>
        <s v="IULIANI GUTAVO NICOLAS" u="1"/>
        <s v="SORIANO LAURA" u="1"/>
        <s v="HURTADO DANIS" u="1"/>
        <s v="MONTIEL  ANIBAL" u="1"/>
        <s v="FRUTOS MAXIMILIANO HERNAN" u="1"/>
        <s v="HARRIS JULIO" u="1"/>
        <s v="TOMAS, MAXIMILIANO" u="1"/>
        <s v="HUANCO GONZALO OMAR" u="1"/>
        <s v="DERQUIORKIAN ARTEAGA JULIAN PABLO" u="1"/>
        <s v="JEREZ BARBARA" u="1"/>
        <s v="UMBIDES, OSCAR MARCIAL" u="1"/>
        <s v="ESTANGA SERRUA ANDRES" u="1"/>
        <s v="MARTIN CAROLINA ANDREA" u="1"/>
        <s v="TOROSSIAN SUSANA NELIDA" u="1"/>
        <s v="PECORA, PATRICIA VICENTA" u="1"/>
        <s v="DÍAZ MARÍA  VIRGINIA" u="1"/>
        <s v="SIERRA, GUSTAVO" u="1"/>
        <s v="CEBOLLERO EVANGELINA" u="1"/>
        <s v="CERDA Maximiliano" u="1"/>
        <s v="ESTRADA NAHIR" u="1"/>
        <s v="HAZAN  GUSTAVO " u="1"/>
        <s v="RISSAU NAHUEL" u="1"/>
        <s v="ALBERIO RODRIGO JOSÉ" u="1"/>
        <s v="FIORRUCIO JOSE LIS" u="1"/>
        <s v="WROBLEWSKI, KARINA" u="1"/>
        <s v="IZAGUIRRE  MARINA SOFIA" u="1"/>
        <s v="GONZÁLEZ, NICOLÁS" u="1"/>
        <s v="VACCARINI NORBERTO ABIEL" u="1"/>
        <s v="MARICHEKEL" u="1"/>
        <s v="KRATOCHVIL NATALIA" u="1"/>
        <s v="OLSTEIN MELINA CLAUDIA" u="1"/>
        <s v="DANERI DANIEL" u="1"/>
        <s v="SCHONFELD NICOLAS" u="1"/>
        <s v="ROSSI MARIA EVA" u="1"/>
        <s v="LIQUIN JOSE FEDERICO" u="1"/>
        <s v="GALLARDO GUILLERMO GUSTAVO" u="1"/>
        <s v="PALACIO MARIA SUSANA" u="1"/>
        <s v="LOTO Mauro Fabián" u="1"/>
        <s v="FERREYRA MARIANA SOLEDAD" u="1"/>
        <s v="DE LA CUADRA GONZALO CUADRA" u="1"/>
        <s v="LAURENZI ROCIO BELÉN" u="1"/>
        <s v="NIEVAS  JORGE" u="1"/>
        <s v="BASCUR CRISTINA BELÉN" u="1"/>
        <s v="RIOS  GERMÁN" u="1"/>
        <s v="GOMEZ  HECTOR ANDRES" u="1"/>
        <s v="MALLIMACI ANDREA" u="1"/>
        <s v="OCHOA, FABIAN SERGIO" u="1"/>
        <s v="MENESCALDI, SEBASTIÁN" u="1"/>
        <s v="MENNA SABRINA " u="1"/>
        <s v="TOLEDO Carlos Alberto" u="1"/>
        <s v="GONZALEZ FRUTOS  ANDRES RAMON" u="1"/>
        <s v="BARRIOS WALTER RICARDO" u="1"/>
        <s v="TEJADA AUGUSTO " u="1"/>
        <s v="RIVERO JORGE" u="1"/>
        <s v="BARRIONUEVO Jorge Cristian" u="1"/>
        <s v="DEUS MAURO" u="1"/>
        <s v="DE VITIS MILTON YAIR" u="1"/>
        <s v="CASTORIANO CYNTHIA" u="1"/>
        <s v="PALAVECINO HECTOR" u="1"/>
        <s v="MARCOS ENRIQUE HUGO" u="1"/>
        <s v="RAMON  GLADYS" u="1"/>
        <s v="PRATI CARLOS FRANCISCO" u="1"/>
        <s v="PEINADO MAGALI" u="1"/>
        <s v="FERNANDEZ  CARLOS HORACIO" u="1"/>
        <s v="VIÑA SEBASTIAN ISMAEL" u="1"/>
        <s v="SEMEÑENCO JAVIER" u="1"/>
        <s v="SUAREZ  VICTOR MAXIMILIANO" u="1"/>
        <s v="FILIPPELLI LAURA CECILIA" u="1"/>
        <s v="GIMENEZ, JERONIMO" u="1"/>
        <s v="SPÓSITO, LUCAS" u="1"/>
        <s v="DIAZ CORDOBA GABRIEL ANTONIO" u="1"/>
        <s v="SANTILLAN  SEBASTIAN GONZALO" u="1"/>
        <s v="LÓPEZ EMILIANO" u="1"/>
        <s v="CANTARINI CLAUDIO" u="1"/>
        <s v="SINIGAGLIA MEISSL MICAELA MARIA" u="1"/>
        <s v="AVOGADRO CARLOS INOCENCIO" u="1"/>
        <s v="RIOS  MARIA ISABEL" u="1"/>
        <s v="MOSTAJO CARLOS" u="1"/>
        <s v="HERZOG NICOLAS " u="1"/>
        <s v="CENTENO OSCAR" u="1"/>
        <s v="ROMERO  MARIA ISABEL" u="1"/>
        <s v="TUKAMORI MARIA KAMI" u="1"/>
        <s v="ORQUERA, MIGUEL" u="1"/>
        <s v="COHEN ELISA DIANA" u="1"/>
        <s v="BARAJAS, LEANDRO" u="1"/>
        <s v="SOTO, MARIANO" u="1"/>
        <s v="GRINGAS LUCAS GABRIEL" u="1"/>
        <s v="OCHOA CLAUDIA GISELA" u="1"/>
        <s v="GUZMÁN, WALTER" u="1"/>
        <s v="BOERIS, MARCELA" u="1"/>
        <s v="BENAVIDEZ MARIANO ELIAS" u="1"/>
        <s v="FERNANDEZ, FLORENCIA" u="1"/>
        <s v="CORIA SERGIO RICARDO" u="1"/>
        <s v="CORDERO, CAROLINA" u="1"/>
      </sharedItems>
    </cacheField>
    <cacheField name="DNI" numFmtId="2">
      <sharedItems containsBlank="1"/>
    </cacheField>
    <cacheField name="NRO" numFmtId="3">
      <sharedItems containsString="0" containsBlank="1" containsNumber="1" containsInteger="1" minValue="1826888" maxValue="95147687"/>
    </cacheField>
    <cacheField name="CUIT" numFmtId="0">
      <sharedItems containsBlank="1" containsMixedTypes="1" containsNumber="1" containsInteger="1" minValue="33623466" maxValue="27947799814"/>
    </cacheField>
    <cacheField name="F Nacimiento" numFmtId="0">
      <sharedItems containsDate="1" containsBlank="1" containsMixedTypes="1" minDate="1938-08-03T00:00:00" maxDate="1998-05-16T00:00:00"/>
    </cacheField>
    <cacheField name="Estudios" numFmtId="0">
      <sharedItems containsNonDate="0" containsString="0" containsBlank="1"/>
    </cacheField>
    <cacheField name="Dirección" numFmtId="0">
      <sharedItems containsNonDate="0" containsString="0" containsBlank="1"/>
    </cacheField>
    <cacheField name="Teléfono" numFmtId="0">
      <sharedItems containsNonDate="0" containsString="0" containsBlank="1"/>
    </cacheField>
    <cacheField name="Celular" numFmtId="0">
      <sharedItems containsNonDate="0" containsString="0" containsBlank="1"/>
    </cacheField>
    <cacheField name="LM O AT" numFmtId="0">
      <sharedItems containsBlank="1"/>
    </cacheField>
    <cacheField name="TIPO" numFmtId="0">
      <sharedItems containsBlank="1" count="4">
        <s v="AT"/>
        <s v="LM"/>
        <s v="CO"/>
        <m/>
      </sharedItems>
    </cacheField>
    <cacheField name="INGRESO" numFmtId="14">
      <sharedItems containsNonDate="0" containsDate="1" containsString="0" containsBlank="1" minDate="2005-01-01T00:00:00" maxDate="2016-08-03T00:00:00"/>
    </cacheField>
    <cacheField name="VTO CONTRATO" numFmtId="14">
      <sharedItems containsNonDate="0" containsDate="1" containsString="0" containsBlank="1" minDate="2016-03-31T00:00:00" maxDate="2017-01-01T00:00:00"/>
    </cacheField>
    <cacheField name="Fin Contrato" numFmtId="14">
      <sharedItems containsNonDate="0" containsDate="1" containsString="0" containsBlank="1" minDate="2016-07-31T00:00:00" maxDate="2017-01-01T00:00:00"/>
    </cacheField>
    <cacheField name="CATEG LM" numFmtId="2">
      <sharedItems containsBlank="1"/>
    </cacheField>
    <cacheField name="UNIVERSIDAD" numFmtId="0">
      <sharedItems containsBlank="1"/>
    </cacheField>
    <cacheField name="CONVENIO AT" numFmtId="0">
      <sharedItems containsBlank="1"/>
    </cacheField>
    <cacheField name="ANTERIOR" numFmtId="165">
      <sharedItems containsBlank="1" containsMixedTypes="1" containsNumber="1" minValue="1700" maxValue="39000"/>
    </cacheField>
    <cacheField name="ACTUAL" numFmtId="165">
      <sharedItems containsBlank="1" containsMixedTypes="1" containsNumber="1" minValue="1700" maxValue="165511.96" count="415">
        <n v="10000"/>
        <n v="17102"/>
        <n v="27370"/>
        <n v="16289.4"/>
        <n v="12516"/>
        <n v="12500"/>
        <n v="12484.6"/>
        <n v="12000"/>
        <n v="11449.4"/>
        <n v="12547"/>
        <n v="23288"/>
        <n v="20253.28"/>
        <n v="29781"/>
        <n v="10408.549999999999"/>
        <s v="."/>
        <n v="20959"/>
        <n v="10553"/>
        <n v="16465"/>
        <m/>
        <n v="9995.51"/>
        <n v="13835"/>
        <n v="16731"/>
        <n v="15234"/>
        <n v="12274"/>
        <n v="20266"/>
        <n v="17751"/>
        <n v="20413"/>
        <n v="23417"/>
        <n v="11500"/>
        <n v="16000"/>
        <n v="14000"/>
        <n v="27374"/>
        <n v="13084.78"/>
        <n v="29089"/>
        <n v="9673.07"/>
        <n v="24523"/>
        <n v="19353"/>
        <n v="18795"/>
        <n v="25252"/>
        <n v="11410.59"/>
        <n v="8000"/>
        <n v="28237"/>
        <n v="1700"/>
        <n v="17074"/>
        <n v="19041"/>
        <n v="10190"/>
        <n v="12143.3"/>
        <n v="20839.14"/>
        <n v="25000"/>
        <n v="13500"/>
        <n v="17000"/>
        <n v="11730"/>
        <n v="13896"/>
        <n v="27000"/>
        <n v="26021.360000000001"/>
        <n v="29784"/>
        <n v="21162"/>
        <n v="18000"/>
        <n v="22151"/>
        <n v="12003"/>
        <n v="29420"/>
        <n v="21133.05"/>
        <n v="12275"/>
        <n v="18735.38"/>
        <n v="17105"/>
        <n v="24000"/>
        <n v="21056"/>
        <n v="22409"/>
        <n v="17505"/>
        <n v="15933"/>
        <n v="13240.15"/>
        <n v="25093"/>
        <n v="20907.810000000001"/>
        <n v="24060"/>
        <n v="21266"/>
        <n v="20498"/>
        <n v="35000"/>
        <n v="9500"/>
        <n v="22590"/>
        <n v="16168.13"/>
        <n v="32782"/>
        <n v="19096"/>
        <n v="12245.32"/>
        <n v="17849"/>
        <n v="17146"/>
        <n v="10540.72"/>
        <n v="21271"/>
        <n v="13450"/>
        <n v="18277"/>
        <n v="13638"/>
        <n v="13000"/>
        <n v="35111"/>
        <n v="15503.4"/>
        <n v="30000"/>
        <n v="8035.31"/>
        <n v="9955.51"/>
        <n v="14014"/>
        <n v="18334"/>
        <n v="20989"/>
        <n v="22174"/>
        <n v="19987"/>
        <n v="22491"/>
        <n v="28848.48"/>
        <n v="18724.21"/>
        <n v="17107"/>
        <n v="22781.79"/>
        <n v="17694.53"/>
        <n v="15043.07"/>
        <n v="31238"/>
        <n v="25047.11"/>
        <n v="15000"/>
        <n v="21612.91"/>
        <n v="36000"/>
        <n v="20000"/>
        <n v="25763"/>
        <n v="23441.14"/>
        <n v="26338.41"/>
        <n v="29747"/>
        <n v="22118.560000000001"/>
        <n v="15533.86"/>
        <n v="29000"/>
        <n v="34485"/>
        <n v="12273.52"/>
        <n v="18391.28"/>
        <n v="22812"/>
        <n v="15838.72"/>
        <n v="15732"/>
        <n v="12908.93"/>
        <n v="24516"/>
        <n v="21517"/>
        <n v="19100"/>
        <n v="24294"/>
        <n v="27488.85"/>
        <n v="19528"/>
        <n v="21255"/>
        <n v="19000"/>
        <n v="15159.27"/>
        <n v="14667.81"/>
        <n v="16544.11"/>
        <n v="15601"/>
        <n v="31094"/>
        <n v="17672.34"/>
        <n v="4700"/>
        <n v="20545"/>
        <n v="13533.35"/>
        <n v="28000"/>
        <n v="17571.04"/>
        <n v="16139.51"/>
        <n v="25954"/>
        <n v="24741"/>
        <n v="18324"/>
        <n v="20921.8"/>
        <n v="30743"/>
        <n v="25915.89"/>
        <n v="6000"/>
        <n v="11187.23"/>
        <n v="36529"/>
        <n v="13638.95"/>
        <n v="39000"/>
        <n v="24333"/>
        <n v="13135.25"/>
        <n v="19334"/>
        <n v="22829"/>
        <n v="14242.4"/>
        <n v="23039"/>
        <n v="27576"/>
        <n v="18500"/>
        <n v="10731"/>
        <n v="22640"/>
        <n v="26690"/>
        <n v="27262"/>
        <n v="27420"/>
        <n v="22000"/>
        <n v="31056"/>
        <n v="20266.82"/>
        <n v="13783.6"/>
        <n v="12246"/>
        <n v="32195"/>
        <n v="10829"/>
        <n v="17065"/>
        <n v="11289.69"/>
        <n v="28909"/>
        <n v="29206.37"/>
        <n v="26237"/>
        <n v="13593.330000000002"/>
        <n v="16242.17"/>
        <n v="32363"/>
        <n v="17564"/>
        <n v="13786"/>
        <n v="16292"/>
        <n v="25021.33"/>
        <n v="20839"/>
        <n v="27366"/>
        <n v="20628.54"/>
        <n v="21963.653000000002"/>
        <n v="23810"/>
        <n v="25981"/>
        <n v="15730"/>
        <n v="30145"/>
        <n v="13106"/>
        <n v="21640"/>
        <n v="10910"/>
        <n v="20106.650000000001"/>
        <n v="12960"/>
        <n v="16470.8"/>
        <n v="21576.62"/>
        <n v="10497.15"/>
        <n v="13990"/>
        <n v="23386"/>
        <n v="23901"/>
        <n v="11657.4"/>
        <n v="18168"/>
        <n v="13079.52"/>
        <n v="16053"/>
        <n v="7680"/>
        <n v="15679.55"/>
        <n v="14027"/>
        <n v="21683"/>
        <n v="18118.63"/>
        <n v="24716"/>
        <n v="17567.86"/>
        <n v="21340.27"/>
        <n v="22828"/>
        <n v="19552"/>
        <n v="19499.72"/>
        <n v="9991"/>
        <n v="29724.25"/>
        <n v="11456"/>
        <n v="23404"/>
        <n v="13531.11"/>
        <n v="21928.32"/>
        <n v="22875"/>
        <n v="21121.22"/>
        <n v="26079"/>
        <n v="15839.72"/>
        <n v="12142"/>
        <n v="29800.97"/>
        <n v="13084"/>
        <n v="14558"/>
        <n v="11499.3"/>
        <n v="17101"/>
        <n v="12172"/>
        <n v="22890"/>
        <n v="16757"/>
        <n v="19930"/>
        <n v="14500"/>
        <n v="20817.09"/>
        <n v="12742"/>
        <n v="10188"/>
        <n v="17148"/>
        <n v="25480"/>
        <n v="22662"/>
        <n v="26000"/>
        <n v="21792.89"/>
        <n v="15925"/>
        <n v="13270"/>
        <n v="18164"/>
        <n v="15793.59"/>
        <n v="18219"/>
        <n v="19227"/>
        <n v="24220.959999999999"/>
        <n v="27582"/>
        <n v="27717"/>
        <n v="20583"/>
        <n v="11499"/>
        <n v="13233"/>
        <n v="27850"/>
        <n v="15418.33"/>
        <n v="25599"/>
        <n v="20034"/>
        <n v="14433"/>
        <n v="14250"/>
        <n v="34500"/>
        <n v="17657"/>
        <n v="13094"/>
        <n v="19925"/>
        <n v="21891"/>
        <n v="21042"/>
        <n v="28555.22"/>
        <n v="32000"/>
        <n v="24909"/>
        <n v="22661"/>
        <n v="30753"/>
        <n v="32291" u="1"/>
        <n v="10187" u="1"/>
        <n v="10455" u="1"/>
        <n v="24318" u="1"/>
        <n v="12740" u="1"/>
        <n v="17606" u="1"/>
        <n v="21262" u="1"/>
        <n v="12063" u="1"/>
        <n v="18300" u="1"/>
        <n v="26599.89" u="1"/>
        <n v="9479" u="1"/>
        <n v="21547" u="1"/>
        <n v="12237" u="1"/>
        <n v="17072" u="1"/>
        <n v="10614" u="1"/>
        <n v="11702.73" u="1"/>
        <n v="29075.41" u="1"/>
        <n v="28859" u="1"/>
        <n v="7000" u="1"/>
        <n v="22640.400000000001" u="1"/>
        <n v="16600" u="1"/>
        <n v="15909" u="1"/>
        <n v="10189" u="1"/>
        <n v="19500" u="1"/>
        <n v="28386.37" u="1"/>
        <n v="17200" u="1"/>
        <n v="8535" u="1"/>
        <n v="11466" u="1"/>
        <n v="26338.080000000002" u="1"/>
        <n v="25519.08" u="1"/>
        <n v="23000" u="1"/>
        <n v="45000" u="1"/>
        <n v="9875" u="1"/>
        <n v="15737" u="1"/>
        <n v="35672" u="1"/>
        <n v="11388" u="1"/>
        <n v="10096" u="1"/>
        <n v="15615.86" u="1"/>
        <n v="8410" u="1"/>
        <n v="22497" u="1"/>
        <n v="23121.24" u="1"/>
        <n v="24924" u="1"/>
        <n v="28634.57" u="1"/>
        <n v="10900" u="1"/>
        <n v="25494.17" u="1"/>
        <n v="33974" u="1"/>
        <n v="14613.49" u="1"/>
        <n v="22028.67" u="1"/>
        <n v="18053.830000000002" u="1"/>
        <n v="25189.89" u="1"/>
        <n v="30370.28" u="1"/>
        <n v="10807" u="1"/>
        <n v="11721" u="1"/>
        <n v="14195" u="1"/>
        <n v="25449.94" u="1"/>
        <n v="20620.009999999998" u="1"/>
        <n v="21816.97" u="1"/>
        <n v="8617" u="1"/>
        <n v="15971.64" u="1"/>
        <n v="11060" u="1"/>
        <n v="33023.15" u="1"/>
        <n v="13928" u="1"/>
        <n v="17980.52" u="1"/>
        <n v="12795.23" u="1"/>
        <n v="33970.15" u="1"/>
        <n v="15914" u="1"/>
        <n v="17083" u="1"/>
        <n v="9962.6299999999992" u="1"/>
        <n v="13062" u="1"/>
        <n v="16800" u="1"/>
        <n v="8981" u="1"/>
        <n v="10478" u="1"/>
        <n v="15987.68" u="1"/>
        <n v="17536.89" u="1"/>
        <n v="14481.96" u="1"/>
        <n v="16846.060000000001" u="1"/>
        <n v="18125" u="1"/>
        <n v="165511.96" u="1"/>
        <n v="14324" u="1"/>
        <n v="14720.17" u="1"/>
        <n v="10495" u="1"/>
        <n v="7500" u="1"/>
        <n v="11805.42" u="1"/>
        <n v="24250.22" u="1"/>
        <n v="31634.44" u="1"/>
        <n v="11000" u="1"/>
        <n v="8400" u="1"/>
        <n v="17682.41" u="1"/>
        <n v="14325" u="1"/>
        <n v="24526" u="1"/>
        <n v="23046.04" u="1"/>
        <n v="22021.52" u="1"/>
        <n v="12249.4" u="1"/>
        <n v="10166" u="1"/>
        <n v="9000" u="1"/>
        <n v="17911.04" u="1"/>
        <n v="12735" u="1"/>
        <n v="10860" u="1"/>
        <n v="9300" u="1"/>
        <n v="27039.11" u="1"/>
        <n v="12231" u="1"/>
        <n v="56000" u="1"/>
        <n v="13257.94" u="1"/>
        <n v="20115.330000000002" u="1"/>
        <n v="21000" u="1"/>
        <n v="25010.05" u="1"/>
        <n v="12799" u="1"/>
        <n v="19110" u="1"/>
        <n v="9380" u="1"/>
        <n v="24500" u="1"/>
        <n v="19152.259999999998" u="1"/>
        <n v="11728" u="1"/>
        <n v="10168" u="1"/>
        <n v="17505.54" u="1"/>
        <n v="22901.3" u="1"/>
        <n v="15290" u="1"/>
        <n v="14732.93" u="1"/>
        <n v="10090" u="1"/>
        <n v="10500" u="1"/>
        <n v="9555" u="1"/>
        <n v="10800" u="1"/>
        <n v="16593.5" u="1"/>
        <n v="18191.78" u="1"/>
        <n v="17098" u="1"/>
        <n v="11010.13" u="1"/>
        <n v="8500" u="1"/>
        <n v="7700" u="1"/>
        <n v="10533" u="1"/>
        <n v="15166" u="1"/>
        <n v="16288.4" u="1"/>
        <n v="11400" u="1"/>
        <n v="15182" u="1"/>
      </sharedItems>
    </cacheField>
    <cacheField name="PROPUESTO" numFmtId="165">
      <sharedItems containsBlank="1" containsMixedTypes="1" containsNumber="1" minValue="9000" maxValue="45000" count="82">
        <s v="---------"/>
        <n v="17102"/>
        <n v="27370"/>
        <m/>
        <n v="12000"/>
        <s v="."/>
        <n v="20413"/>
        <n v="14000"/>
        <n v="20000"/>
        <n v="15000"/>
        <n v="13000"/>
        <n v="25000"/>
        <n v="17000"/>
        <n v="27000"/>
        <n v="18000"/>
        <n v="12275"/>
        <n v="17105"/>
        <n v="24000"/>
        <n v="16000"/>
        <n v="35000"/>
        <n v="30000"/>
        <n v="14014"/>
        <n v="36000"/>
        <n v="15182"/>
        <n v="29000"/>
        <n v="17107"/>
        <n v="15732"/>
        <n v="24294"/>
        <n v="21255"/>
        <n v="15159.27"/>
        <n v="28000"/>
        <n v="36529"/>
        <n v="18500"/>
        <n v="12500"/>
        <n v="22000"/>
        <n v="19000"/>
        <n v="26000"/>
        <n v="16292"/>
        <n v="27366"/>
        <n v="15730"/>
        <n v="30145"/>
        <n v="10533"/>
        <n v="21340"/>
        <n v="21928.32"/>
        <n v="10000"/>
        <n v="17101"/>
        <n v="13500"/>
        <n v="23000"/>
        <n v="12742"/>
        <n v="25480"/>
        <n v="34500"/>
        <n v="19925"/>
        <n v="17200"/>
        <n v="17072" u="1"/>
        <n v="28635" u="1"/>
        <n v="9000" u="1"/>
        <n v="25494" u="1"/>
        <n v="21817" u="1"/>
        <n v="11728" u="1"/>
        <n v="32291" u="1"/>
        <n v="10190" u="1"/>
        <n v="24523" u="1"/>
        <n v="12740" u="1"/>
        <n v="27274" u="1"/>
        <n v="15290" u="1"/>
        <n v="18334" u="1"/>
        <n v="45000" u="1"/>
        <n v="31634" u="1"/>
        <n v="19500" u="1"/>
        <n v="9500" u="1"/>
        <n v="27374" u="1"/>
        <n v="24221" u="1"/>
        <n v="18300" u="1"/>
        <n v="14195" u="1"/>
        <n v="22590" u="1"/>
        <n v="20253" u="1"/>
        <n v="11456" u="1"/>
        <n v="22812" u="1"/>
        <n v="17083" u="1"/>
        <n v="29089" u="1"/>
        <n v="21000" u="1"/>
        <n v="1516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GABRIEL RRHH" refreshedDate="42605.750864814814" createdVersion="4" refreshedVersion="4" minRefreshableVersion="3" recordCount="1017">
  <cacheSource type="worksheet">
    <worksheetSource ref="A3:AG1020" sheet="BASE DATOS"/>
  </cacheSource>
  <cacheFields count="33">
    <cacheField name="MINISTERIO" numFmtId="2">
      <sharedItems/>
    </cacheField>
    <cacheField name="SECRETARÍA" numFmtId="2">
      <sharedItems containsBlank="1" count="4">
        <s v="SEC CONTENIDOS PUBLICOS"/>
        <m/>
        <s v="SEC MEDIOS PUBLICOS"/>
        <s v="MIN SALUD" u="1"/>
      </sharedItems>
    </cacheField>
    <cacheField name="SUBSECRETARÍA" numFmtId="2">
      <sharedItems containsBlank="1" count="2">
        <m/>
        <s v="SUBSEC CENTROS TEMATICOS Y EXP FEDERALES"/>
      </sharedItems>
    </cacheField>
    <cacheField name="DIRECCIÓN/ÁREA" numFmtId="2">
      <sharedItems containsBlank="1" count="11">
        <s v="DIR NAC GENERACION DE CONTENIDOS"/>
        <s v="DIR NAC EXPRESIONES FEDERALES"/>
        <s v="UNIDAD DE MINISTRO"/>
        <s v="DIRECCION NACIONAL DE CENTROS TEMATICOS"/>
        <s v="UNIDAD SECRETARÍA"/>
        <s v="DIR GRAL TECNICA ADMINISTRATIVA Y LEGAL"/>
        <s v="ARTES VISUALES"/>
        <s v="UNIDAD SUBSECRETARIO"/>
        <s v="COMUNICACIONES"/>
        <s v="DIR DE COOPERACION INTERNACIONAL"/>
        <m/>
      </sharedItems>
    </cacheField>
    <cacheField name="AREA / DEPENDENCIA" numFmtId="2">
      <sharedItems containsBlank="1" count="51">
        <s v="INV. AP. RECURSOS DIGITALES"/>
        <s v="COMUNICACIÓN"/>
        <m/>
        <s v="INTENDENCIA - LIMPIEZA"/>
        <s v="GASTRONOMIA"/>
        <s v="DIRECCION DE GESTION EDILICIA"/>
        <s v="INTENDENCIA- MANTENIMIENTO"/>
        <s v="PRESUPUESTO"/>
        <s v="TELEVISION DIGITAL ABIERTA"/>
        <s v="ADMINISTRACION- RRHH"/>
        <s v="PRODUCCIÓN"/>
        <s v="ARTES VISUALES"/>
        <s v="ADMINISTRACION -LEGALES"/>
        <s v="AUDIOVISUALES"/>
        <s v="INTENDENCIA - TALLERES"/>
        <s v="INSTITUCIONALES"/>
        <s v="PLANIF  Y ADM DE REC HUMANOS"/>
        <s v="JURIDICOS"/>
        <s v="ADMINISTRACION- RECEPCION"/>
        <s v="OPERATIVA"/>
        <s v="INTENDENCIA- PARQUIZACION"/>
        <s v="INTENDENCIA- ACREDITACIONES"/>
        <s v="ARQUITECTURA Y OBRA"/>
        <s v="COOPERATIVAS"/>
        <s v="MESA DE ENTRADA"/>
        <s v="INFORMATICA Y SISTEMAS"/>
        <s v="TECNICA"/>
        <s v="INTENDENCIA - MESA DE AYUDA"/>
        <s v="INTENDENCIA -MESA DE AYUDA"/>
        <s v="COMPRAS Y CONTRATACIONES"/>
        <s v="DIRECCION"/>
        <s v="INTENDENCIA - FERIAL"/>
        <s v="ADMINISTRACION- RELACIONES INSTITUCIONALES"/>
        <s v="JEFATURA DE GABINETE"/>
        <s v="MANTENIMIENTO"/>
        <s v="INTENDENCIA - PARQUIZACION"/>
        <s v="DIRECCION GENERAL"/>
        <s v="COMUNICACIONES"/>
        <s v="ADMINISTRACION"/>
        <s v="OPERATIVA (ADMINISTRACION)"/>
        <s v="INTENDENCIA- LIMPIEZA/ PARQUIZACION"/>
        <s v="INTENDENCIA - PREDIO FERIAL"/>
        <s v="FOMENTO"/>
        <s v="PROYECTOS ESPECIALES"/>
        <s v="INTENDENCIA - MANTENIMIENTO"/>
        <s v="MESA DE AYUDA"/>
        <s v="INTENDENCIA- FERIAL"/>
        <s v="CIBERSALUD"/>
        <s v="COMUNICACIÓN - SIN ASIGNAR TAREA"/>
        <s v="ADMINISTRACION- CADETE"/>
        <s v="UNIDAD DE MINISTRO" u="1"/>
      </sharedItems>
    </cacheField>
    <cacheField name="SECTOR" numFmtId="2">
      <sharedItems containsBlank="1" count="27">
        <s v="CTRO INV PALPALA"/>
        <s v="PRENSA"/>
        <m/>
        <s v="OPERATIVA Y LOGISTICA"/>
        <s v="PRESIDENCIA"/>
        <s v="MESA DE AYUDA"/>
        <s v="CIARA"/>
        <s v="ESPACIOS FISICOS"/>
        <s v="TDA"/>
        <s v="TECNICA"/>
        <s v="VISITAS GUIADAS"/>
        <s v="S. GENERALES - AUTOMOTORES"/>
        <s v="MANTENIMIENTO"/>
        <s v="SERVICIOS GENERALES"/>
        <s v="MEDICINA DEL TRABAJO"/>
        <s v="AUDITORIA Y CONTROL"/>
        <s v="RECURSOS HUMANOS"/>
        <s v="DIRECCION"/>
        <s v="SEGURIDAD  "/>
        <s v="MONTAJE"/>
        <s v="SEGURIDAD E HIGIENE"/>
        <s v="COOPERATIVAS"/>
        <s v="CONTROL Y PLANIFICACION"/>
        <s v="SUPERMAX"/>
        <s v="EQUIPO CONTROL Y PLANIFICACION"/>
        <s v="VIATICOS"/>
        <s v="INTEGRACION DIGITAL"/>
      </sharedItems>
    </cacheField>
    <cacheField name="SUB SECTOR" numFmtId="2">
      <sharedItems containsBlank="1"/>
    </cacheField>
    <cacheField name="PUESTO" numFmtId="2">
      <sharedItems containsBlank="1"/>
    </cacheField>
    <cacheField name="FUNCION" numFmtId="2">
      <sharedItems containsBlank="1"/>
    </cacheField>
    <cacheField name="UBICACIÓN FÍSICA" numFmtId="2">
      <sharedItems containsBlank="1"/>
    </cacheField>
    <cacheField name="Entrega Banelcos" numFmtId="2">
      <sharedItems containsBlank="1"/>
    </cacheField>
    <cacheField name="APELLIDO Y NOMBRE/S" numFmtId="0">
      <sharedItems containsBlank="1"/>
    </cacheField>
    <cacheField name="DNI" numFmtId="2">
      <sharedItems containsBlank="1"/>
    </cacheField>
    <cacheField name="NRO" numFmtId="3">
      <sharedItems containsString="0" containsBlank="1" containsNumber="1" containsInteger="1" minValue="1826888" maxValue="95147687"/>
    </cacheField>
    <cacheField name="CUIT" numFmtId="0">
      <sharedItems containsBlank="1" containsMixedTypes="1" containsNumber="1" containsInteger="1" minValue="33623466" maxValue="27947799814"/>
    </cacheField>
    <cacheField name="F Nacimiento" numFmtId="0">
      <sharedItems containsDate="1" containsBlank="1" containsMixedTypes="1" minDate="1938-08-03T00:00:00" maxDate="1998-05-16T00:00:00"/>
    </cacheField>
    <cacheField name="Estudios" numFmtId="0">
      <sharedItems containsNonDate="0" containsString="0" containsBlank="1"/>
    </cacheField>
    <cacheField name="Dirección" numFmtId="0">
      <sharedItems containsNonDate="0" containsString="0" containsBlank="1"/>
    </cacheField>
    <cacheField name="Teléfono" numFmtId="0">
      <sharedItems containsNonDate="0" containsString="0" containsBlank="1"/>
    </cacheField>
    <cacheField name="Celular" numFmtId="0">
      <sharedItems containsNonDate="0" containsString="0" containsBlank="1"/>
    </cacheField>
    <cacheField name="LM O AT" numFmtId="0">
      <sharedItems containsBlank="1"/>
    </cacheField>
    <cacheField name="TIPO" numFmtId="0">
      <sharedItems containsBlank="1"/>
    </cacheField>
    <cacheField name="INGRESO" numFmtId="14">
      <sharedItems containsNonDate="0" containsDate="1" containsString="0" containsBlank="1" minDate="2005-01-01T00:00:00" maxDate="2016-08-03T00:00:00"/>
    </cacheField>
    <cacheField name="VTO CONTRATO" numFmtId="14">
      <sharedItems containsNonDate="0" containsDate="1" containsString="0" containsBlank="1" minDate="2016-03-31T00:00:00" maxDate="2017-01-01T00:00:00"/>
    </cacheField>
    <cacheField name="Fin Contrato" numFmtId="14">
      <sharedItems containsNonDate="0" containsDate="1" containsString="0" containsBlank="1" minDate="2016-08-31T00:00:00" maxDate="2017-01-01T00:00:00"/>
    </cacheField>
    <cacheField name="CATEG LM" numFmtId="2">
      <sharedItems containsBlank="1"/>
    </cacheField>
    <cacheField name="UNIVERSIDAD" numFmtId="0">
      <sharedItems containsBlank="1"/>
    </cacheField>
    <cacheField name="CONVENIO AT" numFmtId="0">
      <sharedItems containsBlank="1"/>
    </cacheField>
    <cacheField name=" Mayo 2016" numFmtId="0">
      <sharedItems containsBlank="1" containsMixedTypes="1" containsNumber="1" containsInteger="1" minValue="1000" maxValue="1000"/>
    </cacheField>
    <cacheField name="Junio + 7%" numFmtId="165">
      <sharedItems containsBlank="1" containsMixedTypes="1" containsNumber="1" containsInteger="1" minValue="1000" maxValue="1070"/>
    </cacheField>
    <cacheField name="Julio + 10%" numFmtId="165">
      <sharedItems containsBlank="1" containsMixedTypes="1" containsNumber="1" containsInteger="1" minValue="0" maxValue="1170"/>
    </cacheField>
    <cacheField name="Agosto + 14%" numFmtId="165">
      <sharedItems containsBlank="1" containsMixedTypes="1" containsNumber="1" containsInteger="1" minValue="0" maxValue="1310"/>
    </cacheField>
    <cacheField name="Sept" numFmtId="165">
      <sharedItems containsBlank="1" containsMixedTypes="1" containsNumber="1" containsInteger="1" minValue="0" maxValue="13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8">
  <r>
    <s v="SFMyCP"/>
    <x v="0"/>
    <m/>
    <s v="DIR NAC GENERACION DE CONTENIDOS"/>
    <s v="INV. AP. RECURSOS DIGITALES"/>
    <s v="CTRO INV PALPALA"/>
    <m/>
    <s v="ANIMACION"/>
    <s v="ANALISTA"/>
    <s v="PALPALÁ-JUJUY"/>
    <s v="PALPALÁ-JUJUY"/>
    <s v="ABARZA VICTOR"/>
    <s v="DNI"/>
    <n v="20549287"/>
    <n v="23205492879"/>
    <d v="1968-11-30T00:00:00"/>
    <s v="ASISTENCIA TÉCNICA"/>
    <s v="AT"/>
    <d v="2015-09-01T00:00:00"/>
    <m/>
    <d v="2016-12-31T00:00:00"/>
    <m/>
    <s v="UNTREF"/>
    <s v="UNSAM"/>
    <n v="10000"/>
  </r>
  <r>
    <s v="SFMyCP"/>
    <x v="0"/>
    <s v="SUBSEC CENTROS TEMATICOS Y EXP FEDERALES"/>
    <s v="DIR NAC EXPRESIONES FEDERALES"/>
    <s v="COMUNICACIÓN"/>
    <s v="PRENSA"/>
    <m/>
    <m/>
    <s v="ADMINISTRATIVO"/>
    <s v="CCK"/>
    <s v="CCK - Alem 351"/>
    <s v="ABREU NICOLAS"/>
    <s v="DNI"/>
    <n v="25250840"/>
    <s v="20252508407"/>
    <d v="1976-06-24T00:00:00"/>
    <s v="ASISTENCIA TÉCNICA"/>
    <s v="AT"/>
    <d v="2015-04-01T00:00:00"/>
    <m/>
    <d v="2016-12-31T00:00:00"/>
    <m/>
    <s v="UNTREF"/>
    <s v="UNSAM-MINPLAN"/>
    <n v="17102"/>
  </r>
  <r>
    <s v="SFMyCP"/>
    <x v="1"/>
    <m/>
    <s v="UNIDAD DE MINISTRO"/>
    <m/>
    <m/>
    <m/>
    <s v="PRIVADA"/>
    <s v="ASESOR"/>
    <m/>
    <s v="CCK - Alem 351"/>
    <s v="ACEBO, SILVIA"/>
    <s v="DNI"/>
    <n v="5940898"/>
    <n v="23059408984"/>
    <d v="1948-07-12T00:00:00"/>
    <s v="ASISTENCIA TÉCNICA"/>
    <s v="AT"/>
    <d v="2016-01-01T00:00:00"/>
    <m/>
    <d v="2016-12-31T00:00:00"/>
    <m/>
    <s v="UNTREF"/>
    <s v="UNSAM"/>
    <n v="27370"/>
  </r>
  <r>
    <s v="SFMyCP"/>
    <x v="0"/>
    <s v="SUBSEC CENTROS TEMATICOS Y EXP FEDERALES"/>
    <s v="DIRECCION NACIONAL DE CENTROS TEMATICOS"/>
    <s v="INTENDENCIA - LIMPIEZA"/>
    <m/>
    <m/>
    <m/>
    <m/>
    <s v="TECNÓPOLIS"/>
    <m/>
    <s v="ACHAGNA Alberto Emanuel"/>
    <s v="DNI"/>
    <n v="36690414"/>
    <n v="20366904140"/>
    <m/>
    <s v="LEY MARCO"/>
    <s v="LM"/>
    <d v="2012-07-01T00:00:00"/>
    <d v="2016-12-31T00:00:00"/>
    <d v="2016-12-31T00:00:00"/>
    <s v="D0"/>
    <m/>
    <m/>
    <n v="16289.4"/>
  </r>
  <r>
    <s v="SFMyCP"/>
    <x v="0"/>
    <s v="SUBSEC CENTROS TEMATICOS Y EXP FEDERALES"/>
    <s v="DIRECCION NACIONAL DE CENTROS TEMATICOS"/>
    <s v="GASTRONOMIA"/>
    <m/>
    <m/>
    <s v="COCINA"/>
    <s v="PRODUCCION GRAL DE RECETAS, MANIPULACIÓN DE INGREDIENTES, DESPCACHO DE ALIMENTOS"/>
    <s v="TECNÓPOLIS"/>
    <s v="TECNOPOLIS"/>
    <s v="ACOSTA  NATALIA LORENA"/>
    <s v="DNI"/>
    <n v="27781495"/>
    <s v="27277814957"/>
    <d v="1980-04-05T00:00:00"/>
    <s v="ASISTENCIA TÉCNICA"/>
    <s v="AT"/>
    <d v="2014-07-01T00:00:00"/>
    <m/>
    <d v="2016-12-31T00:00:00"/>
    <m/>
    <s v="UNTREF"/>
    <s v="UNTREF"/>
    <n v="12516"/>
  </r>
  <r>
    <s v="SFMyCP"/>
    <x v="0"/>
    <s v="SUBSEC CENTROS TEMATICOS Y EXP FEDERALES"/>
    <s v="DIR NAC EXPRESIONES FEDERALES"/>
    <s v="DIRECCION DE GESTION EDILICIA"/>
    <s v="OPERATIVA Y LOGISTICA"/>
    <s v="LIMPIEZA (En comisión Tecnópolis)"/>
    <s v="Auxiliar"/>
    <s v="OPERATIVA Y LOGISTICA"/>
    <s v="CCK"/>
    <s v="CCK - Alem 351"/>
    <s v="ACOSTA HUGO"/>
    <s v="DNI"/>
    <n v="26749806"/>
    <s v="20267498068"/>
    <d v="1978-09-04T00:00:00"/>
    <s v="ASISTENCIA TÉCNICA"/>
    <s v="AT"/>
    <d v="2015-06-10T00:00:00"/>
    <m/>
    <d v="2016-12-31T00:00:00"/>
    <m/>
    <s v="UNTREF"/>
    <s v="UNTREF"/>
    <n v="10500"/>
  </r>
  <r>
    <s v="SFMyCP"/>
    <x v="0"/>
    <s v="SUBSEC CENTROS TEMATICOS Y EXP FEDERALES"/>
    <s v="DIRECCION NACIONAL DE CENTROS TEMATICOS"/>
    <s v="INTENDENCIA - LIMPIEZA"/>
    <m/>
    <m/>
    <m/>
    <m/>
    <s v="TECNÓPOLIS"/>
    <m/>
    <s v="ACOSTA Noelia Noemí"/>
    <s v="DNI"/>
    <n v="33556332"/>
    <n v="27335563323"/>
    <m/>
    <s v="LEY MARCO"/>
    <s v="LM"/>
    <d v="2012-01-01T00:00:00"/>
    <d v="2016-12-31T00:00:00"/>
    <d v="2016-12-31T00:00:00"/>
    <s v="D0"/>
    <m/>
    <m/>
    <n v="12484.6"/>
  </r>
  <r>
    <s v="SFMyCP"/>
    <x v="0"/>
    <m/>
    <s v="UNIDAD SECRETARÍA"/>
    <m/>
    <m/>
    <m/>
    <s v="PRIVADA"/>
    <s v="CHOFER"/>
    <m/>
    <s v="CCK - Alem 351"/>
    <s v="AGÜERO, LISANDRO"/>
    <s v="DNI"/>
    <n v="21862533"/>
    <n v="20218625334"/>
    <d v="1971-03-01T00:00:00"/>
    <s v="ASISTENCIA TÉCNICA"/>
    <s v="AT"/>
    <d v="2016-01-01T00:00:00"/>
    <m/>
    <d v="2016-12-31T00:00:00"/>
    <m/>
    <s v="UNTREF"/>
    <s v="UNSAM"/>
    <n v="12000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AGUIAR  NÉSTOR"/>
    <s v="DNI"/>
    <n v="25553697"/>
    <s v="20255536975"/>
    <d v="1976-09-22T00:00:00"/>
    <s v="ASISTENCIA TÉCNICA"/>
    <s v="AT"/>
    <d v="2011-07-01T00:00:00"/>
    <m/>
    <d v="2016-12-31T00:00:00"/>
    <m/>
    <s v="UNTREF"/>
    <s v="UNTREF"/>
    <n v="11449.4"/>
  </r>
  <r>
    <s v="SFMyCP"/>
    <x v="1"/>
    <m/>
    <s v="DIR GRAL TECNICA ADMINISTRATIVA Y LEGAL"/>
    <s v="PRESUPUESTO"/>
    <m/>
    <m/>
    <s v="GESTIÓN ADMINISTRATIVA"/>
    <m/>
    <s v="CCK"/>
    <m/>
    <s v="AGUILAR NADIA CANDELA"/>
    <s v="DNI"/>
    <n v="33422027"/>
    <n v="27334220279"/>
    <m/>
    <s v="LEY MARCO"/>
    <s v="LM"/>
    <d v="2013-12-01T00:00:00"/>
    <d v="2016-03-31T00:00:00"/>
    <d v="2016-12-31T00:00:00"/>
    <s v="C1"/>
    <m/>
    <m/>
    <n v="12547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AGUSTINHO GUSTAVO"/>
    <s v="DNI"/>
    <n v="29300719"/>
    <s v="20293007196"/>
    <d v="1982-02-03T00:00:00"/>
    <s v="ASISTENCIA TÉCNICA"/>
    <s v="AT"/>
    <d v="2011-08-01T00:00:00"/>
    <m/>
    <d v="2016-12-31T00:00:00"/>
    <m/>
    <s v="UNTREF"/>
    <m/>
    <n v="23288"/>
  </r>
  <r>
    <s v="SFMyCP"/>
    <x v="0"/>
    <s v="SUBSEC CENTROS TEMATICOS Y EXP FEDERALES"/>
    <s v="DIRECCION NACIONAL DE CENTROS TEMATICOS"/>
    <s v="ADMINISTRACION- RRHH"/>
    <m/>
    <m/>
    <s v="ADMINISTRATIVO"/>
    <s v="ADMINISTRATIVO"/>
    <s v="TECNÓPOLIS"/>
    <m/>
    <s v="AHUMADA CABRERA Claudia Ximena"/>
    <s v="DNI"/>
    <n v="18899387"/>
    <n v="27188993872"/>
    <m/>
    <s v="LEY MARCO"/>
    <s v="LM"/>
    <d v="2012-11-01T00:00:00"/>
    <d v="2016-12-31T00:00:00"/>
    <d v="2016-12-31T00:00:00"/>
    <s v="C0"/>
    <m/>
    <m/>
    <n v="20253.28"/>
  </r>
  <r>
    <s v="SFMyCP"/>
    <x v="0"/>
    <s v="SUBSEC CENTROS TEMATICOS Y EXP FEDERALES"/>
    <s v="DIRECCION NACIONAL DE CENTROS TEMATICOS"/>
    <s v="ADMINISTRACION- RRHH"/>
    <m/>
    <m/>
    <s v="ADMINISTRATIVO"/>
    <s v="ADMINISTRATIVO"/>
    <s v="TECNÓPOLIS"/>
    <m/>
    <s v="AHUMADA CABRERA Erika Sofia"/>
    <s v="DNI"/>
    <n v="18899386"/>
    <n v="27188993864"/>
    <m/>
    <s v="LEY MARCO"/>
    <s v="LM"/>
    <d v="2012-02-01T00:00:00"/>
    <d v="2016-12-31T00:00:00"/>
    <d v="2016-12-31T00:00:00"/>
    <s v="C0"/>
    <m/>
    <m/>
    <n v="29781"/>
  </r>
  <r>
    <s v="SFMyCP"/>
    <x v="0"/>
    <s v="SUBSEC CENTROS TEMATICOS Y EXP FEDERALES"/>
    <s v="DIRECCION NACIONAL DE CENTROS TEMATICOS"/>
    <s v="GASTRONOMIA"/>
    <m/>
    <m/>
    <s v="COCINA"/>
    <s v="PRODUCCION GRAL DE RECETAS, MANIPULACIÓN DE INGREDIENTES, DESPCACHO DE ALIMENTOS"/>
    <s v="TECNÓPOLIS"/>
    <s v="TECNOPOLIS"/>
    <s v="AHUMADA HECTOR DANIEL"/>
    <s v="DNI"/>
    <n v="35136175"/>
    <s v="24351361758"/>
    <d v="1990-02-06T00:00:00"/>
    <s v="ASISTENCIA TÉCNICA"/>
    <s v="AT"/>
    <d v="2014-02-01T00:00:00"/>
    <m/>
    <d v="2016-12-31T00:00:00"/>
    <m/>
    <s v="UNTREF"/>
    <s v="UNTREF"/>
    <n v="10408.549999999999"/>
  </r>
  <r>
    <s v="SFMyCP"/>
    <x v="0"/>
    <s v="SUBSEC CENTROS TEMATICOS Y EXP FEDERALES"/>
    <s v="DIR NAC EXPRESIONES FEDERALES"/>
    <s v="DIRECCION DE GESTION EDILICIA"/>
    <s v="MESA DE AYUDA"/>
    <s v="MESA DE AYUDA"/>
    <s v="Asistente"/>
    <s v="ADMINISTRATIVO"/>
    <s v="CCK"/>
    <s v="CCK - Alem 351"/>
    <s v="ALBERTI CYNTHIA"/>
    <s v="DNI"/>
    <n v="42663422"/>
    <s v="27426634223"/>
    <d v="1996-06-07T00:00:00"/>
    <s v="ASISTENCIA TÉCNICA"/>
    <s v="AT"/>
    <d v="2015-06-01T00:00:00"/>
    <m/>
    <d v="2016-12-31T00:00:00"/>
    <m/>
    <s v="UNTREF"/>
    <s v="UNLAM- BICENTENARIO"/>
    <n v="10096"/>
  </r>
  <r>
    <s v="SFMyCP"/>
    <x v="0"/>
    <s v="SUBSEC CENTROS TEMATICOS Y EXP FEDERALES"/>
    <s v="DIR NAC EXPRESIONES FEDERALES"/>
    <s v="PRODUCCIÓN"/>
    <m/>
    <m/>
    <m/>
    <s v="ADMINISTRATIVA"/>
    <m/>
    <s v="CCK - Alem 351"/>
    <s v="ALBORNOZ MARIA CLARA"/>
    <s v="DNI"/>
    <n v="22476139"/>
    <n v="27254761392"/>
    <d v="1976-07-29T00:00:00"/>
    <s v="ASISTENCIA TÉCNICA"/>
    <s v="AT"/>
    <d v="2016-04-01T00:00:00"/>
    <m/>
    <d v="2016-12-31T00:00:00"/>
    <m/>
    <s v="UNTREF"/>
    <m/>
    <s v=".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ALDAVE GABRIELA"/>
    <s v="DNI"/>
    <n v="26403953"/>
    <s v="27264039539"/>
    <d v="1978-01-31T00:00:00"/>
    <s v="ASISTENCIA TÉCNICA"/>
    <s v="AT"/>
    <d v="2011-09-21T00:00:00"/>
    <m/>
    <d v="2016-12-31T00:00:00"/>
    <m/>
    <s v="UNTREF"/>
    <s v="UNSAM- LADA"/>
    <n v="20959"/>
  </r>
  <r>
    <s v="SFMyCP"/>
    <x v="0"/>
    <m/>
    <s v="DIR NAC GENERACION DE CONTENIDOS"/>
    <s v="TELEVISION DIGITAL ABIERTA"/>
    <s v="CIARA"/>
    <m/>
    <s v="SERVICIOS GENERALES"/>
    <m/>
    <s v="CABILDO 65"/>
    <m/>
    <s v="ALEMAN JUAN MANUEL"/>
    <s v="DNI"/>
    <n v="34303292"/>
    <n v="20343032928"/>
    <m/>
    <s v="LEY MARCO"/>
    <s v="LM"/>
    <d v="2015-03-01T00:00:00"/>
    <d v="2016-03-31T00:00:00"/>
    <d v="2016-12-31T00:00:00"/>
    <s v="D0"/>
    <m/>
    <m/>
    <n v="10553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ALFARO AGUSTÍN "/>
    <s v="DNI"/>
    <n v="23865395"/>
    <s v="23238653959"/>
    <d v="1974-03-28T00:00:00"/>
    <s v="ASISTENCIA TÉCNICA"/>
    <s v="AT"/>
    <d v="2010-11-01T00:00:00"/>
    <m/>
    <d v="2016-12-31T00:00:00"/>
    <m/>
    <s v="UNTREF"/>
    <s v="UNSAM- LADA"/>
    <n v="16465"/>
  </r>
  <r>
    <s v="SFMyCP"/>
    <x v="0"/>
    <m/>
    <s v="UNIDAD SECRETARÍA"/>
    <s v="PROYECTOS ESPECIALES"/>
    <s v="SUPERMAX"/>
    <m/>
    <s v="PRIVADA"/>
    <s v="ADMINISTRATIVO"/>
    <m/>
    <s v="NO ENTREGAR"/>
    <s v="ALFIE  MARIA SOL"/>
    <s v="DNI"/>
    <n v="29064368"/>
    <n v="27290643681"/>
    <d v="1981-09-12T00:00:00"/>
    <s v="ASISTENCIA TÉCNICA"/>
    <s v="AT"/>
    <d v="2016-07-01T00:00:00"/>
    <m/>
    <d v="2016-07-31T00:00:00"/>
    <m/>
    <s v="UNTREF"/>
    <m/>
    <m/>
  </r>
  <r>
    <s v="SFMyCP"/>
    <x v="0"/>
    <s v="SUBSEC CENTROS TEMATICOS Y EXP FEDERALES"/>
    <s v="DIRECCION NACIONAL DE CENTROS TEMATICOS"/>
    <s v="INTENDENCIA - LIMPIEZA"/>
    <m/>
    <m/>
    <m/>
    <s v="LIMPIEZA DE OFICINAS/BAÑOS Y CAFETARIA DEL IBC"/>
    <s v="TECNÓPOLIS"/>
    <s v="TECNOPOLIS"/>
    <s v="ALMIRON MIRTA NOEMI"/>
    <s v="DNI"/>
    <n v="25151141"/>
    <s v="27251511417"/>
    <d v="1976-04-16T00:00:00"/>
    <s v="ASISTENCIA TÉCNICA"/>
    <s v="AT"/>
    <d v="2012-02-01T00:00:00"/>
    <m/>
    <d v="2016-12-31T00:00:00"/>
    <m/>
    <s v="UNTREF"/>
    <s v="UNTREF"/>
    <n v="9995.51"/>
  </r>
  <r>
    <s v="SFMyCP"/>
    <x v="0"/>
    <m/>
    <s v="ARTES VISUALES"/>
    <s v="ARTES VISUALES"/>
    <m/>
    <m/>
    <m/>
    <m/>
    <m/>
    <m/>
    <s v="ALONSO RODRIGO"/>
    <s v="DNI"/>
    <n v="16668849"/>
    <n v="20166688496"/>
    <m/>
    <m/>
    <s v="AT"/>
    <d v="2016-07-01T00:00:00"/>
    <m/>
    <d v="2016-09-30T00:00:00"/>
    <m/>
    <s v="UNTREF"/>
    <m/>
    <m/>
  </r>
  <r>
    <s v="SFMyCP"/>
    <x v="0"/>
    <s v="SUBSEC CENTROS TEMATICOS Y EXP FEDERALES"/>
    <s v="DIRECCION NACIONAL DE CENTROS TEMATICOS"/>
    <s v="ADMINISTRACION -LEGALES"/>
    <m/>
    <m/>
    <s v="ADMINISTRATIVO"/>
    <s v="ADMINISTRATIVO"/>
    <s v="TECNÓPOLIS"/>
    <m/>
    <s v="ALSINA Agustin Santiago"/>
    <s v="DNI"/>
    <n v="32890888"/>
    <n v="20328908884"/>
    <m/>
    <s v="LEY MARCO"/>
    <s v="LM"/>
    <d v="2015-01-01T00:00:00"/>
    <d v="2016-03-31T00:00:00"/>
    <d v="2016-12-31T00:00:00"/>
    <s v="C0"/>
    <m/>
    <m/>
    <n v="13835"/>
  </r>
  <r>
    <s v="SFMyCP"/>
    <x v="0"/>
    <s v="SUBSEC CENTROS TEMATICOS Y EXP FEDERALES"/>
    <s v="DIR NAC EXPRESIONES FEDERALES"/>
    <s v="AUDIOVISUALES"/>
    <m/>
    <m/>
    <m/>
    <s v="ADMINISTRATIVO"/>
    <m/>
    <s v="CCK - Alem 351"/>
    <s v="ALVAREZ  MARIA PAZ"/>
    <s v="DNI"/>
    <n v="33205074"/>
    <s v="27332050740"/>
    <d v="1987-08-03T00:00:00"/>
    <s v="ASISTENCIA TÉCNICA"/>
    <s v="AT"/>
    <d v="2014-12-01T00:00:00"/>
    <m/>
    <d v="2016-12-31T00:00:00"/>
    <m/>
    <s v="UNTREF"/>
    <s v="UNTREF"/>
    <n v="16731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ALVAREZ AGUSTIN"/>
    <s v="DNI"/>
    <n v="34295103"/>
    <s v="20342951032"/>
    <d v="1989-04-11T00:00:00"/>
    <s v="ASISTENCIA TÉCNICA"/>
    <s v="AT"/>
    <d v="2014-06-01T00:00:00"/>
    <m/>
    <d v="2016-12-31T00:00:00"/>
    <m/>
    <s v="UNTREF"/>
    <m/>
    <n v="15234"/>
  </r>
  <r>
    <s v="SFMyCP"/>
    <x v="0"/>
    <s v="SUBSEC CENTROS TEMATICOS Y EXP FEDERALES"/>
    <s v="DIRECCION NACIONAL DE CENTROS TEMATICOS"/>
    <s v="INTENDENCIA - TALLERES"/>
    <m/>
    <m/>
    <m/>
    <s v="HERRERO"/>
    <m/>
    <s v="TECNOPOLIS"/>
    <s v="ALVAREZ LUIS ALBERTO"/>
    <s v="DNI"/>
    <n v="35340444"/>
    <n v="20353404440"/>
    <d v="1990-05-22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DIR NAC EXPRESIONES FEDERALES"/>
    <s v="PRODUCCIÓN"/>
    <m/>
    <m/>
    <s v="Analista"/>
    <m/>
    <s v="CCK"/>
    <m/>
    <s v="ALVAREZ VICENTE IGNACIO"/>
    <s v="DNI"/>
    <n v="21644367"/>
    <n v="20216443676"/>
    <m/>
    <s v="LEY MARCO"/>
    <s v="LM"/>
    <d v="2010-01-01T00:00:00"/>
    <d v="2016-12-31T00:00:00"/>
    <d v="2016-12-31T00:00:00"/>
    <s v="C1"/>
    <m/>
    <m/>
    <n v="12274"/>
  </r>
  <r>
    <s v="SFMyCP"/>
    <x v="0"/>
    <m/>
    <s v="DIR NAC GENERACION DE CONTENIDOS"/>
    <s v="TELEVISION DIGITAL ABIERTA"/>
    <s v="CIARA"/>
    <s v="CCK"/>
    <s v="PROGRAMA POLOS AUDIOVISUALES TECNOLÓGICOS"/>
    <m/>
    <s v="CABILDO 65"/>
    <m/>
    <s v="ALVAREZ VICENTE MARIA"/>
    <s v="DNI"/>
    <n v="17287085"/>
    <n v="27172870851"/>
    <m/>
    <s v="LEY MARCO"/>
    <s v="LM"/>
    <d v="2012-12-01T00:00:00"/>
    <d v="2016-12-31T00:00:00"/>
    <d v="2016-12-31T00:00:00"/>
    <s v="B1"/>
    <m/>
    <m/>
    <n v="20266"/>
  </r>
  <r>
    <s v="SFMyCP"/>
    <x v="0"/>
    <s v="SUBSEC CENTROS TEMATICOS Y EXP FEDERALES"/>
    <s v="DIR NAC EXPRESIONES FEDERALES"/>
    <s v="AUDIOVISUALES"/>
    <m/>
    <m/>
    <m/>
    <m/>
    <s v="CCK"/>
    <s v="CCK - Alem 351"/>
    <s v="AMANTE Alberto Daniel"/>
    <s v="DNI"/>
    <n v="16101254"/>
    <n v="20161012549"/>
    <m/>
    <s v="LEY MARCO"/>
    <s v="LM"/>
    <d v="2012-10-31T00:00:00"/>
    <d v="2016-12-31T00:00:00"/>
    <d v="2016-12-31T00:00:00"/>
    <s v="C0"/>
    <m/>
    <m/>
    <n v="17751"/>
  </r>
  <r>
    <s v="SFMyCP"/>
    <x v="0"/>
    <s v="SUBSEC CENTROS TEMATICOS Y EXP FEDERALES"/>
    <s v="DIR NAC EXPRESIONES FEDERALES"/>
    <s v="AUDIOVISUALES"/>
    <m/>
    <m/>
    <m/>
    <s v="ADMINISTRATIVO"/>
    <s v="CCK"/>
    <s v="CCK - Alem 351"/>
    <s v="AMAYA MARCELA"/>
    <s v="DNI"/>
    <n v="28509503"/>
    <s v="23285095034"/>
    <d v="1980-12-07T00:00:00"/>
    <s v="ASISTENCIA TÉCNICA"/>
    <s v="AT"/>
    <d v="2015-09-01T00:00:00"/>
    <m/>
    <d v="2016-12-31T00:00:00"/>
    <m/>
    <s v="UNTREF"/>
    <s v="UNSAM"/>
    <n v="20413"/>
  </r>
  <r>
    <s v="SFMyCP"/>
    <x v="0"/>
    <s v="SUBSEC CENTROS TEMATICOS Y EXP FEDERALES"/>
    <s v="DIRECCION NACIONAL DE CENTROS TEMATICOS"/>
    <s v="ADMINISTRACION- RRHH"/>
    <m/>
    <m/>
    <s v="ADMINISTRATIVO"/>
    <s v="ADMINISTRATIVO"/>
    <s v="TECNÓPOLIS"/>
    <m/>
    <s v="AMODEO Laura"/>
    <s v="DNI"/>
    <n v="22913909"/>
    <n v="27229139091"/>
    <m/>
    <s v="LEY MARCO"/>
    <s v="LM"/>
    <d v="2010-01-01T00:00:00"/>
    <d v="2016-12-31T00:00:00"/>
    <d v="2016-12-31T00:00:00"/>
    <s v="C1"/>
    <m/>
    <m/>
    <n v="23417"/>
  </r>
  <r>
    <s v="SFMyCP"/>
    <x v="0"/>
    <s v="SUBSEC CENTROS TEMATICOS Y EXP FEDERALES"/>
    <s v="DIR NAC EXPRESIONES FEDERALES"/>
    <s v="DIRECCION DE GESTION EDILICIA"/>
    <s v="ESPACIOS FISICOS"/>
    <s v="ESPACIOS FÍSICOS"/>
    <s v=""/>
    <s v="ADMINISTRATIVO"/>
    <s v="CCK"/>
    <s v="CCK - Alem 351"/>
    <s v="ANDINO FLORENCIA"/>
    <s v="DNI"/>
    <n v="35364582"/>
    <s v="27353645825"/>
    <d v="1990-10-26T00:00:00"/>
    <s v="ASISTENCIA TÉCNICA"/>
    <s v="AT"/>
    <d v="2015-07-01T00:00:00"/>
    <m/>
    <d v="2016-12-31T00:00:00"/>
    <m/>
    <s v="UNTREF"/>
    <s v="UNSAM"/>
    <n v="8617"/>
  </r>
  <r>
    <s v="SFMyCP"/>
    <x v="0"/>
    <s v="SUBSEC CENTROS TEMATICOS Y EXP FEDERALES"/>
    <s v="DIR NAC EXPRESIONES FEDERALES"/>
    <s v="PRODUCCIÓN"/>
    <m/>
    <m/>
    <s v="Analista"/>
    <s v="ADMINISTRATIVA"/>
    <s v="CCK"/>
    <s v="CCK - Alem 351"/>
    <s v="ANGELOZZI MELISA"/>
    <s v="DNI"/>
    <n v="32620168"/>
    <s v="27326201680"/>
    <d v="1986-11-01T00:00:00"/>
    <s v="ASISTENCIA TÉCNICA"/>
    <s v="AT"/>
    <d v="2015-02-12T00:00:00"/>
    <m/>
    <d v="2016-12-31T00:00:00"/>
    <m/>
    <s v="UNTREF"/>
    <s v="UNSAM-MINPLAN"/>
    <n v="16000"/>
  </r>
  <r>
    <s v="SFMyCP"/>
    <x v="0"/>
    <s v="SUBSEC CENTROS TEMATICOS Y EXP FEDERALES"/>
    <s v="DIR NAC EXPRESIONES FEDERALES"/>
    <s v="INSTITUCIONALES"/>
    <m/>
    <m/>
    <s v="asistente funcional"/>
    <s v="asistente funcional"/>
    <s v="CCK"/>
    <s v="CCK - Alem 351"/>
    <s v="ANTÍA BERNARDO"/>
    <s v="DNI"/>
    <n v="38297183"/>
    <s v="20382971834"/>
    <d v="1994-04-18T00:00:00"/>
    <s v="ASISTENCIA TÉCNICA"/>
    <s v="AT"/>
    <d v="2015-04-20T00:00:00"/>
    <m/>
    <d v="2016-12-31T00:00:00"/>
    <m/>
    <s v="UNTREF"/>
    <s v="UNSAM"/>
    <n v="10188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APAZA CAROLINA CECILIA"/>
    <s v="DNI"/>
    <n v="25798152"/>
    <n v="27257981520"/>
    <d v="1977-03-26T00:00:00"/>
    <s v="ASISTENCIA TÉCNICA"/>
    <s v="AT"/>
    <d v="2015-09-01T00:00:00"/>
    <m/>
    <d v="2016-12-31T00:00:00"/>
    <m/>
    <s v="UNTREF"/>
    <s v="UNSAM"/>
    <n v="11500"/>
  </r>
  <r>
    <s v="SFMyCP"/>
    <x v="1"/>
    <m/>
    <s v="DIR GRAL TECNICA ADMINISTRATIVA Y LEGAL"/>
    <s v="PLANIF  Y ADM DE REC HUMANOS"/>
    <s v="TDA"/>
    <m/>
    <s v="Analista de RR.HH."/>
    <s v="ADMINISTRATIVO"/>
    <s v="CABILDO 65"/>
    <s v="CABILDO 65"/>
    <s v="APICELLA FABIANA"/>
    <s v="DNI"/>
    <n v="20350366"/>
    <s v="27203503666"/>
    <d v="1968-06-28T00:00:00"/>
    <s v="ASISTENCIA TÉCNICA"/>
    <s v="AT"/>
    <d v="2014-05-05T00:00:00"/>
    <m/>
    <d v="2016-12-31T00:00:00"/>
    <m/>
    <s v="UNTREF"/>
    <s v="UNSAM- LADA"/>
    <n v="10188"/>
  </r>
  <r>
    <s v="SFMyCP"/>
    <x v="1"/>
    <m/>
    <s v="DIR GRAL TECNICA ADMINISTRATIVA Y LEGAL"/>
    <s v="JURIDICOS"/>
    <m/>
    <m/>
    <s v=""/>
    <s v="Asistencia Juridica"/>
    <m/>
    <s v="CCK - Alem 351"/>
    <s v="ARAMBURU PEIRETTI VICTORIA"/>
    <s v="DNI"/>
    <n v="35356196"/>
    <s v="27353561966"/>
    <d v="1990-11-08T00:00:00"/>
    <s v="ASISTENCIA TÉCNICA"/>
    <s v="AT"/>
    <d v="2015-09-01T00:00:00"/>
    <m/>
    <d v="2016-12-31T00:00:00"/>
    <m/>
    <s v="UNTREF"/>
    <s v="UNLAM -TDA"/>
    <n v="12063"/>
  </r>
  <r>
    <s v="SFMyCP"/>
    <x v="1"/>
    <m/>
    <s v="DIR GRAL TECNICA ADMINISTRATIVA Y LEGAL"/>
    <s v="PLANIF  Y ADM DE REC HUMANOS"/>
    <s v="TDA"/>
    <m/>
    <s v="Analista Sr de RR.HH."/>
    <m/>
    <s v="CABILDO 65"/>
    <m/>
    <s v="ARANA CARLOS ALBERTO"/>
    <s v="DNI"/>
    <n v="27216534"/>
    <n v="20272165344"/>
    <m/>
    <s v="LEY MARCO"/>
    <s v="LM"/>
    <d v="2014-10-01T00:00:00"/>
    <d v="2016-03-31T00:00:00"/>
    <d v="2016-12-31T00:00:00"/>
    <s v="A1"/>
    <m/>
    <m/>
    <n v="27374"/>
  </r>
  <r>
    <s v="SFMyCP"/>
    <x v="0"/>
    <s v="SUBSEC CENTROS TEMATICOS Y EXP FEDERALES"/>
    <s v="DIRECCION NACIONAL DE CENTROS TEMATICOS"/>
    <s v="ADMINISTRACION- RECEPCION"/>
    <m/>
    <m/>
    <s v="RECEPCIONISTA"/>
    <s v="RECEPCION IBC"/>
    <s v="TECNÓPOLIS"/>
    <s v="TECNOPOLIS"/>
    <s v="ARANEGA JEREMÍAS ALBERTO"/>
    <s v="DNI"/>
    <n v="32125095"/>
    <s v="20321250956"/>
    <d v="1986-01-08T00:00:00"/>
    <s v="ASISTENCIA TÉCNICA"/>
    <s v="AT"/>
    <d v="2014-08-01T00:00:00"/>
    <m/>
    <d v="2016-12-31T00:00:00"/>
    <m/>
    <s v="UNTREF"/>
    <s v="UNTREF"/>
    <n v="10000"/>
  </r>
  <r>
    <s v="SFMyCP"/>
    <x v="0"/>
    <s v="SUBSEC CENTROS TEMATICOS Y EXP FEDERALES"/>
    <s v="DIRECCION NACIONAL DE CENTROS TEMATICOS"/>
    <s v="OPERATIVA"/>
    <m/>
    <m/>
    <m/>
    <m/>
    <s v="TECNÓPOLIS"/>
    <m/>
    <s v="ARAUJO Luciano Andres"/>
    <s v="DNI"/>
    <n v="32484527"/>
    <n v="20324845276"/>
    <m/>
    <s v="LEY MARCO"/>
    <s v="LM"/>
    <d v="2012-05-01T00:00:00"/>
    <d v="2016-12-31T00:00:00"/>
    <d v="2016-12-31T00:00:00"/>
    <s v="C0"/>
    <m/>
    <m/>
    <n v="13084.78"/>
  </r>
  <r>
    <s v="SFMyCP"/>
    <x v="1"/>
    <m/>
    <s v="DIR GRAL TECNICA ADMINISTRATIVA Y LEGAL"/>
    <s v="JURIDICOS"/>
    <m/>
    <m/>
    <s v=""/>
    <m/>
    <m/>
    <m/>
    <s v="ARBO SANTIAGO"/>
    <s v="DNI"/>
    <n v="26111281"/>
    <n v="20261112818"/>
    <m/>
    <s v="LEY MARCO"/>
    <s v="LM"/>
    <d v="2012-12-01T00:00:00"/>
    <d v="2016-12-31T00:00:00"/>
    <d v="2016-12-31T00:00:00"/>
    <s v="A1"/>
    <m/>
    <m/>
    <n v="29089"/>
  </r>
  <r>
    <s v="SFMyCP"/>
    <x v="0"/>
    <s v="SUBSEC CENTROS TEMATICOS Y EXP FEDERALES"/>
    <s v="DIR NAC EXPRESIONES FEDERALES"/>
    <s v="INSTITUCIONALES"/>
    <s v="TECNICA"/>
    <m/>
    <m/>
    <s v="asistente funcional"/>
    <m/>
    <s v="CCK - Alem 351"/>
    <s v="ARBOR JULIA"/>
    <s v="DNI"/>
    <n v="35365200"/>
    <n v="27353652007"/>
    <d v="1990-10-24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- PARQUIZACION"/>
    <m/>
    <m/>
    <m/>
    <s v="MANTENIMIENTO DE ESPACIOS VERDES"/>
    <s v="TECNÓPOLIS"/>
    <s v="TECNOPOLIS"/>
    <s v="ARCE  ALBERTO SEBASTIAN"/>
    <s v="DNI"/>
    <n v="36536305"/>
    <s v="20365363057"/>
    <d v="1991-08-06T00:00:00"/>
    <s v="ASISTENCIA TÉCNICA"/>
    <s v="AT"/>
    <d v="2014-04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GASTRONOMIA"/>
    <m/>
    <m/>
    <s v="COCINA"/>
    <s v="PRODUCCION GRAL DE RECETAS, MANIPULACIÓN DE INGREDIENTES, DESPCACHO DE ALIMENTOS"/>
    <s v="TECNÓPOLIS"/>
    <s v="TECNOPOLIS"/>
    <s v="ARCE  NOEMI PATRICIA"/>
    <s v="DNI"/>
    <n v="18641336"/>
    <s v="27186413364"/>
    <d v="1967-12-20T00:00:00"/>
    <s v="ASISTENCIA TÉCNICA"/>
    <s v="AT"/>
    <d v="2012-07-01T00:00:00"/>
    <m/>
    <d v="2016-12-31T00:00:00"/>
    <m/>
    <s v="UNTREF"/>
    <s v="UNTREF"/>
    <n v="9673.07"/>
  </r>
  <r>
    <s v="SFMyCP"/>
    <x v="0"/>
    <s v="SUBSEC CENTROS TEMATICOS Y EXP FEDERALES"/>
    <s v="DIR NAC EXPRESIONES FEDERALES"/>
    <s v="PRODUCCIÓN"/>
    <m/>
    <m/>
    <m/>
    <s v="ADMINISTRATIVA"/>
    <m/>
    <s v="CCK - Alem 351"/>
    <s v="ARCIDIACONO SEBASTIAN"/>
    <s v="DNI"/>
    <n v="22533153"/>
    <s v="20225331538"/>
    <d v="1971-11-26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PRODUCCIÓN"/>
    <m/>
    <m/>
    <s v="Responsable"/>
    <m/>
    <s v="CCK"/>
    <m/>
    <s v="ARELLANO KARINA"/>
    <s v="DNI"/>
    <n v="20602318"/>
    <n v="27206023185"/>
    <m/>
    <s v="LEY MARCO"/>
    <s v="LM"/>
    <d v="2011-06-01T00:00:00"/>
    <d v="2016-12-31T00:00:00"/>
    <d v="2016-12-31T00:00:00"/>
    <s v="A0"/>
    <m/>
    <m/>
    <n v="24523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ARGONDIZZO DANIEL"/>
    <s v="DNI"/>
    <n v="29599892"/>
    <s v="20295998920"/>
    <d v="1982-09-03T00:00:00"/>
    <s v="ASISTENCIA TÉCNICA"/>
    <s v="AT"/>
    <d v="2015-08-01T00:00:00"/>
    <m/>
    <d v="2016-12-31T00:00:00"/>
    <m/>
    <s v="UNTREF"/>
    <s v="UNSAM- LADA"/>
    <n v="19353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ARIAS CRISTIAN"/>
    <s v="DNI"/>
    <n v="32321098"/>
    <s v="20323210986"/>
    <d v="1986-05-10T00:00:00"/>
    <s v="ASISTENCIA TÉCNICA"/>
    <s v="AT"/>
    <d v="2012-08-01T00:00:00"/>
    <m/>
    <d v="2016-12-31T00:00:00"/>
    <m/>
    <s v="UNTREF"/>
    <m/>
    <n v="18795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ARICETA MARCELA"/>
    <s v="DNI"/>
    <n v="34801157"/>
    <s v="27348011575"/>
    <d v="1989-10-08T00:00:00"/>
    <s v="ASISTENCIA TÉCNICA"/>
    <s v="AT"/>
    <d v="2013-03-01T00:00:00"/>
    <m/>
    <d v="2016-12-31T00:00:00"/>
    <m/>
    <s v="UNTREF"/>
    <s v="UNSAM- LADA"/>
    <n v="19353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ARRIAGA CRISTIAN"/>
    <s v="DNI"/>
    <n v="23700637"/>
    <s v="20237006373"/>
    <d v="1974-08-25T00:00:00"/>
    <s v="ASISTENCIA TÉCNICA"/>
    <s v="AT"/>
    <d v="2012-03-01T00:00:00"/>
    <m/>
    <d v="2016-12-31T00:00:00"/>
    <m/>
    <s v="UNTREF"/>
    <m/>
    <n v="25252"/>
  </r>
  <r>
    <s v="SFMyCP"/>
    <x v="0"/>
    <m/>
    <s v="ARTES VISUALES"/>
    <s v="ARTES VISUALES"/>
    <m/>
    <m/>
    <m/>
    <s v="ADMINISTRATIVO"/>
    <m/>
    <s v="CCK - Alem 351"/>
    <s v="ARZUAGA ANDRES"/>
    <s v="DNI"/>
    <n v="31195953"/>
    <n v="20311959531"/>
    <d v="1984-11-01T00:00:00"/>
    <s v="ASISTENCIA TÉCNICA"/>
    <s v="AT"/>
    <m/>
    <m/>
    <d v="2016-08-31T00:00:00"/>
    <m/>
    <s v="UNTREF"/>
    <m/>
    <m/>
  </r>
  <r>
    <s v="SFMyCP"/>
    <x v="0"/>
    <s v="SUBSEC CENTROS TEMATICOS Y EXP FEDERALES"/>
    <s v="DIRECCION NACIONAL DE CENTROS TEMATICOS"/>
    <s v="INTENDENCIA- ACREDITACIONES"/>
    <m/>
    <m/>
    <m/>
    <m/>
    <s v="TECNÓPOLIS"/>
    <m/>
    <s v="ASTARITO María Florencia"/>
    <s v="DNI"/>
    <n v="34343723"/>
    <n v="23343437234"/>
    <m/>
    <s v="LEY MARCO"/>
    <s v="LM"/>
    <d v="2012-07-01T00:00:00"/>
    <d v="2016-12-31T00:00:00"/>
    <d v="2016-12-31T00:00:00"/>
    <s v="D0"/>
    <m/>
    <m/>
    <n v="11410.59"/>
  </r>
  <r>
    <s v="SFMyCP"/>
    <x v="0"/>
    <m/>
    <s v="DIR NAC GENERACION DE CONTENIDOS"/>
    <s v="INV. AP. RECURSOS DIGITALES"/>
    <s v="CTRO INV PALPALA"/>
    <m/>
    <s v="ANIMACION"/>
    <s v="ANALISTA"/>
    <s v="PALPALÁ-JUJUY"/>
    <s v="PALPALÁ-JUJUY"/>
    <s v="AUCAPIÑA MATIAS ROBERTO"/>
    <s v="DNI"/>
    <n v="37460002"/>
    <n v="20374600029"/>
    <d v="1993-02-01T00:00:00"/>
    <s v="ASISTENCIA TÉCNICA"/>
    <s v="AT"/>
    <d v="2015-09-01T00:00:00"/>
    <m/>
    <d v="2016-12-31T00:00:00"/>
    <m/>
    <s v="UNTREF"/>
    <s v="UNSAM"/>
    <n v="8000"/>
  </r>
  <r>
    <s v="SFMyCP"/>
    <x v="0"/>
    <s v="SUBSEC CENTROS TEMATICOS Y EXP FEDERALES"/>
    <s v="DIRECCION NACIONAL DE CENTROS TEMATICOS"/>
    <s v="ARQUITECTURA Y OBRA"/>
    <m/>
    <m/>
    <m/>
    <m/>
    <s v="TECNÓPOLIS"/>
    <m/>
    <s v="AUED María Cecilia"/>
    <s v="DNI"/>
    <n v="21729750"/>
    <n v="27217297503"/>
    <m/>
    <s v="LEY MARCO"/>
    <s v="LM"/>
    <d v="2012-11-30T00:00:00"/>
    <d v="2016-12-31T00:00:00"/>
    <d v="2016-12-31T00:00:00"/>
    <s v="C0"/>
    <m/>
    <m/>
    <n v="28237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AVALOS  JORGE RUBEN"/>
    <s v="DNI"/>
    <n v="13978790"/>
    <n v="20139787901"/>
    <d v="1957-06-25T00:00:00"/>
    <s v="ASISTENCIA TÉCNICA"/>
    <s v="CO"/>
    <m/>
    <m/>
    <d v="2016-12-31T00:00:00"/>
    <m/>
    <s v="UNTREF"/>
    <s v="UNTREF"/>
    <n v="1700"/>
  </r>
  <r>
    <s v="SFMyCP"/>
    <x v="1"/>
    <m/>
    <s v="DIR GRAL TECNICA ADMINISTRATIVA Y LEGAL"/>
    <m/>
    <m/>
    <m/>
    <m/>
    <m/>
    <m/>
    <m/>
    <s v="AVALOS MAIRA JAVMIN IARA"/>
    <s v="DNI"/>
    <n v="35146744"/>
    <n v="23351467444"/>
    <m/>
    <s v="LEY MARCO"/>
    <s v="LM"/>
    <d v="2014-10-01T00:00:00"/>
    <m/>
    <d v="2016-12-31T00:00:00"/>
    <s v="D0"/>
    <m/>
    <m/>
    <m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AVALOS MONICA"/>
    <s v="DNI"/>
    <n v="18858115"/>
    <n v="27188581159"/>
    <d v="1990-12-08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AVRUJ FERNANDO"/>
    <s v="DNI"/>
    <n v="27952359"/>
    <s v="20279523599"/>
    <d v="1980-02-22T00:00:00"/>
    <s v="ASISTENCIA TÉCNICA"/>
    <s v="AT"/>
    <d v="2011-09-01T00:00:00"/>
    <m/>
    <d v="2016-12-31T00:00:00"/>
    <m/>
    <s v="UNTREF"/>
    <m/>
    <n v="25252"/>
  </r>
  <r>
    <s v="SFMyCP"/>
    <x v="0"/>
    <s v="SUBSEC CENTROS TEMATICOS Y EXP FEDERALES"/>
    <s v="DIRECCION NACIONAL DE CENTROS TEMATICOS"/>
    <s v="OPERATIVA"/>
    <m/>
    <m/>
    <m/>
    <m/>
    <s v="TECNÓPOLIS"/>
    <m/>
    <s v="AZUAGA BAEZ Lucian Beder"/>
    <s v="DNI"/>
    <n v="35238261"/>
    <n v="20352382613"/>
    <m/>
    <s v="LEY MARCO"/>
    <s v="LM"/>
    <d v="2013-05-01T00:00:00"/>
    <d v="2016-03-31T00:00:00"/>
    <d v="2016-12-31T00:00:00"/>
    <s v="C0"/>
    <m/>
    <m/>
    <n v="17074"/>
  </r>
  <r>
    <s v="SFMyCP"/>
    <x v="0"/>
    <m/>
    <s v="DIR NAC GENERACION DE CONTENIDOS"/>
    <s v="TELEVISION DIGITAL ABIERTA"/>
    <s v="CIARA"/>
    <m/>
    <s v="PROMOCIONES"/>
    <s v="ADMINISTRATIVO"/>
    <s v="CABILDO 65"/>
    <s v="CABILDO 65"/>
    <s v="AZZAM ANA"/>
    <s v="DNI"/>
    <n v="26239126"/>
    <s v="23262391264"/>
    <d v="1977-09-24T00:00:00"/>
    <s v="ASISTENCIA TÉCNICA"/>
    <s v="AT"/>
    <d v="2013-11-11T00:00:00"/>
    <m/>
    <d v="2016-12-31T00:00:00"/>
    <m/>
    <s v="UNTREF"/>
    <s v="UNSAM- LADA"/>
    <n v="19041"/>
  </r>
  <r>
    <s v="SFMyCP"/>
    <x v="1"/>
    <m/>
    <s v="DIR GRAL TECNICA ADMINISTRATIVA Y LEGAL"/>
    <s v="PLANIF  Y ADM DE REC HUMANOS"/>
    <s v="S. GENERALES - AUTOMOTORES"/>
    <s v="AUTOMOTORES"/>
    <s v="CHOFER"/>
    <m/>
    <m/>
    <m/>
    <s v="AZZOLINI MARCELO"/>
    <s v="DNI"/>
    <n v="28511778"/>
    <n v="20285117780"/>
    <m/>
    <s v="LEY MARCO"/>
    <s v="LM"/>
    <d v="2014-12-01T00:00:00"/>
    <d v="2016-03-31T00:00:00"/>
    <d v="2016-12-31T00:00:00"/>
    <s v="D0"/>
    <m/>
    <m/>
    <n v="10190"/>
  </r>
  <r>
    <s v="SFMyCP"/>
    <x v="0"/>
    <s v="SUBSEC CENTROS TEMATICOS Y EXP FEDERALES"/>
    <s v="DIRECCION NACIONAL DE CENTROS TEMATICOS"/>
    <s v="INTENDENCIA - TALLERES"/>
    <m/>
    <m/>
    <m/>
    <s v="MANTENIMIENTO INTERNO"/>
    <s v="TECNÓPOLIS"/>
    <s v="TECNOPOLIS"/>
    <s v="BAEZ  ANGEL"/>
    <s v="DNI"/>
    <n v="11692335"/>
    <s v="20116923352"/>
    <d v="1955-08-02T00:00:00"/>
    <s v="ASISTENCIA TÉCNICA"/>
    <s v="AT"/>
    <d v="2013-10-01T00:00:00"/>
    <m/>
    <d v="2016-12-31T00:00:00"/>
    <m/>
    <s v="UNTREF"/>
    <s v="UNTREF"/>
    <n v="12143.3"/>
  </r>
  <r>
    <s v="SFMyCP"/>
    <x v="0"/>
    <s v="SUBSEC CENTROS TEMATICOS Y EXP FEDERALES"/>
    <s v="DIR NAC EXPRESIONES FEDERALES"/>
    <s v="DIRECCION DE GESTION EDILICIA"/>
    <s v="OPERATIVA Y LOGISTICA"/>
    <s v="LOGISTICA OPERATIVA"/>
    <s v="Asistente"/>
    <s v="OPERATIVA Y LOGISTICA"/>
    <s v="CCK"/>
    <s v="CCK - Alem 351"/>
    <s v="BAEZ ESTEBAN"/>
    <s v="DNI"/>
    <n v="30020464"/>
    <s v="20300204644"/>
    <d v="1983-03-06T00:00:00"/>
    <s v="ASISTENCIA TÉCNICA"/>
    <s v="AT"/>
    <d v="2015-06-10T00:00:00"/>
    <m/>
    <d v="2016-12-31T00:00:00"/>
    <m/>
    <s v="UNTREF"/>
    <s v="UNTREF"/>
    <n v="12000"/>
  </r>
  <r>
    <s v="SFMyCP"/>
    <x v="0"/>
    <s v="SUBSEC CENTROS TEMATICOS Y EXP FEDERALES"/>
    <s v="DIRECCION NACIONAL DE CENTROS TEMATICOS"/>
    <s v="INTENDENCIA - LIMPIEZA"/>
    <m/>
    <m/>
    <m/>
    <s v="ENCARGADO DE LIMPIEZA"/>
    <s v="TECNÓPOLIS"/>
    <s v="TECNOPOLIS"/>
    <s v="BALBUENA  DIEGO DANIE"/>
    <s v="DNI"/>
    <n v="26674300"/>
    <s v="23266743009"/>
    <d v="1978-07-03T00:00:00"/>
    <s v="ASISTENCIA TÉCNICA"/>
    <s v="AT"/>
    <d v="2014-06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DIRECCION DE GESTION EDILICIA"/>
    <s v="MANTENIMIENTO"/>
    <s v="LOGISTICA OPERATIVA"/>
    <s v="Tecnomecánica"/>
    <s v="Tecnomecánica"/>
    <s v="CCK"/>
    <s v="CCK - Alem 351"/>
    <s v="BALCAZAR JORGE DANIEL"/>
    <s v="DNI"/>
    <n v="37900747"/>
    <s v="20379007474"/>
    <d v="1994-11-17T00:00:00"/>
    <s v="ASISTENCIA TÉCNICA"/>
    <s v="AT"/>
    <d v="2015-06-01T00:00:00"/>
    <m/>
    <d v="2016-12-31T00:00:00"/>
    <m/>
    <s v="UNTREF"/>
    <s v="UNLAM- BICENTENARIO"/>
    <n v="10166"/>
  </r>
  <r>
    <s v="SFMyCP"/>
    <x v="0"/>
    <s v="SUBSEC CENTROS TEMATICOS Y EXP FEDERALES"/>
    <s v="DIRECCION NACIONAL DE CENTROS TEMATICOS"/>
    <s v="ADMINISTRACION- RECEPCION"/>
    <m/>
    <m/>
    <s v="RECEPCIONISTA"/>
    <s v="RECEPCION IBC"/>
    <s v="TECNÓPOLIS"/>
    <m/>
    <s v="BALDASSARRE Luz María "/>
    <s v="DNI"/>
    <n v="17999601"/>
    <n v="23179996014"/>
    <m/>
    <s v="LEY MARCO"/>
    <s v="LM"/>
    <d v="2013-04-30T00:00:00"/>
    <d v="2016-03-31T00:00:00"/>
    <d v="2016-12-31T00:00:00"/>
    <s v="B3"/>
    <m/>
    <m/>
    <n v="20839.14"/>
  </r>
  <r>
    <s v="SFMyCP"/>
    <x v="0"/>
    <m/>
    <s v="UNIDAD SECRETARÍA"/>
    <m/>
    <m/>
    <m/>
    <s v="PRIVADA"/>
    <s v="ADMINISTRATIVO"/>
    <m/>
    <s v="CCK - Alem 351"/>
    <s v="BALDIOLI CLAUIDA ALEJANDRA"/>
    <s v="DNI"/>
    <n v="17787833"/>
    <n v="27177878338"/>
    <d v="1966-11-22T00:00:00"/>
    <s v="ASISTENCIA TÉCNICA"/>
    <s v="AT"/>
    <d v="2016-01-01T00:00:00"/>
    <m/>
    <d v="2016-12-31T00:00:00"/>
    <m/>
    <s v="UNTREF"/>
    <m/>
    <n v="25000"/>
  </r>
  <r>
    <s v="SFMyCP"/>
    <x v="0"/>
    <s v="SUBSEC CENTROS TEMATICOS Y EXP FEDERALES"/>
    <s v="DIRECCION NACIONAL DE CENTROS TEMATICOS"/>
    <s v="GASTRONOMIA"/>
    <m/>
    <m/>
    <s v="COCINA"/>
    <s v="PRODUCCION GRAL DE RECETAS, MANIPULACIÓN DE INGREDIENTES, DESPCACHO DE ALIMENTOS"/>
    <s v="TECNÓPOLIS"/>
    <s v="TECNOPOLIS"/>
    <s v="BALDUCCI  ANALÍA"/>
    <s v="DNI"/>
    <n v="24290240"/>
    <s v="27242902403"/>
    <d v="1975-01-17T00:00:00"/>
    <s v="ASISTENCIA TÉCNICA"/>
    <s v="AT"/>
    <d v="2012-02-01T00:00:00"/>
    <m/>
    <d v="2016-12-31T00:00:00"/>
    <m/>
    <s v="UNTREF"/>
    <s v="UNTREF"/>
    <n v="11449.4"/>
  </r>
  <r>
    <s v="SFMyCP"/>
    <x v="1"/>
    <m/>
    <s v="DIR GRAL TECNICA ADMINISTRATIVA Y LEGAL"/>
    <s v="MESA DE ENTRADA"/>
    <m/>
    <m/>
    <s v="Asistente"/>
    <s v="ADMINISTRATIVO"/>
    <s v="CCK"/>
    <s v="CCK - Alem 351"/>
    <s v="BALMACEDA NAYLA "/>
    <s v="DNI"/>
    <n v="31832610"/>
    <s v="27318326105"/>
    <d v="1985-08-01T00:00:00"/>
    <s v="ASISTENCIA TÉCNICA"/>
    <s v="AT"/>
    <d v="2015-07-01T00:00:00"/>
    <m/>
    <d v="2016-12-31T00:00:00"/>
    <m/>
    <s v="UNTREF"/>
    <s v="UNLAM -TDA"/>
    <n v="11721"/>
  </r>
  <r>
    <s v="SFMyCP"/>
    <x v="1"/>
    <m/>
    <s v="UNIDAD DE MINISTRO"/>
    <m/>
    <m/>
    <m/>
    <s v="PRIVADA"/>
    <s v="ADMINISTRATIVO"/>
    <m/>
    <s v="CCK - Alem 351"/>
    <s v="BALSAMO, RICARDO"/>
    <s v="DNI"/>
    <n v="13501717"/>
    <s v="20135017176"/>
    <d v="1957-05-22T00:00:00"/>
    <s v="ASISTENCIA TÉCNICA"/>
    <s v="AT"/>
    <d v="2016-01-01T00:00:00"/>
    <m/>
    <d v="2016-12-31T00:00:00"/>
    <m/>
    <s v="UNTREF"/>
    <s v="UNSAM"/>
    <n v="17000"/>
  </r>
  <r>
    <s v="SFMyCP"/>
    <x v="1"/>
    <m/>
    <s v="DIR GRAL TECNICA ADMINISTRATIVA Y LEGAL"/>
    <s v="INFORMATICA Y SISTEMAS"/>
    <m/>
    <m/>
    <s v="CCK"/>
    <m/>
    <m/>
    <m/>
    <s v="BARBIERI MAXIMILIANO"/>
    <s v="DNI"/>
    <n v="33787058"/>
    <n v="23337870589"/>
    <m/>
    <s v="LEY MARCO"/>
    <s v="LM"/>
    <d v="2013-12-01T00:00:00"/>
    <m/>
    <d v="2016-12-31T00:00:00"/>
    <s v="C0"/>
    <m/>
    <m/>
    <n v="11730"/>
  </r>
  <r>
    <s v="SFMyCP"/>
    <x v="0"/>
    <s v="SUBSEC CENTROS TEMATICOS Y EXP FEDERALES"/>
    <s v="DIRECCION NACIONAL DE CENTROS TEMATICOS"/>
    <s v="OPERATIVA"/>
    <m/>
    <m/>
    <m/>
    <m/>
    <s v="TECNÓPOLIS"/>
    <m/>
    <s v="BAREIRO Carla Maribel"/>
    <s v="DNI"/>
    <n v="30513038"/>
    <n v="27305130384"/>
    <m/>
    <s v="LEY MARCO"/>
    <s v="LM"/>
    <d v="2011-07-01T00:00:00"/>
    <d v="2016-12-31T00:00:00"/>
    <d v="2016-12-31T00:00:00"/>
    <s v="D1"/>
    <m/>
    <m/>
    <n v="13896"/>
  </r>
  <r>
    <s v="SFMyCP"/>
    <x v="1"/>
    <m/>
    <s v="UNIDAD DE MINISTRO"/>
    <m/>
    <m/>
    <m/>
    <s v="PRIVADA"/>
    <s v="ADMINISTRATIVO"/>
    <m/>
    <s v="CCK - Alem 351"/>
    <s v="BARELA, LILIANA"/>
    <s v="DNI"/>
    <n v="6439250"/>
    <n v="27064392501"/>
    <d v="1950-07-19T00:00:00"/>
    <s v="ASISTENCIA TÉCNICA"/>
    <s v="AT"/>
    <d v="2016-01-01T00:00:00"/>
    <m/>
    <d v="2016-12-31T00:00:00"/>
    <m/>
    <s v="UNTREF"/>
    <s v="UNSAM"/>
    <n v="27000"/>
  </r>
  <r>
    <s v="SFMyCP"/>
    <x v="0"/>
    <s v="SUBSEC CENTROS TEMATICOS Y EXP FEDERALES"/>
    <s v="DIRECCION NACIONAL DE CENTROS TEMATICOS"/>
    <s v="ARQUITECTURA Y OBRA"/>
    <m/>
    <m/>
    <m/>
    <s v="SUPERVISION DE REDES DE AGUA/ATENCION DEL RESERVORIO"/>
    <s v="TECNÓPOLIS"/>
    <s v="TECNOPOLIS"/>
    <s v="BAROLI  DANIEL RUBEN"/>
    <s v="DNI"/>
    <n v="11330261"/>
    <n v="20113302616"/>
    <d v="1954-10-13T00:00:00"/>
    <s v="ASISTENCIA TÉCNICA"/>
    <s v="AT"/>
    <d v="2012-04-01T00:00:00"/>
    <m/>
    <d v="2016-12-31T00:00:00"/>
    <m/>
    <s v="UNTREF"/>
    <s v="UNTREF"/>
    <n v="26021.360000000001"/>
  </r>
  <r>
    <s v="SFMyCP"/>
    <x v="0"/>
    <s v="SUBSEC CENTROS TEMATICOS Y EXP FEDERALES"/>
    <s v="DIRECCION NACIONAL DE CENTROS TEMATICOS"/>
    <s v="TECNICA"/>
    <m/>
    <m/>
    <m/>
    <m/>
    <s v="TECNÓPOLIS"/>
    <m/>
    <s v="BARRAGAN Ricardo"/>
    <s v="DNI"/>
    <n v="18114083"/>
    <n v="20181140837"/>
    <m/>
    <s v="LEY MARCO"/>
    <s v="LM"/>
    <d v="2013-02-01T00:00:00"/>
    <d v="2016-03-31T00:00:00"/>
    <d v="2016-12-31T00:00:00"/>
    <s v="C0"/>
    <m/>
    <m/>
    <n v="29784"/>
  </r>
  <r>
    <s v="SFMyCP"/>
    <x v="0"/>
    <s v="SUBSEC CENTROS TEMATICOS Y EXP FEDERALES"/>
    <s v="DIRECCION NACIONAL DE CENTROS TEMATICOS"/>
    <s v="INTENDENCIA- MANTENIMIENTO"/>
    <m/>
    <m/>
    <m/>
    <s v="TRASLADOS/CARGA Y DESCARGA"/>
    <s v="TECNÓPOLIS"/>
    <s v="TECNOPOLIS"/>
    <s v="BARRAZA MARCELO"/>
    <s v="DNI"/>
    <n v="34334182"/>
    <s v="20343341823"/>
    <d v="1989-03-12T00:00:00"/>
    <s v="ASISTENCIA TÉCNICA"/>
    <s v="AT"/>
    <d v="2013-09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BARRIONUEVO MARIA MARTA"/>
    <s v="DNI"/>
    <n v="29229482"/>
    <n v="23292294824"/>
    <d v="1982-03-01T00:00:00"/>
    <s v="ASISTENCIA TÉCNICA"/>
    <s v="CO"/>
    <m/>
    <m/>
    <d v="2016-12-31T00:00:00"/>
    <m/>
    <s v="UNTREF"/>
    <s v="UNTREF"/>
    <n v="1700"/>
  </r>
  <r>
    <s v="SFMyCP"/>
    <x v="0"/>
    <s v="SUBSEC CENTROS TEMATICOS Y EXP FEDERALES"/>
    <s v="DIRECCION NACIONAL DE CENTROS TEMATICOS"/>
    <s v="INTENDENCIA - MESA DE AYUDA"/>
    <m/>
    <m/>
    <m/>
    <m/>
    <s v="TECNÓPOLIS"/>
    <m/>
    <s v="BARRIONUEVO Ricardo Javier"/>
    <s v="DNI"/>
    <n v="31257034"/>
    <n v="20312570344"/>
    <m/>
    <s v="LEY MARCO"/>
    <s v="LM"/>
    <d v="2011-06-01T00:00:00"/>
    <d v="2016-12-31T00:00:00"/>
    <d v="2016-12-31T00:00:00"/>
    <s v="C0"/>
    <m/>
    <m/>
    <n v="21162"/>
  </r>
  <r>
    <s v="SFMyCP"/>
    <x v="0"/>
    <s v="SUBSEC CENTROS TEMATICOS Y EXP FEDERALES"/>
    <s v="DIR NAC EXPRESIONES FEDERALES"/>
    <s v="PRODUCCIÓN"/>
    <m/>
    <m/>
    <s v="PRIVADA"/>
    <s v="ADMINISTRATIVA"/>
    <s v="CCK"/>
    <s v="CCK - Alem 351"/>
    <s v="BARROZO, KARINA ISABEL"/>
    <s v="DNI"/>
    <n v="21710251"/>
    <s v="27217102516"/>
    <d v="1970-06-21T00:00:00"/>
    <s v="ASISTENCIA TÉCNICA"/>
    <s v="AT"/>
    <d v="2016-02-01T00:00:00"/>
    <m/>
    <d v="2016-12-31T00:00:00"/>
    <m/>
    <s v="UNTREF"/>
    <s v="UNSAM"/>
    <n v="11500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BARTOLOMÉ PAULA"/>
    <s v="DNI"/>
    <n v="22849417"/>
    <s v="27228494173"/>
    <d v="1972-08-30T00:00:00"/>
    <s v="ASISTENCIA TÉCNICA"/>
    <s v="AT"/>
    <d v="2011-03-11T00:00:00"/>
    <m/>
    <d v="2016-12-31T00:00:00"/>
    <m/>
    <s v="UNTREF"/>
    <s v="UNSAM- LADA"/>
    <n v="22151"/>
  </r>
  <r>
    <s v="SFMyCP"/>
    <x v="0"/>
    <m/>
    <s v="ARTES VISUALES"/>
    <s v="ARTES VISUALES"/>
    <m/>
    <m/>
    <m/>
    <m/>
    <m/>
    <m/>
    <s v="PRESUTTI JEREMIAS"/>
    <s v="DNI"/>
    <m/>
    <m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CARRERA LUCIA"/>
    <s v="DNI"/>
    <n v="33362851"/>
    <n v="27333628517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ARONA BARBARA"/>
    <s v="DNI"/>
    <n v="37869364"/>
    <n v="27378693646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BACIGALUPO SOFIA"/>
    <s v="DNI"/>
    <n v="36947998"/>
    <n v="27369479984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BARBONI CONSTANZA"/>
    <s v="DNI"/>
    <n v="38011494"/>
    <n v="27380114947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LOS MELINA VIVIANA"/>
    <s v="DNI"/>
    <n v="34332288"/>
    <n v="27343322882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BEY PRISCILA"/>
    <s v="DNI"/>
    <n v="36785043"/>
    <n v="36785043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MARTINEZ YAIR"/>
    <s v="DNI"/>
    <n v="33623466"/>
    <n v="33623466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DIAMENT DENISE GISELLE"/>
    <s v="DNI"/>
    <n v="34021830"/>
    <n v="27340218308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CASAÑA PABLO MARTIN"/>
    <s v="DNI"/>
    <n v="18833698"/>
    <n v="20188336982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VAZQUEZ AGUSTINA"/>
    <s v="DNI"/>
    <n v="36529503"/>
    <n v="23365295034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BENAVIDES SOL"/>
    <s v="DNI"/>
    <n v="39098292"/>
    <n v="39098292"/>
    <m/>
    <s v="ASISTENCIA TÉCNICA"/>
    <s v="AT"/>
    <d v="2016-08-01T00:00:00"/>
    <m/>
    <d v="2016-12-31T00:00:00"/>
    <m/>
    <m/>
    <m/>
    <m/>
  </r>
  <r>
    <s v="SFMyCP"/>
    <x v="0"/>
    <m/>
    <s v="ARTES VISUALES"/>
    <s v="ARTES VISUALES"/>
    <m/>
    <m/>
    <m/>
    <m/>
    <m/>
    <m/>
    <s v="BATTISTOZZI ANA"/>
    <s v="DNI"/>
    <n v="1826888"/>
    <n v="23018268884"/>
    <m/>
    <m/>
    <s v="AT"/>
    <d v="2016-07-01T00:00:00"/>
    <m/>
    <d v="2016-09-30T00:00:00"/>
    <m/>
    <s v="UNTREF"/>
    <m/>
    <m/>
  </r>
  <r>
    <s v="SFMyCP"/>
    <x v="0"/>
    <m/>
    <s v="ARTES VISUALES"/>
    <s v="ARTES VISUALES"/>
    <m/>
    <m/>
    <m/>
    <s v="ADMINISTRATIVO"/>
    <m/>
    <s v="CCK - Alem 351"/>
    <s v="BAUZA BELEN"/>
    <s v="DNI"/>
    <n v="29994918"/>
    <s v="23299949184"/>
    <d v="1983-08-12T00:00:00"/>
    <s v="ASISTENCIA TÉCNICA"/>
    <s v="AT"/>
    <d v="2016-01-01T00:00:00"/>
    <m/>
    <d v="2016-12-31T00:00:00"/>
    <m/>
    <s v="UNTREF"/>
    <m/>
    <n v="17000"/>
  </r>
  <r>
    <s v="SFMyCP"/>
    <x v="0"/>
    <s v="SUBSEC CENTROS TEMATICOS Y EXP FEDERALES"/>
    <s v="DIRECCION NACIONAL DE CENTROS TEMATICOS"/>
    <s v="COOPERATIVAS"/>
    <m/>
    <m/>
    <s v="Tareas Generales"/>
    <s v="Tareas Generales"/>
    <m/>
    <m/>
    <s v="BAZAN MARCELA ADRIANA"/>
    <s v="DNI"/>
    <n v="24671609"/>
    <m/>
    <m/>
    <m/>
    <s v="CO"/>
    <m/>
    <m/>
    <d v="2016-12-31T00:00:00"/>
    <m/>
    <m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BEDINI HERNANDEZ LUCILA"/>
    <s v="DNI"/>
    <n v="32771136"/>
    <n v="27327711364"/>
    <d v="1986-10-28T00:00:00"/>
    <s v="ASISTENCIA TÉCNICA"/>
    <s v="AT"/>
    <d v="2016-05-01T00:00:00"/>
    <m/>
    <d v="2016-12-31T00:00:00"/>
    <m/>
    <s v="UNTREF"/>
    <m/>
    <m/>
  </r>
  <r>
    <s v="SFMyCP"/>
    <x v="1"/>
    <m/>
    <s v="DIR GRAL TECNICA ADMINISTRATIVA Y LEGAL"/>
    <s v="JURIDICOS"/>
    <m/>
    <m/>
    <m/>
    <s v="Asistencia Juridica"/>
    <s v="CCK"/>
    <s v="CCK - Alem 351"/>
    <s v="BEHN FABRIZIO"/>
    <s v="DNI"/>
    <n v="34253913"/>
    <s v="20342539131"/>
    <d v="1988-12-02T00:00:00"/>
    <s v="ASISTENCIA TÉCNICA"/>
    <s v="AT"/>
    <d v="2013-08-12T00:00:00"/>
    <m/>
    <d v="2016-12-31T00:00:00"/>
    <m/>
    <s v="UNTREF"/>
    <s v="UNLAM- TDA"/>
    <n v="9479"/>
  </r>
  <r>
    <s v="SFMyCP"/>
    <x v="0"/>
    <s v="SUBSEC CENTROS TEMATICOS Y EXP FEDERALES"/>
    <s v="DIR NAC EXPRESIONES FEDERALES"/>
    <s v="PRODUCCIÓN"/>
    <m/>
    <m/>
    <s v="Productora"/>
    <m/>
    <s v="CCK"/>
    <m/>
    <s v="BELTRAME ÉNOLA"/>
    <s v="DNI"/>
    <n v="29315234"/>
    <n v="27293152344"/>
    <m/>
    <s v="LEY MARCO"/>
    <s v="LM"/>
    <d v="2015-08-01T00:00:00"/>
    <d v="2016-03-31T00:00:00"/>
    <d v="2016-12-31T00:00:00"/>
    <s v="C0"/>
    <m/>
    <m/>
    <n v="12003"/>
  </r>
  <r>
    <s v="SFMyCP"/>
    <x v="0"/>
    <s v="SUBSEC CENTROS TEMATICOS Y EXP FEDERALES"/>
    <s v="DIRECCION NACIONAL DE CENTROS TEMATICOS"/>
    <m/>
    <m/>
    <m/>
    <m/>
    <s v="MANTENIMIENTO DE ESPACIOS VERDES"/>
    <m/>
    <s v="TECNOPOLIS"/>
    <s v="BELTRAN LEONARDO ANTONIO"/>
    <s v="DNI"/>
    <n v="37686108"/>
    <s v="20376861083"/>
    <d v="1991-01-31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BENANTAR FAYÇAL"/>
    <s v="DNI"/>
    <n v="32244163"/>
    <s v="20322441631"/>
    <d v="1986-02-21T00:00:00"/>
    <s v="ASISTENCIA TÉCNICA"/>
    <s v="AT"/>
    <d v="2012-05-01T00:00:00"/>
    <m/>
    <d v="2016-12-31T00:00:00"/>
    <m/>
    <s v="UNTREF"/>
    <s v="UNSAM- LADA"/>
    <n v="29420"/>
  </r>
  <r>
    <s v="SFMyCP"/>
    <x v="0"/>
    <s v="SUBSEC CENTROS TEMATICOS Y EXP FEDERALES"/>
    <s v="DIR NAC EXPRESIONES FEDERALES"/>
    <s v="AUDIOVISUALES"/>
    <m/>
    <m/>
    <m/>
    <m/>
    <s v="CCK"/>
    <s v="CCK - Alem 351"/>
    <s v="BENAVIDEZ CORDOBA Lucas Belisario A."/>
    <s v="DNI"/>
    <n v="29146267"/>
    <n v="20291462678"/>
    <m/>
    <s v="LEY MARCO"/>
    <s v="LM"/>
    <d v="2012-06-01T00:00:00"/>
    <d v="2016-12-31T00:00:00"/>
    <d v="2016-12-31T00:00:00"/>
    <s v="C0"/>
    <m/>
    <m/>
    <n v="21133.05"/>
  </r>
  <r>
    <s v="SFMyCP"/>
    <x v="1"/>
    <m/>
    <s v="UNIDAD DE MINISTRO"/>
    <m/>
    <m/>
    <m/>
    <s v="PRIVADA"/>
    <s v="ADMINISTRATIVO"/>
    <m/>
    <s v="CCK - Alem 351"/>
    <s v="BENEDETTI, RICARDO"/>
    <s v="DNI"/>
    <n v="17944793"/>
    <n v="20179447939"/>
    <d v="1966-09-05T00:00:00"/>
    <s v="ASISTENCIA TÉCNICA"/>
    <s v="AT"/>
    <d v="2016-01-01T00:00:00"/>
    <m/>
    <d v="2016-12-31T00:00:00"/>
    <m/>
    <s v="UNTREF"/>
    <s v="UNSAM"/>
    <n v="12275"/>
  </r>
  <r>
    <s v="SFMyCP"/>
    <x v="0"/>
    <s v="SUBSEC CENTROS TEMATICOS Y EXP FEDERALES"/>
    <s v="DIR NAC EXPRESIONES FEDERALES"/>
    <s v="INSTITUCIONALES"/>
    <m/>
    <m/>
    <s v="asistente funcional"/>
    <s v="asistente funcional"/>
    <s v="CCK"/>
    <s v="CCK - Alem 351"/>
    <s v="BENGOLEA, MARTIN HERNAN"/>
    <s v="DNI"/>
    <n v="32143655"/>
    <n v="20321436553"/>
    <d v="1986-03-01T00:00:00"/>
    <s v="ASISTENCIA TÉCNICA"/>
    <s v="AT"/>
    <d v="2015-08-01T00:00:00"/>
    <m/>
    <d v="2016-12-31T00:00:00"/>
    <m/>
    <s v="UNTREF"/>
    <s v="UNLAM- BICENTENARIO"/>
    <n v="10478"/>
  </r>
  <r>
    <s v="SFMyCP"/>
    <x v="0"/>
    <s v="SUBSEC CENTROS TEMATICOS Y EXP FEDERALES"/>
    <s v="DIRECCION NACIONAL DE CENTROS TEMATICOS"/>
    <s v="INTENDENCIA - TALLERES"/>
    <m/>
    <m/>
    <m/>
    <s v="TRABAJO DE COSTURA A MAQUINA/CORTADOR"/>
    <s v="TECNÓPOLIS"/>
    <s v="TECNOPOLIS"/>
    <s v="BENITEZ  FELIX SATURNINO"/>
    <s v="DNI"/>
    <n v="17283320"/>
    <s v="23172833209"/>
    <d v="1964-10-28T00:00:00"/>
    <s v="ASISTENCIA TÉCNICA"/>
    <s v="AT"/>
    <d v="2014-07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s v="INTENDENCIA - LIMPIEZA"/>
    <m/>
    <m/>
    <m/>
    <s v="COORDINADOR GENERAL DE LIMPIEZA"/>
    <s v="TECNÓPOLIS"/>
    <s v="TECNOPOLIS"/>
    <s v="BENITEZ  JULIO CESAR"/>
    <s v="DNI"/>
    <n v="22694967"/>
    <s v="20226949675"/>
    <d v="1972-07-08T00:00:00"/>
    <s v="ASISTENCIA TÉCNICA"/>
    <s v="AT"/>
    <d v="2012-02-01T00:00:00"/>
    <m/>
    <d v="2016-12-31T00:00:00"/>
    <m/>
    <s v="UNTREF"/>
    <s v="UNTREF"/>
    <n v="18735.38"/>
  </r>
  <r>
    <s v="SFMyCP"/>
    <x v="1"/>
    <m/>
    <s v="DIR GRAL TECNICA ADMINISTRATIVA Y LEGAL"/>
    <s v="MESA DE ENTRADA"/>
    <m/>
    <m/>
    <s v="Asistente"/>
    <s v="ADMINISTRATIVO"/>
    <s v="CCK"/>
    <s v="CCK - Alem 351"/>
    <s v="BENITEZ STRAKA ORLANDO"/>
    <s v="DNI"/>
    <n v="33794129"/>
    <s v="20337941290"/>
    <d v="1988-08-02T00:00:00"/>
    <s v="ASISTENCIA TÉCNICA"/>
    <s v="AT"/>
    <d v="2015-03-03T00:00:00"/>
    <m/>
    <d v="2016-12-31T00:00:00"/>
    <m/>
    <s v="UNTREF"/>
    <s v="UNLAM -TDA"/>
    <n v="17105"/>
  </r>
  <r>
    <s v="SFMyCP"/>
    <x v="0"/>
    <m/>
    <s v="DIR NAC GENERACION DE CONTENIDOS"/>
    <m/>
    <m/>
    <m/>
    <s v="PRIVADA"/>
    <s v="ADMINISTRATIVO"/>
    <m/>
    <s v="CCK - Alem 351"/>
    <s v="BERDINI MARIA ANGELICA"/>
    <s v="DNI"/>
    <n v="16447164"/>
    <s v="27164471646"/>
    <d v="1964-01-03T00:00:00"/>
    <s v="ASISTENCIA TÉCNICA"/>
    <s v="AT"/>
    <d v="2016-04-01T00:00:00"/>
    <m/>
    <d v="2016-12-31T00:00:00"/>
    <m/>
    <s v="UNTREF"/>
    <m/>
    <n v="24000"/>
  </r>
  <r>
    <s v="SFMyCP"/>
    <x v="0"/>
    <s v="SUBSEC CENTROS TEMATICOS Y EXP FEDERALES"/>
    <s v="DIR NAC EXPRESIONES FEDERALES"/>
    <s v="PRODUCCIÓN"/>
    <m/>
    <m/>
    <m/>
    <s v="ADMINISTRATIVA"/>
    <m/>
    <s v="CCK - Alem 351"/>
    <s v="BERDYSZAK CLAUDIA ELENA"/>
    <s v="DNI"/>
    <n v="12759584"/>
    <n v="23127595844"/>
    <d v="1959-02-13T00:00:00"/>
    <s v="ASISTENCIA TÉCNICA"/>
    <s v="AT"/>
    <d v="2016-04-01T00:00:00"/>
    <m/>
    <d v="2016-12-31T00:00:00"/>
    <m/>
    <s v="UNTREF"/>
    <m/>
    <s v="."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BERENGUA LUCIANO"/>
    <s v="DNI"/>
    <n v="33219975"/>
    <s v="20332199758"/>
    <d v="1987-11-17T00:00:00"/>
    <s v="ASISTENCIA TÉCNICA"/>
    <s v="AT"/>
    <d v="2014-09-08T00:00:00"/>
    <m/>
    <d v="2016-12-31T00:00:00"/>
    <m/>
    <s v="UNTREF"/>
    <s v="UNSAM- LADA"/>
    <n v="21056"/>
  </r>
  <r>
    <s v="SFMyCP"/>
    <x v="0"/>
    <s v="SUBSEC CENTROS TEMATICOS Y EXP FEDERALES"/>
    <s v="DIRECCION NACIONAL DE CENTROS TEMATICOS"/>
    <s v="GASTRONOMIA"/>
    <m/>
    <m/>
    <s v="COCINA"/>
    <m/>
    <s v="TECNÓPOLIS"/>
    <m/>
    <s v="BERMUDEZ CORTEZ Ariel Felipe"/>
    <s v="DNI"/>
    <n v="95120832"/>
    <n v="23951208329"/>
    <m/>
    <s v="LEY MARCO"/>
    <s v="LM"/>
    <d v="2013-04-01T00:00:00"/>
    <d v="2016-03-31T00:00:00"/>
    <d v="2016-12-31T00:00:00"/>
    <s v="C1"/>
    <m/>
    <m/>
    <n v="22409"/>
  </r>
  <r>
    <s v="SFMyCP"/>
    <x v="0"/>
    <m/>
    <s v="DIR NAC GENERACION DE CONTENIDOS"/>
    <s v="TELEVISION DIGITAL ABIERTA"/>
    <s v="CIARA"/>
    <m/>
    <s v="PROGRAMA POLOS AUDIOVISUALES TECNOLÓGICOS"/>
    <m/>
    <s v="CABILDO 65"/>
    <m/>
    <s v="BERNARDO MARIA MURIEL"/>
    <s v="DNI"/>
    <n v="23328471"/>
    <n v="27233284713"/>
    <m/>
    <s v="LEY MARCO"/>
    <s v="LM"/>
    <d v="2013-12-01T00:00:00"/>
    <d v="2016-03-31T00:00:00"/>
    <d v="2016-12-31T00:00:00"/>
    <s v="B1"/>
    <m/>
    <m/>
    <n v="20266"/>
  </r>
  <r>
    <s v="SFMyCP"/>
    <x v="0"/>
    <m/>
    <s v="DIR NAC GENERACION DE CONTENIDOS"/>
    <s v="TELEVISION DIGITAL ABIERTA"/>
    <s v="CIARA"/>
    <m/>
    <s v="PANORAMA ARGENTINO"/>
    <m/>
    <s v="CABILDO 65"/>
    <m/>
    <s v="BERSUSKY DIEGO MARTIN"/>
    <s v="DNI"/>
    <n v="27026871"/>
    <n v="20270268715"/>
    <m/>
    <s v="LEY MARCO"/>
    <s v="LM"/>
    <d v="2012-12-01T00:00:00"/>
    <d v="2016-12-31T00:00:00"/>
    <d v="2016-12-31T00:00:00"/>
    <s v="B1"/>
    <m/>
    <m/>
    <n v="17505"/>
  </r>
  <r>
    <s v="SFMyCP"/>
    <x v="0"/>
    <s v="SUBSEC CENTROS TEMATICOS Y EXP FEDERALES"/>
    <s v="DIR NAC EXPRESIONES FEDERALES"/>
    <s v="INSTITUCIONALES"/>
    <m/>
    <m/>
    <m/>
    <m/>
    <m/>
    <m/>
    <s v="BERTERRE LETICIA"/>
    <s v="DNI"/>
    <n v="29699158"/>
    <n v="27296991584"/>
    <m/>
    <s v="LEY MARCO"/>
    <s v="LM"/>
    <d v="2010-07-19T00:00:00"/>
    <d v="2016-12-31T00:00:00"/>
    <d v="2016-12-31T00:00:00"/>
    <s v="C1"/>
    <m/>
    <m/>
    <n v="11730"/>
  </r>
  <r>
    <s v="SFMyCP"/>
    <x v="0"/>
    <m/>
    <s v="DIR NAC GENERACION DE CONTENIDOS"/>
    <s v="TELEVISION DIGITAL ABIERTA"/>
    <s v="CIARA"/>
    <m/>
    <s v="PROGRAMA POLOS AUDIOVISUALES TECNOLÓGICOS"/>
    <s v="ADMINISTRATIVO"/>
    <s v="CABILDO 65"/>
    <s v="CABILDO 65"/>
    <s v="BESSE YESSICA"/>
    <s v="DNI"/>
    <n v="32498204"/>
    <s v="27324982049"/>
    <d v="1986-08-05T00:00:00"/>
    <s v="ASISTENCIA TÉCNICA"/>
    <s v="AT"/>
    <d v="2015-02-12T00:00:00"/>
    <m/>
    <d v="2016-12-31T00:00:00"/>
    <m/>
    <s v="UNTREF"/>
    <s v="UNSAM- LADA"/>
    <n v="15933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BETELLA MARITA TERESITA"/>
    <s v="DNI"/>
    <n v="40149217"/>
    <n v="27401492173"/>
    <d v="1997-01-15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ESPACIOS FISICOS"/>
    <m/>
    <m/>
    <m/>
    <s v="CCK"/>
    <m/>
    <s v="BEURET GUSTAVO"/>
    <s v="DNI"/>
    <n v="27841036"/>
    <n v="20278410367"/>
    <m/>
    <s v="LEY MARCO"/>
    <s v="LM"/>
    <d v="2010-08-02T00:00:00"/>
    <d v="2016-12-31T00:00:00"/>
    <d v="2016-12-31T00:00:00"/>
    <s v="C1"/>
    <m/>
    <m/>
    <n v="13500"/>
  </r>
  <r>
    <s v="SFMyCP"/>
    <x v="0"/>
    <m/>
    <s v="COMUNICACIONES"/>
    <s v="COMUNICACIÓN"/>
    <m/>
    <m/>
    <m/>
    <s v="ADMINISTRATIVO"/>
    <m/>
    <s v="CCK - Alem 351"/>
    <s v="BIAUS IBARBORDE MARIA VIRGINIA"/>
    <s v="DNI"/>
    <n v="31464790"/>
    <n v="23314647904"/>
    <d v="1985-02-13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OPERATIVA"/>
    <m/>
    <m/>
    <m/>
    <m/>
    <s v="TECNÓPOLIS"/>
    <m/>
    <s v="BIELE Carlos David"/>
    <s v="DNI"/>
    <n v="32094923"/>
    <n v="20320949239"/>
    <m/>
    <s v="LEY MARCO"/>
    <s v="LM"/>
    <d v="2011-07-01T00:00:00"/>
    <d v="2016-12-31T00:00:00"/>
    <d v="2016-12-31T00:00:00"/>
    <s v="D0"/>
    <m/>
    <m/>
    <n v="13240.15"/>
  </r>
  <r>
    <s v="SFMyCP"/>
    <x v="0"/>
    <m/>
    <s v="DIR NAC GENERACION DE CONTENIDOS"/>
    <s v="TELEVISION DIGITAL ABIERTA"/>
    <s v="CIARA"/>
    <m/>
    <s v="COORDINACION"/>
    <m/>
    <s v="CABILDO 65"/>
    <m/>
    <s v="BILLONI AHUMADA NAHUEL ANIBAL"/>
    <s v="DNI"/>
    <n v="31407283"/>
    <n v="23314072839"/>
    <m/>
    <s v="LEY MARCO"/>
    <s v="LM"/>
    <d v="2012-12-01T00:00:00"/>
    <d v="2016-12-31T00:00:00"/>
    <d v="2016-12-31T00:00:00"/>
    <s v="A0"/>
    <m/>
    <m/>
    <n v="25093"/>
  </r>
  <r>
    <s v="SFMyCP"/>
    <x v="0"/>
    <s v="SUBSEC CENTROS TEMATICOS Y EXP FEDERALES"/>
    <s v="DIR NAC EXPRESIONES FEDERALES"/>
    <s v="DIRECCION DE GESTION EDILICIA"/>
    <s v="SERVICIOS GENERALES"/>
    <s v="ACCESO ALEM"/>
    <s v="Asistente"/>
    <s v="Asistente"/>
    <s v="CCK"/>
    <s v="CCK - Alem 351"/>
    <s v="BIONDO PAULA"/>
    <s v="DNI"/>
    <n v="37376814"/>
    <s v="27373768141"/>
    <d v="1993-03-29T00:00:00"/>
    <s v="ASISTENCIA TÉCNICA"/>
    <s v="AT"/>
    <d v="2015-08-01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s v="TECNICA"/>
    <m/>
    <m/>
    <m/>
    <s v="OPERACIÓN/MONTAJE/MANTENIMIENTO"/>
    <s v="TECNÓPOLIS"/>
    <s v="TECNOPOLIS"/>
    <s v="BLANCO ALEJANDRO RAMON"/>
    <s v="DNI"/>
    <n v="27766980"/>
    <s v="20277669804"/>
    <d v="1980-02-22T00:00:00"/>
    <s v="ASISTENCIA TÉCNICA"/>
    <s v="AT"/>
    <d v="2013-04-01T00:00:00"/>
    <m/>
    <d v="2016-12-31T00:00:00"/>
    <m/>
    <s v="UNTREF"/>
    <s v="UNTREF"/>
    <n v="20907.810000000001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BOASS DIEGO"/>
    <s v="DNI"/>
    <n v="30219051"/>
    <s v="20302190519"/>
    <d v="1983-03-16T00:00:00"/>
    <s v="ASISTENCIA TÉCNICA"/>
    <s v="AT"/>
    <d v="2013-11-01T00:00:00"/>
    <m/>
    <d v="2016-12-31T00:00:00"/>
    <m/>
    <s v="UNTREF"/>
    <m/>
    <n v="24060"/>
  </r>
  <r>
    <s v="SFMyCP"/>
    <x v="0"/>
    <s v="SUBSEC CENTROS TEMATICOS Y EXP FEDERALES"/>
    <s v="UNIDAD SUBSECRETARIO"/>
    <m/>
    <m/>
    <m/>
    <s v="PRIVADA"/>
    <s v="ADMINISTRATIVO"/>
    <m/>
    <s v="CCK - Alem 351"/>
    <s v="BOAZZO GASTON LEONEL"/>
    <s v="DNI"/>
    <n v="23799726"/>
    <n v="20237997264"/>
    <d v="1974-08-25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BOBILLO GABRIEL"/>
    <s v="DNI"/>
    <n v="23102518"/>
    <s v="23231025189"/>
    <d v="1973-01-12T00:00:00"/>
    <s v="ASISTENCIA TÉCNICA"/>
    <s v="AT"/>
    <d v="2012-03-19T00:00:00"/>
    <m/>
    <d v="2016-12-31T00:00:00"/>
    <m/>
    <s v="UNTREF"/>
    <s v="UNSAM- LADA"/>
    <n v="21056"/>
  </r>
  <r>
    <s v="SFMyCP"/>
    <x v="0"/>
    <s v="SUBSEC CENTROS TEMATICOS Y EXP FEDERALES"/>
    <s v="UNIDAD SUBSECRETARIO"/>
    <m/>
    <m/>
    <m/>
    <s v="Asistente"/>
    <s v="Asistente"/>
    <s v="CCK"/>
    <s v="CCK - Alem 351"/>
    <s v="BOCCI FIORELLA"/>
    <s v="DNI"/>
    <n v="37752815"/>
    <s v="27377528153"/>
    <d v="1993-05-31T00:00:00"/>
    <s v="ASISTENCIA TÉCNICA"/>
    <s v="AT"/>
    <d v="2014-11-12T00:00:00"/>
    <m/>
    <d v="2016-12-31T00:00:00"/>
    <m/>
    <s v="UNTREF"/>
    <s v="UNLAM- DGA"/>
    <n v="10187"/>
  </r>
  <r>
    <s v="SFMyCP"/>
    <x v="0"/>
    <s v="SUBSEC CENTROS TEMATICOS Y EXP FEDERALES"/>
    <s v="DIRECCION NACIONAL DE CENTROS TEMATICOS"/>
    <s v="TECNICA"/>
    <m/>
    <m/>
    <m/>
    <m/>
    <s v="TECNÓPOLIS"/>
    <m/>
    <s v="BONANNI Héctor Daniel"/>
    <s v="DNI"/>
    <n v="31271654"/>
    <n v="20312716543"/>
    <m/>
    <s v="LEY MARCO"/>
    <s v="LM"/>
    <d v="2013-02-01T00:00:00"/>
    <d v="2016-03-31T00:00:00"/>
    <d v="2016-12-31T00:00:00"/>
    <s v="C0"/>
    <m/>
    <m/>
    <n v="21266"/>
  </r>
  <r>
    <s v="SFMyCP"/>
    <x v="0"/>
    <s v="SUBSEC CENTROS TEMATICOS Y EXP FEDERALES"/>
    <s v="DIR NAC EXPRESIONES FEDERALES"/>
    <s v="DIRECCION DE GESTION EDILICIA"/>
    <s v="SERVICIOS GENERALES"/>
    <m/>
    <m/>
    <m/>
    <m/>
    <m/>
    <s v="BONATO LUCAS GASTON"/>
    <s v="DNI"/>
    <n v="26927767"/>
    <m/>
    <m/>
    <m/>
    <s v="LM"/>
    <m/>
    <m/>
    <d v="2016-12-31T00:00:00"/>
    <s v="C1"/>
    <m/>
    <m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BONAVERA RENDO SANTIAGO"/>
    <s v="DNI"/>
    <n v="28643869"/>
    <s v="20286438696"/>
    <d v="1981-01-12T00:00:00"/>
    <s v="ASISTENCIA TÉCNICA"/>
    <s v="AT"/>
    <d v="2015-02-02T00:00:00"/>
    <m/>
    <d v="2016-12-31T00:00:00"/>
    <m/>
    <s v="UNTREF"/>
    <s v="UNSAM- LADA"/>
    <n v="20498"/>
  </r>
  <r>
    <s v="SFMyCP"/>
    <x v="0"/>
    <s v="SUBSEC CENTROS TEMATICOS Y EXP FEDERALES"/>
    <s v="UNIDAD SUBSECRETARIO"/>
    <m/>
    <m/>
    <m/>
    <s v="PRIVADA"/>
    <s v="ADMINISTRATIVO"/>
    <m/>
    <s v="CCK - Alem 351"/>
    <s v="BORELLI, AVELINO OSCAR"/>
    <s v="DNI"/>
    <n v="17673078"/>
    <n v="20176730782"/>
    <d v="1966-02-28T00:00:00"/>
    <s v="ASISTENCIA TÉCNICA"/>
    <s v="AT"/>
    <d v="2016-01-01T00:00:00"/>
    <m/>
    <d v="2016-12-31T00:00:00"/>
    <m/>
    <s v="UNTREF"/>
    <s v="UNSAM"/>
    <n v="35000"/>
  </r>
  <r>
    <s v="SFMyCP"/>
    <x v="0"/>
    <s v="SUBSEC CENTROS TEMATICOS Y EXP FEDERALES"/>
    <s v="DIRECCION NACIONAL DE CENTROS TEMATICOS"/>
    <s v="INTENDENCIA - TALLERES"/>
    <m/>
    <m/>
    <m/>
    <s v="ATENCIÓN DE MOSTRADOR"/>
    <s v="TECNÓPOLIS"/>
    <s v="TECNOPOLIS"/>
    <s v="BORGET JUAN MARTIN"/>
    <s v="DNI"/>
    <n v="35360874"/>
    <s v="20353608747"/>
    <d v="1990-12-23T00:00:00"/>
    <s v="ASISTENCIA TÉCNICA"/>
    <s v="AT"/>
    <d v="2013-07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 -MESA DE AYUDA"/>
    <m/>
    <m/>
    <m/>
    <s v="ADMINISTRACION,DSTRIBUCION Y SEGUIMIENTO DE TAREAS/ORGANIZACIÓN DEL AEREA MANTENIMIENTO"/>
    <s v="TECNÓPOLIS"/>
    <s v="TECNOPOLIS"/>
    <s v="BORREL MARIA JULIETA"/>
    <s v="DNI"/>
    <n v="34423729"/>
    <s v="27344237293"/>
    <d v="1989-08-05T00:00:00"/>
    <s v="ASISTENCIA TÉCNICA"/>
    <s v="AT"/>
    <d v="2015-07-01T00:00:00"/>
    <m/>
    <d v="2016-12-31T00:00:00"/>
    <m/>
    <s v="UNTREF"/>
    <s v="UNTREF"/>
    <n v="9500"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BOTTAZZI MARIA"/>
    <s v="DNI"/>
    <n v="30925290"/>
    <s v="27309252905"/>
    <d v="1984-04-21T00:00:00"/>
    <s v="ASISTENCIA TÉCNICA"/>
    <s v="AT"/>
    <d v="2013-05-01T00:00:00"/>
    <m/>
    <d v="2016-12-31T00:00:00"/>
    <m/>
    <s v="UNTREF"/>
    <s v="UNSAM- LADA"/>
    <n v="19353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BOUZON ARIANA"/>
    <s v="DNI"/>
    <n v="30833891"/>
    <s v="27308338911"/>
    <d v="1983-12-09T00:00:00"/>
    <s v="ASISTENCIA TÉCNICA"/>
    <s v="AT"/>
    <d v="2015-02-02T00:00:00"/>
    <m/>
    <d v="2016-12-31T00:00:00"/>
    <m/>
    <s v="UNTREF"/>
    <s v="UNSAM- LADA"/>
    <n v="16465"/>
  </r>
  <r>
    <s v="SFMyCP"/>
    <x v="1"/>
    <m/>
    <s v="DIR GRAL TECNICA ADMINISTRATIVA Y LEGAL"/>
    <s v="PLANIF  Y ADM DE REC HUMANOS"/>
    <s v="MEDICINA DEL TRABAJO"/>
    <m/>
    <s v="DOCTOR"/>
    <s v="ADMINISTRATIVO"/>
    <m/>
    <s v="CCK - Alem 351"/>
    <s v="BRADLEY GUILLERMO"/>
    <s v="DNI"/>
    <n v="10966721"/>
    <n v="20109667219"/>
    <d v="1954-11-30T00:00:00"/>
    <s v="ASISTENCIA TÉCNICA"/>
    <s v="AT"/>
    <d v="2016-07-14T00:00:00"/>
    <m/>
    <d v="2016-12-31T00:00:00"/>
    <m/>
    <s v="UNTREF"/>
    <m/>
    <m/>
  </r>
  <r>
    <s v="SFMyCP"/>
    <x v="0"/>
    <s v="SUBSEC CENTROS TEMATICOS Y EXP FEDERALES"/>
    <s v="DIR NAC EXPRESIONES FEDERALES"/>
    <s v="INSTITUCIONALES"/>
    <m/>
    <m/>
    <s v="SECRETARIA"/>
    <s v="ASISTENTE"/>
    <s v="CCK"/>
    <s v="CCK - Alem 351"/>
    <s v="BRAHIN MARIANELLA"/>
    <s v="DNI"/>
    <n v="35452327"/>
    <s v="27354523278"/>
    <d v="1990-11-30T00:00:00"/>
    <s v="ASISTENCIA TÉCNICA"/>
    <s v="AT"/>
    <d v="2015-08-01T00:00:00"/>
    <m/>
    <d v="2016-12-31T00:00:00"/>
    <m/>
    <s v="UNTREF"/>
    <s v="UNLAM- BICENTENARIO"/>
    <n v="10096"/>
  </r>
  <r>
    <s v="SFMyCP"/>
    <x v="0"/>
    <m/>
    <s v="DIR NAC GENERACION DE CONTENIDOS"/>
    <s v="TELEVISION DIGITAL ABIERTA"/>
    <s v="CIARA"/>
    <m/>
    <s v="PROMOCIONES"/>
    <s v="ADMINISTRATIVO"/>
    <s v="CABILDO 65"/>
    <s v="CABILDO 65"/>
    <s v="BRAUDE SEBASTIAN"/>
    <s v="DNI"/>
    <n v="29250290"/>
    <n v="20292502909"/>
    <d v="1982-01-07T00:00:00"/>
    <s v="ASISTENCIA TÉCNICA"/>
    <s v="AT"/>
    <d v="2015-04-01T00:00:00"/>
    <m/>
    <d v="2016-12-31T00:00:00"/>
    <m/>
    <s v="UNTREF"/>
    <s v="UNSAM- LADA"/>
    <n v="15234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BRAVO  MARCELO"/>
    <s v="DNI"/>
    <n v="24320153"/>
    <s v="20243201536"/>
    <d v="1975-02-01T00:00:00"/>
    <s v="ASISTENCIA TÉCNICA"/>
    <s v="AT"/>
    <d v="2011-07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BRITEZ  GUSTAVO"/>
    <s v="DNI"/>
    <n v="28710766"/>
    <s v="20287107669"/>
    <d v="1981-03-03T00:00:00"/>
    <s v="ASISTENCIA TÉCNICA"/>
    <s v="AT"/>
    <d v="2011-07-01T00:00:00"/>
    <m/>
    <d v="2016-12-31T00:00:00"/>
    <m/>
    <s v="UNTREF"/>
    <s v="UNTREF"/>
    <n v="11449.4"/>
  </r>
  <r>
    <s v="SFMyCP"/>
    <x v="1"/>
    <m/>
    <s v="DIR GRAL TECNICA ADMINISTRATIVA Y LEGAL"/>
    <s v="COMPRAS Y CONTRATACIONES"/>
    <m/>
    <m/>
    <s v="Analista"/>
    <m/>
    <s v="CCK"/>
    <m/>
    <s v="BRUNO ANALIA"/>
    <s v="DNI"/>
    <n v="27930015"/>
    <n v="27279300152"/>
    <m/>
    <s v="LEY MARCO"/>
    <s v="LM"/>
    <d v="2011-07-18T00:00:00"/>
    <d v="2016-12-31T00:00:00"/>
    <d v="2016-12-31T00:00:00"/>
    <s v="B1"/>
    <m/>
    <m/>
    <n v="20266"/>
  </r>
  <r>
    <s v="SFMyCP"/>
    <x v="0"/>
    <s v="SUBSEC CENTROS TEMATICOS Y EXP FEDERALES"/>
    <s v="DIR NAC EXPRESIONES FEDERALES"/>
    <s v="INSTITUCIONALES"/>
    <m/>
    <m/>
    <s v="Administrativo"/>
    <m/>
    <s v="CCK"/>
    <m/>
    <s v="BRUNO SABRINA ALEJANDRA"/>
    <s v="DNI"/>
    <n v="28936423"/>
    <n v="23289364234"/>
    <m/>
    <s v="LEY MARCO"/>
    <s v="LM"/>
    <d v="2013-03-04T00:00:00"/>
    <d v="2016-03-31T00:00:00"/>
    <d v="2016-12-31T00:00:00"/>
    <s v="B0"/>
    <m/>
    <m/>
    <n v="22590"/>
  </r>
  <r>
    <s v="SFMyCP"/>
    <x v="0"/>
    <s v="SUBSEC CENTROS TEMATICOS Y EXP FEDERALES"/>
    <s v="DIRECCION NACIONAL DE CENTROS TEMATICOS"/>
    <s v="INTENDENCIA- MANTENIMIENTO"/>
    <m/>
    <m/>
    <m/>
    <m/>
    <s v="TECNÓPOLIS"/>
    <m/>
    <s v="BRUZZONI Ariel Esteban"/>
    <s v="DNI"/>
    <n v="33841323"/>
    <n v="20338413239"/>
    <m/>
    <s v="LEY MARCO"/>
    <s v="LM"/>
    <d v="2012-04-01T00:00:00"/>
    <d v="2016-12-31T00:00:00"/>
    <d v="2016-12-31T00:00:00"/>
    <s v="C0"/>
    <m/>
    <m/>
    <n v="13084.78"/>
  </r>
  <r>
    <s v="SFMyCP"/>
    <x v="0"/>
    <s v="SUBSEC CENTROS TEMATICOS Y EXP FEDERALES"/>
    <s v="DIRECCION NACIONAL DE CENTROS TEMATICOS"/>
    <s v="INTENDENCIA- PARQUIZACION"/>
    <m/>
    <m/>
    <m/>
    <s v="SUPERVISOR DE PARQUIZACIÓN"/>
    <s v="TECNÓPOLIS"/>
    <s v="TECNOPOLIS"/>
    <s v="BUGLIO  EMILIANO CRUZ"/>
    <s v="DNI"/>
    <n v="30832626"/>
    <s v="20308326269"/>
    <d v="1984-05-07T00:00:00"/>
    <s v="ASISTENCIA TÉCNICA"/>
    <s v="AT"/>
    <d v="2013-06-01T00:00:00"/>
    <m/>
    <d v="2016-12-31T00:00:00"/>
    <m/>
    <s v="UNTREF"/>
    <s v="UNTREF"/>
    <n v="16168.13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BUNSOW GUSTAVO"/>
    <s v="DNI"/>
    <n v="27000237"/>
    <s v="20270002375"/>
    <d v="1978-11-07T00:00:00"/>
    <s v="ASISTENCIA TÉCNICA"/>
    <s v="AT"/>
    <d v="2012-06-01T00:00:00"/>
    <m/>
    <d v="2016-12-31T00:00:00"/>
    <m/>
    <s v="UNTREF"/>
    <s v="UNSAM- LADA"/>
    <n v="32782"/>
  </r>
  <r>
    <s v="SFMyCP"/>
    <x v="1"/>
    <m/>
    <s v="DIR GRAL TECNICA ADMINISTRATIVA Y LEGAL"/>
    <s v="JURIDICOS"/>
    <m/>
    <m/>
    <m/>
    <m/>
    <s v="CCK"/>
    <m/>
    <s v="BUONOCORE NATALIA"/>
    <s v="DNI"/>
    <n v="31343795"/>
    <n v="27313437952"/>
    <m/>
    <s v="LEY MARCO"/>
    <s v="LM"/>
    <d v="2011-07-18T00:00:00"/>
    <d v="2016-12-31T00:00:00"/>
    <d v="2016-12-31T00:00:00"/>
    <s v="B1"/>
    <m/>
    <m/>
    <n v="19096"/>
  </r>
  <r>
    <s v="SFMyCP"/>
    <x v="0"/>
    <s v="SUBSEC CENTROS TEMATICOS Y EXP FEDERALES"/>
    <s v="DIRECCION NACIONAL DE CENTROS TEMATICOS"/>
    <s v="INTENDENCIA - LIMPIEZA"/>
    <m/>
    <m/>
    <m/>
    <s v="ENCARGADO DE LIMPIEZA"/>
    <s v="TECNÓPOLIS"/>
    <s v="TECNOPOLIS"/>
    <s v="BURLATO ROSA ANGELA"/>
    <s v="DNI"/>
    <n v="23284659"/>
    <s v="27232846599"/>
    <d v="1972-12-09T00:00:00"/>
    <s v="ASISTENCIA TÉCNICA"/>
    <s v="AT"/>
    <d v="2014-07-01T00:00:00"/>
    <m/>
    <d v="2016-12-31T00:00:00"/>
    <m/>
    <s v="UNTREF"/>
    <s v="UNTREF"/>
    <n v="12245.32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BURSZTYN ANDRES"/>
    <s v="DNI"/>
    <n v="34137132"/>
    <s v="20341371326"/>
    <d v="1988-09-22T00:00:00"/>
    <s v="ASISTENCIA TÉCNICA"/>
    <s v="AT"/>
    <d v="2013-02-01T00:00:00"/>
    <m/>
    <d v="2016-12-31T00:00:00"/>
    <m/>
    <s v="UNTREF"/>
    <s v="UNSAM- LADA"/>
    <n v="17849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BUSSOLA FLORENCIA"/>
    <s v="DNI"/>
    <n v="30401842"/>
    <s v="27304018424"/>
    <d v="1983-07-14T00:00:00"/>
    <s v="ASISTENCIA TÉCNICA"/>
    <s v="AT"/>
    <d v="2012-04-23T00:00:00"/>
    <m/>
    <d v="2016-12-31T00:00:00"/>
    <m/>
    <s v="UNTREF"/>
    <s v="UNSAM- LADA"/>
    <n v="17146"/>
  </r>
  <r>
    <s v="SFMyCP"/>
    <x v="0"/>
    <s v="SUBSEC CENTROS TEMATICOS Y EXP FEDERALES"/>
    <s v="DIRECCION NACIONAL DE CENTROS TEMATICOS"/>
    <s v="ARQUITECTURA Y OBRA"/>
    <m/>
    <m/>
    <m/>
    <s v="SUPERVISION DE REDES DE AGUA Y CLOACAS"/>
    <s v="TECNÓPOLIS"/>
    <s v="TECNOPOLIS"/>
    <s v="BUSTOS  JORGE JONATHAN"/>
    <s v="DNI"/>
    <n v="36294092"/>
    <s v="20362940924"/>
    <d v="1991-07-03T00:00:00"/>
    <s v="ASISTENCIA TÉCNICA"/>
    <s v="AT"/>
    <m/>
    <m/>
    <d v="2016-12-31T00:00:00"/>
    <m/>
    <s v="UNTREF"/>
    <s v="UNTREF"/>
    <n v="10540.72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BUSTOS CIUCOLI FERNANDA"/>
    <s v="DNI"/>
    <n v="32604139"/>
    <s v="23326041394"/>
    <d v="1986-08-30T00:00:00"/>
    <s v="ASISTENCIA TÉCNICA"/>
    <s v="AT"/>
    <d v="2013-05-01T00:00:00"/>
    <m/>
    <d v="2016-12-31T00:00:00"/>
    <m/>
    <s v="UNTREF"/>
    <s v="UNSAM- LADA"/>
    <n v="19353"/>
  </r>
  <r>
    <s v="SFMyCP"/>
    <x v="0"/>
    <s v="SUBSEC CENTROS TEMATICOS Y EXP FEDERALES"/>
    <s v="DIRECCION NACIONAL DE CENTROS TEMATICOS"/>
    <s v="ARQUITECTURA Y OBRA"/>
    <m/>
    <m/>
    <m/>
    <m/>
    <s v="TECNÓPOLIS"/>
    <m/>
    <s v="BUSTOS Lucas Matías"/>
    <s v="DNI"/>
    <n v="32555604"/>
    <n v="20325556049"/>
    <m/>
    <s v="LEY MARCO"/>
    <s v="LM"/>
    <d v="2013-04-01T00:00:00"/>
    <d v="2016-03-31T00:00:00"/>
    <d v="2016-12-31T00:00:00"/>
    <s v="C0"/>
    <m/>
    <m/>
    <n v="21271"/>
  </r>
  <r>
    <s v="SFMyCP"/>
    <x v="0"/>
    <s v="SUBSEC CENTROS TEMATICOS Y EXP FEDERALES"/>
    <s v="DIRECCION NACIONAL DE CENTROS TEMATICOS"/>
    <s v="COOPERATIVAS"/>
    <m/>
    <m/>
    <s v="Tareas Generales"/>
    <s v="TAREAS EN GENERAL PAÑOL"/>
    <s v="TECNÓPOLIS"/>
    <m/>
    <s v="BUSTOS VIVIANA"/>
    <s v="DNI"/>
    <n v="17862197"/>
    <n v="27178621977"/>
    <m/>
    <s v="ASISTENCIA TÉCNICA"/>
    <s v="CO"/>
    <d v="2014-06-01T00:00:00"/>
    <m/>
    <d v="2016-12-31T00:00:00"/>
    <m/>
    <s v="UNTREF"/>
    <s v="UNTREF"/>
    <n v="170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CABALLERO CACERES JUANA MANUELA"/>
    <s v="DNI"/>
    <n v="35567267"/>
    <n v="27355672676"/>
    <d v="1991-04-24T00:00:00"/>
    <s v="ASISTENCIA TÉCNICA"/>
    <s v="AT"/>
    <d v="2016-05-01T00:00:00"/>
    <m/>
    <d v="2016-12-31T00:00:00"/>
    <m/>
    <s v="UNTREF"/>
    <m/>
    <m/>
  </r>
  <r>
    <s v="SFMyCP"/>
    <x v="1"/>
    <m/>
    <s v="DIR GRAL TECNICA ADMINISTRATIVA Y LEGAL"/>
    <s v="COMPRAS Y CONTRATACIONES"/>
    <m/>
    <m/>
    <m/>
    <s v="ADMINISTRATIVO"/>
    <m/>
    <s v="CCK - Alem 351"/>
    <s v="CABEZA ALMIRON LUCIANO"/>
    <s v="DNI"/>
    <n v="34258772"/>
    <n v="20342587721"/>
    <d v="1988-10-13T00:00:00"/>
    <s v="ASISTENCIA TÉCNICA"/>
    <s v="AT"/>
    <d v="2016-04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COMISION DE SEGUIMIENTO"/>
    <s v="ADMINISTRATIVO"/>
    <s v="CABILDO 65"/>
    <s v="CABILDO 65"/>
    <s v="CABRAL JUAN"/>
    <s v="DNI"/>
    <n v="11566265"/>
    <s v="20115662652"/>
    <d v="1955-03-21T00:00:00"/>
    <s v="ASISTENCIA TÉCNICA"/>
    <s v="AT"/>
    <d v="2012-05-01T00:00:00"/>
    <m/>
    <d v="2016-12-31T00:00:00"/>
    <m/>
    <s v="UNTREF"/>
    <s v="UNSAM- LADA"/>
    <n v="32782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CABRERA  FLAVIA GRACIELA"/>
    <s v="DNI"/>
    <n v="29330355"/>
    <s v="27293303555"/>
    <d v="1982-03-08T00:00:00"/>
    <s v="ASISTENCIA TÉCNICA"/>
    <s v="AT"/>
    <d v="2013-07-01T00:00:00"/>
    <m/>
    <d v="2016-12-31T00:00:00"/>
    <m/>
    <s v="UNTREF"/>
    <s v="UNTREF"/>
    <n v="13450"/>
  </r>
  <r>
    <s v="SFMyCP"/>
    <x v="0"/>
    <s v="SUBSEC CENTROS TEMATICOS Y EXP FEDERALES"/>
    <s v="DIR NAC EXPRESIONES FEDERALES"/>
    <s v="DIRECCION DE GESTION EDILICIA"/>
    <s v="SERVICIOS GENERALES"/>
    <s v="LIMPIEZA (En comisión Tecnópolis)"/>
    <s v="Auxiliar"/>
    <s v="Auxiliar"/>
    <s v="CCK"/>
    <s v="CCK - Alem 351"/>
    <s v="CABRERA VALERIA"/>
    <s v="DNI"/>
    <n v="26071220"/>
    <s v="27260712204"/>
    <d v="1977-10-31T00:00:00"/>
    <s v="ASISTENCIA TÉCNICA"/>
    <s v="AT"/>
    <d v="2015-06-10T00:00:00"/>
    <m/>
    <d v="2016-12-31T00:00:00"/>
    <m/>
    <s v="UNTREF"/>
    <s v="UNTREF"/>
    <n v="10455"/>
  </r>
  <r>
    <s v="SFMyCP"/>
    <x v="0"/>
    <s v="SUBSEC CENTROS TEMATICOS Y EXP FEDERALES"/>
    <s v="DIR NAC EXPRESIONES FEDERALES"/>
    <s v="DIRECCION DE GESTION EDILICIA"/>
    <s v="AUDITORIA Y CONTROL"/>
    <m/>
    <m/>
    <m/>
    <m/>
    <m/>
    <s v="CACCAMO SILVIA GRACIELA"/>
    <s v="DNI"/>
    <n v="11634842"/>
    <m/>
    <m/>
    <m/>
    <s v="LM"/>
    <m/>
    <m/>
    <d v="2016-12-31T00:00:00"/>
    <s v="C1"/>
    <m/>
    <m/>
    <m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CACCIOLA TOMAS"/>
    <s v="DNI"/>
    <n v="33605569"/>
    <s v="20336055696"/>
    <d v="1988-01-11T00:00:00"/>
    <s v="ASISTENCIA TÉCNICA"/>
    <s v="AT"/>
    <d v="2015-05-04T00:00:00"/>
    <m/>
    <d v="2016-12-31T00:00:00"/>
    <m/>
    <s v="UNTREF"/>
    <m/>
    <n v="18795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CACERES LEGUIZAMON SELVA"/>
    <s v="DNI"/>
    <n v="94138946"/>
    <s v="27941389460"/>
    <d v="1986-08-27T00:00:00"/>
    <s v="ASISTENCIA TÉCNICA"/>
    <s v="AT"/>
    <d v="2013-07-01T00:00:00"/>
    <m/>
    <d v="2016-12-31T00:00:00"/>
    <m/>
    <s v="UNTREF"/>
    <s v="UNTREF"/>
    <n v="9995.51"/>
  </r>
  <r>
    <s v="SFMyCP"/>
    <x v="1"/>
    <m/>
    <s v="DIR GRAL TECNICA ADMINISTRATIVA Y LEGAL"/>
    <s v="INFORMATICA Y SISTEMAS"/>
    <m/>
    <m/>
    <s v="COORDINADOR"/>
    <m/>
    <s v="CCK"/>
    <m/>
    <s v="CACERES SASSO NICOLAS"/>
    <s v="DNI"/>
    <n v="36755076"/>
    <n v="20367550768"/>
    <m/>
    <s v="LEY MARCO"/>
    <s v="LM"/>
    <d v="2011-05-01T00:00:00"/>
    <d v="2016-12-31T00:00:00"/>
    <d v="2016-12-31T00:00:00"/>
    <s v="B1"/>
    <m/>
    <m/>
    <n v="18277"/>
  </r>
  <r>
    <s v="SFMyCP"/>
    <x v="1"/>
    <m/>
    <s v="DIR GRAL TECNICA ADMINISTRATIVA Y LEGAL"/>
    <s v="PLANIF  Y ADM DE REC HUMANOS"/>
    <s v="MEDICINA DEL TRABAJO"/>
    <m/>
    <s v="Enfermera/o"/>
    <m/>
    <s v="CCK"/>
    <m/>
    <s v="CAIGUARA NORA VIVIANA"/>
    <s v="DNI"/>
    <n v="21498647"/>
    <n v="27214986472"/>
    <m/>
    <s v="LEY MARCO"/>
    <s v="LM"/>
    <d v="2015-07-16T00:00:00"/>
    <d v="2016-03-31T00:00:00"/>
    <d v="2016-12-31T00:00:00"/>
    <s v="C1"/>
    <m/>
    <m/>
    <n v="13638"/>
  </r>
  <r>
    <s v="SFMyCP"/>
    <x v="0"/>
    <m/>
    <s v="COMUNICACIONES"/>
    <s v="COMUNICACIÓN"/>
    <m/>
    <m/>
    <m/>
    <s v="ADMINISTRATIVO"/>
    <m/>
    <s v="CCK - Alem 351"/>
    <s v="CAJADE VALERIA SOLEDAD"/>
    <s v="DNI"/>
    <n v="26475328"/>
    <s v="27264753282"/>
    <d v="1977-12-29T00:00:00"/>
    <s v="ASISTENCIA TÉCNICA"/>
    <s v="AT"/>
    <d v="2016-01-01T00:00:00"/>
    <m/>
    <d v="2016-12-31T00:00:00"/>
    <m/>
    <s v="UNTREF"/>
    <m/>
    <n v="12000"/>
  </r>
  <r>
    <s v="SFMyCP"/>
    <x v="1"/>
    <m/>
    <s v="DIR GRAL TECNICA ADMINISTRATIVA Y LEGAL"/>
    <m/>
    <m/>
    <m/>
    <m/>
    <s v="ADMINISTRATIVO"/>
    <m/>
    <s v="CCK - Alem 351"/>
    <s v="CALCARAMI EUGENIA"/>
    <s v="DNI"/>
    <n v="21831009"/>
    <n v="27218310090"/>
    <d v="1970-08-13T00:00:00"/>
    <s v="ASISTENCIA TÉCNICA"/>
    <s v="AT"/>
    <d v="2016-07-1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CALCATELLI HERNÁN"/>
    <s v="DNI"/>
    <n v="27184125"/>
    <s v="20271841257"/>
    <d v="1979-02-24T00:00:00"/>
    <s v="ASISTENCIA TÉCNICA"/>
    <s v="AT"/>
    <d v="2012-08-01T00:00:00"/>
    <m/>
    <d v="2016-12-31T00:00:00"/>
    <m/>
    <s v="UNTREF"/>
    <s v="UNSAM- LADA"/>
    <n v="22151"/>
  </r>
  <r>
    <s v="SFMyCP"/>
    <x v="2"/>
    <m/>
    <s v="UNIDAD SECRETARÍA"/>
    <m/>
    <m/>
    <m/>
    <s v="ASISTENTE"/>
    <m/>
    <s v="CCK"/>
    <m/>
    <s v="CALDERON MARIA EUGENIA"/>
    <s v="DNI"/>
    <n v="28030258"/>
    <n v="27280302584"/>
    <m/>
    <s v="LEY MARCO"/>
    <s v="LM"/>
    <d v="2012-12-01T00:00:00"/>
    <d v="2016-12-31T00:00:00"/>
    <d v="2016-12-31T00:00:00"/>
    <s v="A1"/>
    <m/>
    <m/>
    <n v="27000"/>
  </r>
  <r>
    <s v="SFMyCP"/>
    <x v="0"/>
    <s v="SUBSEC CENTROS TEMATICOS Y EXP FEDERALES"/>
    <s v="DIR NAC EXPRESIONES FEDERALES"/>
    <s v="INSTITUCIONALES"/>
    <m/>
    <m/>
    <m/>
    <m/>
    <s v="CCK"/>
    <m/>
    <s v="CALIUSCO PERLA EDITH"/>
    <s v="DNI"/>
    <n v="16668474"/>
    <n v="27166684744"/>
    <m/>
    <s v="LEY MARCO"/>
    <s v="LM"/>
    <d v="2012-12-01T00:00:00"/>
    <d v="2016-12-31T00:00:00"/>
    <d v="2016-12-31T00:00:00"/>
    <s v="C0"/>
    <m/>
    <m/>
    <n v="12000"/>
  </r>
  <r>
    <s v="SFMyCP"/>
    <x v="0"/>
    <s v="SUBSEC CENTROS TEMATICOS Y EXP FEDERALES"/>
    <s v="DIR NAC EXPRESIONES FEDERALES"/>
    <s v="PRODUCCIÓN"/>
    <m/>
    <m/>
    <m/>
    <s v="ADMINISTRATIVA"/>
    <m/>
    <s v="CCK - Alem 351"/>
    <s v="CALVELO ALFREDO"/>
    <s v="DNI"/>
    <n v="92267421"/>
    <n v="20922674214"/>
    <d v="1969-01-12T00:00:00"/>
    <s v="ASISTENCIA TÉCNICA"/>
    <s v="AT"/>
    <d v="2016-04-01T00:00:00"/>
    <m/>
    <d v="2016-12-31T00:00:00"/>
    <m/>
    <s v="UNTREF"/>
    <m/>
    <n v="26000"/>
  </r>
  <r>
    <s v="SFMyCP"/>
    <x v="0"/>
    <m/>
    <s v="UNIDAD SECRETARÍA"/>
    <m/>
    <m/>
    <m/>
    <s v="PRIVADA"/>
    <s v="ADMINISTRATIVO"/>
    <m/>
    <s v="NO ENTREGAR"/>
    <s v="CALZADO, MATÍAS"/>
    <s v="DNI"/>
    <n v="32845128"/>
    <s v="20328451280"/>
    <d v="1986-12-06T00:00:00"/>
    <s v="ASISTENCIA TÉCNICA"/>
    <s v="AT"/>
    <d v="2016-01-01T00:00:00"/>
    <m/>
    <d v="2016-12-31T00:00:00"/>
    <m/>
    <s v="UNTREF"/>
    <s v="UNSAM"/>
    <n v="13000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CAMATS DIEGO"/>
    <s v="DNI"/>
    <n v="27084941"/>
    <s v="20270849416"/>
    <d v="1979-02-01T00:00:00"/>
    <s v="ASISTENCIA TÉCNICA"/>
    <s v="AT"/>
    <d v="2011-08-01T00:00:00"/>
    <m/>
    <d v="2016-12-31T00:00:00"/>
    <m/>
    <s v="UNTREF"/>
    <s v="UNSAM- LADA"/>
    <n v="35111"/>
  </r>
  <r>
    <s v="SFMyCP"/>
    <x v="0"/>
    <m/>
    <s v="UNIDAD SECRETARÍA"/>
    <m/>
    <m/>
    <m/>
    <s v="PRIVADA"/>
    <s v="ADMINISTRATIVO"/>
    <m/>
    <s v="CCK - Alem 351"/>
    <s v="CAMBIAGGI HOLZMANN JOAQUIN ARIEL"/>
    <s v="DNI"/>
    <n v="33209881"/>
    <n v="20332098811"/>
    <m/>
    <m/>
    <s v="AT"/>
    <d v="2016-07-21T00:00:00"/>
    <m/>
    <d v="2016-12-31T00:00:00"/>
    <m/>
    <s v="UNTREF"/>
    <m/>
    <m/>
  </r>
  <r>
    <s v="SFMyCP"/>
    <x v="0"/>
    <s v="SUBSEC CENTROS TEMATICOS Y EXP FEDERALES"/>
    <s v="DIR NAC EXPRESIONES FEDERALES"/>
    <s v="TECNICA"/>
    <m/>
    <m/>
    <m/>
    <s v="OPERACIÓN/MONTAJE/MANTENIMIENTO"/>
    <m/>
    <s v="CCK - Alem 351"/>
    <s v="CAMINOS GONZALEZ JOAQUIN"/>
    <s v="DNI"/>
    <n v="32538637"/>
    <n v="20325386372"/>
    <d v="1986-10-27T00:00:00"/>
    <s v="ASISTENCIA TÉCNICA"/>
    <s v="AT"/>
    <d v="2016-06-01T00:00:00"/>
    <m/>
    <d v="2016-12-31T00:00:00"/>
    <m/>
    <s v="UNTREF"/>
    <m/>
    <m/>
  </r>
  <r>
    <s v="SFMyCP"/>
    <x v="1"/>
    <m/>
    <s v="DIR GRAL TECNICA ADMINISTRATIVA Y LEGAL"/>
    <s v="MESA DE ENTRADA"/>
    <m/>
    <m/>
    <m/>
    <m/>
    <s v="CCK"/>
    <m/>
    <s v="CAMPANA JAVIER"/>
    <s v="DNI"/>
    <n v="36949773"/>
    <n v="20369497732"/>
    <m/>
    <s v="LEY MARCO"/>
    <s v="LM"/>
    <d v="2015-04-01T00:00:00"/>
    <d v="2016-03-31T00:00:00"/>
    <d v="2016-12-31T00:00:00"/>
    <s v="D0"/>
    <m/>
    <m/>
    <n v="10190"/>
  </r>
  <r>
    <s v="SFMyCP"/>
    <x v="1"/>
    <m/>
    <s v="DIR GRAL TECNICA ADMINISTRATIVA Y LEGAL"/>
    <s v="INFORMATICA Y SISTEMAS"/>
    <m/>
    <m/>
    <s v="Analista"/>
    <s v="Analista"/>
    <s v="CCK"/>
    <s v="CCK - Alem 351"/>
    <s v="CANGIANI EMMANUEL"/>
    <s v="DNI"/>
    <n v="36688481"/>
    <s v="20366884816"/>
    <d v="1992-01-17T00:00:00"/>
    <s v="ASISTENCIA TÉCNICA"/>
    <s v="AT"/>
    <d v="2013-11-15T00:00:00"/>
    <m/>
    <d v="2016-12-31T00:00:00"/>
    <m/>
    <s v="UNTREF"/>
    <s v="UNLAM- INFO"/>
    <n v="8981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CANNIZZARO ANA"/>
    <s v="DNI"/>
    <n v="28079864"/>
    <s v="27280798644"/>
    <d v="1980-04-11T00:00:00"/>
    <s v="ASISTENCIA TÉCNICA"/>
    <s v="AT"/>
    <d v="2013-02-01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DIRECCION"/>
    <m/>
    <m/>
    <s v="DESARROLLOS"/>
    <s v="Asistente"/>
    <s v="CCK"/>
    <s v="CCK - Alem 351"/>
    <s v="CANOSA MARICEL"/>
    <s v="DNI"/>
    <n v="34870420"/>
    <s v="27348704201"/>
    <d v="1989-10-03T00:00:00"/>
    <s v="ASISTENCIA TÉCNICA"/>
    <s v="AT"/>
    <d v="2015-07-06T00:00:00"/>
    <m/>
    <d v="2016-12-31T00:00:00"/>
    <m/>
    <s v="UNTREF"/>
    <s v="UNSAM"/>
    <n v="10188"/>
  </r>
  <r>
    <s v="SFMyCP"/>
    <x v="0"/>
    <s v="SUBSEC CENTROS TEMATICOS Y EXP FEDERALES"/>
    <s v="DIRECCION NACIONAL DE CENTROS TEMATICOS"/>
    <s v="TECNICA"/>
    <m/>
    <m/>
    <m/>
    <s v="OPERACIÓN/MONTAJE/MANTENIMIENTO"/>
    <s v="TECNÓPOLIS"/>
    <s v="TECNOPOLIS"/>
    <s v="CARABAJAL ALEJANDRO NICOLAS"/>
    <s v="DNI"/>
    <n v="31292992"/>
    <s v="23312929929"/>
    <d v="1985-01-04T00:00:00"/>
    <s v="ASISTENCIA TÉCNICA"/>
    <s v="AT"/>
    <d v="2015-07-03T00:00:00"/>
    <m/>
    <d v="2016-12-31T00:00:00"/>
    <m/>
    <s v="UNTREF"/>
    <s v="UNTREF"/>
    <n v="15503.4"/>
  </r>
  <r>
    <s v="SFMyCP"/>
    <x v="1"/>
    <m/>
    <s v="DIR GRAL TECNICA ADMINISTRATIVA Y LEGAL"/>
    <s v="PLANIF  Y ADM DE REC HUMANOS"/>
    <s v="RECURSOS HUMANOS"/>
    <m/>
    <s v="Analista Sr de RR.HH."/>
    <m/>
    <s v="CCK"/>
    <m/>
    <s v="CARACINI ANDRES HORACIO"/>
    <s v="DNI"/>
    <n v="20007136"/>
    <n v="20200071361"/>
    <m/>
    <s v="LEY MARCO"/>
    <s v="LM"/>
    <d v="2007-02-01T00:00:00"/>
    <d v="2016-12-31T00:00:00"/>
    <d v="2016-12-31T00:00:00"/>
    <s v="B5"/>
    <m/>
    <m/>
    <n v="25000"/>
  </r>
  <r>
    <s v="SFMyCP"/>
    <x v="0"/>
    <s v="SUBSEC CENTROS TEMATICOS Y EXP FEDERALES"/>
    <s v="DIR NAC EXPRESIONES FEDERALES"/>
    <s v="DIRECCION DE GESTION EDILICIA"/>
    <s v="DIRECCION"/>
    <m/>
    <s v="Asesor"/>
    <m/>
    <s v="CCK"/>
    <m/>
    <s v="CARAM ADRIAN"/>
    <s v="DNI"/>
    <n v="17968607"/>
    <n v="20179686075"/>
    <m/>
    <s v="LEY MARCO"/>
    <s v="LM"/>
    <d v="2015-06-01T00:00:00"/>
    <d v="2016-03-31T00:00:00"/>
    <d v="2016-12-31T00:00:00"/>
    <s v="C1"/>
    <m/>
    <m/>
    <n v="29784"/>
  </r>
  <r>
    <s v="SFMyCP"/>
    <x v="0"/>
    <s v="SUBSEC CENTROS TEMATICOS Y EXP FEDERALES"/>
    <s v="DIR NAC EXPRESIONES FEDERALES"/>
    <s v="DIRECCION DE GESTION EDILICIA"/>
    <s v="SEGURIDAD  "/>
    <m/>
    <s v="Coordinador"/>
    <s v="Coordinador"/>
    <s v="CCK"/>
    <s v="CCK - Alem 351"/>
    <s v="CARCA GUSTAVO"/>
    <s v="DNI"/>
    <n v="11293948"/>
    <n v="20112939483"/>
    <d v="1954-09-16T00:00:00"/>
    <s v="ASISTENCIA TÉCNICA"/>
    <s v="AT"/>
    <d v="2015-05-05T00:00:00"/>
    <m/>
    <d v="2016-12-31T00:00:00"/>
    <m/>
    <s v="UNTREF"/>
    <s v="UNLAM- BICENTENARIO"/>
    <n v="30000"/>
  </r>
  <r>
    <s v="SFMyCP"/>
    <x v="1"/>
    <m/>
    <s v="DIR GRAL TECNICA ADMINISTRATIVA Y LEGAL"/>
    <s v="MESA DE ENTRADA"/>
    <m/>
    <m/>
    <s v="PRIVADA"/>
    <s v="Administrativo"/>
    <m/>
    <s v="TECNOPOLIS"/>
    <s v="CARCATERRA VICTORIA"/>
    <s v="DNI"/>
    <n v="27507704"/>
    <n v="27275077041"/>
    <d v="1979-05-22T00:00:00"/>
    <s v="ASISTENCIA TÉCNICA"/>
    <s v="AT"/>
    <d v="2016-04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FERIAL"/>
    <m/>
    <m/>
    <m/>
    <s v="MANTENIMIENTO GENERAÑ"/>
    <s v="TECNÓPOLIS"/>
    <s v="TECNOPOLIS"/>
    <s v="CARDENES HECTOR DANIEL"/>
    <s v="DNI"/>
    <n v="31091613"/>
    <s v="20310916138"/>
    <d v="1984-10-13T00:00:00"/>
    <s v="ASISTENCIA TÉCNICA"/>
    <s v="AT"/>
    <d v="2015-09-01T00:00:00"/>
    <m/>
    <d v="2016-12-31T00:00:00"/>
    <m/>
    <s v="UNTREF"/>
    <s v="UNTREF"/>
    <n v="8035.31"/>
  </r>
  <r>
    <s v="SFMyCP"/>
    <x v="1"/>
    <m/>
    <s v="DIR GRAL TECNICA ADMINISTRATIVA Y LEGAL"/>
    <m/>
    <m/>
    <m/>
    <s v="JGM"/>
    <s v="ADMINISTRATIVO"/>
    <m/>
    <s v="CCK - Alem 351"/>
    <s v="CARDERO HORACIO"/>
    <s v="DNI"/>
    <n v="7374442"/>
    <n v="20073744424"/>
    <d v="1948-12-05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CARDOZO  GRACIELA DELMIRA"/>
    <s v="DNI"/>
    <n v="20341389"/>
    <s v="27203413896"/>
    <d v="1986-07-14T00:00:00"/>
    <s v="ASISTENCIA TÉCNICA"/>
    <s v="AT"/>
    <d v="2012-07-01T00:00:00"/>
    <m/>
    <d v="2016-12-31T00:00:00"/>
    <m/>
    <s v="UNTREF"/>
    <s v="UNTREF"/>
    <n v="9955.51"/>
  </r>
  <r>
    <s v="SFMyCP"/>
    <x v="1"/>
    <m/>
    <s v="DIR GRAL TECNICA ADMINISTRATIVA Y LEGAL"/>
    <s v="INFORMATICA Y SISTEMAS"/>
    <m/>
    <m/>
    <s v="ASESORA"/>
    <s v="Analista"/>
    <s v="CCK"/>
    <s v="CCK - Alem 351"/>
    <s v="CARDOZO ANDREA"/>
    <s v="DNI"/>
    <n v="25284962"/>
    <s v="27252849624"/>
    <d v="1976-05-28T00:00:00"/>
    <s v="ASISTENCIA TÉCNICA"/>
    <s v="AT"/>
    <m/>
    <m/>
    <d v="2016-12-31T00:00:00"/>
    <m/>
    <s v="UNTREF"/>
    <s v="UNLAM- INFO"/>
    <n v="14014"/>
  </r>
  <r>
    <s v="SFMyCP"/>
    <x v="0"/>
    <s v="SUBSEC CENTROS TEMATICOS Y EXP FEDERALES"/>
    <s v="DIR NAC EXPRESIONES FEDERALES"/>
    <s v="TECNICA"/>
    <s v="MONTAJE"/>
    <m/>
    <m/>
    <s v="ADMINISTRATIVO"/>
    <m/>
    <s v="CCK - Alem 351"/>
    <s v="CARDOZO EDUARDO HERNAN"/>
    <s v="DNI"/>
    <n v="25051947"/>
    <n v="20250519479"/>
    <d v="1976-04-01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CARDUS MARIA MOHORADE"/>
    <s v="DNI"/>
    <n v="33022528"/>
    <n v="27330225284"/>
    <d v="1987-05-19T00:00:00"/>
    <s v="ASISTENCIA TÉCNICA"/>
    <s v="AT"/>
    <m/>
    <m/>
    <d v="2016-12-31T00:00:00"/>
    <m/>
    <s v="UNTREF"/>
    <m/>
    <m/>
  </r>
  <r>
    <s v="SFMyCP"/>
    <x v="1"/>
    <m/>
    <s v="DIR GRAL TECNICA ADMINISTRATIVA Y LEGAL"/>
    <s v="JURIDICOS"/>
    <m/>
    <s v="(IGUALDAD CULTURAL)"/>
    <s v="ASESORA LEGAL"/>
    <m/>
    <s v="CCK"/>
    <m/>
    <s v="CARELLO SABRINA"/>
    <s v="DNI"/>
    <n v="28964645"/>
    <n v="27289646456"/>
    <m/>
    <s v="LEY MARCO"/>
    <s v="LM"/>
    <d v="2008-11-01T00:00:00"/>
    <d v="2016-12-31T00:00:00"/>
    <d v="2016-12-31T00:00:00"/>
    <s v="B2"/>
    <m/>
    <m/>
    <n v="18334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CARINI DIEGO"/>
    <s v="DNI"/>
    <n v="23124300"/>
    <s v="20231243004"/>
    <d v="1973-01-11T00:00:00"/>
    <s v="ASISTENCIA TÉCNICA"/>
    <s v="AT"/>
    <d v="2015-03-02T00:00:00"/>
    <m/>
    <d v="2016-12-31T00:00:00"/>
    <m/>
    <s v="UNTREF"/>
    <m/>
    <n v="20989"/>
  </r>
  <r>
    <s v="SFMyCP"/>
    <x v="0"/>
    <s v="SUBSEC CENTROS TEMATICOS Y EXP FEDERALES"/>
    <s v="DIR NAC EXPRESIONES FEDERALES"/>
    <s v="AUDIOVISUALES"/>
    <m/>
    <m/>
    <m/>
    <m/>
    <s v="CCK"/>
    <s v="CCK - Alem 351"/>
    <s v="CARNEVALE  María Luciana"/>
    <s v="DNI"/>
    <n v="31829624"/>
    <n v="27318296249"/>
    <m/>
    <s v="LEY MARCO"/>
    <s v="LM"/>
    <d v="2012-11-30T00:00:00"/>
    <d v="2016-12-31T00:00:00"/>
    <d v="2016-12-31T00:00:00"/>
    <s v="C0"/>
    <m/>
    <m/>
    <n v="22174"/>
  </r>
  <r>
    <s v="SFMyCP"/>
    <x v="0"/>
    <m/>
    <s v="COMUNICACIONES"/>
    <s v="COMUNICACIÓN"/>
    <m/>
    <m/>
    <m/>
    <s v="ADMINISTRATIVO"/>
    <m/>
    <s v="CCK - Alem 351"/>
    <s v="CARPENA NICOLAS"/>
    <s v="DNI"/>
    <n v="25701825"/>
    <s v="20257018254"/>
    <d v="1977-01-15T00:00:00"/>
    <s v="ASISTENCIA TÉCNICA"/>
    <s v="AT"/>
    <d v="2016-03-01T00:00:00"/>
    <m/>
    <d v="2016-12-31T00:00:00"/>
    <m/>
    <s v="UNTREF"/>
    <m/>
    <n v="12000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CARRILLO FELIX EDUARDO"/>
    <s v="DNI"/>
    <n v="30029488"/>
    <n v="20300294880"/>
    <d v="1983-10-21T00:00:00"/>
    <s v="ASISTENCIA TÉCNICA"/>
    <s v="AT"/>
    <d v="2015-09-01T00:00:00"/>
    <m/>
    <d v="2016-12-31T00:00:00"/>
    <m/>
    <s v="UNTREF"/>
    <s v="UNSAM"/>
    <n v="13000"/>
  </r>
  <r>
    <s v="SFMyCP"/>
    <x v="0"/>
    <s v="SUBSEC CENTROS TEMATICOS Y EXP FEDERALES"/>
    <s v="DIR NAC EXPRESIONES FEDERALES"/>
    <s v="DIRECCION DE GESTION EDILICIA"/>
    <s v="SERVICIOS GENERALES"/>
    <s v="ACCESO ALEM"/>
    <s v="Asistente"/>
    <s v="Asistente"/>
    <s v="CCK"/>
    <s v="CCK - Alem 351"/>
    <s v="CARRUTHERS FEDERICO"/>
    <s v="DNI"/>
    <n v="37274121"/>
    <s v="20372741210"/>
    <d v="1992-12-28T00:00:00"/>
    <s v="ASISTENCIA TÉCNICA"/>
    <s v="AT"/>
    <d v="2015-08-01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m/>
    <m/>
    <m/>
    <m/>
    <s v="MANTENIMIENTO DE ESPACIOS VERDES"/>
    <m/>
    <s v="TECNOPOLIS"/>
    <s v="CARUSO DIEGO EZEQUIEL"/>
    <s v="DNI"/>
    <n v="38423281"/>
    <s v="20384232818"/>
    <d v="1994-07-20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CASADO MARIANO"/>
    <s v="DNI"/>
    <n v="33305513"/>
    <s v="23333055139"/>
    <d v="1987-08-10T00:00:00"/>
    <s v="ASISTENCIA TÉCNICA"/>
    <s v="AT"/>
    <d v="2012-05-01T00:00:00"/>
    <m/>
    <d v="2016-12-31T00:00:00"/>
    <m/>
    <s v="UNTREF"/>
    <m/>
    <n v="19987"/>
  </r>
  <r>
    <s v="SFMyCP"/>
    <x v="0"/>
    <s v="SUBSEC CENTROS TEMATICOS Y EXP FEDERALES"/>
    <s v="DIR NAC EXPRESIONES FEDERALES"/>
    <s v="COMUNICACIÓN"/>
    <s v="PRENSA"/>
    <m/>
    <m/>
    <s v="ADMINISTRATIVO"/>
    <m/>
    <s v="CCK - Alem 351"/>
    <s v="CASAK ANDRES"/>
    <s v="DNI"/>
    <n v="23470508"/>
    <n v="20234705084"/>
    <d v="1973-08-19T00:00:00"/>
    <s v="ASISTENCIA TÉCNICA"/>
    <s v="AT"/>
    <d v="2016-05-15T00:00:00"/>
    <m/>
    <d v="2016-12-31T00:00:00"/>
    <m/>
    <s v="UNTREF"/>
    <m/>
    <n v="17000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CASCO GUILLERMO"/>
    <s v="DNI"/>
    <n v="29721412"/>
    <s v="20297214129"/>
    <d v="1982-11-22T00:00:00"/>
    <s v="ASISTENCIA TÉCNICA"/>
    <s v="AT"/>
    <d v="2012-04-16T00:00:00"/>
    <m/>
    <d v="2016-12-31T00:00:00"/>
    <m/>
    <s v="UNTREF"/>
    <s v="UNSAM- LADA"/>
    <n v="25763"/>
  </r>
  <r>
    <s v="SFMyCP"/>
    <x v="0"/>
    <s v="SUBSEC CENTROS TEMATICOS Y EXP FEDERALES"/>
    <s v="DIRECCION NACIONAL DE CENTROS TEMATICOS"/>
    <s v="ADMINISTRACION- RRHH"/>
    <m/>
    <m/>
    <s v="ADMINISTRATIVO"/>
    <m/>
    <s v="TECNÓPOLIS"/>
    <m/>
    <s v="CASTELLI Carla"/>
    <s v="DNI"/>
    <n v="36702151"/>
    <n v="27367021514"/>
    <m/>
    <s v="LEY MARCO"/>
    <s v="LM"/>
    <d v="2010-11-01T00:00:00"/>
    <d v="2016-12-31T00:00:00"/>
    <d v="2016-12-31T00:00:00"/>
    <s v="C1"/>
    <m/>
    <m/>
    <n v="22491"/>
  </r>
  <r>
    <s v="SFMyCP"/>
    <x v="0"/>
    <s v="SUBSEC CENTROS TEMATICOS Y EXP FEDERALES"/>
    <s v="DIR NAC EXPRESIONES FEDERALES"/>
    <s v="TECNICA"/>
    <m/>
    <m/>
    <m/>
    <s v="OPERACIÓN/MONTAJE/MANTENIMIENTO"/>
    <m/>
    <s v="CCK - Alem 351"/>
    <s v="CASTELLUCCI MARIANA"/>
    <s v="DNI"/>
    <n v="27627728"/>
    <n v="20276277281"/>
    <d v="1979-08-22T00:00:00"/>
    <s v="ASISTENCIA TÉCNICA"/>
    <s v="AT"/>
    <d v="2016-07-01T00:00:00"/>
    <m/>
    <d v="2016-08-31T00:00:00"/>
    <m/>
    <s v="UNTREF"/>
    <m/>
    <m/>
  </r>
  <r>
    <s v="SFMyCP"/>
    <x v="0"/>
    <s v="SUBSEC CENTROS TEMATICOS Y EXP FEDERALES"/>
    <s v="DIR NAC EXPRESIONES FEDERALES"/>
    <s v="DIRECCION DE GESTION EDILICIA"/>
    <s v="SERVICIOS GENERALES"/>
    <s v="ACCESO BOUCHARD"/>
    <s v="Asistente"/>
    <s v="Asistente"/>
    <s v="CCK"/>
    <s v="CCK - Alem 351"/>
    <s v="CASTIELLO NICOLAS"/>
    <s v="DNI"/>
    <n v="36948427"/>
    <s v="20369484274"/>
    <d v="1992-09-16T00:00:00"/>
    <s v="ASISTENCIA TÉCNICA"/>
    <s v="AT"/>
    <d v="2015-08-01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s v="GASTRONOMIA"/>
    <m/>
    <m/>
    <s v="COCINA"/>
    <s v="SUPERVISÓN CONTROL DE CALIDAD DE MERCADERÍA/ISO"/>
    <s v="TECNÓPOLIS"/>
    <s v="TECNOPOLIS"/>
    <s v="CASTILLO  MARIA ANGELES"/>
    <s v="DNI"/>
    <n v="29582611"/>
    <s v="27295826113"/>
    <d v="1982-06-10T00:00:00"/>
    <s v="ASISTENCIA TÉCNICA"/>
    <s v="AT"/>
    <d v="2015-07-01T00:00:00"/>
    <m/>
    <d v="2016-12-31T00:00:00"/>
    <m/>
    <s v="UNTREF"/>
    <s v="UNTREF"/>
    <n v="9500"/>
  </r>
  <r>
    <s v="SFMyCP"/>
    <x v="0"/>
    <s v="SUBSEC CENTROS TEMATICOS Y EXP FEDERALES"/>
    <s v="DIR NAC EXPRESIONES FEDERALES"/>
    <s v="DIRECCION DE GESTION EDILICIA"/>
    <s v="MANTENIMIENTO"/>
    <s v="LOGISTICA OPERATIVA"/>
    <s v="Auxiliar de Mantenimiento"/>
    <s v="Auxiliar de Mantenimiento"/>
    <s v="CCK"/>
    <s v="CCK - Alem 351"/>
    <s v="CASTILLO ENZO"/>
    <s v="DNI"/>
    <n v="23490897"/>
    <n v="20234908972"/>
    <d v="1990-05-15T00:00:00"/>
    <s v="ASISTENCIA TÉCNICA"/>
    <s v="AT"/>
    <d v="2015-07-03T00:00:00"/>
    <m/>
    <d v="2016-12-31T00:00:00"/>
    <m/>
    <s v="UNTREF"/>
    <s v="UNLAM- BICENTENARIO"/>
    <n v="10166"/>
  </r>
  <r>
    <s v="SFMyCP"/>
    <x v="0"/>
    <s v="SUBSEC CENTROS TEMATICOS Y EXP FEDERALES"/>
    <s v="DIRECCION NACIONAL DE CENTROS TEMATICOS"/>
    <s v="INTENDENCIA - LIMPIEZA"/>
    <m/>
    <m/>
    <m/>
    <s v="LIMPIEZA DE OFICINAS/BAÑOS Y CAFETARIA DEL IBC"/>
    <s v="CCK"/>
    <s v="CCK - Alem 351"/>
    <s v="CASTRO  MARIA INES"/>
    <s v="DNI"/>
    <n v="13165661"/>
    <s v="27131656616"/>
    <d v="1957-04-07T00:00:00"/>
    <s v="ASISTENCIA TÉCNICA"/>
    <s v="AT"/>
    <d v="2013-07-01T00:00:00"/>
    <m/>
    <d v="2016-12-31T00:00:00"/>
    <m/>
    <s v="UNTREF"/>
    <s v="UNTREF"/>
    <n v="9995.51"/>
  </r>
  <r>
    <s v="SFMyCP"/>
    <x v="0"/>
    <m/>
    <s v="DIR NAC GENERACION DE CONTENIDOS"/>
    <s v="INV. AP. RECURSOS DIGITALES"/>
    <s v="CTRO INV PALPALA"/>
    <m/>
    <s v="GESTION DE PROYECTOS"/>
    <s v="ANALISTA"/>
    <s v="PALPALÁ-JUJUY"/>
    <s v="PALPALÁ-JUJUY"/>
    <s v="CASTRO ABRAHAM"/>
    <s v="DNI"/>
    <n v="25287129"/>
    <n v="20252871293"/>
    <d v="1976-07-15T00:00:00"/>
    <s v="ASISTENCIA TÉCNICA"/>
    <s v="AT"/>
    <d v="2015-09-01T00:00:00"/>
    <m/>
    <d v="2016-12-31T00:00:00"/>
    <m/>
    <s v="UNTREF"/>
    <s v="UNSAM"/>
    <n v="11500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CASTRO ANALIA"/>
    <s v="DNI"/>
    <n v="25325251"/>
    <s v="27253252516"/>
    <d v="1976-07-21T00:00:00"/>
    <s v="ASISTENCIA TÉCNICA"/>
    <s v="AT"/>
    <d v="2013-03-01T00:00:00"/>
    <m/>
    <d v="2016-12-31T00:00:00"/>
    <m/>
    <s v="UNTREF"/>
    <s v="UNSAM- LADA"/>
    <n v="19353"/>
  </r>
  <r>
    <s v="SFMyCP"/>
    <x v="0"/>
    <s v="SUBSEC CENTROS TEMATICOS Y EXP FEDERALES"/>
    <s v="DIR NAC EXPRESIONES FEDERALES"/>
    <s v="AUDIOVISUALES"/>
    <m/>
    <m/>
    <m/>
    <m/>
    <s v="TECNÓPOLIS"/>
    <m/>
    <s v="CASTRO Diego Fernando"/>
    <s v="DNI"/>
    <n v="22885684"/>
    <n v="20228856844"/>
    <m/>
    <s v="LEY MARCO"/>
    <s v="LM"/>
    <d v="2011-07-01T00:00:00"/>
    <d v="2016-12-31T00:00:00"/>
    <d v="2016-12-31T00:00:00"/>
    <s v="C0"/>
    <m/>
    <m/>
    <n v="28848.48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CATERBERG LEANDRO"/>
    <s v="DNI"/>
    <n v="30930552"/>
    <s v="20309305524"/>
    <d v="1984-04-11T00:00:00"/>
    <s v="ASISTENCIA TÉCNICA"/>
    <s v="AT"/>
    <d v="2013-04-13T00:00:00"/>
    <m/>
    <d v="2016-12-31T00:00:00"/>
    <m/>
    <s v="UNTREF"/>
    <s v="UNSAM- LADA"/>
    <n v="19353"/>
  </r>
  <r>
    <s v="SFMyCP"/>
    <x v="0"/>
    <s v="SUBSEC CENTROS TEMATICOS Y EXP FEDERALES"/>
    <s v="DIR NAC EXPRESIONES FEDERALES"/>
    <s v="AUDIOVISUALES"/>
    <m/>
    <m/>
    <m/>
    <m/>
    <s v="CCK"/>
    <s v="CCK - Alem 351"/>
    <s v="CATTANEO Juan Ignacio"/>
    <s v="DNI"/>
    <n v="30862762"/>
    <n v="20308627625"/>
    <m/>
    <s v="LEY MARCO"/>
    <s v="LM"/>
    <d v="2012-11-30T00:00:00"/>
    <d v="2016-12-31T00:00:00"/>
    <d v="2016-12-31T00:00:00"/>
    <s v="D0"/>
    <m/>
    <m/>
    <n v="18724.21"/>
  </r>
  <r>
    <s v="SFMyCP"/>
    <x v="0"/>
    <m/>
    <s v="DIR DE COOPERACION INTERNACIONAL"/>
    <m/>
    <m/>
    <m/>
    <s v="DIRECTOR"/>
    <s v="COORDINACIÖN"/>
    <m/>
    <s v="CCK - Alem 351"/>
    <s v="CAVA, FERNANDA"/>
    <s v="DNI"/>
    <n v="21588783"/>
    <n v="27215887834"/>
    <d v="1970-06-26T00:00:00"/>
    <s v="ASISTENCIA TÉCNICA"/>
    <s v="AT"/>
    <d v="2016-01-01T00:00:00"/>
    <m/>
    <d v="2016-12-31T00:00:00"/>
    <m/>
    <s v="UNTREF"/>
    <s v="UNSAM"/>
    <n v="27000"/>
  </r>
  <r>
    <s v="SFMyCP"/>
    <x v="0"/>
    <m/>
    <s v="UNIDAD SECRETARÍA"/>
    <m/>
    <m/>
    <m/>
    <s v="ASISTENTE"/>
    <m/>
    <s v="CCK"/>
    <m/>
    <s v="CELANO  JUAN MANUEL"/>
    <s v="DNI"/>
    <n v="28792441"/>
    <n v="20287924411"/>
    <m/>
    <s v="LEY MARCO"/>
    <s v="LM"/>
    <d v="2015-05-01T00:00:00"/>
    <d v="2016-03-31T00:00:00"/>
    <d v="2016-12-31T00:00:00"/>
    <s v="B0"/>
    <m/>
    <m/>
    <n v="17107"/>
  </r>
  <r>
    <s v="SFMyCP"/>
    <x v="0"/>
    <s v="SUBSEC CENTROS TEMATICOS Y EXP FEDERALES"/>
    <s v="DIRECCION NACIONAL DE CENTROS TEMATICOS"/>
    <s v="INTENDENCIA - TALLERES"/>
    <m/>
    <m/>
    <m/>
    <s v="ATENCIÓN DE MOSTRADOR"/>
    <s v="TECNÓPOLIS"/>
    <s v="TECNOPOLIS"/>
    <s v="CENA RODOLFO ELIAS"/>
    <s v="DNI"/>
    <n v="38854457"/>
    <s v="20388544571"/>
    <d v="1995-05-24T00:00:00"/>
    <s v="ASISTENCIA TÉCNICA"/>
    <s v="AT"/>
    <d v="2013-08-01T00:00:00"/>
    <m/>
    <d v="2016-12-31T00:00:00"/>
    <m/>
    <s v="UNTREF"/>
    <s v="UNTREF"/>
    <n v="11449.4"/>
  </r>
  <r>
    <s v="SFMyCP"/>
    <x v="1"/>
    <m/>
    <s v="DIR GRAL TECNICA ADMINISTRATIVA Y LEGAL"/>
    <s v="PLANIF  Y ADM DE REC HUMANOS"/>
    <s v="RECURSOS HUMANOS"/>
    <m/>
    <s v="Analista de RR.HH."/>
    <s v="ADMINISTRATIVO"/>
    <s v="CCK"/>
    <s v="CCK - Alem 351"/>
    <s v="CERINI CAROLINA "/>
    <s v="DNI"/>
    <n v="27259209"/>
    <s v="27272592093"/>
    <d v="1979-04-19T00:00:00"/>
    <s v="ASISTENCIA TÉCNICA"/>
    <s v="AT"/>
    <d v="2015-09-11T00:00:00"/>
    <m/>
    <d v="2016-12-31T00:00:00"/>
    <m/>
    <s v="UNTREF"/>
    <s v="UNLAM -TDA"/>
    <n v="10910"/>
  </r>
  <r>
    <s v="SFMyCP"/>
    <x v="1"/>
    <m/>
    <s v="DIR GRAL TECNICA ADMINISTRATIVA Y LEGAL"/>
    <s v="INFORMATICA Y SISTEMAS"/>
    <m/>
    <m/>
    <m/>
    <m/>
    <m/>
    <m/>
    <s v="CERNIUS GUSTAVO ALBERTO"/>
    <s v="DNI"/>
    <n v="21915097"/>
    <n v="20219150971"/>
    <m/>
    <s v="LEY MARCO"/>
    <s v="LM"/>
    <d v="2015-03-01T00:00:00"/>
    <d v="2016-03-31T00:00:00"/>
    <d v="2016-12-31T00:00:00"/>
    <s v="B1"/>
    <m/>
    <m/>
    <n v="18277"/>
  </r>
  <r>
    <s v="SFMyCP"/>
    <x v="0"/>
    <s v="SUBSEC CENTROS TEMATICOS Y EXP FEDERALES"/>
    <s v="DIR NAC EXPRESIONES FEDERALES"/>
    <s v="INSTITUCIONALES"/>
    <m/>
    <m/>
    <s v="Asistente funcional"/>
    <s v="asistente funcional"/>
    <s v="CCK"/>
    <s v="CCK - Alem 351"/>
    <s v="CES OZAN CAROLINA"/>
    <s v="DNI"/>
    <n v="35172281"/>
    <s v="27351722814"/>
    <d v="1990-04-10T00:00:00"/>
    <s v="ASISTENCIA TÉCNICA"/>
    <s v="AT"/>
    <d v="2013-09-02T00:00:00"/>
    <m/>
    <d v="2016-12-31T00:00:00"/>
    <m/>
    <s v="UNTREF"/>
    <s v="UNLAM- DGA"/>
    <n v="11728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CESPEDES MARICONDA VICTORIA"/>
    <s v="DNI"/>
    <n v="33761570"/>
    <n v="27337615703"/>
    <d v="1988-10-18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CHACON PABLO GREGORIO"/>
    <s v="DNI"/>
    <n v="30012181"/>
    <n v="20300121811"/>
    <d v="1983-04-28T00:00:00"/>
    <s v="ASISTENCIA TÉCNICA"/>
    <s v="AT"/>
    <d v="2015-09-01T00:00:00"/>
    <m/>
    <d v="2016-12-31T00:00:00"/>
    <m/>
    <s v="UNTREF"/>
    <s v="UNSAM"/>
    <n v="11500"/>
  </r>
  <r>
    <s v="SFMyCP"/>
    <x v="0"/>
    <s v="SUBSEC CENTROS TEMATICOS Y EXP FEDERALES"/>
    <s v="DIRECCION NACIONAL DE CENTROS TEMATICOS"/>
    <s v="INTENDENCIA -MESA DE AYUDA"/>
    <m/>
    <m/>
    <m/>
    <m/>
    <s v="TECNÓPOLIS"/>
    <m/>
    <s v="CHAPARRO Yanina"/>
    <s v="DNI"/>
    <n v="28620660"/>
    <n v="27286206609"/>
    <m/>
    <s v="LEY MARCO"/>
    <s v="LM"/>
    <d v="2012-11-30T00:00:00"/>
    <d v="2016-12-31T00:00:00"/>
    <d v="2016-12-31T00:00:00"/>
    <s v="D0"/>
    <m/>
    <m/>
    <n v="22781.79"/>
  </r>
  <r>
    <s v="SFMyCP"/>
    <x v="0"/>
    <s v="SUBSEC CENTROS TEMATICOS Y EXP FEDERALES"/>
    <s v="DIRECCION NACIONAL DE CENTROS TEMATICOS"/>
    <s v="TECNICA"/>
    <m/>
    <m/>
    <m/>
    <s v="PRODUCCIÓN DE CAMPO/LOGISTICA/ARMADO"/>
    <s v="TECNÓPOLIS"/>
    <s v="TECNOPOLIS"/>
    <s v="CHAVES  JUAN CARLOS"/>
    <s v="DNI"/>
    <n v="17110640"/>
    <s v="20171106401"/>
    <d v="1964-12-13T00:00:00"/>
    <s v="ASISTENCIA TÉCNICA"/>
    <s v="AT"/>
    <d v="2013-03-06T00:00:00"/>
    <m/>
    <d v="2016-12-31T00:00:00"/>
    <m/>
    <s v="UNTREF"/>
    <s v="UNTREF"/>
    <n v="17694.53"/>
  </r>
  <r>
    <s v="SFMyCP"/>
    <x v="0"/>
    <s v="SUBSEC CENTROS TEMATICOS Y EXP FEDERALES"/>
    <s v="DIRECCION NACIONAL DE CENTROS TEMATICOS"/>
    <s v="OPERATIVA"/>
    <m/>
    <m/>
    <m/>
    <m/>
    <s v="TECNÓPOLIS"/>
    <m/>
    <s v="CHAVES Anahí Soledad"/>
    <s v="DNI"/>
    <n v="38128842"/>
    <n v="27381288426"/>
    <m/>
    <s v="LEY MARCO"/>
    <s v="LM"/>
    <d v="2012-11-30T00:00:00"/>
    <d v="2016-12-31T00:00:00"/>
    <d v="2016-12-31T00:00:00"/>
    <s v="C0"/>
    <m/>
    <m/>
    <n v="15043.07"/>
  </r>
  <r>
    <s v="SFMyCP"/>
    <x v="0"/>
    <s v="SUBSEC CENTROS TEMATICOS Y EXP FEDERALES"/>
    <s v="DIR NAC EXPRESIONES FEDERALES"/>
    <s v="DIRECCION DE GESTION EDILICIA"/>
    <s v="OPERATIVA Y LOGISTICA"/>
    <s v="LIMPIEZA (En comisión Tecnópolis)"/>
    <s v="Asistente"/>
    <s v="OPERATIVA Y LOGISTICA"/>
    <s v="CCK"/>
    <s v="CCK - Alem 351"/>
    <s v="CHEMES, MARIANO"/>
    <s v="DNI"/>
    <n v="34435620"/>
    <s v="20344356204"/>
    <d v="1978-11-04T00:00:00"/>
    <s v="ASISTENCIA TÉCNICA"/>
    <s v="AT"/>
    <d v="2015-06-10T00:00:00"/>
    <m/>
    <d v="2016-12-31T00:00:00"/>
    <m/>
    <s v="UNTREF"/>
    <s v="UNTREF"/>
    <n v="10500"/>
  </r>
  <r>
    <s v="SFMyCP"/>
    <x v="0"/>
    <m/>
    <s v="DIR NAC GENERACION DE CONTENIDOS"/>
    <s v="TELEVISION DIGITAL ABIERTA"/>
    <s v="CIARA"/>
    <m/>
    <s v="PANORAMA ARGENTINO"/>
    <s v="PRODUCTOR de EXTERIORES"/>
    <s v="CABILDO 65"/>
    <s v="CABILDO 65"/>
    <s v="CHIMENTON LOURDES"/>
    <s v="DNI"/>
    <n v="27108257"/>
    <s v="27271082571"/>
    <d v="1979-03-27T00:00:00"/>
    <s v="ASISTENCIA TÉCNICA"/>
    <s v="AT"/>
    <d v="2011-09-26T00:00:00"/>
    <m/>
    <d v="2016-12-31T00:00:00"/>
    <m/>
    <s v="UNTREF"/>
    <s v="UNSAM- LADA"/>
    <n v="31238"/>
  </r>
  <r>
    <s v="SFMyCP"/>
    <x v="0"/>
    <s v="SUBSEC CENTROS TEMATICOS Y EXP FEDERALES"/>
    <s v="DIRECCION NACIONAL DE CENTROS TEMATICOS"/>
    <s v="ARQUITECTURA Y OBRA"/>
    <m/>
    <m/>
    <m/>
    <m/>
    <s v="TECNÓPOLIS"/>
    <m/>
    <s v="CHIOCCONI Carlos Alberto"/>
    <s v="DNI"/>
    <n v="11230423"/>
    <n v="20112304232"/>
    <m/>
    <s v="LEY MARCO"/>
    <s v="LM"/>
    <d v="2012-12-01T00:00:00"/>
    <d v="2016-12-31T00:00:00"/>
    <d v="2016-12-31T00:00:00"/>
    <s v="B5"/>
    <m/>
    <m/>
    <n v="25047.11"/>
  </r>
  <r>
    <s v="SFMyCP"/>
    <x v="0"/>
    <m/>
    <s v="DIR NAC GENERACION DE CONTENIDOS"/>
    <s v="TELEVISION DIGITAL ABIERTA"/>
    <s v="CIARA"/>
    <m/>
    <s v="ADMINISTRACIÓN"/>
    <m/>
    <s v="CABILDO 65"/>
    <m/>
    <s v="CHRISTENSEN ANDREA VANINA"/>
    <s v="DNI"/>
    <n v="30220115"/>
    <n v="27302201159"/>
    <m/>
    <s v="LEY MARCO"/>
    <s v="LM"/>
    <d v="2012-12-01T00:00:00"/>
    <d v="2016-12-31T00:00:00"/>
    <d v="2016-12-31T00:00:00"/>
    <s v="C1"/>
    <m/>
    <m/>
    <n v="12274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CIARLANTINI DARIO"/>
    <s v="DNI"/>
    <n v="36086015"/>
    <s v="23360860159"/>
    <d v="1991-10-01T00:00:00"/>
    <s v="ASISTENCIA TÉCNICA"/>
    <s v="AT"/>
    <d v="2013-03-01T00:00:00"/>
    <m/>
    <d v="2016-12-31T00:00:00"/>
    <m/>
    <s v="UNTREF"/>
    <s v="UNSAM- LADA"/>
    <n v="19353"/>
  </r>
  <r>
    <s v="SFMyCP"/>
    <x v="1"/>
    <m/>
    <s v="UNIDAD DE MINISTRO"/>
    <m/>
    <m/>
    <m/>
    <s v="PRIVADA"/>
    <s v="ADMINISTRATIVO"/>
    <m/>
    <s v="CCK - Alem 351"/>
    <s v="CIBEIRA, MARIA"/>
    <s v="DNI"/>
    <n v="16975219"/>
    <s v="27169752198"/>
    <d v="1964-04-17T00:00:00"/>
    <s v="ASISTENCIA TÉCNICA"/>
    <s v="AT"/>
    <d v="2016-01-01T00:00:00"/>
    <m/>
    <d v="2016-12-31T00:00:00"/>
    <m/>
    <s v="UNTREF"/>
    <s v="UNSAM"/>
    <n v="17000"/>
  </r>
  <r>
    <s v="SFMyCP"/>
    <x v="0"/>
    <s v="SUBSEC CENTROS TEMATICOS Y EXP FEDERALES"/>
    <s v="DIR NAC EXPRESIONES FEDERALES"/>
    <s v="DIRECCION DE GESTION EDILICIA"/>
    <s v="SEGURIDAD E HIGIENE"/>
    <m/>
    <s v="Asistente"/>
    <s v="Asistente"/>
    <s v="CCK"/>
    <s v="CCK - Alem 351"/>
    <s v="CICCOTOSTTO ROMINA"/>
    <s v="DNI"/>
    <n v="18882003"/>
    <s v="23188820034"/>
    <d v="1989-05-10T00:00:00"/>
    <s v="ASISTENCIA TÉCNICA"/>
    <s v="AT"/>
    <d v="2014-02-01T00:00:00"/>
    <m/>
    <d v="2016-12-31T00:00:00"/>
    <m/>
    <s v="UNTREF"/>
    <s v="UNLAM- DGA"/>
    <n v="10807"/>
  </r>
  <r>
    <s v="SFMyCP"/>
    <x v="0"/>
    <s v="SUBSEC CENTROS TEMATICOS Y EXP FEDERALES"/>
    <s v="DIR NAC EXPRESIONES FEDERALES"/>
    <s v="PRODUCCIÓN"/>
    <m/>
    <m/>
    <s v="Coordinación"/>
    <s v="ADMINISTRATIVA"/>
    <s v="CCK"/>
    <s v="CCK - Alem 351"/>
    <s v="CIORDIA, GENOVEVA SUSANA"/>
    <s v="DNI"/>
    <n v="16975165"/>
    <s v="27169751655"/>
    <d v="1964-06-10T00:00:00"/>
    <s v="ASISTENCIA TÉCNICA"/>
    <s v="AT"/>
    <d v="2015-12-01T00:00:00"/>
    <m/>
    <d v="2016-12-31T00:00:00"/>
    <m/>
    <s v="UNTREF"/>
    <s v="UNSAM"/>
    <n v="16000"/>
  </r>
  <r>
    <s v="SFMyCP"/>
    <x v="0"/>
    <s v="SUBSEC CENTROS TEMATICOS Y EXP FEDERALES"/>
    <s v="DIRECCION NACIONAL DE CENTROS TEMATICOS"/>
    <m/>
    <m/>
    <m/>
    <s v="PRIVADA"/>
    <s v="ADMINISTRATIVO"/>
    <m/>
    <s v="TECNOPOLIS"/>
    <s v="CLAUDINO MARIELA"/>
    <s v="DNI"/>
    <n v="26934949"/>
    <n v="27269349498"/>
    <d v="1978-10-21T00:00:00"/>
    <s v="ASISTENCIA TÉCNICA"/>
    <s v="AT"/>
    <d v="2016-03-01T00:00:00"/>
    <m/>
    <d v="2016-12-31T00:00:00"/>
    <m/>
    <s v="UNTREF"/>
    <m/>
    <n v="15000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COLER PAOLA"/>
    <s v="DNI"/>
    <n v="26364795"/>
    <s v="27263647950"/>
    <d v="1978-02-13T00:00:00"/>
    <s v="ASISTENCIA TÉCNICA"/>
    <s v="AT"/>
    <d v="2011-07-18T00:00:00"/>
    <m/>
    <d v="2016-12-31T00:00:00"/>
    <m/>
    <s v="UNTREF"/>
    <s v="UNSAM- LADA"/>
    <n v="16465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COLO DANIELA"/>
    <s v="DNI"/>
    <n v="31174675"/>
    <s v="27311746753"/>
    <d v="1984-09-04T00:00:00"/>
    <s v="ASISTENCIA TÉCNICA"/>
    <s v="AT"/>
    <d v="2015-08-01T00:00:00"/>
    <m/>
    <d v="2016-12-31T00:00:00"/>
    <m/>
    <s v="UNTREF"/>
    <s v="UNSAM- LADA"/>
    <n v="19353"/>
  </r>
  <r>
    <s v="SFMyCP"/>
    <x v="0"/>
    <s v="SUBSEC CENTROS TEMATICOS Y EXP FEDERALES"/>
    <s v="DIRECCION NACIONAL DE CENTROS TEMATICOS"/>
    <s v="ADMINISTRACION- RELACIONES INSTITUCIONALES"/>
    <m/>
    <m/>
    <s v="ADMINISTRATIVO"/>
    <m/>
    <s v="TECNÓPOLIS"/>
    <m/>
    <s v="COLONNA Marilyn"/>
    <s v="DNI"/>
    <n v="29919350"/>
    <n v="27109341202"/>
    <m/>
    <s v="LEY MARCO"/>
    <s v="LM"/>
    <d v="2014-02-01T00:00:00"/>
    <d v="2016-03-31T00:00:00"/>
    <d v="2016-12-31T00:00:00"/>
    <s v="C1"/>
    <m/>
    <m/>
    <n v="21612.91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CONCILIO MARIA DEL ROSARIO"/>
    <s v="DNI"/>
    <n v="39245263"/>
    <n v="27392452635"/>
    <d v="1995-09-11T00:00:00"/>
    <s v="ASISTENCIA TÉCNICA"/>
    <s v="AT"/>
    <d v="2016-05-15T00:00:00"/>
    <m/>
    <d v="2016-12-31T00:00:00"/>
    <m/>
    <s v="UNTREF"/>
    <m/>
    <m/>
  </r>
  <r>
    <s v="SFMyCP"/>
    <x v="0"/>
    <s v="SUBSEC CENTROS TEMATICOS Y EXP FEDERALES"/>
    <s v="DIR NAC EXPRESIONES FEDERALES"/>
    <s v="JEFATURA DE GABINETE"/>
    <m/>
    <m/>
    <s v="Jefe de Gabinete"/>
    <s v="Asistente"/>
    <s v="CCK"/>
    <s v="CCK - Alem 351"/>
    <s v="CONSIGLI, JULIANA"/>
    <s v="DNI"/>
    <n v="22896765"/>
    <s v="27228967659"/>
    <d v="1973-01-03T00:00:00"/>
    <s v="ASISTENCIA TÉCNICA"/>
    <s v="AT"/>
    <d v="2016-01-01T00:00:00"/>
    <m/>
    <d v="2016-12-31T00:00:00"/>
    <m/>
    <s v="UNTREF"/>
    <s v="UNSAM"/>
    <n v="27374"/>
  </r>
  <r>
    <s v="SFMyCP"/>
    <x v="1"/>
    <m/>
    <s v="DIR GRAL TECNICA ADMINISTRATIVA Y LEGAL"/>
    <m/>
    <m/>
    <m/>
    <s v="PRIVADA"/>
    <s v="ADMINISTRATIVO"/>
    <m/>
    <s v="CCK - Alem 351"/>
    <s v="COPELLO ALEJANDRO"/>
    <s v="DNI"/>
    <n v="12945483"/>
    <s v="20129454831"/>
    <d v="1958-10-12T00:00:00"/>
    <s v="ASISTENCIA TÉCNICA"/>
    <s v="AT"/>
    <d v="2016-01-01T00:00:00"/>
    <m/>
    <d v="2016-12-31T00:00:00"/>
    <m/>
    <s v="UNTREF"/>
    <s v="UNSAM"/>
    <n v="15182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COPELLO MARINA"/>
    <s v="DNI"/>
    <n v="29041166"/>
    <s v="27290411667"/>
    <d v="1981-09-02T00:00:00"/>
    <s v="ASISTENCIA TÉCNICA"/>
    <s v="AT"/>
    <d v="2016-01-01T00:00:00"/>
    <m/>
    <d v="2016-12-31T00:00:00"/>
    <m/>
    <s v="UNTREF"/>
    <s v="UNSAM"/>
    <n v="2500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CORIAS IACOVINO ADRIEL"/>
    <s v="DNI"/>
    <n v="31912459"/>
    <s v="20319124595"/>
    <d v="1985-10-27T00:00:00"/>
    <s v="ASISTENCIA TÉCNICA"/>
    <s v="AT"/>
    <d v="2013-10-08T00:00:00"/>
    <m/>
    <d v="2016-12-31T00:00:00"/>
    <m/>
    <s v="UNTREF"/>
    <s v="UNSAM- LADA"/>
    <n v="25763"/>
  </r>
  <r>
    <s v="SFMyCP"/>
    <x v="0"/>
    <s v="SUBSEC CENTROS TEMATICOS Y EXP FEDERALES"/>
    <s v="DIRECCION NACIONAL DE CENTROS TEMATICOS"/>
    <m/>
    <m/>
    <m/>
    <s v="PRIVADA"/>
    <m/>
    <s v="TECNÓPOLIS"/>
    <m/>
    <s v="ACHAVAL PABLO"/>
    <s v="DNI"/>
    <n v="37206132"/>
    <n v="20372061325"/>
    <m/>
    <s v="ASISTENCIA TÉCNICA"/>
    <s v="AT"/>
    <m/>
    <m/>
    <m/>
    <m/>
    <m/>
    <m/>
    <m/>
  </r>
  <r>
    <s v="SFMyCP"/>
    <x v="0"/>
    <s v="SUBSEC CENTROS TEMATICOS Y EXP FEDERALES"/>
    <s v="DIRECCION NACIONAL DE CENTROS TEMATICOS"/>
    <m/>
    <m/>
    <m/>
    <s v="PRIVADA"/>
    <m/>
    <s v="TECNÓPOLIS"/>
    <m/>
    <s v="CASTELLANOS ANA MARIEL"/>
    <s v="DNI"/>
    <n v="25539605"/>
    <m/>
    <m/>
    <s v="ASISTENCIA TÉCNICA"/>
    <s v="AT"/>
    <m/>
    <m/>
    <m/>
    <m/>
    <m/>
    <m/>
    <m/>
  </r>
  <r>
    <s v="SFMyCP"/>
    <x v="0"/>
    <s v="SUBSEC CENTROS TEMATICOS Y EXP FEDERALES"/>
    <s v="DIRECCION NACIONAL DE CENTROS TEMATICOS"/>
    <s v="TECNICA"/>
    <m/>
    <m/>
    <m/>
    <s v="OPERACIÓN/MONTAJE/MANTENIMIENTO"/>
    <s v="TECNÓPOLIS"/>
    <s v="TECNOPOLIS"/>
    <s v="CORONEL MARCELO ADRIAN"/>
    <s v="DNI"/>
    <n v="27287977"/>
    <s v="20272879770"/>
    <d v="1979-06-03T00:00:00"/>
    <s v="ASISTENCIA TÉCNICA"/>
    <s v="AT"/>
    <d v="2013-04-01T00:00:00"/>
    <m/>
    <d v="2016-12-31T00:00:00"/>
    <m/>
    <s v="UNTREF"/>
    <s v="UNTREF"/>
    <n v="23441.14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CORSALINI MARCO PABLO"/>
    <s v="DNI"/>
    <n v="39372628"/>
    <n v="20393726289"/>
    <d v="1995-11-03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LIMPIEZA"/>
    <m/>
    <m/>
    <m/>
    <m/>
    <s v="TECNÓPOLIS"/>
    <m/>
    <s v="CORTEZ Silvia Luisa"/>
    <s v="DNI"/>
    <n v="20688117"/>
    <n v="27206881173"/>
    <m/>
    <s v="LEY MARCO"/>
    <s v="LM"/>
    <d v="2012-01-01T00:00:00"/>
    <d v="2016-12-31T00:00:00"/>
    <d v="2016-12-31T00:00:00"/>
    <s v="C0"/>
    <m/>
    <m/>
    <n v="26338.41"/>
  </r>
  <r>
    <s v="SFMyCP"/>
    <x v="1"/>
    <m/>
    <s v="DIR GRAL TECNICA ADMINISTRATIVA Y LEGAL"/>
    <s v="PLANIF  Y ADM DE REC HUMANOS"/>
    <s v="S. GENERALES - AUTOMOTORES"/>
    <s v="AUTOMOTORES"/>
    <s v="CHOFER"/>
    <m/>
    <m/>
    <m/>
    <s v="COSTA ANABELLA ROXANA"/>
    <s v="DNI"/>
    <n v="22305941"/>
    <n v="23223059414"/>
    <m/>
    <s v="LEY MARCO"/>
    <s v="LM"/>
    <d v="2014-12-01T00:00:00"/>
    <d v="2016-03-31T00:00:00"/>
    <d v="2016-12-31T00:00:00"/>
    <s v="D0"/>
    <m/>
    <m/>
    <n v="18000"/>
  </r>
  <r>
    <s v="SFMyCP"/>
    <x v="0"/>
    <s v="SUBSEC CENTROS TEMATICOS Y EXP FEDERALES"/>
    <s v="DIR NAC EXPRESIONES FEDERALES"/>
    <s v="COMUNICACIÓN"/>
    <s v="PRENSA"/>
    <m/>
    <m/>
    <s v="ADMINISTRATIVO"/>
    <m/>
    <s v="CCK - Alem 351"/>
    <s v="COSTA IVANA"/>
    <s v="DNI"/>
    <n v="20593034"/>
    <n v="27205930340"/>
    <d v="1968-10-11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MANTENIMIENTO"/>
    <m/>
    <m/>
    <m/>
    <m/>
    <s v="TECNÓPOLIS"/>
    <m/>
    <s v="CRETELLA Pablo Gabriel"/>
    <s v="DNI"/>
    <n v="17233895"/>
    <n v="20172338950"/>
    <m/>
    <s v="LEY MARCO"/>
    <s v="LM"/>
    <d v="2011-07-01T00:00:00"/>
    <d v="2016-12-31T00:00:00"/>
    <d v="2016-12-31T00:00:00"/>
    <s v="C0"/>
    <m/>
    <m/>
    <n v="29747"/>
  </r>
  <r>
    <s v="SFMyCP"/>
    <x v="0"/>
    <s v="SUBSEC CENTROS TEMATICOS Y EXP FEDERALES"/>
    <s v="DIR NAC EXPRESIONES FEDERALES"/>
    <s v="AUDIOVISUALES"/>
    <m/>
    <m/>
    <m/>
    <m/>
    <s v="CCK"/>
    <s v="CCK - Alem 351"/>
    <s v="CREVATINI  María Sol"/>
    <s v="DNI"/>
    <n v="30366685"/>
    <n v="27303666856"/>
    <m/>
    <s v="LEY MARCO"/>
    <s v="LM"/>
    <d v="2012-10-31T00:00:00"/>
    <d v="2016-12-31T00:00:00"/>
    <d v="2016-12-31T00:00:00"/>
    <s v="C0"/>
    <m/>
    <m/>
    <n v="22118.560000000001"/>
  </r>
  <r>
    <s v="SFMyCP"/>
    <x v="0"/>
    <m/>
    <s v="DIR NAC GENERACION DE CONTENIDOS"/>
    <s v="INV. AP. RECURSOS DIGITALES"/>
    <s v="CTRO INV PALPALA"/>
    <m/>
    <s v="DISEÑO"/>
    <s v="ANALISTA"/>
    <s v="PALPALÁ-JUJUY"/>
    <s v="PALPALÁ-JUJUY"/>
    <s v="CRUZ MATEO EZEQUIEL"/>
    <s v="DNI"/>
    <n v="30666242"/>
    <n v="20306662423"/>
    <d v="1984-05-22T00:00:00"/>
    <s v="ASISTENCIA TÉCNICA"/>
    <s v="AT"/>
    <d v="2015-09-01T00:00:00"/>
    <m/>
    <d v="2016-12-31T00:00:00"/>
    <m/>
    <s v="UNTREF"/>
    <s v="UNSAM"/>
    <n v="10000"/>
  </r>
  <r>
    <s v="SFMyCP"/>
    <x v="0"/>
    <m/>
    <s v="DIR NAC GENERACION DE CONTENIDOS"/>
    <s v="TELEVISION DIGITAL ABIERTA"/>
    <s v="CIARA"/>
    <m/>
    <s v="BACUA"/>
    <m/>
    <s v="CABILDO 65"/>
    <m/>
    <s v="CUASNICU JULIA"/>
    <s v="DNI"/>
    <n v="24940117"/>
    <n v="27249401175"/>
    <m/>
    <s v="LEY MARCO"/>
    <s v="LM"/>
    <d v="2013-12-01T00:00:00"/>
    <d v="2016-03-31T00:00:00"/>
    <d v="2016-12-31T00:00:00"/>
    <s v="B1"/>
    <m/>
    <m/>
    <n v="18000"/>
  </r>
  <r>
    <s v="SFMyCP"/>
    <x v="0"/>
    <s v="SUBSEC CENTROS TEMATICOS Y EXP FEDERALES"/>
    <s v="DIRECCION NACIONAL DE CENTROS TEMATICOS"/>
    <s v="OPERATIVA"/>
    <m/>
    <m/>
    <m/>
    <m/>
    <s v="TECNÓPOLIS"/>
    <m/>
    <s v="CUELLAR Jonathan Nahuel"/>
    <s v="DNI"/>
    <n v="36644944"/>
    <n v="20366449443"/>
    <m/>
    <s v="LEY MARCO"/>
    <s v="LM"/>
    <d v="2012-03-01T00:00:00"/>
    <d v="2016-12-31T00:00:00"/>
    <d v="2016-12-31T00:00:00"/>
    <s v="D0"/>
    <m/>
    <m/>
    <n v="15533.86"/>
  </r>
  <r>
    <s v="SFMyCP"/>
    <x v="1"/>
    <m/>
    <s v="DIR GRAL TECNICA ADMINISTRATIVA Y LEGAL"/>
    <s v="PLANIF  Y ADM DE REC HUMANOS"/>
    <s v="MEDICINA DEL TRABAJO"/>
    <m/>
    <s v="Enfermera/o"/>
    <s v="ADMINISTRATIVO"/>
    <m/>
    <s v="CCK - Alem 351"/>
    <s v="CUELLAR OLGA"/>
    <s v="DNI"/>
    <n v="14799602"/>
    <n v="27147996026"/>
    <d v="1962-08-24T00:00:00"/>
    <s v="ASISTENCIA TÉCNICA"/>
    <s v="AT"/>
    <d v="2016-07-14T00:00:00"/>
    <m/>
    <d v="2016-12-31T00:00:00"/>
    <m/>
    <s v="UNTREF"/>
    <m/>
    <m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CUEVAS DANIEL"/>
    <s v="DNI"/>
    <n v="18315881"/>
    <n v="20183158814"/>
    <m/>
    <s v="LEY MARCO"/>
    <s v="LM"/>
    <d v="2014-12-01T00:00:00"/>
    <d v="2016-03-31T00:00:00"/>
    <d v="2016-12-31T00:00:00"/>
    <s v="D0"/>
    <m/>
    <m/>
    <n v="18000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CUEVAS, GUSTAVO"/>
    <s v="DNI"/>
    <n v="24753217"/>
    <s v="20247532170"/>
    <d v="1975-07-23T00:00:00"/>
    <s v="ASISTENCIA TÉCNICA"/>
    <s v="AT"/>
    <d v="2016-01-01T00:00:00"/>
    <m/>
    <d v="2016-12-31T00:00:00"/>
    <m/>
    <s v="UNTREF"/>
    <s v="UNSAM"/>
    <n v="29000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CURRAS OSCAR"/>
    <s v="DNI"/>
    <n v="94614938"/>
    <s v="20946149382"/>
    <d v="1973-08-31T00:00:00"/>
    <s v="ASISTENCIA TÉCNICA"/>
    <s v="AT"/>
    <d v="2011-09-22T00:00:00"/>
    <m/>
    <d v="2016-12-31T00:00:00"/>
    <m/>
    <s v="UNTREF"/>
    <s v="UNSAM- LADA"/>
    <n v="34485"/>
  </r>
  <r>
    <s v="SFMyCP"/>
    <x v="0"/>
    <s v="SUBSEC CENTROS TEMATICOS Y EXP FEDERALES"/>
    <s v="DIRECCION NACIONAL DE CENTROS TEMATICOS"/>
    <s v="INTENDENCIA - FERIAL"/>
    <m/>
    <m/>
    <m/>
    <s v="CONTROL/SUPERVICION DE LA LIMPIEZA PREDIO"/>
    <s v="TECNÓPOLIS"/>
    <s v="TECNOPOLIS"/>
    <s v="CUSI MARIEL"/>
    <s v="DNI"/>
    <n v="23652019"/>
    <s v="27236520191"/>
    <d v="1974-01-10T00:00:00"/>
    <s v="ASISTENCIA TÉCNICA"/>
    <s v="AT"/>
    <d v="2013-06-01T00:00:00"/>
    <m/>
    <d v="2016-12-31T00:00:00"/>
    <m/>
    <s v="UNTREF"/>
    <s v="UNTREF"/>
    <n v="12273.52"/>
  </r>
  <r>
    <s v="SFMyCP"/>
    <x v="0"/>
    <s v="SUBSEC CENTROS TEMATICOS Y EXP FEDERALES"/>
    <s v="DIRECCION NACIONAL DE CENTROS TEMATICOS"/>
    <s v="INTENDENCIA - PARQUIZACION"/>
    <m/>
    <m/>
    <m/>
    <m/>
    <s v="TECNÓPOLIS"/>
    <m/>
    <s v="D´AMBROSIO Mara"/>
    <s v="DNI"/>
    <n v="26263263"/>
    <n v="27262632631"/>
    <m/>
    <s v="LEY MARCO"/>
    <s v="LM"/>
    <d v="2011-12-01T00:00:00"/>
    <d v="2016-12-31T00:00:00"/>
    <d v="2016-12-31T00:00:00"/>
    <s v="D0"/>
    <m/>
    <m/>
    <n v="18391.28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D´ANGELO LORENZO"/>
    <s v="DNI"/>
    <n v="62695520"/>
    <s v="20626955208"/>
    <d v="1980-04-03T00:00:00"/>
    <s v="ASISTENCIA TÉCNICA"/>
    <s v="AT"/>
    <d v="2015-07-01T00:00:00"/>
    <m/>
    <d v="2016-12-31T00:00:00"/>
    <m/>
    <s v="UNTREF"/>
    <m/>
    <n v="22151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D´AURIA LEONARDO"/>
    <s v="DNI"/>
    <n v="28800211"/>
    <s v="20288002119"/>
    <d v="1981-03-28T00:00:00"/>
    <s v="ASISTENCIA TÉCNICA"/>
    <s v="AT"/>
    <d v="2013-03-01T00:00:00"/>
    <m/>
    <d v="2016-12-31T00:00:00"/>
    <m/>
    <s v="UNTREF"/>
    <s v="UNSAM- LADA"/>
    <n v="19353"/>
  </r>
  <r>
    <s v="SFMyCP"/>
    <x v="1"/>
    <m/>
    <s v="DIR GRAL TECNICA ADMINISTRATIVA Y LEGAL"/>
    <s v="PRESUPUESTO"/>
    <m/>
    <m/>
    <s v="ADMINISTRACIÓN"/>
    <s v="ADMINISTRATIVO"/>
    <m/>
    <s v="CCK - Alem 351"/>
    <s v="D´HERS JUAN"/>
    <s v="DNI"/>
    <n v="32628904"/>
    <s v="20326289044"/>
    <d v="1986-12-19T00:00:00"/>
    <s v="ASISTENCIA TÉCNICA"/>
    <s v="AT"/>
    <m/>
    <m/>
    <d v="2016-12-31T00:00:00"/>
    <m/>
    <s v="UNTREF"/>
    <m/>
    <n v="17102"/>
  </r>
  <r>
    <s v="SFMyCP"/>
    <x v="1"/>
    <m/>
    <s v="DIR GRAL TECNICA ADMINISTRATIVA Y LEGAL"/>
    <s v="PRESUPUESTO"/>
    <m/>
    <m/>
    <m/>
    <m/>
    <m/>
    <m/>
    <s v="D´HERS TOMAS"/>
    <s v="DNI"/>
    <n v="34783483"/>
    <n v="20347834832"/>
    <m/>
    <s v="LEY MARCO"/>
    <s v="LM"/>
    <d v="2008-04-01T00:00:00"/>
    <d v="2016-12-31T00:00:00"/>
    <d v="2016-12-31T00:00:00"/>
    <s v="A0"/>
    <m/>
    <m/>
    <n v="22812"/>
  </r>
  <r>
    <s v="SFMyCP"/>
    <x v="1"/>
    <m/>
    <s v="DIR GRAL TECNICA ADMINISTRATIVA Y LEGAL"/>
    <s v="DIRECCION GENERAL"/>
    <m/>
    <m/>
    <s v="Asistente"/>
    <s v="Asistente"/>
    <s v="CCK"/>
    <s v="CCK - Alem 351"/>
    <s v="DAGUANNO FLORENCIA CAROLINA"/>
    <s v="DNI"/>
    <n v="35378165"/>
    <s v="27353781656"/>
    <d v="1990-12-29T00:00:00"/>
    <s v="ASISTENCIA TÉCNICA"/>
    <s v="AT"/>
    <d v="2015-08-01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s v="OPERATIVA"/>
    <m/>
    <m/>
    <m/>
    <m/>
    <s v="TECNÓPOLIS"/>
    <m/>
    <s v="DALIA Gonzalo Martin"/>
    <s v="DNI"/>
    <n v="33530306"/>
    <n v="20335303068"/>
    <m/>
    <s v="LEY MARCO"/>
    <s v="LM"/>
    <d v="2011-07-01T00:00:00"/>
    <d v="2016-12-31T00:00:00"/>
    <d v="2016-12-31T00:00:00"/>
    <s v="D1"/>
    <m/>
    <m/>
    <n v="15838.72"/>
  </r>
  <r>
    <s v="SFMyCP"/>
    <x v="0"/>
    <s v="SUBSEC CENTROS TEMATICOS Y EXP FEDERALES"/>
    <s v="DIR NAC EXPRESIONES FEDERALES"/>
    <s v="DIRECCION DE GESTION EDILICIA"/>
    <s v="SERVICIOS GENERALES"/>
    <s v="SOPORTE ADMINISTRATIVO"/>
    <s v="ADMINISTRATIVA"/>
    <s v="Auxiliar"/>
    <s v="CCK"/>
    <s v="CCK - Alem 351"/>
    <s v="DANIEL DANIRA"/>
    <s v="DNI"/>
    <n v="93355924"/>
    <s v="27933559241"/>
    <d v="1990-10-30T00:00:00"/>
    <s v="ASISTENCIA TÉCNICA"/>
    <s v="AT"/>
    <d v="2015-07-20T00:00:00"/>
    <m/>
    <d v="2016-12-31T00:00:00"/>
    <m/>
    <s v="UNTREF"/>
    <s v="UNLAM- BICENTENARIO"/>
    <n v="15732"/>
  </r>
  <r>
    <s v="SFMyCP"/>
    <x v="0"/>
    <m/>
    <s v="ARTES VISUALES"/>
    <s v="ARTES VISUALES"/>
    <m/>
    <m/>
    <m/>
    <s v="ADMINISTRATIVO"/>
    <m/>
    <s v="CCK - Alem 351"/>
    <s v="DE ARTEAGA ALICIA MARIA"/>
    <s v="DNI"/>
    <n v="6398055"/>
    <n v="27063980558"/>
    <d v="1950-08-15T00:00:00"/>
    <s v="ASISTENCIA TÉCNICA"/>
    <s v="AT"/>
    <m/>
    <m/>
    <d v="2016-12-31T00:00:00"/>
    <m/>
    <s v="UNTREF"/>
    <m/>
    <n v="17000"/>
  </r>
  <r>
    <s v="SFMyCP"/>
    <x v="0"/>
    <s v="SUBSEC CENTROS TEMATICOS Y EXP FEDERALES"/>
    <s v="DIRECCION NACIONAL DE CENTROS TEMATICOS"/>
    <s v="OPERATIVA"/>
    <m/>
    <m/>
    <m/>
    <m/>
    <s v="TECNÓPOLIS"/>
    <m/>
    <s v="DE CESARE Martin Julian"/>
    <s v="DNI"/>
    <n v="36949353"/>
    <n v="20369493532"/>
    <m/>
    <s v="LEY MARCO"/>
    <s v="LM"/>
    <d v="2013-05-01T00:00:00"/>
    <d v="2016-03-31T00:00:00"/>
    <d v="2016-12-31T00:00:00"/>
    <s v="D1"/>
    <m/>
    <m/>
    <n v="12908.93"/>
  </r>
  <r>
    <s v="SFMyCP"/>
    <x v="0"/>
    <m/>
    <s v="ARTES VISUALES"/>
    <s v="ARTES VISUALES"/>
    <m/>
    <m/>
    <m/>
    <s v="ADMINISTRATIVO"/>
    <m/>
    <s v="CCK - Alem 351"/>
    <s v="DE GANAY AGUSTINA"/>
    <s v="DNI"/>
    <n v="34434699"/>
    <s v="24344346999"/>
    <d v="1989-02-24T00:00:00"/>
    <s v="ASISTENCIA TÉCNICA"/>
    <s v="AT"/>
    <d v="2016-01-01T00:00:00"/>
    <m/>
    <d v="2016-12-31T00:00:00"/>
    <m/>
    <s v="UNTREF"/>
    <m/>
    <n v="15000"/>
  </r>
  <r>
    <s v="SFMyCP"/>
    <x v="0"/>
    <s v="SUBSEC CENTROS TEMATICOS Y EXP FEDERALES"/>
    <s v="DIR NAC EXPRESIONES FEDERALES"/>
    <s v="PRODUCCIÓN"/>
    <m/>
    <s v="(IGUALDAD CULTURAL)"/>
    <m/>
    <m/>
    <s v="CCK"/>
    <m/>
    <s v="DE GENNARO LUCÍA"/>
    <s v="DNI"/>
    <n v="26068613"/>
    <n v="27260686130"/>
    <m/>
    <s v="LEY MARCO"/>
    <s v="LM"/>
    <d v="2011-10-10T00:00:00"/>
    <d v="2016-12-31T00:00:00"/>
    <d v="2016-12-31T00:00:00"/>
    <s v="A0"/>
    <m/>
    <m/>
    <n v="24516"/>
  </r>
  <r>
    <s v="SFMyCP"/>
    <x v="1"/>
    <m/>
    <s v="UNIDAD DE MINISTRO"/>
    <s v="COMUNICACIONES"/>
    <m/>
    <m/>
    <s v="CONTENIDOS"/>
    <m/>
    <s v="CCK"/>
    <m/>
    <s v="DE LA CUADRA GONZALO"/>
    <s v="DNI"/>
    <n v="94251427"/>
    <n v="20942514272"/>
    <m/>
    <s v="LEY MARCO"/>
    <s v="LM"/>
    <d v="2012-12-01T00:00:00"/>
    <d v="2016-12-31T00:00:00"/>
    <d v="2016-12-31T00:00:00"/>
    <s v="B2"/>
    <m/>
    <m/>
    <n v="21517"/>
  </r>
  <r>
    <s v="SFMyCP"/>
    <x v="0"/>
    <s v="SUBSEC CENTROS TEMATICOS Y EXP FEDERALES"/>
    <s v="UNIDAD SUBSECRETARIO"/>
    <m/>
    <m/>
    <m/>
    <s v="PRIVADA"/>
    <s v="ADMINISTRATIVO"/>
    <m/>
    <s v="CCK - Alem 351"/>
    <s v="DE LA FUENTE SILVIA ANDREA"/>
    <s v="DNI"/>
    <n v="22061547"/>
    <n v="27220615478"/>
    <d v="1971-04-05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ADMINISTRACION- RECEPCION"/>
    <m/>
    <m/>
    <s v="RECEPCIONISTA"/>
    <s v="RECEPCION IBC"/>
    <s v="TECNÓPOLIS"/>
    <s v="TECNOPOLIS"/>
    <s v="DE MIGUEL NAHIR DEBORA"/>
    <s v="DNI"/>
    <n v="28927088"/>
    <s v="23289270884"/>
    <d v="1981-06-24T00:00:00"/>
    <s v="ASISTENCIA TÉCNICA"/>
    <s v="AT"/>
    <d v="2014-07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PRODUCCIÓN"/>
    <s v="TECNICA"/>
    <m/>
    <s v="Tecnica"/>
    <s v="ADMINISTRATIVA"/>
    <m/>
    <s v="CCK - Alem 351"/>
    <s v="DE SIMONE PABLO JAVIER"/>
    <s v="DNI"/>
    <n v="25940510"/>
    <s v="20259405107"/>
    <d v="1977-03-19T00:00:00"/>
    <s v="ASISTENCIA TÉCNICA"/>
    <s v="AT"/>
    <d v="2016-04-15T00:00:00"/>
    <m/>
    <d v="2016-12-31T00:00:00"/>
    <m/>
    <s v="UNTREF"/>
    <m/>
    <s v="."/>
  </r>
  <r>
    <s v="SFMyCP"/>
    <x v="0"/>
    <s v="SUBSEC CENTROS TEMATICOS Y EXP FEDERALES"/>
    <s v="DIRECCION NACIONAL DE CENTROS TEMATICOS"/>
    <m/>
    <m/>
    <m/>
    <s v="PRIVADA"/>
    <s v="ADMINISTRATIVO"/>
    <m/>
    <s v="TECNOPOLIS"/>
    <s v="DEL CASSALE DANIELA"/>
    <s v="DNI"/>
    <n v="26621498"/>
    <n v="27266214982"/>
    <d v="1978-06-09T00:00:00"/>
    <s v="ASISTENCIA TÉCNICA"/>
    <s v="AT"/>
    <d v="2016-03-01T00:00:00"/>
    <m/>
    <d v="2016-12-31T00:00:00"/>
    <m/>
    <s v="UNTREF"/>
    <m/>
    <n v="20000"/>
  </r>
  <r>
    <s v="SFMyCP"/>
    <x v="0"/>
    <s v="SUBSEC CENTROS TEMATICOS Y EXP FEDERALES"/>
    <s v="DIRECCION NACIONAL DE CENTROS TEMATICOS"/>
    <s v="TECNICA"/>
    <m/>
    <m/>
    <m/>
    <s v="OPERACIÓN/MONTAJE/MANTENIMIENTO"/>
    <s v="TECNÓPOLIS"/>
    <s v="TECNOPOLIS"/>
    <s v="DEL VALLE  LUCAS JAVIER"/>
    <s v="DNI"/>
    <n v="28916369"/>
    <s v="20289163698"/>
    <d v="1981-07-09T00:00:00"/>
    <s v="ASISTENCIA TÉCNICA"/>
    <s v="AT"/>
    <d v="2015-01-01T00:00:00"/>
    <m/>
    <d v="2016-12-31T00:00:00"/>
    <m/>
    <s v="UNTREF"/>
    <s v="UNTREF"/>
    <n v="15000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DELGADO  ALICIA SUSANA"/>
    <s v="DNI"/>
    <n v="5930366"/>
    <s v="27059303665"/>
    <d v="1948-09-05T00:00:00"/>
    <s v="ASISTENCIA TÉCNICA"/>
    <s v="AT"/>
    <d v="2012-07-01T00:00:00"/>
    <m/>
    <d v="2016-12-31T00:00:00"/>
    <m/>
    <s v="UNTREF"/>
    <s v="UNTREF"/>
    <n v="9955.51"/>
  </r>
  <r>
    <s v="SFMyCP"/>
    <x v="1"/>
    <m/>
    <s v="DIR GRAL TECNICA ADMINISTRATIVA Y LEGAL"/>
    <s v="DIRECCION GENERAL"/>
    <m/>
    <m/>
    <s v="Analista"/>
    <s v="Asistente"/>
    <s v="CCK"/>
    <s v="CCK - Alem 351"/>
    <s v="DELGADO PAMELA ROMINA"/>
    <s v="DNI"/>
    <n v="31198044"/>
    <s v="27311980446"/>
    <d v="1984-09-06T00:00:00"/>
    <s v="ASISTENCIA TÉCNICA"/>
    <s v="AT"/>
    <d v="2015-03-02T00:00:00"/>
    <m/>
    <d v="2016-12-31T00:00:00"/>
    <m/>
    <s v="UNTREF"/>
    <s v="UNSAM-MINPLAN"/>
    <n v="10000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DELGADO PATRICIO"/>
    <s v="DNI"/>
    <n v="26953105"/>
    <s v="20269531054"/>
    <d v="1978-08-15T00:00:00"/>
    <s v="ASISTENCIA TÉCNICA"/>
    <s v="AT"/>
    <d v="2012-04-01T00:00:00"/>
    <m/>
    <d v="2016-12-31T00:00:00"/>
    <m/>
    <s v="UNTREF"/>
    <s v="UNSAM- LADA"/>
    <n v="19100"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DELUCA NICOLAS"/>
    <s v="DNI"/>
    <n v="30566485"/>
    <s v="20305664856"/>
    <d v="1985-01-12T00:00:00"/>
    <s v="ASISTENCIA TÉCNICA"/>
    <s v="AT"/>
    <d v="2013-05-01T00:00:00"/>
    <m/>
    <d v="2016-12-31T00:00:00"/>
    <m/>
    <s v="UNTREF"/>
    <s v="UNSAM- LADA"/>
    <n v="29420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DEROTIER NORMA NOEMÍ"/>
    <s v="DNI"/>
    <n v="20375995"/>
    <n v="27203759954"/>
    <d v="1968-08-17T00:00:00"/>
    <s v="ASISTENCIA TÉCNICA"/>
    <s v="CO"/>
    <m/>
    <m/>
    <d v="2016-12-31T00:00:00"/>
    <m/>
    <s v="UNTREF"/>
    <s v="UNTREF"/>
    <n v="1700"/>
  </r>
  <r>
    <s v="SFMyCP"/>
    <x v="1"/>
    <m/>
    <s v="DIR GRAL TECNICA ADMINISTRATIVA Y LEGAL"/>
    <s v="PRESUPUESTO"/>
    <m/>
    <m/>
    <m/>
    <s v="ADMINISTRATIVO"/>
    <m/>
    <s v="CCK - Alem 351"/>
    <s v="DI BELLO LORENA"/>
    <s v="DNI"/>
    <n v="31413340"/>
    <n v="23314133404"/>
    <d v="1985-04-04T00:00:00"/>
    <s v="ASISTENCIA TÉCNICA"/>
    <s v="AT"/>
    <d v="2016-07-12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TALLERES"/>
    <m/>
    <m/>
    <m/>
    <s v="TRABAJO ADMINISTRATIVO/TRABAJO COSTURA A MAQUINA"/>
    <s v="TECNÓPOLIS"/>
    <s v="TECNOPOLIS"/>
    <s v="DI RENZO NANCY GABRIELA"/>
    <s v="DNI"/>
    <n v="32036474"/>
    <s v="23320364744"/>
    <d v="1985-12-07T00:00:00"/>
    <s v="ASISTENCIA TÉCNICA"/>
    <s v="AT"/>
    <d v="2014-07-01T00:00:00"/>
    <m/>
    <d v="2016-12-31T00:00:00"/>
    <m/>
    <s v="UNTREF"/>
    <s v="UNTREF"/>
    <n v="11449.4"/>
  </r>
  <r>
    <s v="SFMyCP"/>
    <x v="0"/>
    <s v="SUBSEC CENTROS TEMATICOS Y EXP FEDERALES"/>
    <s v="DIR NAC EXPRESIONES FEDERALES"/>
    <s v="DIRECCION DE GESTION EDILICIA"/>
    <s v="SERVICIOS GENERALES"/>
    <s v="LIMPIEZA (En comisión Tecnópolis)"/>
    <s v="Auxiliar"/>
    <s v="Auxiliar"/>
    <s v="CCK"/>
    <s v="CCK - Alem 351"/>
    <s v="DIALISANDRO JORGE"/>
    <s v="DNI"/>
    <n v="37041079"/>
    <s v="20370410799"/>
    <d v="1992-06-03T00:00:00"/>
    <s v="ASISTENCIA TÉCNICA"/>
    <s v="AT"/>
    <d v="2015-06-10T00:00:00"/>
    <m/>
    <d v="2016-12-31T00:00:00"/>
    <m/>
    <s v="UNTREF"/>
    <s v="UNTREF"/>
    <n v="8500"/>
  </r>
  <r>
    <s v="SFMyCP"/>
    <x v="0"/>
    <s v="SUBSEC CENTROS TEMATICOS Y EXP FEDERALES"/>
    <s v="DIR NAC EXPRESIONES FEDERALES"/>
    <s v="PRODUCCIÓN"/>
    <m/>
    <m/>
    <m/>
    <s v="ADMINISTRATIVA"/>
    <m/>
    <s v="CCK - Alem 351"/>
    <s v="DIAZ CARRASCO MANUEL"/>
    <s v="DNI"/>
    <n v="25997290"/>
    <s v="20259972907"/>
    <d v="1977-07-02T00:00:00"/>
    <s v="ASISTENCIA TÉCNICA"/>
    <s v="AT"/>
    <d v="2016-04-01T00:00:00"/>
    <m/>
    <d v="2016-12-31T00:00:00"/>
    <m/>
    <s v="UNTREF"/>
    <m/>
    <n v="20000"/>
  </r>
  <r>
    <s v="SFMyCP"/>
    <x v="1"/>
    <m/>
    <s v="DIR GRAL TECNICA ADMINISTRATIVA Y LEGAL"/>
    <s v="PLANIF  Y ADM DE REC HUMANOS"/>
    <s v="RECURSOS HUMANOS"/>
    <m/>
    <s v="Coordinador"/>
    <s v="COORDINADOR"/>
    <s v="CCK"/>
    <s v="CCK - Alem 351"/>
    <s v="DIAZ GABRIEL PABLO"/>
    <s v="DNI"/>
    <n v="20350247"/>
    <n v="20203502479"/>
    <d v="1968-06-29T00:00:00"/>
    <s v="ASISTENCIA TÉCNICA"/>
    <s v="AT"/>
    <d v="2015-06-01T00:00:00"/>
    <m/>
    <d v="2016-12-31T00:00:00"/>
    <m/>
    <s v="UNTREF"/>
    <s v="UNSAM-MINPLAN"/>
    <n v="27000"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DIAZ MARIA"/>
    <s v="DNI"/>
    <n v="30407450"/>
    <s v="27304074502"/>
    <d v="1983-07-16T00:00:00"/>
    <s v="ASISTENCIA TÉCNICA"/>
    <s v="AT"/>
    <d v="2013-11-18T00:00:00"/>
    <m/>
    <d v="2016-12-31T00:00:00"/>
    <m/>
    <s v="UNTREF"/>
    <s v="UNSAM- LADA"/>
    <n v="29420"/>
  </r>
  <r>
    <s v="SFMyCP"/>
    <x v="0"/>
    <s v="SUBSEC CENTROS TEMATICOS Y EXP FEDERALES"/>
    <s v="UNIDAD SUBSECRETARIO"/>
    <m/>
    <m/>
    <m/>
    <s v="ADMINISTRACION"/>
    <s v="ASISTENTE"/>
    <s v="CCK"/>
    <s v="CCK - Alem 351"/>
    <s v="DIAZ MARIA  VIRGINIA"/>
    <s v="DNI"/>
    <n v="33300296"/>
    <s v="27333002960"/>
    <d v="1987-10-28T00:00:00"/>
    <s v="ASISTENCIA TÉCNICA"/>
    <s v="AT"/>
    <d v="2013-07-22T00:00:00"/>
    <m/>
    <d v="2016-12-31T00:00:00"/>
    <m/>
    <s v="UNTREF"/>
    <s v="UNSAM"/>
    <n v="24294"/>
  </r>
  <r>
    <s v="SFMyCP"/>
    <x v="1"/>
    <m/>
    <s v="DIR GRAL TECNICA ADMINISTRATIVA Y LEGAL"/>
    <s v="COMPRAS Y CONTRATACIONES"/>
    <m/>
    <m/>
    <s v="Asistente"/>
    <m/>
    <s v="CCK"/>
    <m/>
    <s v="DIAZ ZULMA"/>
    <s v="DNI"/>
    <n v="21801576"/>
    <n v="27218015765"/>
    <m/>
    <s v="LEY MARCO"/>
    <s v="LM"/>
    <d v="2011-06-01T00:00:00"/>
    <d v="2016-12-31T00:00:00"/>
    <d v="2016-12-31T00:00:00"/>
    <s v="C1"/>
    <m/>
    <m/>
    <n v="12500"/>
  </r>
  <r>
    <s v="SFMyCP"/>
    <x v="0"/>
    <s v="SUBSEC CENTROS TEMATICOS Y EXP FEDERALES"/>
    <s v="DIRECCION NACIONAL DE CENTROS TEMATICOS"/>
    <s v="INTENDENCIA - LIMPIEZA"/>
    <m/>
    <m/>
    <m/>
    <s v="PRODUCCION GRAL DE RECETAS, MANIPULACIÓN DE INGREDIENTES, DESPCACHO DE ALIMENTOS"/>
    <s v="TECNÓPOLIS"/>
    <s v="TECNOPOLIS"/>
    <s v="DIEZ  IRENE MARCELA"/>
    <s v="DNI"/>
    <n v="25906662"/>
    <s v="27259066625"/>
    <d v="1977-04-14T00:00:00"/>
    <s v="ASISTENCIA TÉCNICA"/>
    <s v="AT"/>
    <d v="2015-05-01T00:00:00"/>
    <m/>
    <d v="2016-12-31T00:00:00"/>
    <m/>
    <s v="UNTREF"/>
    <s v="UNTREF"/>
    <n v="8035.31"/>
  </r>
  <r>
    <s v="SFMyCP"/>
    <x v="0"/>
    <s v="SUBSEC CENTROS TEMATICOS Y EXP FEDERALES"/>
    <s v="DIR NAC EXPRESIONES FEDERALES"/>
    <s v="INSTITUCIONALES"/>
    <m/>
    <m/>
    <m/>
    <s v="asistente funcional"/>
    <m/>
    <s v="CCK - Alem 351"/>
    <s v="DOBARRO ALEJANDRO"/>
    <s v="DNI"/>
    <n v="24962686"/>
    <n v="20249626865"/>
    <d v="1975-10-10T00:00:00"/>
    <s v="ASISTENCIA TÉCNICA"/>
    <s v="AT"/>
    <d v="2016-06-15T00:00:00"/>
    <m/>
    <d v="2016-12-31T00:00:00"/>
    <m/>
    <s v="UNTREF"/>
    <m/>
    <m/>
  </r>
  <r>
    <s v="SFMyCP"/>
    <x v="0"/>
    <s v="SUBSEC CENTROS TEMATICOS Y EXP FEDERALES"/>
    <s v="DIRECCION NACIONAL DE CENTROS TEMATICOS"/>
    <s v="PRODUCCIÓN"/>
    <m/>
    <m/>
    <m/>
    <m/>
    <s v="TECNÓPOLIS"/>
    <m/>
    <s v="DOMINGUEZ Diego Fernando"/>
    <s v="DNI"/>
    <n v="24837596"/>
    <n v="20248375966"/>
    <m/>
    <s v="LEY MARCO"/>
    <s v="LM"/>
    <d v="2010-01-01T00:00:00"/>
    <d v="2016-12-31T00:00:00"/>
    <d v="2016-12-31T00:00:00"/>
    <s v="C1"/>
    <m/>
    <m/>
    <n v="27488.85"/>
  </r>
  <r>
    <s v="SFMyCP"/>
    <x v="0"/>
    <s v="SUBSEC CENTROS TEMATICOS Y EXP FEDERALES"/>
    <s v="DIR NAC EXPRESIONES FEDERALES"/>
    <s v="DIRECCION DE GESTION EDILICIA"/>
    <s v="SERVICIOS GENERALES"/>
    <s v="LIMPIEZA (En comisión Tecnópolis)"/>
    <s v="Auxiliar"/>
    <s v="Auxiliar"/>
    <s v="CCK"/>
    <s v="CCK - Alem 351"/>
    <s v="DOMINGUEZ EMILIANO"/>
    <s v="DNI"/>
    <n v="25865315"/>
    <s v="20258653158"/>
    <d v="1977-06-02T00:00:00"/>
    <s v="ASISTENCIA TÉCNICA"/>
    <s v="AT"/>
    <d v="2015-06-10T00:00:00"/>
    <m/>
    <d v="2016-12-31T00:00:00"/>
    <m/>
    <s v="UNTREF"/>
    <s v="UNTREF"/>
    <n v="10000"/>
  </r>
  <r>
    <s v="SFMyCP"/>
    <x v="0"/>
    <s v="SUBSEC CENTROS TEMATICOS Y EXP FEDERALES"/>
    <s v="DIR NAC EXPRESIONES FEDERALES"/>
    <s v="PRODUCCIÓN"/>
    <m/>
    <m/>
    <m/>
    <s v="ADMINISTRATIVA"/>
    <m/>
    <s v="CCK - Alem 351"/>
    <s v="DONATI VALERIA"/>
    <s v="DNI"/>
    <n v="24963203"/>
    <s v="27249632037"/>
    <d v="1975-10-08T00:00:00"/>
    <s v="ASISTENCIA TÉCNICA"/>
    <s v="AT"/>
    <d v="2016-05-01T00:00:00"/>
    <m/>
    <d v="2016-12-31T00:00:00"/>
    <m/>
    <s v="UNTREF"/>
    <m/>
    <s v="."/>
  </r>
  <r>
    <s v="SFMyCP"/>
    <x v="1"/>
    <m/>
    <s v="DIR GRAL TECNICA ADMINISTRATIVA Y LEGAL"/>
    <s v="INFORMATICA Y SISTEMAS"/>
    <m/>
    <m/>
    <s v="Asistente Técnico"/>
    <m/>
    <s v="CCK"/>
    <m/>
    <s v="DOPICO FERNANDO"/>
    <s v="DNI"/>
    <n v="27273858"/>
    <n v="20272738581"/>
    <m/>
    <s v="LEY MARCO"/>
    <s v="LM"/>
    <d v="2005-02-01T00:00:00"/>
    <d v="2016-12-31T00:00:00"/>
    <d v="2016-12-31T00:00:00"/>
    <s v="B2"/>
    <m/>
    <m/>
    <n v="19528"/>
  </r>
  <r>
    <s v="SFMyCP"/>
    <x v="0"/>
    <s v="SUBSEC CENTROS TEMATICOS Y EXP FEDERALES"/>
    <s v="DIR NAC EXPRESIONES FEDERALES"/>
    <s v="ADMINISTRACION"/>
    <m/>
    <m/>
    <m/>
    <m/>
    <m/>
    <m/>
    <s v="DORATO MARIA SOLEDAD "/>
    <s v="DNI"/>
    <n v="31009442"/>
    <n v="27310094426"/>
    <m/>
    <s v="LEY MARCO"/>
    <s v="LM"/>
    <d v="2012-12-01T00:00:00"/>
    <d v="2016-12-31T00:00:00"/>
    <d v="2016-12-31T00:00:00"/>
    <s v="D0"/>
    <m/>
    <m/>
    <n v="17107"/>
  </r>
  <r>
    <s v="SFMyCP"/>
    <x v="0"/>
    <s v="SUBSEC CENTROS TEMATICOS Y EXP FEDERALES"/>
    <s v="DIR NAC EXPRESIONES FEDERALES"/>
    <s v="PRODUCCIÓN"/>
    <m/>
    <m/>
    <s v="Productor"/>
    <s v="ADMINISTRATIVA"/>
    <s v="CCK"/>
    <s v="CCK - Alem 351"/>
    <s v="DOTTA LETICIA"/>
    <s v="DNI"/>
    <n v="24856633"/>
    <s v="27248566332"/>
    <d v="1975-10-24T00:00:00"/>
    <s v="ASISTENCIA TÉCNICA"/>
    <s v="AT"/>
    <d v="2013-04-01T00:00:00"/>
    <m/>
    <d v="2016-12-31T00:00:00"/>
    <m/>
    <s v="UNTREF"/>
    <s v="UNSAM-TDA"/>
    <n v="21255"/>
  </r>
  <r>
    <s v="SFMyCP"/>
    <x v="0"/>
    <s v="SUBSEC CENTROS TEMATICOS Y EXP FEDERALES"/>
    <s v="DIRECCION NACIONAL DE CENTROS TEMATICOS"/>
    <s v="ARQUITECTURA Y OBRA"/>
    <m/>
    <m/>
    <m/>
    <m/>
    <s v="TECNÓPOLIS"/>
    <m/>
    <s v="DRAGO CUTELLE Andrea Fabiana"/>
    <s v="DNI"/>
    <n v="20742183"/>
    <n v="27207421834"/>
    <m/>
    <s v="LEY MARCO"/>
    <s v="LM"/>
    <d v="2012-12-01T00:00:00"/>
    <d v="2016-12-31T00:00:00"/>
    <d v="2016-12-31T00:00:00"/>
    <s v="B5"/>
    <m/>
    <m/>
    <n v="25047.11"/>
  </r>
  <r>
    <s v="SFMyCP"/>
    <x v="0"/>
    <s v="SUBSEC CENTROS TEMATICOS Y EXP FEDERALES"/>
    <s v="DIRECCION NACIONAL DE CENTROS TEMATICOS"/>
    <s v="INTENDENCIA - FERIAL"/>
    <m/>
    <m/>
    <m/>
    <s v="CONTROL DE DEPOSITOS/RELEVAMIENTOS"/>
    <s v="TECNÓPOLIS"/>
    <s v="TECNOPOLIS"/>
    <s v="DUARTE CARLOS DIONISIO"/>
    <s v="DNI"/>
    <n v="18220453"/>
    <n v="20182204537"/>
    <d v="1976-11-06T00:00:00"/>
    <s v="ASISTENCIA TÉCNICA"/>
    <s v="AT"/>
    <d v="2013-06-01T00:00:00"/>
    <m/>
    <d v="2016-12-31T00:00:00"/>
    <m/>
    <s v="UNTREF"/>
    <s v="UNTREF"/>
    <n v="12273.52"/>
  </r>
  <r>
    <s v="SFMyCP"/>
    <x v="0"/>
    <m/>
    <s v="DIR NAC GENERACION DE CONTENIDOS"/>
    <s v="INV. AP. RECURSOS DIGITALES"/>
    <s v="CTRO INV PALPALA"/>
    <m/>
    <s v="GESTION DE PROYECTOS"/>
    <s v="ANALISTA"/>
    <s v="PALPALÁ-JUJUY"/>
    <s v="PALPALÁ-JUJUY"/>
    <s v="DUARTE MARIO ALEJANDRO"/>
    <s v="DNI"/>
    <n v="31858106"/>
    <n v="20318581062"/>
    <d v="1985-09-01T00:00:00"/>
    <s v="ASISTENCIA TÉCNICA"/>
    <s v="AT"/>
    <d v="2015-09-01T00:00:00"/>
    <m/>
    <d v="2016-12-31T00:00:00"/>
    <m/>
    <s v="UNTREF"/>
    <s v="UNSAM"/>
    <n v="11500"/>
  </r>
  <r>
    <s v="SFMyCP"/>
    <x v="0"/>
    <m/>
    <s v="DIR NAC GENERACION DE CONTENIDOS"/>
    <s v="TELEVISION DIGITAL ABIERTA"/>
    <s v="CIARA"/>
    <m/>
    <s v="PANORAMA ARGENTINO"/>
    <s v="ADMINISTRATIVO"/>
    <s v="CABILDO 65"/>
    <s v="CABILDO 65"/>
    <s v="DUGO CHRISTIAN"/>
    <s v="DNI"/>
    <n v="20956958"/>
    <s v="20209569583"/>
    <d v="1969-08-28T00:00:00"/>
    <s v="ASISTENCIA TÉCNICA"/>
    <s v="AT"/>
    <d v="2014-05-11T00:00:00"/>
    <m/>
    <d v="2016-12-31T00:00:00"/>
    <m/>
    <s v="UNTREF"/>
    <s v="UNSAM- LADA"/>
    <n v="20959"/>
  </r>
  <r>
    <s v="SFMyCP"/>
    <x v="0"/>
    <m/>
    <s v="DIR NAC GENERACION DE CONTENIDOS"/>
    <s v="INV. AP. RECURSOS DIGITALES"/>
    <s v="CTRO INV PALPALA"/>
    <m/>
    <s v="DISEÑO"/>
    <s v="ANALISTA"/>
    <s v="PALPALÁ-JUJUY"/>
    <s v="PALPALÁ-JUJUY"/>
    <s v="DURAN DANIEL AUGUSTO"/>
    <s v="DNI"/>
    <n v="29942530"/>
    <n v="20299425305"/>
    <d v="1982-12-23T00:00:00"/>
    <s v="ASISTENCIA TÉCNICA"/>
    <s v="AT"/>
    <d v="2015-09-01T00:00:00"/>
    <m/>
    <d v="2016-12-31T00:00:00"/>
    <m/>
    <s v="UNTREF"/>
    <s v="UNSAM"/>
    <n v="13000"/>
  </r>
  <r>
    <s v="SFMyCP"/>
    <x v="0"/>
    <s v="SUBSEC CENTROS TEMATICOS Y EXP FEDERALES"/>
    <s v="DIR NAC EXPRESIONES FEDERALES"/>
    <s v="INSTITUCIONALES"/>
    <m/>
    <m/>
    <m/>
    <m/>
    <m/>
    <m/>
    <s v="DVORKIN PABLO"/>
    <s v="DNI"/>
    <n v="30593086"/>
    <n v="20305930866"/>
    <m/>
    <m/>
    <s v="LM"/>
    <d v="2005-08-01T00:00:00"/>
    <m/>
    <d v="2016-12-31T00:00:00"/>
    <s v="C0"/>
    <m/>
    <m/>
    <m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ECHEVERRIA LAUTARO"/>
    <s v="DNI"/>
    <n v="32188347"/>
    <s v="20321883479"/>
    <d v="1986-03-09T00:00:00"/>
    <s v="ASISTENCIA TÉCNICA"/>
    <s v="AT"/>
    <d v="2015-07-01T00:00:00"/>
    <m/>
    <d v="2016-12-31T00:00:00"/>
    <m/>
    <s v="UNTREF"/>
    <s v="UNSAM- LADA"/>
    <n v="17849"/>
  </r>
  <r>
    <s v="SFMyCP"/>
    <x v="1"/>
    <m/>
    <s v="DIR GRAL TECNICA ADMINISTRATIVA Y LEGAL"/>
    <s v="COMPRAS Y CONTRATACIONES"/>
    <m/>
    <m/>
    <s v=""/>
    <s v="ADMINISTRATIVO"/>
    <m/>
    <s v="CCK - Alem 351"/>
    <s v="ECHEVERRIA MARIANA"/>
    <s v="DNI"/>
    <n v="34207982"/>
    <s v="27342079828"/>
    <d v="1989-01-23T00:00:00"/>
    <s v="ASISTENCIA TÉCNICA"/>
    <s v="AT"/>
    <d v="2015-03-01T00:00:00"/>
    <m/>
    <d v="2016-12-31T00:00:00"/>
    <m/>
    <s v="UNTREF"/>
    <s v="UNLAM -TDA"/>
    <n v="12231"/>
  </r>
  <r>
    <s v="SFMyCP"/>
    <x v="0"/>
    <s v="SUBSEC CENTROS TEMATICOS Y EXP FEDERALES"/>
    <s v="DIR NAC EXPRESIONES FEDERALES"/>
    <s v="PRODUCCIÓN"/>
    <m/>
    <m/>
    <m/>
    <s v="ADMINISTRATIVA"/>
    <m/>
    <s v="CCK - Alem 351"/>
    <s v="EFRON HORACIO"/>
    <s v="DNI"/>
    <n v="17454322"/>
    <n v="20174543225"/>
    <d v="1965-10-19T00:00:00"/>
    <s v="ASISTENCIA TÉCNICA"/>
    <s v="AT"/>
    <d v="2016-04-01T00:00:00"/>
    <m/>
    <d v="2016-12-31T00:00:00"/>
    <m/>
    <s v="UNTREF"/>
    <m/>
    <n v="26000"/>
  </r>
  <r>
    <s v="SFMyCP"/>
    <x v="0"/>
    <m/>
    <s v="DIR NAC GENERACION DE CONTENIDOS"/>
    <s v="TELEVISION DIGITAL ABIERTA"/>
    <s v="CIARA"/>
    <m/>
    <s v="PROMOCIONES"/>
    <s v="ADMINISTRATIVO"/>
    <s v="CABILDO 65"/>
    <s v="CABILDO 65"/>
    <s v="EILETZ CATALINA"/>
    <s v="DNI"/>
    <n v="32783953"/>
    <s v="27327839530"/>
    <d v="1986-12-28T00:00:00"/>
    <s v="ASISTENCIA TÉCNICA"/>
    <s v="AT"/>
    <d v="2015-07-01T00:00:00"/>
    <m/>
    <d v="2016-12-31T00:00:00"/>
    <m/>
    <s v="UNTREF"/>
    <s v="UNSAM- LADA"/>
    <n v="15234"/>
  </r>
  <r>
    <s v="SFMyCP"/>
    <x v="0"/>
    <m/>
    <s v="COMUNICACIONES"/>
    <s v="COMUNICACIÓN"/>
    <m/>
    <m/>
    <m/>
    <s v="ADMINISTRATIVO"/>
    <m/>
    <s v="CCK - Alem 351"/>
    <s v="EKART KARINA"/>
    <s v="DNI"/>
    <n v="24903622"/>
    <s v="27249036221"/>
    <d v="1976-03-10T00:00:00"/>
    <s v="ASISTENCIA TÉCNICA"/>
    <s v="AT"/>
    <m/>
    <m/>
    <d v="2016-12-31T00:00:00"/>
    <m/>
    <s v="UNTREF"/>
    <m/>
    <n v="19000"/>
  </r>
  <r>
    <s v="SFMyCP"/>
    <x v="0"/>
    <m/>
    <s v="DIR NAC GENERACION DE CONTENIDOS"/>
    <s v="TELEVISION DIGITAL ABIERTA"/>
    <s v="CIARA"/>
    <s v="CCK"/>
    <s v="PROGRAMA POLOS AUDIOVISUALES TECNOLÓGICOS"/>
    <m/>
    <s v="CABILDO 65"/>
    <m/>
    <s v="ELEM VIVIAN BEATRIZ"/>
    <s v="DNI"/>
    <n v="12633838"/>
    <n v="23126338384"/>
    <m/>
    <s v="LEY MARCO"/>
    <s v="LM"/>
    <d v="2014-10-01T00:00:00"/>
    <d v="2016-03-31T00:00:00"/>
    <d v="2016-12-31T00:00:00"/>
    <s v="B0"/>
    <m/>
    <m/>
    <n v="17107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ELMO, ALEJANDRA"/>
    <s v="DNI"/>
    <n v="28233579"/>
    <s v="23282335794"/>
    <d v="1980-07-02T00:00:00"/>
    <s v="ASISTENCIA TÉCNICA"/>
    <s v="AT"/>
    <d v="2016-01-01T00:00:00"/>
    <m/>
    <d v="2016-12-31T00:00:00"/>
    <m/>
    <s v="UNTREF"/>
    <s v="UNSAM"/>
    <n v="15159.27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EMBON GUSTAVO"/>
    <s v="DNI"/>
    <n v="23195541"/>
    <s v="20231955411"/>
    <d v="1973-02-19T00:00:00"/>
    <s v="ASISTENCIA TÉCNICA"/>
    <s v="AT"/>
    <d v="2013-03-01T00:00:00"/>
    <m/>
    <d v="2016-12-31T00:00:00"/>
    <m/>
    <s v="UNTREF"/>
    <s v="UNSAM- LADA"/>
    <n v="22151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ENCIZO CRISTIAN RAMON"/>
    <s v="DNI"/>
    <n v="34363932"/>
    <s v="20343639326"/>
    <d v="1990-08-31T00:00:00"/>
    <s v="ASISTENCIA TÉCNICA"/>
    <s v="AT"/>
    <d v="2014-07-01T00:00:00"/>
    <m/>
    <d v="2016-12-31T00:00:00"/>
    <m/>
    <s v="UNTREF"/>
    <s v="UNTREF"/>
    <n v="9995.51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ERBEA JUAN"/>
    <s v="DNI"/>
    <n v="30861963"/>
    <s v="20308619630"/>
    <d v="1984-08-04T00:00:00"/>
    <s v="ASISTENCIA TÉCNICA"/>
    <s v="AT"/>
    <d v="2014-06-23T00:00:00"/>
    <m/>
    <d v="2016-12-31T00:00:00"/>
    <m/>
    <s v="UNTREF"/>
    <m/>
    <n v="20959"/>
  </r>
  <r>
    <s v="SFMyCP"/>
    <x v="0"/>
    <s v="SUBSEC CENTROS TEMATICOS Y EXP FEDERALES"/>
    <s v="DIRECCION NACIONAL DE CENTROS TEMATICOS"/>
    <s v="GASTRONOMIA"/>
    <m/>
    <m/>
    <s v="COCINA"/>
    <s v="ORGANIZACIÓN DE MERCADERÍA DE DEPÓSITOS/COMANDO DE ACTIVIDADES/PRODUCCIÓN GRAL DE RECETAS"/>
    <s v="TECNÓPOLIS"/>
    <s v="TECNOPOLIS"/>
    <s v="ESCOBAR GONZALEZ  MARIO SEBASTIAN"/>
    <s v="DNI"/>
    <n v="94512322"/>
    <s v="20945123223"/>
    <d v="1993-01-19T00:00:00"/>
    <s v="ASISTENCIA TÉCNICA"/>
    <s v="AT"/>
    <d v="2012-07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s v="INTENDENCIA - TALLERES"/>
    <m/>
    <m/>
    <m/>
    <m/>
    <s v="TECNÓPOLIS"/>
    <m/>
    <s v="ESCOBAR Hector Jorge"/>
    <s v="DNI"/>
    <n v="20718608"/>
    <n v="20207186083"/>
    <m/>
    <s v="LEY MARCO"/>
    <s v="LM"/>
    <d v="2012-02-01T00:00:00"/>
    <d v="2016-12-31T00:00:00"/>
    <d v="2016-12-31T00:00:00"/>
    <s v="C0"/>
    <m/>
    <m/>
    <n v="14667.81"/>
  </r>
  <r>
    <s v="SFMyCP"/>
    <x v="0"/>
    <m/>
    <s v="DIR DE COOPERACION INTERNACIONAL"/>
    <m/>
    <m/>
    <m/>
    <m/>
    <s v="ADMINISTRATIVO"/>
    <m/>
    <s v="CCK - Alem 351"/>
    <s v="ESCOBAR MARIA FERNANDA"/>
    <s v="DNI"/>
    <n v="23275418"/>
    <s v="23232754184"/>
    <d v="1973-06-28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MANTENIMIENTO"/>
    <m/>
    <m/>
    <m/>
    <m/>
    <s v="TECNÓPOLIS"/>
    <m/>
    <s v="ESCOBAR Raúl Eduardo"/>
    <s v="DNI"/>
    <n v="23109452"/>
    <n v="20231094521"/>
    <m/>
    <s v="LEY MARCO"/>
    <s v="LM"/>
    <d v="2012-02-01T00:00:00"/>
    <d v="2016-12-31T00:00:00"/>
    <d v="2016-12-31T00:00:00"/>
    <s v="C0"/>
    <m/>
    <m/>
    <n v="16544.11"/>
  </r>
  <r>
    <s v="SFMyCP"/>
    <x v="0"/>
    <m/>
    <s v="COMUNICACIONES"/>
    <s v="COMUNICACIÓN"/>
    <m/>
    <m/>
    <m/>
    <m/>
    <s v="CCK"/>
    <s v="CCK - Alem 351"/>
    <s v="ESCRIÑA María Carmen"/>
    <s v="DNI"/>
    <n v="28334271"/>
    <n v="23283242714"/>
    <m/>
    <s v="LEY MARCO"/>
    <s v="LM"/>
    <d v="2012-04-01T00:00:00"/>
    <d v="2016-12-31T00:00:00"/>
    <d v="2016-12-31T00:00:00"/>
    <s v="C0"/>
    <m/>
    <m/>
    <n v="15601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ESNAOLA  JUAN JOSE"/>
    <s v="DNI"/>
    <n v="14890843"/>
    <n v="20148908436"/>
    <m/>
    <s v="LEY MARCO"/>
    <s v="LM"/>
    <d v="2014-12-01T00:00:00"/>
    <d v="2016-03-31T00:00:00"/>
    <d v="2016-12-31T00:00:00"/>
    <s v="D0"/>
    <m/>
    <m/>
    <n v="18000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ESPINOLA CINTIA"/>
    <s v="DNI"/>
    <n v="34529374"/>
    <s v="23345293744"/>
    <d v="1989-05-13T00:00:00"/>
    <s v="ASISTENCIA TÉCNICA"/>
    <s v="AT"/>
    <d v="2012-12-01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DIRECCION"/>
    <m/>
    <m/>
    <s v="ASESOR"/>
    <s v="ASESOR"/>
    <m/>
    <s v="CCK - Alem 351"/>
    <s v="ESQUIVEL GABRIELA ZULMA"/>
    <m/>
    <m/>
    <m/>
    <d v="1973-03-30T00:00:00"/>
    <m/>
    <s v="AT"/>
    <d v="2016-07-01T00:00:00"/>
    <d v="2016-12-31T00:00:00"/>
    <d v="2016-12-31T00:00:00"/>
    <m/>
    <s v="UNTREF"/>
    <m/>
    <m/>
  </r>
  <r>
    <s v="SFMyCP"/>
    <x v="1"/>
    <m/>
    <s v="DIR GRAL TECNICA ADMINISTRATIVA Y LEGAL"/>
    <s v="JURIDICOS"/>
    <m/>
    <m/>
    <m/>
    <s v="Asistencia Juridica"/>
    <m/>
    <s v="CCK - Alem 351"/>
    <s v="ESTANGA SARRAUA ANDRES"/>
    <s v="DNI"/>
    <n v="38861032"/>
    <n v="20388610329"/>
    <d v="1995-02-26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DIR NAC EXPRESIONES FEDERALES"/>
    <s v="ADMINISTRACION"/>
    <m/>
    <m/>
    <s v="Administrativo"/>
    <s v="ADMINISTRATIVO"/>
    <s v="CCK"/>
    <s v="CCK - Alem 351"/>
    <s v="FACENTE VERONICA LUJAN"/>
    <s v="DNI"/>
    <n v="27822762"/>
    <s v="27278227621"/>
    <d v="1980-02-04T00:00:00"/>
    <s v="ASISTENCIA TÉCNICA"/>
    <s v="AT"/>
    <d v="2013-11-16T00:00:00"/>
    <m/>
    <d v="2016-12-31T00:00:00"/>
    <m/>
    <s v="UNTREF"/>
    <s v="CULTURA"/>
    <n v="16000"/>
  </r>
  <r>
    <s v="SFMyCP"/>
    <x v="0"/>
    <s v="SUBSEC CENTROS TEMATICOS Y EXP FEDERALES"/>
    <s v="DIRECCION NACIONAL DE CENTROS TEMATICOS"/>
    <s v="TECNICA"/>
    <m/>
    <m/>
    <m/>
    <m/>
    <s v="TECNÓPOLIS"/>
    <m/>
    <s v="FACHAL Esteban Federico"/>
    <s v="DNI"/>
    <n v="29635339"/>
    <n v="20296353397"/>
    <m/>
    <s v="LEY MARCO"/>
    <s v="LM"/>
    <d v="2010-04-01T00:00:00"/>
    <d v="2016-12-31T00:00:00"/>
    <d v="2016-12-31T00:00:00"/>
    <s v="C1"/>
    <m/>
    <m/>
    <n v="31094"/>
  </r>
  <r>
    <s v="SFMyCP"/>
    <x v="0"/>
    <m/>
    <s v="COMUNICACIONES"/>
    <s v="COMUNICACIÓN"/>
    <m/>
    <m/>
    <m/>
    <s v="ADMINISTRATIVO"/>
    <m/>
    <s v="CCK - Alem 351"/>
    <s v="FAMA ANTONIO JULIAN"/>
    <s v="DNI"/>
    <n v="31559806"/>
    <n v="20315598061"/>
    <d v="1985-03-02T00:00:00"/>
    <s v="ASISTENCIA TÉCNICA"/>
    <s v="AT"/>
    <m/>
    <m/>
    <d v="2016-12-31T00:00:00"/>
    <m/>
    <s v="UNTREF"/>
    <m/>
    <m/>
  </r>
  <r>
    <s v="SFMyCP"/>
    <x v="0"/>
    <m/>
    <s v="ARTES VISUALES"/>
    <s v="ARTES VISUALES"/>
    <m/>
    <m/>
    <m/>
    <s v="ADMINISTRATIVO"/>
    <m/>
    <s v="CCK - Alem 351"/>
    <s v="FAOUR MICHELLE"/>
    <s v="DNI"/>
    <n v="35368163"/>
    <n v="27353681635"/>
    <d v="1990-11-05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TECNICA"/>
    <m/>
    <m/>
    <m/>
    <m/>
    <s v="TECNÓPOLIS"/>
    <m/>
    <s v="FARA ERNESTO LEANDRO"/>
    <s v="DNI"/>
    <n v="30135252"/>
    <n v="20301352523"/>
    <m/>
    <s v="LEY MARCO"/>
    <s v="LM"/>
    <d v="2013-04-01T00:00:00"/>
    <d v="2016-03-31T00:00:00"/>
    <d v="2016-12-31T00:00:00"/>
    <s v="D0"/>
    <m/>
    <m/>
    <n v="17672.34"/>
  </r>
  <r>
    <s v="SFMyCP"/>
    <x v="0"/>
    <s v="SUBSEC CENTROS TEMATICOS Y EXP FEDERALES"/>
    <s v="DIR NAC EXPRESIONES FEDERALES"/>
    <s v="DIRECCION DE GESTION EDILICIA"/>
    <m/>
    <m/>
    <m/>
    <s v="Auxiliar"/>
    <m/>
    <s v="CCK - Alem 351"/>
    <s v="FARANNA OSCAR ALBERTO"/>
    <s v="DNI"/>
    <n v="28746454"/>
    <n v="20287464542"/>
    <d v="1970-12-15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ADMINISTRACION"/>
    <m/>
    <m/>
    <m/>
    <s v="ADMINISTRATIVO"/>
    <s v="CCK"/>
    <s v="CCK - Alem 351"/>
    <s v="FARINAZZO PAOLA ANDREA"/>
    <s v="DNI"/>
    <n v="23782289"/>
    <s v="27237822892"/>
    <d v="1974-01-18T00:00:00"/>
    <s v="ASISTENCIA TÉCNICA"/>
    <s v="AT"/>
    <d v="2015-01-12T00:00:00"/>
    <m/>
    <d v="2016-12-31T00:00:00"/>
    <m/>
    <s v="UNTREF"/>
    <s v="UNSAM"/>
    <n v="10188"/>
  </r>
  <r>
    <s v="SFMyCP"/>
    <x v="0"/>
    <s v="SUBSEC CENTROS TEMATICOS Y EXP FEDERALES"/>
    <s v="DIRECCION NACIONAL DE CENTROS TEMATICOS"/>
    <s v="COOPERATIVAS"/>
    <m/>
    <m/>
    <s v="Tareas Generales"/>
    <s v="MANTENIMIENTO DE ESPACIOS VERDES"/>
    <s v="TECNÓPOLIS"/>
    <m/>
    <s v="FARIÑA MARIELA NOEMI"/>
    <s v="DNI"/>
    <n v="27888389"/>
    <n v="27278883898"/>
    <m/>
    <s v="ASISTENCIA TÉCNICA"/>
    <s v="CO"/>
    <m/>
    <m/>
    <d v="2016-12-31T00:00:00"/>
    <m/>
    <s v="UNTREF"/>
    <s v="UNTREF"/>
    <n v="4700"/>
  </r>
  <r>
    <s v="SFMyCP"/>
    <x v="0"/>
    <s v="SUBSEC CENTROS TEMATICOS Y EXP FEDERALES"/>
    <s v="DIRECCION NACIONAL DE CENTROS TEMATICOS"/>
    <m/>
    <m/>
    <m/>
    <s v="PRIVADA"/>
    <s v="ADMINISTRATIVO"/>
    <m/>
    <s v="TECNOPOLIS"/>
    <s v="FAVERIO LAMOTHE ANTONIO"/>
    <s v="DNI"/>
    <n v="33423803"/>
    <n v="20334238035"/>
    <d v="1987-10-22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s v="CCK"/>
    <s v="FOMENTO"/>
    <s v="ADMINISTRATIVO"/>
    <s v="CABILDO 65"/>
    <s v="CABILDO 65"/>
    <s v="FAZIO NATALIA"/>
    <s v="DNI"/>
    <n v="27926754"/>
    <s v="27279267546"/>
    <d v="1980-02-25T00:00:00"/>
    <s v="ASISTENCIA TÉCNICA"/>
    <s v="AT"/>
    <d v="2013-02-01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FAZZITO JUAN CARLOS"/>
    <s v="DNI"/>
    <n v="34641137"/>
    <n v="20346411377"/>
    <d v="1989-06-19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ROMOCIONES"/>
    <s v="ADMINISTRATIVO"/>
    <s v="CABILDO 65"/>
    <s v="CABILDO 65"/>
    <s v="FEIS MARA"/>
    <s v="DNI"/>
    <n v="33498759"/>
    <s v="27334987596"/>
    <d v="1987-12-02T00:00:00"/>
    <s v="ASISTENCIA TÉCNICA"/>
    <s v="AT"/>
    <d v="2009-11-19T00:00:00"/>
    <m/>
    <d v="2016-12-31T00:00:00"/>
    <m/>
    <s v="UNTREF"/>
    <s v="UNSAM- LADA"/>
    <n v="20545"/>
  </r>
  <r>
    <s v="SFMyCP"/>
    <x v="1"/>
    <m/>
    <s v="DIR GRAL TECNICA ADMINISTRATIVA Y LEGAL"/>
    <s v="INFORMATICA Y SISTEMAS"/>
    <m/>
    <m/>
    <s v="Analista"/>
    <s v="Analista"/>
    <s v="CCK"/>
    <s v="CCK - Alem 351"/>
    <s v="FERNANDEZ ALEJANDRO"/>
    <s v="DNI"/>
    <n v="35429157"/>
    <s v="20354291577"/>
    <d v="1993-02-09T00:00:00"/>
    <s v="ASISTENCIA TÉCNICA"/>
    <s v="AT"/>
    <d v="2015-04-01T00:00:00"/>
    <m/>
    <d v="2016-12-31T00:00:00"/>
    <m/>
    <s v="UNTREF"/>
    <s v="UNLAM- INFO"/>
    <n v="9000"/>
  </r>
  <r>
    <s v="SFMyCP"/>
    <x v="1"/>
    <m/>
    <s v="DIR GRAL TECNICA ADMINISTRATIVA Y LEGAL"/>
    <s v="PRESUPUESTO"/>
    <m/>
    <m/>
    <m/>
    <m/>
    <m/>
    <m/>
    <s v="FERNANDEZ CARLOS  "/>
    <s v="DNI"/>
    <n v="27311920"/>
    <n v="20273119206"/>
    <m/>
    <s v="LEY MARCO"/>
    <s v="LM"/>
    <d v="2012-12-01T00:00:00"/>
    <d v="2016-12-31T00:00:00"/>
    <d v="2016-12-31T00:00:00"/>
    <s v="A0"/>
    <m/>
    <m/>
    <n v="22812"/>
  </r>
  <r>
    <s v="SFMyCP"/>
    <x v="0"/>
    <s v="SUBSEC CENTROS TEMATICOS Y EXP FEDERALES"/>
    <s v="DIRECCION NACIONAL DE CENTROS TEMATICOS"/>
    <s v="INTENDENCIA- MANTENIMIENTO"/>
    <m/>
    <m/>
    <m/>
    <m/>
    <s v="TECNÓPOLIS"/>
    <m/>
    <s v="FERNANDEZ Carlos Germán"/>
    <s v="DNI"/>
    <n v="31135350"/>
    <m/>
    <m/>
    <s v="LEY MARCO"/>
    <s v="LM"/>
    <d v="2011-06-01T00:00:00"/>
    <d v="2016-12-31T00:00:00"/>
    <d v="2016-12-31T00:00:00"/>
    <s v="C0"/>
    <m/>
    <m/>
    <n v="13533.35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FERNANDEZ CARLOS HORACIO"/>
    <s v="DNI"/>
    <n v="17928508"/>
    <s v="20179285089"/>
    <d v="1966-11-03T00:00:00"/>
    <s v="ASISTENCIA TÉCNICA"/>
    <s v="AT"/>
    <d v="2011-07-01T00:00:00"/>
    <m/>
    <d v="2016-12-31T00:00:00"/>
    <m/>
    <s v="UNTREF"/>
    <s v="UNTREF"/>
    <n v="11449.4"/>
  </r>
  <r>
    <s v="SFMyCP"/>
    <x v="0"/>
    <m/>
    <s v="UNIDAD SECRETARÍA"/>
    <m/>
    <m/>
    <m/>
    <s v="PRIVADA"/>
    <s v="ADMINISTRATIVO"/>
    <m/>
    <s v="CCK - Alem 351"/>
    <s v="FERNANDEZ DIEGO OSCAR "/>
    <s v="DNI"/>
    <n v="25177118"/>
    <m/>
    <m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DIR NAC EXPRESIONES FEDERALES"/>
    <s v="DIRECCION"/>
    <m/>
    <m/>
    <s v="PRIVADA"/>
    <s v="ADMINISTRATIVO"/>
    <s v="CCK"/>
    <s v="CCK - Alem 351"/>
    <s v="FERNANDEZ FLORENCIA"/>
    <s v="DNI"/>
    <n v="39066240"/>
    <n v="27390662403"/>
    <d v="1995-07-21T00:00:00"/>
    <s v="ASISTENCIA TÉCNICA"/>
    <s v="AT"/>
    <d v="2016-02-01T00:00:00"/>
    <m/>
    <d v="2016-12-31T00:00:00"/>
    <m/>
    <s v="UNTREF"/>
    <s v="UNSAM"/>
    <n v="28000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FERNANDEZ MACEDONIO"/>
    <s v="DNI"/>
    <n v="27946545"/>
    <s v="20279465459"/>
    <d v="1980-03-25T00:00:00"/>
    <s v="ASISTENCIA TÉCNICA"/>
    <s v="AT"/>
    <d v="2013-04-01T00:00:00"/>
    <m/>
    <d v="2016-12-31T00:00:00"/>
    <m/>
    <s v="UNTREF"/>
    <m/>
    <n v="19353"/>
  </r>
  <r>
    <s v="SFMyCP"/>
    <x v="0"/>
    <s v="SUBSEC CENTROS TEMATICOS Y EXP FEDERALES"/>
    <s v="DIRECCION NACIONAL DE CENTROS TEMATICOS"/>
    <s v="PRODUCCIÓN"/>
    <m/>
    <m/>
    <m/>
    <m/>
    <s v="TECNÓPOLIS"/>
    <m/>
    <s v="FERNANDEZ MANTEROLA Amalia"/>
    <s v="DNI"/>
    <n v="30571636"/>
    <n v="27305716362"/>
    <m/>
    <s v="LEY MARCO"/>
    <s v="LM"/>
    <d v="2012-10-30T00:00:00"/>
    <d v="2016-12-31T00:00:00"/>
    <d v="2016-12-31T00:00:00"/>
    <s v="C0"/>
    <m/>
    <m/>
    <n v="27488.85"/>
  </r>
  <r>
    <s v="SFMyCP"/>
    <x v="0"/>
    <m/>
    <s v="DIR NAC GENERACION DE CONTENIDOS"/>
    <s v="TELEVISION DIGITAL ABIERTA"/>
    <s v="CIARA"/>
    <m/>
    <s v=""/>
    <s v="ADMINISTRATIVO"/>
    <s v="CABILDO 65"/>
    <s v="CABILDO 65"/>
    <s v="FERNANDEZ MARA"/>
    <s v="DNI"/>
    <n v="31343615"/>
    <s v="27313436158"/>
    <d v="1984-11-23T00:00:00"/>
    <s v="ASISTENCIA TÉCNICA"/>
    <s v="AT"/>
    <d v="2012-12-01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PRODUCCIÓN"/>
    <m/>
    <m/>
    <m/>
    <s v="ADMINISTRATIVA"/>
    <m/>
    <s v="CCK - Alem 351"/>
    <s v="FERNANDEZ NADALE LUCIA"/>
    <s v="DNI"/>
    <n v="32236578"/>
    <s v="27322365786"/>
    <d v="1986-03-07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FERNANDEZ VICENTA LUCIA"/>
    <s v="DNI"/>
    <n v="16253797"/>
    <s v="27162537976"/>
    <d v="1964-08-15T00:00:00"/>
    <s v="ASISTENCIA TÉCNICA"/>
    <s v="AT"/>
    <d v="2012-07-01T00:00:00"/>
    <m/>
    <d v="2016-12-31T00:00:00"/>
    <m/>
    <s v="UNTREF"/>
    <s v="UNTREF"/>
    <n v="9955.51"/>
  </r>
  <r>
    <s v="SFMyCP"/>
    <x v="0"/>
    <s v="SUBSEC CENTROS TEMATICOS Y EXP FEDERALES"/>
    <s v="DIRECCION NACIONAL DE CENTROS TEMATICOS"/>
    <s v="OPERATIVA (ADMINISTRACION)"/>
    <m/>
    <m/>
    <m/>
    <m/>
    <s v="TECNÓPOLIS"/>
    <m/>
    <s v="FERRANDO Andrea Bibiana"/>
    <s v="DNI"/>
    <n v="20965399"/>
    <n v="27209653996"/>
    <m/>
    <s v="LEY MARCO"/>
    <s v="LM"/>
    <d v="2010-01-01T00:00:00"/>
    <d v="2016-12-31T00:00:00"/>
    <d v="2016-12-31T00:00:00"/>
    <s v="C1"/>
    <m/>
    <m/>
    <n v="17571.04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FERRANTE ANDRES"/>
    <s v="DNI"/>
    <n v="27537306"/>
    <s v="20275373061"/>
    <s v="14/08/1979"/>
    <s v="ASISTENCIA TÉCNICA"/>
    <s v="AT"/>
    <d v="2011-05-09T00:00:00"/>
    <m/>
    <d v="2016-12-31T00:00:00"/>
    <m/>
    <s v="UNTREF"/>
    <s v="UNSAM- LADA"/>
    <n v="32782"/>
  </r>
  <r>
    <s v="SFMyCP"/>
    <x v="0"/>
    <s v="SUBSEC CENTROS TEMATICOS Y EXP FEDERALES"/>
    <s v="DIR NAC EXPRESIONES FEDERALES"/>
    <s v="PRODUCCIÓN"/>
    <m/>
    <m/>
    <m/>
    <s v="ADMINISTRATIVA"/>
    <m/>
    <s v="CCK - Alem 351"/>
    <s v="FERRARI LUCAS"/>
    <s v="DNI"/>
    <n v="22825888"/>
    <s v="20228258882"/>
    <d v="1972-08-25T00:00:00"/>
    <s v="ASISTENCIA TÉCNICA"/>
    <s v="AT"/>
    <d v="2016-06-01T00:00:00"/>
    <m/>
    <d v="2016-12-31T00:00:00"/>
    <m/>
    <s v="UNTREF"/>
    <m/>
    <m/>
  </r>
  <r>
    <s v="SFMyCP"/>
    <x v="1"/>
    <m/>
    <s v="UNIDAD DE MINISTRO"/>
    <m/>
    <m/>
    <m/>
    <s v="PRIVADA"/>
    <s v="ADMINISTRATIVO"/>
    <m/>
    <s v="CCK - Alem 351"/>
    <s v="FERRARI SANDRA PATRICIA"/>
    <s v="DNI"/>
    <n v="37234433"/>
    <n v="23372344334"/>
    <d v="1973-07-05T00:00:00"/>
    <s v="ASISTENCIA TÉCNICA"/>
    <s v="AT"/>
    <d v="2016-01-01T00:00:00"/>
    <m/>
    <d v="2016-12-31T00:00:00"/>
    <m/>
    <s v="UNTREF"/>
    <s v="UNSAM"/>
    <n v="17000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FERREIRA ESPINDOLA  MARIANA PAMELA"/>
    <s v="DNI"/>
    <n v="34669940"/>
    <s v="27346699405"/>
    <d v="1988-10-09T00:00:00"/>
    <s v="ASISTENCIA TÉCNICA"/>
    <s v="AT"/>
    <d v="2013-07-01T00:00:00"/>
    <m/>
    <d v="2016-12-31T00:00:00"/>
    <m/>
    <s v="UNTREF"/>
    <s v="UNTREF"/>
    <n v="9995.51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FERREIRA SERGIO "/>
    <s v="DNI"/>
    <n v="33928176"/>
    <n v="23339281769"/>
    <m/>
    <s v="LEY MARCO"/>
    <s v="LM"/>
    <d v="2014-12-01T00:00:00"/>
    <d v="2016-03-31T00:00:00"/>
    <d v="2016-12-31T00:00:00"/>
    <s v="D0"/>
    <m/>
    <m/>
    <n v="18000"/>
  </r>
  <r>
    <s v="SFMyCP"/>
    <x v="0"/>
    <m/>
    <s v="DIR NAC GENERACION DE CONTENIDOS"/>
    <s v="TELEVISION DIGITAL ABIERTA"/>
    <s v="CIARA"/>
    <s v="CCK"/>
    <s v="PROGRAMA POLOS AUDIOVISUALES TECNOLÓGICOS"/>
    <m/>
    <s v="CABILDO 65"/>
    <m/>
    <s v="FERREIRO PABLO DANIEL"/>
    <s v="DNI"/>
    <n v="35561266"/>
    <n v="20355612660"/>
    <m/>
    <s v="LEY MARCO"/>
    <s v="LM"/>
    <d v="2011-03-01T00:00:00"/>
    <d v="2016-12-31T00:00:00"/>
    <d v="2016-12-31T00:00:00"/>
    <s v="C1"/>
    <m/>
    <m/>
    <n v="12000"/>
  </r>
  <r>
    <s v="SFMyCP"/>
    <x v="0"/>
    <m/>
    <s v="COMUNICACIONES"/>
    <s v="COMUNICACIÓN"/>
    <m/>
    <m/>
    <m/>
    <m/>
    <s v="CCK"/>
    <s v="CCK - Alem 351"/>
    <s v="FERRERES Juan Ignacio"/>
    <s v="DNI"/>
    <n v="23377687"/>
    <n v="20233776875"/>
    <m/>
    <s v="LEY MARCO"/>
    <s v="LM"/>
    <d v="2012-11-30T00:00:00"/>
    <d v="2016-12-31T00:00:00"/>
    <d v="2016-12-31T00:00:00"/>
    <s v="B0"/>
    <m/>
    <m/>
    <n v="19096"/>
  </r>
  <r>
    <s v="SFMyCP"/>
    <x v="0"/>
    <s v="SUBSEC CENTROS TEMATICOS Y EXP FEDERALES"/>
    <s v="DIR NAC EXPRESIONES FEDERALES"/>
    <s v="PRODUCCIÓN"/>
    <m/>
    <m/>
    <m/>
    <s v="ADMINISTRATIVA"/>
    <m/>
    <s v="CCK - Alem 351"/>
    <s v="FERRUFINO MARCO"/>
    <s v="DNI"/>
    <n v="23602538"/>
    <n v="20236025382"/>
    <d v="1973-11-09T00:00:00"/>
    <s v="ASISTENCIA TÉCNICA"/>
    <s v="AT"/>
    <d v="2016-05-01T00:00:00"/>
    <m/>
    <d v="2016-12-31T00:00:00"/>
    <m/>
    <s v="UNTREF"/>
    <m/>
    <s v=".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FEYLING ANA PAULINA"/>
    <s v="DNI"/>
    <n v="25736011"/>
    <n v="27257360119"/>
    <d v="1977-02-11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PRESIDENCIA"/>
    <m/>
    <s v="CONTENIDOS DIGITALES ABIERTOS CDA"/>
    <s v="PRODUCTOR de EXTERIORES"/>
    <s v="CABILDO 65"/>
    <s v="CABILDO 65"/>
    <s v="FIAMINGO YAGO"/>
    <s v="DNI"/>
    <n v="31061385"/>
    <s v="20310613852"/>
    <d v="1984-07-08T00:00:00"/>
    <s v="ASISTENCIA TÉCNICA"/>
    <s v="AT"/>
    <d v="2015-08-13T00:00:00"/>
    <m/>
    <d v="2016-12-31T00:00:00"/>
    <m/>
    <s v="UNTREF"/>
    <s v="UNSAM- LADA"/>
    <n v="16465"/>
  </r>
  <r>
    <s v="SFMyCP"/>
    <x v="0"/>
    <m/>
    <s v="DIR NAC GENERACION DE CONTENIDOS"/>
    <s v="TELEVISION DIGITAL ABIERTA"/>
    <s v="CIARA"/>
    <m/>
    <s v="ADMINISTRACIÓN"/>
    <m/>
    <s v="CABILDO 65"/>
    <m/>
    <s v="FIDALME MARIA NATALIA"/>
    <s v="DNI"/>
    <n v="27769740"/>
    <n v="27277697403"/>
    <m/>
    <s v="LEY MARCO"/>
    <s v="LM"/>
    <d v="2015-03-01T00:00:00"/>
    <d v="2016-03-31T00:00:00"/>
    <d v="2016-12-31T00:00:00"/>
    <s v="D0"/>
    <m/>
    <m/>
    <n v="10000"/>
  </r>
  <r>
    <s v="SFMyCP"/>
    <x v="0"/>
    <s v="SUBSEC CENTROS TEMATICOS Y EXP FEDERALES"/>
    <s v="DIR NAC EXPRESIONES FEDERALES"/>
    <m/>
    <m/>
    <m/>
    <s v="COORD GESTIÓN FEDERAL "/>
    <s v="ADMINISTRATIVO"/>
    <m/>
    <s v="CCK - Alem 351"/>
    <s v="FIGLIOLIA OMAR"/>
    <s v="DNI"/>
    <n v="13654259"/>
    <n v="20136542592"/>
    <d v="1959-12-24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FIGUEROA  MIGUEL ANGEL"/>
    <s v="DNI"/>
    <n v="20354090"/>
    <s v="20203540907"/>
    <d v="1968-06-07T00:00:00"/>
    <s v="ASISTENCIA TÉCNICA"/>
    <s v="AT"/>
    <d v="2011-09-01T00:00:00"/>
    <m/>
    <d v="2016-12-31T00:00:00"/>
    <m/>
    <s v="UNTREF"/>
    <s v="UNTREF"/>
    <n v="16139.51"/>
  </r>
  <r>
    <s v="SFMyCP"/>
    <x v="0"/>
    <s v="SUBSEC CENTROS TEMATICOS Y EXP FEDERALES"/>
    <s v="DIRECCION NACIONAL DE CENTROS TEMATICOS"/>
    <s v="INTENDENCIA- MANTENIMIENTO"/>
    <m/>
    <m/>
    <m/>
    <m/>
    <s v="TECNÓPOLIS"/>
    <m/>
    <s v="FIGUEROA José Luis"/>
    <s v="DNI"/>
    <n v="23402784"/>
    <n v="20234027841"/>
    <m/>
    <s v="LEY MARCO"/>
    <s v="LM"/>
    <d v="2012-10-31T00:00:00"/>
    <d v="2016-12-31T00:00:00"/>
    <d v="2016-12-31T00:00:00"/>
    <s v="C0"/>
    <m/>
    <m/>
    <n v="25954"/>
  </r>
  <r>
    <s v="SFMyCP"/>
    <x v="0"/>
    <s v="SUBSEC CENTROS TEMATICOS Y EXP FEDERALES"/>
    <s v="DIR NAC EXPRESIONES FEDERALES"/>
    <s v="PRODUCCIÓN"/>
    <m/>
    <m/>
    <m/>
    <s v="ADMINISTRATIVA"/>
    <m/>
    <s v="CCK - Alem 351"/>
    <s v="FILIPPELLI GUIDO"/>
    <s v="DNI"/>
    <n v="32267824"/>
    <s v="20322678240"/>
    <d v="1986-04-04T00:00:00"/>
    <s v="ASISTENCIA TÉCNICA"/>
    <s v="AT"/>
    <d v="2016-05-01T00:00:00"/>
    <m/>
    <d v="2016-12-31T00:00:00"/>
    <m/>
    <s v="UNTREF"/>
    <m/>
    <s v="."/>
  </r>
  <r>
    <s v="SFMyCP"/>
    <x v="0"/>
    <s v="SUBSEC CENTROS TEMATICOS Y EXP FEDERALES"/>
    <s v="DIR NAC EXPRESIONES FEDERALES"/>
    <s v="TECNICA"/>
    <m/>
    <m/>
    <m/>
    <s v="OPERACIÓN/MONTAJE/MANTENIMIENTO"/>
    <m/>
    <s v="TECNOPOLIS"/>
    <s v="FIORRUCIO JOSE LUIS"/>
    <s v="DNI"/>
    <n v="7961336"/>
    <n v="20079613364"/>
    <d v="1949-09-08T00:00:00"/>
    <s v="ASISTENCIA TÉCNICA"/>
    <s v="AT"/>
    <d v="2016-05-01T00:00:00"/>
    <m/>
    <d v="2016-12-31T00:00:00"/>
    <m/>
    <s v="UNTREF"/>
    <m/>
    <n v="1500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FLAMMINIO SERGIO"/>
    <s v="DNI"/>
    <n v="24881120"/>
    <s v="20248811200"/>
    <d v="1975-09-04T00:00:00"/>
    <s v="ASISTENCIA TÉCNICA"/>
    <s v="AT"/>
    <d v="2012-09-01T00:00:00"/>
    <m/>
    <d v="2016-12-31T00:00:00"/>
    <m/>
    <s v="UNTREF"/>
    <s v="UNSAM- LADA"/>
    <n v="24741"/>
  </r>
  <r>
    <s v="SFMyCP"/>
    <x v="0"/>
    <s v="SUBSEC CENTROS TEMATICOS Y EXP FEDERALES"/>
    <s v="DIR NAC EXPRESIONES FEDERALES"/>
    <s v="PRODUCCIÓN"/>
    <m/>
    <m/>
    <m/>
    <s v="ADMINISTRATIVA"/>
    <m/>
    <s v="CCK - Alem 351"/>
    <s v="FLEITAS MAGDALENA DELFINA"/>
    <s v="DNI"/>
    <n v="21834189"/>
    <n v="27218341891"/>
    <d v="1970-11-14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FLORENTIN JOSÉ GABRIEL"/>
    <s v="DNI"/>
    <n v="24319998"/>
    <n v="20243199981"/>
    <d v="1967-12-30T00:00:00"/>
    <s v="ASISTENCIA TÉCNICA"/>
    <s v="CO"/>
    <d v="2011-11-03T00:00:00"/>
    <m/>
    <d v="2016-12-31T00:00:00"/>
    <m/>
    <s v="UNTREF"/>
    <s v="UNTREF"/>
    <n v="1700"/>
  </r>
  <r>
    <s v="SFMyCP"/>
    <x v="0"/>
    <s v="SUBSEC CENTROS TEMATICOS Y EXP FEDERALES"/>
    <s v="DIRECCION NACIONAL DE CENTROS TEMATICOS"/>
    <s v="INTENDENCIA- MANTENIMIENTO"/>
    <m/>
    <m/>
    <m/>
    <m/>
    <s v="TECNÓPOLIS"/>
    <m/>
    <s v="FLORENTIN Marcelo Max Roy"/>
    <s v="DNI"/>
    <n v="35151859"/>
    <n v="20351518597"/>
    <m/>
    <s v="LEY MARCO"/>
    <s v="LM"/>
    <d v="2011-06-01T00:00:00"/>
    <d v="2016-12-31T00:00:00"/>
    <d v="2016-12-31T00:00:00"/>
    <s v="D1"/>
    <m/>
    <m/>
    <n v="18324"/>
  </r>
  <r>
    <s v="SFMyCP"/>
    <x v="0"/>
    <s v="SUBSEC CENTROS TEMATICOS Y EXP FEDERALES"/>
    <s v="DIRECCION NACIONAL DE CENTROS TEMATICOS"/>
    <s v="OPERATIVA"/>
    <m/>
    <m/>
    <m/>
    <m/>
    <s v="TECNÓPOLIS"/>
    <m/>
    <s v="FLORES Diego Alexis"/>
    <s v="DNI"/>
    <n v="35253895"/>
    <n v="20352538958"/>
    <m/>
    <s v="LEY MARCO"/>
    <s v="LM"/>
    <d v="2012-11-01T00:00:00"/>
    <d v="2016-12-31T00:00:00"/>
    <d v="2016-12-31T00:00:00"/>
    <s v="C0"/>
    <m/>
    <m/>
    <n v="15043.07"/>
  </r>
  <r>
    <s v="SFMyCP"/>
    <x v="1"/>
    <m/>
    <s v="DIR GRAL TECNICA ADMINISTRATIVA Y LEGAL"/>
    <s v="COMPRAS Y CONTRATACIONES"/>
    <m/>
    <m/>
    <s v="Administrativo"/>
    <s v="ADMINISTRATIVO"/>
    <m/>
    <s v="CCK - Alem 351"/>
    <s v="FLORES FLORENCIA CAROLINA"/>
    <s v="DNI"/>
    <n v="38997666"/>
    <s v="EN TRAMITE"/>
    <d v="1995-05-18T00:00:00"/>
    <s v="ASISTENCIA TÉCNICA"/>
    <s v="AT"/>
    <d v="2016-07-18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SERVICIOS GENERALES"/>
    <m/>
    <m/>
    <s v="Auxiliar"/>
    <m/>
    <s v="CCK - Alem 351"/>
    <s v="FONTANA LUCIANO"/>
    <s v="DNI"/>
    <n v="35255476"/>
    <s v="20352554767"/>
    <d v="1990-07-05T00:00:00"/>
    <s v="ASISTENCIA TÉCNICA"/>
    <s v="AT"/>
    <d v="2014-08-01T00:00:00"/>
    <m/>
    <d v="2016-12-31T00:00:00"/>
    <m/>
    <s v="UNTREF"/>
    <m/>
    <n v="9479"/>
  </r>
  <r>
    <s v="SFMyCP"/>
    <x v="0"/>
    <m/>
    <s v="ARTES VISUALES"/>
    <s v="ARTES VISUALES"/>
    <m/>
    <m/>
    <m/>
    <s v="Orientador de Sala"/>
    <m/>
    <m/>
    <s v="FONTES SELVA"/>
    <s v="DNI"/>
    <n v="92436017"/>
    <n v="27924360173"/>
    <m/>
    <s v="ASISTENCIA TÉCNICA"/>
    <s v="AT"/>
    <d v="2016-07-01T00:00:00"/>
    <m/>
    <d v="2016-12-31T00:00:00"/>
    <m/>
    <m/>
    <m/>
    <m/>
  </r>
  <r>
    <s v="SFMyCP"/>
    <x v="1"/>
    <m/>
    <s v="DIR GRAL TECNICA ADMINISTRATIVA Y LEGAL"/>
    <s v="PLANIF  Y ADM DE REC HUMANOS"/>
    <s v="RECURSOS HUMANOS"/>
    <m/>
    <s v="Analista de RR.HH."/>
    <s v="ADMINISTRATIVO"/>
    <s v="CCK"/>
    <s v="CCK - Alem 351"/>
    <s v="FORNERO FABRICIO"/>
    <s v="DNI"/>
    <n v="26938300"/>
    <s v="20269383004"/>
    <d v="1978-12-07T00:00:00"/>
    <s v="ASISTENCIA TÉCNICA"/>
    <s v="AT"/>
    <d v="2015-03-01T00:00:00"/>
    <m/>
    <d v="2016-12-31T00:00:00"/>
    <m/>
    <s v="UNTREF"/>
    <s v="UNSAM-MINPLAN"/>
    <n v="12000"/>
  </r>
  <r>
    <s v="SFMyCP"/>
    <x v="0"/>
    <s v="SUBSEC CENTROS TEMATICOS Y EXP FEDERALES"/>
    <s v="DIR NAC EXPRESIONES FEDERALES"/>
    <s v="DIRECCION DE GESTION EDILICIA"/>
    <s v="MANTENIMIENTO"/>
    <s v="ELECTRICIDAD"/>
    <s v="ASISTENTE"/>
    <s v="ASISTENTE"/>
    <s v="CCK"/>
    <s v="CCK - Alem 351"/>
    <s v="FRANCESCHI SANTIAGO"/>
    <s v="DNI"/>
    <n v="14972197"/>
    <s v="20149721976"/>
    <d v="1962-07-27T00:00:00"/>
    <s v="ASISTENCIA TÉCNICA"/>
    <s v="AT"/>
    <d v="2015-06-01T00:00:00"/>
    <m/>
    <d v="2016-12-31T00:00:00"/>
    <m/>
    <s v="UNTREF"/>
    <s v="UNLAM- BICENTENARIO"/>
    <n v="11388"/>
  </r>
  <r>
    <s v="SFMyCP"/>
    <x v="0"/>
    <s v="SUBSEC CENTROS TEMATICOS Y EXP FEDERALES"/>
    <s v="DIRECCION NACIONAL DE CENTROS TEMATICOS"/>
    <s v="INTENDENCIA - TALLERES"/>
    <m/>
    <m/>
    <m/>
    <m/>
    <s v="TECNÓPOLIS"/>
    <m/>
    <s v="FRATTESI Gabriel Hernán"/>
    <s v="DNI"/>
    <n v="26965728"/>
    <n v="20269657287"/>
    <m/>
    <s v="LEY MARCO"/>
    <s v="LM"/>
    <d v="2012-04-01T00:00:00"/>
    <d v="2016-12-31T00:00:00"/>
    <d v="2016-12-31T00:00:00"/>
    <s v="C0"/>
    <m/>
    <m/>
    <n v="20921.8"/>
  </r>
  <r>
    <s v="SFMyCP"/>
    <x v="1"/>
    <m/>
    <s v="UNIDAD DE MINISTRO"/>
    <m/>
    <m/>
    <m/>
    <s v="PRIVADA"/>
    <s v="ADMINISTRATIVO"/>
    <m/>
    <s v="CCK - Alem 351"/>
    <s v="FREGA, DANIELA"/>
    <s v="DNI"/>
    <n v="35323287"/>
    <n v="27353232873"/>
    <d v="1990-06-02T00:00:00"/>
    <s v="ASISTENCIA TÉCNICA"/>
    <s v="AT"/>
    <d v="2016-01-01T00:00:00"/>
    <m/>
    <d v="2016-12-31T00:00:00"/>
    <m/>
    <s v="UNTREF"/>
    <s v="UNSAM"/>
    <n v="27370"/>
  </r>
  <r>
    <s v="SFMyCP"/>
    <x v="0"/>
    <m/>
    <s v="ARTES VISUALES"/>
    <s v="ARTES VISUALES"/>
    <m/>
    <m/>
    <s v="ADMINISTRACION"/>
    <m/>
    <s v="CCK"/>
    <m/>
    <s v="FREIBERG INGRID"/>
    <s v="DNI"/>
    <n v="25555134"/>
    <n v="27255551340"/>
    <m/>
    <s v="LEY MARCO"/>
    <s v="LM"/>
    <d v="2013-12-01T00:00:00"/>
    <d v="2016-03-31T00:00:00"/>
    <d v="2016-12-31T00:00:00"/>
    <s v="A2"/>
    <m/>
    <m/>
    <n v="30743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FRIEDENBACH MARTIN"/>
    <s v="DNI"/>
    <n v="34146409"/>
    <s v="23341464099"/>
    <d v="1988-10-14T00:00:00"/>
    <s v="ASISTENCIA TÉCNICA"/>
    <s v="AT"/>
    <d v="2013-12-01T00:00:00"/>
    <m/>
    <d v="2016-12-31T00:00:00"/>
    <m/>
    <s v="UNTREF"/>
    <m/>
    <n v="16465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FUENTES JUAN"/>
    <s v="DNI"/>
    <n v="29548353"/>
    <s v="23295483539"/>
    <d v="1982-10-24T00:00:00"/>
    <s v="ASISTENCIA TÉCNICA"/>
    <s v="AT"/>
    <d v="2015-11-01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DIRECCION DE GESTION EDILICIA"/>
    <s v="SERVICIOS GENERALES"/>
    <s v="CONTROL DE ACCESOS B"/>
    <s v="Asistente "/>
    <s v="Asistente "/>
    <s v="CCK"/>
    <s v="CCK - Alem 351"/>
    <s v="FUENTES LANESAN MANUEL"/>
    <s v="DNI"/>
    <n v="33426836"/>
    <s v="20334268366"/>
    <d v="1988-03-25T00:00:00"/>
    <s v="ASISTENCIA TÉCNICA"/>
    <s v="AT"/>
    <d v="2015-08-01T00:00:00"/>
    <m/>
    <d v="2016-12-31T00:00:00"/>
    <m/>
    <s v="UNTREF"/>
    <s v="UNLAM- BICENTENARIO"/>
    <n v="10096"/>
  </r>
  <r>
    <s v="SFMyCP"/>
    <x v="0"/>
    <s v="SUBSEC CENTROS TEMATICOS Y EXP FEDERALES"/>
    <s v="DIR NAC EXPRESIONES FEDERALES"/>
    <s v="DIRECCION DE GESTION EDILICIA"/>
    <s v="SERVICIOS GENERALES"/>
    <s v="CONTROL DE ACCESOS A"/>
    <s v="Responsable"/>
    <s v="Auxiliar"/>
    <s v="CCK"/>
    <s v="CCK - Alem 351"/>
    <s v="FUENTES LANESAN RUBEN"/>
    <s v="DNI"/>
    <n v="35569349"/>
    <s v="20355693490"/>
    <d v="1990-10-27T00:00:00"/>
    <s v="ASISTENCIA TÉCNICA"/>
    <s v="AT"/>
    <d v="2015-02-23T00:00:00"/>
    <m/>
    <d v="2016-12-31T00:00:00"/>
    <m/>
    <s v="UNTREF"/>
    <s v="UNLAM -TDA"/>
    <n v="11721"/>
  </r>
  <r>
    <s v="SFMyCP"/>
    <x v="0"/>
    <s v="SUBSEC CENTROS TEMATICOS Y EXP FEDERALES"/>
    <s v="UNIDAD SUBSECRETARIO"/>
    <m/>
    <m/>
    <m/>
    <s v="PRIVADA"/>
    <s v="ADMINISTRATIVO"/>
    <m/>
    <s v="CCK - Alem 351"/>
    <s v="FUERTES MARIA EUGENIA"/>
    <s v="DNI"/>
    <n v="31018424"/>
    <n v="27310184247"/>
    <d v="1984-07-14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INTENDENCIA- MANTENIMIENTO"/>
    <m/>
    <m/>
    <m/>
    <m/>
    <s v="TECNÓPOLIS"/>
    <m/>
    <s v="FUSCO Jenaro Hugo"/>
    <s v="DNI"/>
    <n v="12728703"/>
    <n v="20127287032"/>
    <m/>
    <s v="LEY MARCO"/>
    <s v="LM"/>
    <d v="2011-03-01T00:00:00"/>
    <d v="2016-12-31T00:00:00"/>
    <d v="2016-12-31T00:00:00"/>
    <s v="C0"/>
    <m/>
    <m/>
    <n v="25915.89"/>
  </r>
  <r>
    <s v="SFMyCP"/>
    <x v="0"/>
    <s v="SUBSEC CENTROS TEMATICOS Y EXP FEDERALES"/>
    <s v="DIR NAC EXPRESIONES FEDERALES"/>
    <s v="PRODUCCIÓN"/>
    <m/>
    <m/>
    <m/>
    <s v="ADMINISTRATIVO"/>
    <m/>
    <s v="CCK - Alem 351"/>
    <s v="GAERE CLAUDIA ALICIA"/>
    <s v="DNI"/>
    <n v="16037424"/>
    <n v="27160374247"/>
    <d v="1962-03-23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- LIMPIEZA/ PARQUIZACION"/>
    <s v="COOPERATIVAS"/>
    <m/>
    <m/>
    <s v="MANTENIMIENTO DE ESPACIOS VERDES"/>
    <s v="TECNÓPOLIS"/>
    <s v="TECNOPOLIS"/>
    <s v="GAILLARD  ADRIANA"/>
    <s v="DNI"/>
    <n v="22351485"/>
    <n v="27223514850"/>
    <d v="1972-01-15T00:00:00"/>
    <s v="ASISTENCIA TÉCNICA"/>
    <s v="AT"/>
    <d v="2011-07-01T00:00:00"/>
    <m/>
    <d v="2016-12-31T00:00:00"/>
    <m/>
    <s v="UNTREF"/>
    <s v="UNTREF"/>
    <n v="6000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GAILLARD  NORMA BEATRIZ"/>
    <s v="DNI"/>
    <n v="17476516"/>
    <s v="27174765168"/>
    <d v="1965-07-25T00:00:00"/>
    <s v="ASISTENCIA TÉCNICA"/>
    <s v="AT"/>
    <d v="2013-01-01T00:00:00"/>
    <m/>
    <d v="2016-12-31T00:00:00"/>
    <m/>
    <s v="UNTREF"/>
    <s v="UNTREF"/>
    <n v="11187.23"/>
  </r>
  <r>
    <s v="SFMyCP"/>
    <x v="0"/>
    <s v="SUBSEC CENTROS TEMATICOS Y EXP FEDERALES"/>
    <s v="DIR NAC EXPRESIONES FEDERALES"/>
    <s v="DIRECCION DE GESTION EDILICIA"/>
    <s v="SERVICIOS GENERALES"/>
    <s v="CONTROL DE ACCESO B"/>
    <s v="Responsable"/>
    <s v="Auxiliar"/>
    <s v="CCK"/>
    <s v="CCK - Alem 351"/>
    <s v="GAITÁN MATÍAS ÁNGEL"/>
    <s v="DNI"/>
    <n v="35111771"/>
    <s v="20351117711"/>
    <d v="1990-02-04T00:00:00"/>
    <s v="ASISTENCIA TÉCNICA"/>
    <s v="AT"/>
    <d v="2015-08-01T00:00:00"/>
    <m/>
    <d v="2016-12-31T00:00:00"/>
    <m/>
    <s v="UNTREF"/>
    <s v="UNLAM- BICENTENARIO"/>
    <n v="10807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GALARZA HUGO MARCELO"/>
    <s v="DNI"/>
    <n v="26053585"/>
    <s v="20260535855"/>
    <d v="1977-10-18T00:00:00"/>
    <s v="ASISTENCIA TÉCNICA"/>
    <s v="AT"/>
    <m/>
    <m/>
    <d v="2016-12-31T00:00:00"/>
    <m/>
    <s v="UNTREF"/>
    <s v="UNTREF"/>
    <n v="9995.51"/>
  </r>
  <r>
    <s v="SFMyCP"/>
    <x v="1"/>
    <m/>
    <s v="UNIDAD DE MINISTRO"/>
    <m/>
    <m/>
    <m/>
    <s v="PRIVADA"/>
    <s v="ADMINISTRATIVO"/>
    <m/>
    <s v="CCK - Alem 351"/>
    <s v="GALEOTTI, MONICA"/>
    <s v="DNI"/>
    <n v="10795536"/>
    <s v="23107955364"/>
    <d v="1953-09-18T00:00:00"/>
    <s v="ASISTENCIA TÉCNICA"/>
    <s v="AT"/>
    <d v="2016-01-01T00:00:00"/>
    <m/>
    <d v="2016-12-31T00:00:00"/>
    <m/>
    <s v="UNTREF"/>
    <s v="UNSAM"/>
    <n v="36529"/>
  </r>
  <r>
    <s v="SFMyCP"/>
    <x v="0"/>
    <m/>
    <s v="COMUNICACIONES"/>
    <s v="COMUNICACIÓN"/>
    <m/>
    <m/>
    <m/>
    <s v="ADMINISTRATIVO"/>
    <m/>
    <s v="CCK - Alem 351"/>
    <s v="GALLIZZI MARIANO NAHUEL"/>
    <s v="DNI"/>
    <n v="31014183"/>
    <n v="20310141837"/>
    <d v="1984-09-10T00:00:00"/>
    <s v="ASISTENCIA TÉCNICA"/>
    <s v="AT"/>
    <m/>
    <m/>
    <d v="2016-12-31T00:00:00"/>
    <m/>
    <s v="UNTREF"/>
    <m/>
    <n v="12000"/>
  </r>
  <r>
    <s v="SFMyCP"/>
    <x v="0"/>
    <s v="SUBSEC CENTROS TEMATICOS Y EXP FEDERALES"/>
    <s v="UNIDAD SUBSECRETARIO"/>
    <m/>
    <m/>
    <m/>
    <s v="Asesor"/>
    <m/>
    <m/>
    <m/>
    <s v="GANCHEGUI MARTIN"/>
    <s v="DNI"/>
    <n v="31541032"/>
    <n v="20315410321"/>
    <m/>
    <s v="LEY MARCO"/>
    <s v="LM"/>
    <d v="2010-07-01T00:00:00"/>
    <d v="2016-12-31T00:00:00"/>
    <d v="2016-12-31T00:00:00"/>
    <s v="C1"/>
    <m/>
    <m/>
    <n v="13638.95"/>
  </r>
  <r>
    <s v="SFMyCP"/>
    <x v="0"/>
    <s v="SUBSEC CENTROS TEMATICOS Y EXP FEDERALES"/>
    <s v="DIRECCION NACIONAL DE CENTROS TEMATICOS"/>
    <s v="TECNICA"/>
    <m/>
    <m/>
    <m/>
    <m/>
    <s v="TECNÓPOLIS"/>
    <m/>
    <s v="GANEM Mariano"/>
    <s v="DNI"/>
    <n v="29117820"/>
    <n v="24291178207"/>
    <m/>
    <s v="LEY MARCO"/>
    <s v="LM"/>
    <d v="2011-03-01T00:00:00"/>
    <d v="2016-12-31T00:00:00"/>
    <d v="2016-12-31T00:00:00"/>
    <s v="C0"/>
    <m/>
    <m/>
    <n v="29784"/>
  </r>
  <r>
    <s v="SFMyCP"/>
    <x v="0"/>
    <s v="SUBSEC CENTROS TEMATICOS Y EXP FEDERALES"/>
    <s v="DIRECCION NACIONAL DE CENTROS TEMATICOS"/>
    <s v="INTENDENCIA- MANTENIMIENTO"/>
    <m/>
    <m/>
    <m/>
    <m/>
    <s v="TECNÓPOLIS"/>
    <m/>
    <s v="GARAY Walter Damian"/>
    <s v="DNI"/>
    <n v="34690282"/>
    <n v="20346902826"/>
    <m/>
    <s v="LEY MARCO"/>
    <s v="LM"/>
    <d v="2013-07-01T00:00:00"/>
    <d v="2016-03-31T00:00:00"/>
    <d v="2016-12-31T00:00:00"/>
    <s v="D1"/>
    <m/>
    <m/>
    <n v="18324"/>
  </r>
  <r>
    <s v="SFMyCP"/>
    <x v="1"/>
    <m/>
    <s v="DIR GRAL TECNICA ADMINISTRATIVA Y LEGAL"/>
    <s v="JURIDICOS"/>
    <m/>
    <s v="(IGUALDAD CULTURAL)"/>
    <s v="Analista"/>
    <m/>
    <s v="CCK"/>
    <m/>
    <s v="GARBE VERONICA"/>
    <s v="DNI"/>
    <n v="29894708"/>
    <n v="27298947086"/>
    <m/>
    <s v="LEY MARCO"/>
    <s v="LM"/>
    <d v="2011-06-06T00:00:00"/>
    <d v="2016-12-31T00:00:00"/>
    <d v="2016-12-31T00:00:00"/>
    <s v="B0"/>
    <m/>
    <m/>
    <n v="19096"/>
  </r>
  <r>
    <s v="SFMyCP"/>
    <x v="0"/>
    <m/>
    <s v="DIR NAC GENERACION DE CONTENIDOS"/>
    <s v="TELEVISION DIGITAL ABIERTA"/>
    <s v="CIARA"/>
    <m/>
    <s v="PRENSA Y COMUNICACIÓN"/>
    <s v="ADMINISTRATIVO"/>
    <s v="CABILDO 65"/>
    <s v="CABILDO 65"/>
    <s v="GARCÍA BARLETTA SANTIAGO"/>
    <s v="DNI"/>
    <n v="38444374"/>
    <s v="20384443746"/>
    <d v="1994-08-09T00:00:00"/>
    <s v="ASISTENCIA TÉCNICA"/>
    <s v="AT"/>
    <d v="2013-11-11T00:00:00"/>
    <m/>
    <d v="2016-12-31T00:00:00"/>
    <m/>
    <s v="UNTREF"/>
    <s v="UNSAM- LADA"/>
    <n v="10188"/>
  </r>
  <r>
    <s v="SFMyCP"/>
    <x v="0"/>
    <s v="SUBSEC CENTROS TEMATICOS Y EXP FEDERALES"/>
    <s v="DIR NAC EXPRESIONES FEDERALES"/>
    <s v="PRODUCCIÓN"/>
    <m/>
    <m/>
    <s v="Analista"/>
    <s v="ADMINISTRATIVA"/>
    <s v="CCK"/>
    <s v="CCK - Alem 351"/>
    <s v="GARCIA CAFFI VICTORIA"/>
    <s v="DNI"/>
    <n v="35728494"/>
    <s v="27357284940"/>
    <d v="1991-01-23T00:00:00"/>
    <s v="ASISTENCIA TÉCNICA"/>
    <s v="AT"/>
    <d v="2015-05-04T00:00:00"/>
    <m/>
    <d v="2016-12-31T00:00:00"/>
    <m/>
    <s v="UNTREF"/>
    <s v="UNSAM-MINPLAN"/>
    <n v="12000"/>
  </r>
  <r>
    <s v="SFMyCP"/>
    <x v="0"/>
    <s v="SUBSEC CENTROS TEMATICOS Y EXP FEDERALES"/>
    <s v="DIR NAC EXPRESIONES FEDERALES"/>
    <m/>
    <m/>
    <m/>
    <s v="COORD GESTIÓN FEDERAL Z. NORTE"/>
    <s v="ADMINISTRATIVO"/>
    <m/>
    <s v="CCK - Alem 351"/>
    <s v="GARCIA CARDENAS MARTIN"/>
    <s v="DNI"/>
    <n v="10424747"/>
    <n v="20104247475"/>
    <d v="1952-04-13T00:00:00"/>
    <s v="ASISTENCIA TÉCNICA"/>
    <s v="AT"/>
    <d v="2016-06-01T00:00:00"/>
    <m/>
    <d v="2016-12-31T00:00:00"/>
    <m/>
    <s v="UNTREF"/>
    <m/>
    <m/>
  </r>
  <r>
    <s v="SFMyCP"/>
    <x v="2"/>
    <m/>
    <s v="UNIDAD SECRETARÍA"/>
    <m/>
    <m/>
    <m/>
    <s v="PRIVADA"/>
    <s v="ADMINISTRATIVO"/>
    <m/>
    <s v="CCK - Alem 351"/>
    <s v="GARCIA CONEJERO, MARIA LAURA"/>
    <s v="DNI"/>
    <n v="20372601"/>
    <n v="27203726010"/>
    <d v="1968-06-07T00:00:00"/>
    <s v="ASISTENCIA TÉCNICA"/>
    <s v="AT"/>
    <d v="2016-01-01T00:00:00"/>
    <m/>
    <d v="2016-12-31T00:00:00"/>
    <m/>
    <s v="UNTREF"/>
    <s v="UNSAM"/>
    <n v="27370"/>
  </r>
  <r>
    <s v="SFMyCP"/>
    <x v="0"/>
    <s v="SUBSEC CENTROS TEMATICOS Y EXP FEDERALES"/>
    <s v="DIR NAC EXPRESIONES FEDERALES"/>
    <s v="JEFATURA DE GABINETE"/>
    <m/>
    <m/>
    <s v="Asistente"/>
    <s v="Asistente"/>
    <s v="CCK"/>
    <s v="CCK - Alem 351"/>
    <s v="GARCIA DANIELA"/>
    <s v="DNI"/>
    <n v="32438452"/>
    <s v="27324384524"/>
    <d v="1986-06-29T00:00:00"/>
    <s v="ASISTENCIA TÉCNICA"/>
    <s v="AT"/>
    <d v="2016-02-01T00:00:00"/>
    <m/>
    <d v="2016-12-31T00:00:00"/>
    <m/>
    <s v="UNTREF"/>
    <s v="UNSAM"/>
    <n v="13000"/>
  </r>
  <r>
    <s v="SFMyCP"/>
    <x v="0"/>
    <m/>
    <s v="ARTES VISUALES"/>
    <s v="ARTES VISUALES"/>
    <m/>
    <m/>
    <m/>
    <m/>
    <m/>
    <m/>
    <s v="GARCIA FERNANDO"/>
    <s v="DNI"/>
    <n v="18549052"/>
    <n v="20185490522"/>
    <m/>
    <m/>
    <s v="AT"/>
    <d v="2016-08-01T00:00:00"/>
    <m/>
    <d v="2016-10-30T00:00:00"/>
    <m/>
    <s v="UNTREF"/>
    <m/>
    <m/>
  </r>
  <r>
    <s v="SFMyCP"/>
    <x v="0"/>
    <m/>
    <s v="DIR NAC GENERACION DE CONTENIDOS"/>
    <s v="TELEVISION DIGITAL ABIERTA"/>
    <s v="CIARA"/>
    <m/>
    <s v="POSTPRODUCCIÓN"/>
    <s v="ADMINISTRATIVO"/>
    <s v="CABILDO 65"/>
    <s v="CABILDO 65"/>
    <s v="GARCIA HORACIO"/>
    <s v="DNI"/>
    <n v="10476319"/>
    <s v="20104763198"/>
    <d v="1952-06-04T00:00:00"/>
    <s v="ASISTENCIA TÉCNICA"/>
    <s v="AT"/>
    <d v="2012-11-01T00:00:00"/>
    <m/>
    <d v="2016-12-31T00:00:00"/>
    <m/>
    <s v="UNTREF"/>
    <s v="UNSAM- LADA"/>
    <n v="39000"/>
  </r>
  <r>
    <s v="SFMyCP"/>
    <x v="1"/>
    <m/>
    <m/>
    <m/>
    <m/>
    <m/>
    <s v="ASISTENTE"/>
    <s v="Administrativo"/>
    <s v="CCK"/>
    <s v="CCK - Alem 351"/>
    <s v="GARCIA SANTIAGO ANDRES"/>
    <s v="DNI"/>
    <n v="33780682"/>
    <s v="20337806822"/>
    <d v="1988-08-26T00:00:00"/>
    <s v="ASISTENCIA TÉCNICA"/>
    <s v="AT"/>
    <d v="2015-09-21T00:00:00"/>
    <m/>
    <d v="2016-12-31T00:00:00"/>
    <m/>
    <s v="UNTREF"/>
    <s v="UNSAM-MINPLAN"/>
    <n v="10000"/>
  </r>
  <r>
    <s v="SFMyCP"/>
    <x v="0"/>
    <m/>
    <s v="DIR NAC GENERACION DE CONTENIDOS"/>
    <s v="TELEVISION DIGITAL ABIERTA"/>
    <s v="CIARA"/>
    <m/>
    <s v="ADMINISTRACIÓN"/>
    <m/>
    <s v="CABILDO 65"/>
    <m/>
    <s v="GAUNA MARIA LUCILA"/>
    <s v="DNI"/>
    <n v="30035347"/>
    <n v="27300353474"/>
    <m/>
    <s v="LEY MARCO"/>
    <s v="LM"/>
    <d v="2013-12-01T00:00:00"/>
    <d v="2016-03-31T00:00:00"/>
    <d v="2016-12-31T00:00:00"/>
    <s v="B1"/>
    <m/>
    <m/>
    <n v="20266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GAVIOLI SANTIAGO"/>
    <s v="DNI"/>
    <n v="35109083"/>
    <n v="23351090839"/>
    <d v="1990-06-19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DIR NAC EXPRESIONES FEDERALES"/>
    <s v="AUDIOVISUALES"/>
    <m/>
    <s v="(GESTIÓN OPERATIVA)"/>
    <m/>
    <s v="ADMINISTRATIVO"/>
    <s v="CCK"/>
    <s v="CCK - Alem 351"/>
    <s v="GERBINO MARIANO"/>
    <s v="DNI"/>
    <n v="25936671"/>
    <s v="20259366713"/>
    <d v="1977-07-08T00:00:00"/>
    <s v="ASISTENCIA TÉCNICA"/>
    <s v="AT"/>
    <d v="2013-05-01T00:00:00"/>
    <m/>
    <d v="2016-12-31T00:00:00"/>
    <m/>
    <s v="UNTREF"/>
    <s v="UNSAM"/>
    <n v="24333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GERVASIO MONICA LAURA"/>
    <s v="DNI"/>
    <n v="11958625"/>
    <s v="27119586254"/>
    <d v="1958-01-11T00:00:00"/>
    <s v="ASISTENCIA TÉCNICA"/>
    <s v="AT"/>
    <d v="2014-07-01T00:00:00"/>
    <m/>
    <d v="2016-12-31T00:00:00"/>
    <m/>
    <s v="UNTREF"/>
    <s v="UNTREF"/>
    <n v="9995.51"/>
  </r>
  <r>
    <s v="SFMyCP"/>
    <x v="0"/>
    <m/>
    <s v="DIR NAC GENERACION DE CONTENIDOS"/>
    <s v="TELEVISION DIGITAL ABIERTA"/>
    <s v="CIARA"/>
    <s v="CCK"/>
    <s v="PROGRAMA POLOS AUDIOVISUALES TECNOLÓGICOS"/>
    <m/>
    <s v="CABILDO 65"/>
    <m/>
    <s v="GIBEAUD ELIANA JACQELINE"/>
    <s v="DNI"/>
    <n v="29019894"/>
    <n v="27290198947"/>
    <m/>
    <s v="LEY MARCO"/>
    <s v="LM"/>
    <d v="2012-12-01T00:00:00"/>
    <d v="2016-12-31T00:00:00"/>
    <d v="2016-12-31T00:00:00"/>
    <s v="B1"/>
    <m/>
    <m/>
    <n v="20266"/>
  </r>
  <r>
    <s v="SFMyCP"/>
    <x v="0"/>
    <s v="SUBSEC CENTROS TEMATICOS Y EXP FEDERALES"/>
    <s v="DIRECCION NACIONAL DE CENTROS TEMATICOS"/>
    <s v="INTENDENCIA - TALLERES"/>
    <m/>
    <m/>
    <m/>
    <m/>
    <s v="TECNÓPOLIS"/>
    <m/>
    <s v="GIL RIVERA Borja Santiago"/>
    <s v="DNI"/>
    <n v="37339485"/>
    <n v="20373394859"/>
    <m/>
    <s v="LEY MARCO"/>
    <s v="LM"/>
    <d v="2012-11-30T00:00:00"/>
    <d v="2016-12-31T00:00:00"/>
    <d v="2016-12-31T00:00:00"/>
    <s v="F0"/>
    <m/>
    <m/>
    <n v="13135.25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GIMENEZ FABIAN"/>
    <s v="DNI"/>
    <n v="16895479"/>
    <s v="20168954795"/>
    <d v="1964-06-16T00:00:00"/>
    <s v="ASISTENCIA TÉCNICA"/>
    <s v="AT"/>
    <d v="2015-04-01T00:00:00"/>
    <m/>
    <d v="2016-12-31T00:00:00"/>
    <m/>
    <s v="UNTREF"/>
    <s v="UNSAM- LADA"/>
    <n v="20545"/>
  </r>
  <r>
    <s v="SFMyCP"/>
    <x v="0"/>
    <m/>
    <s v="COMUNICACIONES"/>
    <s v="COMUNICACIÓN"/>
    <m/>
    <m/>
    <m/>
    <s v="ADMINISTRATIVO"/>
    <m/>
    <s v="CCK - Alem 351"/>
    <s v="GIMENEZ JAZMIN"/>
    <s v="DNI"/>
    <n v="36904627"/>
    <n v="27369046271"/>
    <d v="1992-06-08T00:00:00"/>
    <s v="ASISTENCIA TÉCNICA"/>
    <s v="AT"/>
    <d v="2016-06-21T00:00:00"/>
    <m/>
    <d v="2016-12-31T00:00:00"/>
    <m/>
    <s v="UNTREF"/>
    <m/>
    <m/>
  </r>
  <r>
    <s v="SFMyCP"/>
    <x v="0"/>
    <s v="SUBSEC CENTROS TEMATICOS Y EXP FEDERALES"/>
    <s v="DIR NAC EXPRESIONES FEDERALES"/>
    <s v="DIRECCION"/>
    <m/>
    <m/>
    <s v="PRIVADA"/>
    <s v="ADMINISTRATIVO"/>
    <s v="CCK"/>
    <s v="CCK - Alem 351"/>
    <s v="GIMENEZ JERONIMO"/>
    <s v="DNI"/>
    <n v="33768361"/>
    <n v="20337683615"/>
    <d v="1988-05-15T00:00:00"/>
    <s v="ASISTENCIA TÉCNICA"/>
    <s v="AT"/>
    <d v="2016-02-01T00:00:00"/>
    <m/>
    <d v="2016-12-31T00:00:00"/>
    <m/>
    <s v="UNTREF"/>
    <s v="UNSAM"/>
    <n v="28000"/>
  </r>
  <r>
    <s v="SFMyCP"/>
    <x v="1"/>
    <m/>
    <s v="DIR GRAL TECNICA ADMINISTRATIVA Y LEGAL"/>
    <s v="INFORMATICA Y SISTEMAS"/>
    <m/>
    <s v="operaciones"/>
    <s v="Analista"/>
    <s v="Analista"/>
    <s v="CCK"/>
    <s v="CCK - Alem 351"/>
    <s v="GIMENEZ JORGE"/>
    <s v="DNI"/>
    <n v="34771528"/>
    <s v="20347715280"/>
    <d v="1989-11-27T00:00:00"/>
    <s v="ASISTENCIA TÉCNICA"/>
    <s v="AT"/>
    <d v="2014-03-21T00:00:00"/>
    <m/>
    <d v="2016-12-31T00:00:00"/>
    <m/>
    <s v="UNTREF"/>
    <s v="UNLAM- INFO"/>
    <n v="12246"/>
  </r>
  <r>
    <s v="SFMyCP"/>
    <x v="0"/>
    <s v="SUBSEC CENTROS TEMATICOS Y EXP FEDERALES"/>
    <s v="DIRECCION NACIONAL DE CENTROS TEMATICOS"/>
    <s v="OPERATIVA"/>
    <m/>
    <m/>
    <m/>
    <m/>
    <s v="TECNÓPOLIS"/>
    <m/>
    <s v="GIMENEZ Leonel Guillermo"/>
    <s v="DNI"/>
    <n v="29753648"/>
    <n v="20297536487"/>
    <m/>
    <s v="LEY MARCO"/>
    <s v="LM"/>
    <d v="2011-07-01T00:00:00"/>
    <d v="2016-12-31T00:00:00"/>
    <d v="2016-12-31T00:00:00"/>
    <s v="D1"/>
    <m/>
    <m/>
    <n v="19334"/>
  </r>
  <r>
    <s v="SFMyCP"/>
    <x v="1"/>
    <m/>
    <s v="DIR GRAL TECNICA ADMINISTRATIVA Y LEGAL"/>
    <s v="COMPRAS Y CONTRATACIONES"/>
    <m/>
    <m/>
    <s v="Asistente"/>
    <m/>
    <s v="CCK"/>
    <m/>
    <s v="GIRODO LORENA"/>
    <s v="DNI"/>
    <n v="21111727"/>
    <n v="27211117279"/>
    <m/>
    <s v="LEY MARCO"/>
    <s v="LM"/>
    <d v="2011-06-29T00:00:00"/>
    <d v="2016-12-31T00:00:00"/>
    <d v="2016-12-31T00:00:00"/>
    <s v="C1"/>
    <m/>
    <m/>
    <n v="13500"/>
  </r>
  <r>
    <s v="SFMyCP"/>
    <x v="0"/>
    <s v="SUBSEC CENTROS TEMATICOS Y EXP FEDERALES"/>
    <s v="DIR NAC EXPRESIONES FEDERALES"/>
    <s v="DIRECCION DE GESTION EDILICIA"/>
    <m/>
    <m/>
    <m/>
    <s v="ADMINISTRATIVO"/>
    <m/>
    <s v="CCK - Alem 351"/>
    <s v="GISFREDI GABRIEL ESTEBAN"/>
    <s v="DNI"/>
    <n v="22472515"/>
    <n v="23224725159"/>
    <d v="1972-12-02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CIARA"/>
    <s v="CCK"/>
    <s v="FOMENTO"/>
    <s v="ADMINISTRATIVO"/>
    <s v="CABILDO 65"/>
    <s v="CABILDO 65"/>
    <s v="GOFMAN MARIA"/>
    <s v="DNI"/>
    <n v="26805036"/>
    <s v="27268050367"/>
    <d v="1978-07-20T00:00:00"/>
    <s v="ASISTENCIA TÉCNICA"/>
    <s v="AT"/>
    <d v="2012-06-01T00:00:00"/>
    <m/>
    <d v="2016-12-31T00:00:00"/>
    <m/>
    <s v="UNTREF"/>
    <s v="UNSAM- LADA"/>
    <n v="21056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GOLDEMBERG PAMINA"/>
    <s v="DNI"/>
    <n v="32224230"/>
    <s v="27322242307"/>
    <d v="1986-03-11T00:00:00"/>
    <s v="ASISTENCIA TÉCNICA"/>
    <s v="AT"/>
    <d v="2011-09-22T00:00:00"/>
    <m/>
    <d v="2016-12-31T00:00:00"/>
    <m/>
    <s v="UNTREF"/>
    <s v="UNSAM- LADA"/>
    <n v="21056"/>
  </r>
  <r>
    <s v="SFMyCP"/>
    <x v="0"/>
    <s v="SUBSEC CENTROS TEMATICOS Y EXP FEDERALES"/>
    <s v="DIRECCION NACIONAL DE CENTROS TEMATICOS"/>
    <s v="ARQUITECTURA Y OBRA"/>
    <m/>
    <m/>
    <m/>
    <m/>
    <s v="TECNÓPOLIS"/>
    <m/>
    <s v="GOMA Mariángeles"/>
    <s v="DNI"/>
    <n v="24515335"/>
    <n v="27245153355"/>
    <m/>
    <s v="LEY MARCO"/>
    <s v="LM"/>
    <d v="2013-11-01T00:00:00"/>
    <d v="2016-03-31T00:00:00"/>
    <d v="2016-12-31T00:00:00"/>
    <s v="C0"/>
    <m/>
    <m/>
    <n v="22829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GOMEZ ALICIA"/>
    <s v="DNI"/>
    <n v="34556569"/>
    <n v="27345565693"/>
    <d v="1989-12-15T00:00:00"/>
    <s v="ASISTENCIA TÉCNICA"/>
    <s v="CO"/>
    <m/>
    <m/>
    <d v="2016-12-31T00:00:00"/>
    <m/>
    <s v="UNTREF"/>
    <s v="UNTREF"/>
    <n v="1700"/>
  </r>
  <r>
    <s v="SFMyCP"/>
    <x v="0"/>
    <s v="SUBSEC CENTROS TEMATICOS Y EXP FEDERALES"/>
    <s v="DIR NAC EXPRESIONES FEDERALES"/>
    <s v="INSTITUCIONALES"/>
    <s v="MONTAJE"/>
    <m/>
    <m/>
    <s v="Tecnico"/>
    <m/>
    <s v="CCK - Alem 351"/>
    <s v="GOMEZ CARLOS LUIS"/>
    <s v="DNI"/>
    <n v="13976769"/>
    <n v="20139767692"/>
    <d v="1960-01-13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GOMEZ FABIAN"/>
    <s v="DNI"/>
    <n v="17815852"/>
    <s v="20178158520"/>
    <d v="1966-06-16T00:00:00"/>
    <s v="ASISTENCIA TÉCNICA"/>
    <s v="AT"/>
    <d v="2013-03-01T00:00:00"/>
    <m/>
    <d v="2016-12-31T00:00:00"/>
    <m/>
    <s v="UNTREF"/>
    <s v="UNSAM- LADA"/>
    <n v="19353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GOMEZ FERNANDEZ ANDREA"/>
    <s v="DNI"/>
    <n v="33700374"/>
    <s v="27337003740"/>
    <d v="1988-04-07T00:00:00"/>
    <s v="ASISTENCIA TÉCNICA"/>
    <s v="AT"/>
    <d v="2013-03-01T00:00:00"/>
    <m/>
    <d v="2016-12-31T00:00:00"/>
    <m/>
    <s v="UNTREF"/>
    <s v="UNSAM- LADA"/>
    <n v="16465"/>
  </r>
  <r>
    <s v="SFMyCP"/>
    <x v="0"/>
    <s v="SUBSEC CENTROS TEMATICOS Y EXP FEDERALES"/>
    <s v="DIRECCION NACIONAL DE CENTROS TEMATICOS"/>
    <s v="INTENDENCIA - LIMPIEZA"/>
    <m/>
    <m/>
    <m/>
    <m/>
    <s v="TECNÓPOLIS"/>
    <m/>
    <s v="GOMEZ Flavia Romina"/>
    <s v="DNI"/>
    <n v="23551187"/>
    <n v="27235511873"/>
    <m/>
    <s v="LEY MARCO"/>
    <s v="LM"/>
    <d v="2012-10-31T00:00:00"/>
    <d v="2016-12-31T00:00:00"/>
    <d v="2016-12-31T00:00:00"/>
    <s v="D1"/>
    <m/>
    <m/>
    <n v="14242.4"/>
  </r>
  <r>
    <s v="SFMyCP"/>
    <x v="0"/>
    <s v="SUBSEC CENTROS TEMATICOS Y EXP FEDERALES"/>
    <s v="DIRECCION NACIONAL DE CENTROS TEMATICOS"/>
    <s v="COOPERATIVAS"/>
    <m/>
    <m/>
    <s v="Tareas Generales"/>
    <s v="TAREAS EN GENERAL PAÑOL"/>
    <s v="TECNÓPOLIS"/>
    <m/>
    <s v="GOMEZ GABRIELA"/>
    <s v="DNI"/>
    <n v="28328515"/>
    <n v="23283285154"/>
    <m/>
    <s v="ASISTENCIA TÉCNICA"/>
    <s v="CO"/>
    <m/>
    <m/>
    <d v="2016-12-31T00:00:00"/>
    <m/>
    <s v="UNTREF"/>
    <s v="UNTREF"/>
    <n v="1700"/>
  </r>
  <r>
    <s v="SFMyCP"/>
    <x v="0"/>
    <s v="SUBSEC CENTROS TEMATICOS Y EXP FEDERALES"/>
    <s v="DIR NAC EXPRESIONES FEDERALES"/>
    <s v="DIRECCION DE GESTION EDILICIA"/>
    <s v="SERVICIOS GENERALES"/>
    <m/>
    <s v="Asistente"/>
    <s v="Asistente "/>
    <s v="CCK"/>
    <s v="CCK - Alem 351"/>
    <s v="GOMEZ GARNERO IGNACIO"/>
    <s v="DNI"/>
    <n v="36086487"/>
    <s v="20360864872"/>
    <d v="1991-10-30T00:00:00"/>
    <s v="ASISTENCIA TÉCNICA"/>
    <s v="AT"/>
    <d v="2015-08-03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GOMEZ HECTOR ANDRES"/>
    <s v="DNI"/>
    <n v="38629669"/>
    <s v="20386296694"/>
    <d v="1994-04-06T00:00:00"/>
    <s v="ASISTENCIA TÉCNICA"/>
    <s v="AT"/>
    <d v="2013-06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GOMEZ JUAN LEONARDO"/>
    <s v="DNI"/>
    <n v="23356117"/>
    <s v="20233561178"/>
    <d v="1973-09-15T00:00:00"/>
    <s v="ASISTENCIA TÉCNICA"/>
    <s v="AT"/>
    <d v="2011-07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s v="INTENDENCIA - LIMPIEZA"/>
    <m/>
    <m/>
    <m/>
    <m/>
    <s v="TECNÓPOLIS"/>
    <m/>
    <s v="GOMEZ Marta Margarita"/>
    <s v="DNI"/>
    <n v="20405235"/>
    <n v="27204052358"/>
    <m/>
    <s v="LEY MARCO"/>
    <s v="LM"/>
    <d v="2011-08-01T00:00:00"/>
    <d v="2016-12-31T00:00:00"/>
    <d v="2016-12-31T00:00:00"/>
    <s v="F0"/>
    <m/>
    <m/>
    <n v="23039"/>
  </r>
  <r>
    <s v="SFMyCP"/>
    <x v="0"/>
    <s v="SUBSEC CENTROS TEMATICOS Y EXP FEDERALES"/>
    <s v="DIR NAC EXPRESIONES FEDERALES"/>
    <s v="COMUNICACIÓN"/>
    <s v="PRENSA"/>
    <m/>
    <m/>
    <s v="ADMINISTRATIVO"/>
    <m/>
    <s v="CCK - Alem 351"/>
    <s v="GOMEZ NADIA CAROLINA"/>
    <s v="DNI"/>
    <n v="31114117"/>
    <n v="27311141177"/>
    <d v="1984-09-04T00:00:00"/>
    <s v="ASISTENCIA TÉCNICA"/>
    <s v="AT"/>
    <d v="2016-05-15T00:00:00"/>
    <m/>
    <d v="2016-12-31T00:00:00"/>
    <m/>
    <s v="UNTREF"/>
    <m/>
    <n v="17000"/>
  </r>
  <r>
    <s v="SFMyCP"/>
    <x v="0"/>
    <m/>
    <s v="COMUNICACIONES"/>
    <s v="COMUNICACIÓN"/>
    <m/>
    <m/>
    <m/>
    <s v="ADMINISTRATIVO"/>
    <m/>
    <s v="CCK - Alem 351"/>
    <s v="GOMEZ SABRINA"/>
    <s v="DNI"/>
    <n v="28080987"/>
    <n v="27280809875"/>
    <d v="1980-05-01T00:00:00"/>
    <s v="ASISTENCIA TÉCNICA"/>
    <s v="AT"/>
    <d v="2016-06-2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MANTENIMIENTO"/>
    <s v="LOGISTICA OPERATIVA"/>
    <s v="Técnico"/>
    <s v="Técnico"/>
    <s v="CCK"/>
    <s v="CCK - Alem 351"/>
    <s v="GOMEZ WILSON"/>
    <s v="DNI"/>
    <n v="94929982"/>
    <s v="20949299822"/>
    <d v="1990-01-04T00:00:00"/>
    <s v="ASISTENCIA TÉCNICA"/>
    <s v="AT"/>
    <m/>
    <m/>
    <d v="2016-12-31T00:00:00"/>
    <m/>
    <s v="UNTREF"/>
    <s v="UNSAM-MINPLAN"/>
    <n v="12500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GOMEZ YÉSICA MABEL"/>
    <s v="DNI"/>
    <n v="31750830"/>
    <m/>
    <d v="1985-08-15T00:00:00"/>
    <s v="ASISTENCIA TÉCNICA"/>
    <s v="CO"/>
    <m/>
    <m/>
    <d v="2016-12-31T00:00:00"/>
    <m/>
    <s v="UNTREF"/>
    <s v="UNTREF"/>
    <n v="1700"/>
  </r>
  <r>
    <s v="SFMyCP"/>
    <x v="0"/>
    <s v="SUBSEC CENTROS TEMATICOS Y EXP FEDERALES"/>
    <s v="DIRECCION NACIONAL DE CENTROS TEMATICOS"/>
    <s v="TECNICA"/>
    <m/>
    <m/>
    <m/>
    <m/>
    <s v="TECNÓPOLIS"/>
    <m/>
    <s v="GONZALEZ Aníbal Adrián"/>
    <s v="DNI"/>
    <n v="24220906"/>
    <n v="20242209061"/>
    <m/>
    <s v="LEY MARCO"/>
    <s v="LM"/>
    <d v="2012-01-01T00:00:00"/>
    <d v="2016-12-31T00:00:00"/>
    <d v="2016-12-31T00:00:00"/>
    <s v="C0"/>
    <m/>
    <m/>
    <n v="27576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GONZALEZ ARCE DANIEL"/>
    <s v="DNI"/>
    <n v="40747726"/>
    <n v="20407477260"/>
    <d v="1997-10-21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DIRECCION NACIONAL DE CENTROS TEMATICOS"/>
    <m/>
    <m/>
    <m/>
    <s v="PRIVADA"/>
    <s v="ADMINISTRATIVO"/>
    <m/>
    <s v="TECNOPOLIS"/>
    <s v="GONZALEZ DIEGO"/>
    <s v="DNI"/>
    <n v="31215701"/>
    <n v="20312157013"/>
    <d v="1985-02-07T00:00:00"/>
    <s v="ASISTENCIA TÉCNICA"/>
    <s v="AT"/>
    <m/>
    <m/>
    <d v="2016-12-31T00:00:00"/>
    <m/>
    <s v="UNTREF"/>
    <m/>
    <n v="20000"/>
  </r>
  <r>
    <s v="SFMyCP"/>
    <x v="1"/>
    <m/>
    <s v="UNIDAD DE MINISTRO"/>
    <m/>
    <m/>
    <m/>
    <s v="PRIVADA"/>
    <s v="ADMINISTRATIVO"/>
    <m/>
    <s v="CCK - Alem 351"/>
    <s v="GONZALEZ HEREDIA, GUILLERMO"/>
    <s v="DNI"/>
    <n v="22825030"/>
    <s v="23228250309"/>
    <d v="1972-07-29T00:00:00"/>
    <s v="ASISTENCIA TÉCNICA"/>
    <s v="AT"/>
    <d v="2016-01-01T00:00:00"/>
    <m/>
    <d v="2016-12-31T00:00:00"/>
    <m/>
    <s v="UNTREF"/>
    <s v="UNSAM"/>
    <n v="27370"/>
  </r>
  <r>
    <s v="SFMyCP"/>
    <x v="0"/>
    <s v="SUBSEC CENTROS TEMATICOS Y EXP FEDERALES"/>
    <s v="DIR NAC EXPRESIONES FEDERALES"/>
    <s v="INSTITUCIONALES"/>
    <m/>
    <m/>
    <s v="Asistente funcional"/>
    <s v="asistente funcional"/>
    <s v="CCK"/>
    <s v="CCK - Alem 351"/>
    <s v="GONZALEZ HORACIO"/>
    <s v="DNI"/>
    <n v="13852028"/>
    <s v="20138520286"/>
    <d v="1960-04-11T00:00:00"/>
    <s v="ASISTENCIA TÉCNICA"/>
    <s v="AT"/>
    <d v="2009-04-01T00:00:00"/>
    <m/>
    <d v="2016-12-31T00:00:00"/>
    <m/>
    <s v="UNTREF"/>
    <s v="UNLAM- BICENTENARIO"/>
    <n v="18500"/>
  </r>
  <r>
    <s v="SFMyCP"/>
    <x v="0"/>
    <s v="SUBSEC CENTROS TEMATICOS Y EXP FEDERALES"/>
    <s v="DIRECCION NACIONAL DE CENTROS TEMATICOS"/>
    <s v="INTENDENCIA - LIMPIEZA"/>
    <m/>
    <m/>
    <m/>
    <m/>
    <s v="TECNÓPOLIS"/>
    <m/>
    <s v="GONZALEZ Juan Carlos"/>
    <s v="DNI"/>
    <n v="36251926"/>
    <n v="20362519269"/>
    <m/>
    <s v="LEY MARCO"/>
    <s v="LM"/>
    <d v="2013-05-01T00:00:00"/>
    <d v="2016-03-31T00:00:00"/>
    <d v="2016-12-31T00:00:00"/>
    <s v="D0"/>
    <m/>
    <m/>
    <n v="10731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GONZALEZ MARIA"/>
    <s v="DNI"/>
    <n v="31292772"/>
    <s v="27312927727"/>
    <d v="1984-12-07T00:00:00"/>
    <s v="ASISTENCIA TÉCNICA"/>
    <s v="AT"/>
    <d v="2013-08-01T00:00:00"/>
    <m/>
    <d v="2016-12-31T00:00:00"/>
    <m/>
    <s v="UNTREF"/>
    <s v="UNSAM- LADA"/>
    <n v="16465"/>
  </r>
  <r>
    <s v="SFMyCP"/>
    <x v="0"/>
    <s v="SUBSEC CENTROS TEMATICOS Y EXP FEDERALES"/>
    <s v="DIRECCION NACIONAL DE CENTROS TEMATICOS"/>
    <s v="INTENDENCIA - LIMPIEZA"/>
    <m/>
    <m/>
    <m/>
    <m/>
    <s v="TECNÓPOLIS"/>
    <m/>
    <s v="GONZALEZ Mariela"/>
    <s v="DNI"/>
    <n v="29624857"/>
    <n v="27296248571"/>
    <m/>
    <s v="LEY MARCO"/>
    <s v="LM"/>
    <d v="2011-07-01T00:00:00"/>
    <d v="2016-12-31T00:00:00"/>
    <d v="2016-12-31T00:00:00"/>
    <s v="D0"/>
    <m/>
    <m/>
    <n v="22640"/>
  </r>
  <r>
    <s v="SFMyCP"/>
    <x v="0"/>
    <s v="SUBSEC CENTROS TEMATICOS Y EXP FEDERALES"/>
    <s v="DIR NAC EXPRESIONES FEDERALES"/>
    <s v="DIRECCION DE GESTION EDILICIA"/>
    <s v="OPERATIVA Y LOGISTICA"/>
    <s v="LOGISTICA OPERATIVA"/>
    <s v="Técnico"/>
    <s v="OPERATIVA Y LOGISTICA"/>
    <s v="CCK"/>
    <s v="CCK - Alem 351"/>
    <s v="GONZALEZ NELSON"/>
    <s v="DNI"/>
    <n v="22609036"/>
    <s v="20226090364"/>
    <d v="1972-02-18T00:00:00"/>
    <s v="ASISTENCIA TÉCNICA"/>
    <s v="AT"/>
    <d v="2015-06-10T00:00:00"/>
    <m/>
    <d v="2016-12-31T00:00:00"/>
    <m/>
    <s v="UNTREF"/>
    <s v="UNTREF"/>
    <n v="12500"/>
  </r>
  <r>
    <s v="SFMyCP"/>
    <x v="1"/>
    <m/>
    <s v="UNIDAD DE MINISTRO"/>
    <m/>
    <m/>
    <m/>
    <s v="PRIVADA"/>
    <s v="ADMINISTRATIVO"/>
    <m/>
    <s v="CCK - Alem 351"/>
    <s v="GONZALEZ NICOLÁS"/>
    <s v="DNI"/>
    <n v="34975868"/>
    <s v="20349758688"/>
    <d v="1989-11-21T00:00:00"/>
    <s v="ASISTENCIA TÉCNICA"/>
    <s v="AT"/>
    <d v="2016-01-01T00:00:00"/>
    <m/>
    <d v="2016-12-31T00:00:00"/>
    <m/>
    <s v="UNTREF"/>
    <s v="UNSAM"/>
    <n v="17000"/>
  </r>
  <r>
    <s v="SFMyCP"/>
    <x v="0"/>
    <s v="SUBSEC CENTROS TEMATICOS Y EXP FEDERALES"/>
    <s v="DIR NAC EXPRESIONES FEDERALES"/>
    <s v="PRODUCCIÓN"/>
    <m/>
    <m/>
    <s v="PRIVADA"/>
    <s v="ADMINISTRATIVA"/>
    <s v="CCK"/>
    <s v="CCK - Alem 351"/>
    <s v="GONZALEZ NOGUERA, MICHELLE"/>
    <s v="DNI"/>
    <n v="25495401"/>
    <s v="27254954018"/>
    <d v="1976-01-27T00:00:00"/>
    <s v="ASISTENCIA TÉCNICA"/>
    <s v="AT"/>
    <d v="2016-02-01T00:00:00"/>
    <m/>
    <d v="2016-12-31T00:00:00"/>
    <m/>
    <s v="UNTREF"/>
    <s v="UNSAM"/>
    <n v="15000"/>
  </r>
  <r>
    <s v="SFMyCP"/>
    <x v="1"/>
    <m/>
    <s v="DIR GRAL TECNICA ADMINISTRATIVA Y LEGAL"/>
    <s v="DIRECCION GENERAL"/>
    <m/>
    <s v="SOPORTE ADMINISTRATIVO"/>
    <s v="SECRETARIA"/>
    <s v="Asistente"/>
    <s v="CCK"/>
    <s v="CCK - Alem 351"/>
    <s v="GONZALEZ ROCIO CRISTAL"/>
    <s v="DNI"/>
    <n v="38399930"/>
    <s v="27383999303"/>
    <d v="1994-06-30T00:00:00"/>
    <s v="ASISTENCIA TÉCNICA"/>
    <s v="AT"/>
    <d v="2015-09-01T00:00:00"/>
    <m/>
    <d v="2016-12-31T00:00:00"/>
    <m/>
    <s v="UNTREF"/>
    <s v="UNLAM- BICENTENARIO"/>
    <n v="10807"/>
  </r>
  <r>
    <s v="SFMyCP"/>
    <x v="0"/>
    <s v="SUBSEC CENTROS TEMATICOS Y EXP FEDERALES"/>
    <s v="DIR NAC EXPRESIONES FEDERALES"/>
    <s v="PRODUCCIÓN"/>
    <s v="TECNICA"/>
    <m/>
    <m/>
    <s v="ADMINISTRATIVA"/>
    <m/>
    <s v="CCK - Alem 351"/>
    <s v="GONZALEZ SANTIAGO MANUEL"/>
    <s v="DNI"/>
    <n v="36596267"/>
    <n v="20365962678"/>
    <d v="1991-11-14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OPERATIVA Y LOGISTICA"/>
    <s v="LIMPIEZA (En comisión Tecnópolis)"/>
    <s v="Auxiliar"/>
    <s v="OPERATIVA Y LOGISTICA"/>
    <s v="CCK"/>
    <s v="CCK - Alem 351"/>
    <s v="GOÑI HERNAN"/>
    <s v="DNI"/>
    <n v="36660968"/>
    <s v="20366609688"/>
    <d v="1991-11-29T00:00:00"/>
    <s v="ASISTENCIA TÉCNICA"/>
    <s v="AT"/>
    <d v="2015-06-10T00:00:00"/>
    <m/>
    <d v="2016-12-31T00:00:00"/>
    <m/>
    <s v="UNTREF"/>
    <s v="UNTREF"/>
    <n v="10495"/>
  </r>
  <r>
    <s v="SFMyCP"/>
    <x v="0"/>
    <s v="SUBSEC CENTROS TEMATICOS Y EXP FEDERALES"/>
    <s v="DIRECCION NACIONAL DE CENTROS TEMATICOS"/>
    <s v="OPERATIVA"/>
    <m/>
    <m/>
    <m/>
    <m/>
    <s v="TECNÓPOLIS"/>
    <m/>
    <s v="GORGONE Adrian"/>
    <s v="DNI"/>
    <n v="23672087"/>
    <n v="20236720870"/>
    <m/>
    <s v="LEY MARCO"/>
    <s v="LM"/>
    <d v="2011-07-01T00:00:00"/>
    <d v="2016-12-31T00:00:00"/>
    <d v="2016-12-31T00:00:00"/>
    <s v="D1"/>
    <m/>
    <m/>
    <n v="26690"/>
  </r>
  <r>
    <s v="SFMyCP"/>
    <x v="0"/>
    <s v="SUBSEC CENTROS TEMATICOS Y EXP FEDERALES"/>
    <s v="DIRECCION NACIONAL DE CENTROS TEMATICOS"/>
    <s v="INTENDENCIA - PREDIO FERIAL"/>
    <m/>
    <m/>
    <m/>
    <m/>
    <s v="TECNÓPOLIS"/>
    <m/>
    <s v="GORGONE Vanesa Andrea"/>
    <s v="DNI"/>
    <n v="22503320"/>
    <n v="27225033205"/>
    <m/>
    <s v="LEY MARCO"/>
    <s v="LM"/>
    <d v="2011-07-01T00:00:00"/>
    <d v="2016-12-31T00:00:00"/>
    <d v="2016-12-31T00:00:00"/>
    <s v="C0"/>
    <m/>
    <m/>
    <n v="29747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GORNO  CLEMENTE ERNESTO"/>
    <s v="DNI"/>
    <n v="23656609"/>
    <s v="23236566099"/>
    <d v="1973-08-08T00:00:00"/>
    <s v="ASISTENCIA TÉCNICA"/>
    <s v="AT"/>
    <d v="2014-04-01T00:00:00"/>
    <m/>
    <d v="2016-12-31T00:00:00"/>
    <m/>
    <s v="UNTREF"/>
    <s v="UNTREF"/>
    <n v="9995.51"/>
  </r>
  <r>
    <s v="SFMyCP"/>
    <x v="0"/>
    <m/>
    <s v="DIR NAC GENERACION DE CONTENIDOS"/>
    <m/>
    <m/>
    <m/>
    <m/>
    <s v="ADMINISTRATIVO"/>
    <m/>
    <s v="CCK - Alem 351"/>
    <s v="GRANDINETTI CLAUDIO"/>
    <s v="DNI"/>
    <n v="20611734"/>
    <n v="2026117347"/>
    <d v="1969-03-08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SERVICIOS GENERALES"/>
    <m/>
    <s v="Asistente"/>
    <s v="Asistente "/>
    <s v="CCK"/>
    <s v="CCK - Alem 351"/>
    <s v="GRANERO MARIA NOEL"/>
    <s v="DNI"/>
    <n v="33426846"/>
    <s v="27334268468"/>
    <d v="1988-05-02T00:00:00"/>
    <s v="ASISTENCIA TÉCNICA"/>
    <s v="AT"/>
    <d v="2015-08-02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s v="ADMINISTRACION- RRHH"/>
    <m/>
    <m/>
    <s v="ADMINISTRATIVO"/>
    <m/>
    <s v="TECNÓPOLIS"/>
    <m/>
    <s v="GRASSO María Inés"/>
    <s v="DNI"/>
    <n v="27457003"/>
    <n v="27274570046"/>
    <m/>
    <s v="LEY MARCO"/>
    <s v="LM"/>
    <d v="2012-05-01T00:00:00"/>
    <d v="2016-12-31T00:00:00"/>
    <d v="2016-12-31T00:00:00"/>
    <s v="C0"/>
    <m/>
    <m/>
    <n v="29747"/>
  </r>
  <r>
    <s v="SFMyCP"/>
    <x v="0"/>
    <s v="SUBSEC CENTROS TEMATICOS Y EXP FEDERALES"/>
    <s v="UNIDAD SUBSECRETARIO"/>
    <m/>
    <m/>
    <m/>
    <s v="PRIVADA"/>
    <s v="ADMINISTRATIVO"/>
    <m/>
    <s v="CCK - Alem 351"/>
    <s v="GREGORIC LUIS"/>
    <s v="DNI"/>
    <n v="11735933"/>
    <s v="20117359337"/>
    <d v="1938-08-03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ADMINISTRACION- RELACIONES INSTITUCIONALES"/>
    <m/>
    <m/>
    <s v="ADMINISTRATIVO"/>
    <m/>
    <s v="TECNÓPOLIS"/>
    <m/>
    <s v="GRIMBLAT IANINA"/>
    <s v="DNI"/>
    <n v="16225344"/>
    <n v="27162253447"/>
    <m/>
    <s v="LEY MARCO"/>
    <s v="LM"/>
    <d v="2013-07-01T00:00:00"/>
    <d v="2016-03-31T00:00:00"/>
    <d v="2016-12-31T00:00:00"/>
    <s v="C1"/>
    <m/>
    <m/>
    <n v="27262"/>
  </r>
  <r>
    <s v="SFMyCP"/>
    <x v="0"/>
    <s v="SUBSEC CENTROS TEMATICOS Y EXP FEDERALES"/>
    <s v="DIRECCION NACIONAL DE CENTROS TEMATICOS"/>
    <s v="INTENDENCIA - TALLERES"/>
    <m/>
    <m/>
    <m/>
    <m/>
    <s v="TECNÓPOLIS"/>
    <m/>
    <s v="GUELBERT BENJAMIN DAVID"/>
    <s v="DNI"/>
    <n v="14689931"/>
    <n v="20146899316"/>
    <m/>
    <s v="LEY MARCO"/>
    <s v="LM"/>
    <d v="2012-10-31T00:00:00"/>
    <d v="2016-12-31T00:00:00"/>
    <d v="2016-12-31T00:00:00"/>
    <s v="C0"/>
    <m/>
    <m/>
    <n v="27420"/>
  </r>
  <r>
    <s v="SFMyCP"/>
    <x v="1"/>
    <m/>
    <s v="DIR GRAL TECNICA ADMINISTRATIVA Y LEGAL"/>
    <s v="PRESUPUESTO"/>
    <m/>
    <m/>
    <m/>
    <m/>
    <s v="CCK"/>
    <m/>
    <s v="GUELET MUÑOZ JOHANA ANAHI"/>
    <s v="DNI"/>
    <n v="34712943"/>
    <n v="27347129432"/>
    <m/>
    <s v="LEY MARCO"/>
    <s v="LM"/>
    <d v="2015-09-01T00:00:00"/>
    <d v="2016-03-31T00:00:00"/>
    <d v="2016-12-31T00:00:00"/>
    <s v="B0"/>
    <m/>
    <m/>
    <n v="17107"/>
  </r>
  <r>
    <s v="SFMyCP"/>
    <x v="0"/>
    <s v="SUBSEC CENTROS TEMATICOS Y EXP FEDERALES"/>
    <s v="DIR NAC EXPRESIONES FEDERALES"/>
    <s v="PRODUCCIÓN"/>
    <s v="TECNICA"/>
    <m/>
    <m/>
    <m/>
    <m/>
    <m/>
    <s v="GUERRA LUCAS"/>
    <s v="DNI"/>
    <n v="24600825"/>
    <n v="20246008257"/>
    <m/>
    <m/>
    <s v="LM"/>
    <d v="2012-12-01T00:00:00"/>
    <m/>
    <d v="2016-12-31T00:00:00"/>
    <s v="B3"/>
    <m/>
    <m/>
    <m/>
  </r>
  <r>
    <s v="SFMyCP"/>
    <x v="0"/>
    <m/>
    <s v="DIR NAC GENERACION DE CONTENIDOS"/>
    <m/>
    <m/>
    <m/>
    <s v="PRIVADA"/>
    <s v="ADMINISTRATIVO"/>
    <m/>
    <s v="CCK - Alem 351"/>
    <s v="GUERRERO IGNACIO"/>
    <s v="DNI"/>
    <n v="22796345"/>
    <s v="20227963450"/>
    <d v="1972-09-27T00:00:00"/>
    <s v="ASISTENCIA TÉCNICA"/>
    <s v="AT"/>
    <d v="2016-04-01T00:00:00"/>
    <m/>
    <d v="2016-12-31T00:00:00"/>
    <m/>
    <s v="UNTREF"/>
    <m/>
    <n v="22000"/>
  </r>
  <r>
    <s v="SFMyCP"/>
    <x v="0"/>
    <s v="SUBSEC CENTROS TEMATICOS Y EXP FEDERALES"/>
    <s v="DIR NAC EXPRESIONES FEDERALES"/>
    <s v="PRODUCCIÓN"/>
    <m/>
    <m/>
    <s v="Analista"/>
    <s v="ADMINISTRATIVA"/>
    <s v="CCK"/>
    <s v="CCK - Alem 351"/>
    <s v="GUINSBURG DANIELA"/>
    <s v="DNI"/>
    <n v="35320893"/>
    <s v="23353208934"/>
    <d v="1990-09-28T00:00:00"/>
    <s v="ASISTENCIA TÉCNICA"/>
    <s v="AT"/>
    <d v="2015-05-15T00:00:00"/>
    <m/>
    <d v="2016-12-31T00:00:00"/>
    <m/>
    <s v="UNTREF"/>
    <s v="UNSAM-MINPLAN"/>
    <n v="12000"/>
  </r>
  <r>
    <s v="SFMyCP"/>
    <x v="0"/>
    <s v="SUBSEC CENTROS TEMATICOS Y EXP FEDERALES"/>
    <s v="DIR NAC EXPRESIONES FEDERALES"/>
    <s v="DIRECCION DE GESTION EDILICIA"/>
    <m/>
    <m/>
    <m/>
    <s v="ADMINISTRATIVO"/>
    <m/>
    <s v="CCK - Alem 351"/>
    <s v="GUTIERRE SERGIO EDUARDO"/>
    <s v="DNI"/>
    <n v="24222400"/>
    <n v="20242224001"/>
    <d v="1975-01-27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GUTIERREZ GABRIEL ALBERTO"/>
    <s v="DNI"/>
    <n v="25838929"/>
    <s v="20258389299"/>
    <d v="1977-02-23T00:00:00"/>
    <s v="ASISTENCIA TÉCNICA"/>
    <s v="AT"/>
    <d v="2014-07-01T00:00:00"/>
    <m/>
    <d v="2016-12-31T00:00:00"/>
    <m/>
    <s v="UNTREF"/>
    <s v="UNTREF"/>
    <n v="9995.51"/>
  </r>
  <r>
    <s v="SFMyCP"/>
    <x v="1"/>
    <m/>
    <s v="UNIDAD DE MINISTRO"/>
    <m/>
    <m/>
    <m/>
    <s v="PRIVADA"/>
    <s v="ADMINISTRATIVO"/>
    <m/>
    <s v="CCK - Alem 351"/>
    <s v="GUTIERREZ RODRIGO"/>
    <s v="DNI"/>
    <n v="26819198"/>
    <s v="20268191985"/>
    <d v="1978-08-25T00:00:00"/>
    <s v="ASISTENCIA TÉCNICA"/>
    <s v="AT"/>
    <d v="2016-01-01T00:00:00"/>
    <m/>
    <d v="2016-12-31T00:00:00"/>
    <m/>
    <s v="UNTREF"/>
    <s v="UNSAM"/>
    <n v="17000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GUZMAN  MAXIMILIANO JOSUE"/>
    <s v="DNI"/>
    <n v="32595983"/>
    <s v="20325959836"/>
    <d v="1987-04-03T00:00:00"/>
    <s v="ASISTENCIA TÉCNICA"/>
    <s v="AT"/>
    <d v="2013-06-01T00:00:00"/>
    <m/>
    <d v="2016-12-31T00:00:00"/>
    <m/>
    <s v="UNTREF"/>
    <s v="UNTREF"/>
    <n v="11449.4"/>
  </r>
  <r>
    <s v="SFMyCP"/>
    <x v="1"/>
    <m/>
    <s v="UNIDAD DE MINISTRO"/>
    <m/>
    <m/>
    <m/>
    <s v="PRIVADA"/>
    <s v="ADMINISTRATIVO"/>
    <m/>
    <s v="CCK - Alem 351"/>
    <s v="GUZMÁN WALTER"/>
    <s v="DNI"/>
    <n v="14314816"/>
    <s v="20143148166"/>
    <d v="1961-07-10T00:00:00"/>
    <s v="ASISTENCIA TÉCNICA"/>
    <s v="AT"/>
    <d v="2016-01-01T00:00:00"/>
    <m/>
    <d v="2016-12-31T00:00:00"/>
    <m/>
    <s v="UNTREF"/>
    <s v="UNSAM"/>
    <n v="17000"/>
  </r>
  <r>
    <s v="SFMyCP"/>
    <x v="0"/>
    <s v="SUBSEC CENTROS TEMATICOS Y EXP FEDERALES"/>
    <s v="DIR NAC EXPRESIONES FEDERALES"/>
    <s v="DIRECCION DE GESTION EDILICIA"/>
    <s v="CONTROL Y PLANIFICACION"/>
    <m/>
    <m/>
    <m/>
    <m/>
    <m/>
    <s v="HABERMEHL ANDRES"/>
    <s v="DNI"/>
    <n v="35970957"/>
    <m/>
    <m/>
    <m/>
    <s v="LM"/>
    <m/>
    <m/>
    <d v="2016-12-31T00:00:00"/>
    <s v="C0"/>
    <m/>
    <m/>
    <m/>
  </r>
  <r>
    <s v="SFMyCP"/>
    <x v="1"/>
    <m/>
    <s v="UNIDAD DE MINISTRO"/>
    <m/>
    <m/>
    <m/>
    <s v="PRIVADA"/>
    <s v="ADMINISTRATIVO"/>
    <m/>
    <s v="CCK - Alem 351"/>
    <s v="HAMILTON, FEDERICO"/>
    <s v="DNI"/>
    <n v="24962533"/>
    <s v="20249625338"/>
    <d v="1975-09-24T00:00:00"/>
    <s v="ASISTENCIA TÉCNICA"/>
    <s v="AT"/>
    <d v="2016-01-01T00:00:00"/>
    <m/>
    <d v="2016-12-31T00:00:00"/>
    <m/>
    <s v="UNTREF"/>
    <s v="UNSAM"/>
    <n v="12275"/>
  </r>
  <r>
    <s v="SFMyCP"/>
    <x v="0"/>
    <s v="SUBSEC CENTROS TEMATICOS Y EXP FEDERALES"/>
    <s v="DIRECCION NACIONAL DE CENTROS TEMATICOS"/>
    <s v="ADMINISTRACION"/>
    <m/>
    <m/>
    <s v="ADMINISTRATIVO"/>
    <m/>
    <s v="TECNÓPOLIS"/>
    <m/>
    <s v="HENCEK ANDREA MARIANA"/>
    <s v="DNI"/>
    <n v="25144136"/>
    <n v="27251441362"/>
    <m/>
    <s v="LEY MARCO"/>
    <s v="LM"/>
    <d v="2010-03-01T00:00:00"/>
    <d v="2016-12-31T00:00:00"/>
    <d v="2016-12-31T00:00:00"/>
    <s v="C1"/>
    <m/>
    <m/>
    <n v="31056"/>
  </r>
  <r>
    <s v="SFMyCP"/>
    <x v="0"/>
    <s v="SUBSEC CENTROS TEMATICOS Y EXP FEDERALES"/>
    <s v="DIRECCION NACIONAL DE CENTROS TEMATICOS"/>
    <s v="ADMINISTRACION"/>
    <m/>
    <m/>
    <s v="ADMINISTRATIVO"/>
    <m/>
    <s v="TECNÓPOLIS"/>
    <m/>
    <s v="HENCEK FERNANDA GABRIELA"/>
    <s v="DNI"/>
    <n v="26019114"/>
    <n v="23260191144"/>
    <m/>
    <s v="LEY MARCO"/>
    <s v="LM"/>
    <d v="2010-04-01T00:00:00"/>
    <d v="2016-12-31T00:00:00"/>
    <d v="2016-12-31T00:00:00"/>
    <s v="B1"/>
    <m/>
    <m/>
    <n v="20266.82"/>
  </r>
  <r>
    <s v="SFMyCP"/>
    <x v="0"/>
    <m/>
    <s v="DIR NAC GENERACION DE CONTENIDOS"/>
    <s v="TELEVISION DIGITAL ABIERTA"/>
    <s v="CIARA"/>
    <m/>
    <m/>
    <s v="ADMINISTRATIVO"/>
    <s v="CABILDO 65"/>
    <s v="CABILDO 65"/>
    <s v="HERAS MAURICIO"/>
    <s v="DNI"/>
    <n v="27027265"/>
    <s v="20270272658"/>
    <d v="1978-12-17T00:00:00"/>
    <s v="ASISTENCIA TÉCNICA"/>
    <s v="AT"/>
    <d v="2010-04-01T00:00:00"/>
    <m/>
    <d v="2016-12-31T00:00:00"/>
    <m/>
    <s v="UNTREF"/>
    <s v="UNSAM- LADA"/>
    <n v="20545"/>
  </r>
  <r>
    <s v="SFMyCP"/>
    <x v="0"/>
    <m/>
    <s v="DIR NAC GENERACION DE CONTENIDOS"/>
    <m/>
    <m/>
    <s v="(GESTIÓN OPERATIVA)"/>
    <m/>
    <m/>
    <s v="CCK"/>
    <m/>
    <s v="HERMOSA SILVINA"/>
    <s v="DNI"/>
    <n v="24159112"/>
    <n v="27241591129"/>
    <m/>
    <s v="LEY MARCO"/>
    <s v="LM"/>
    <d v="2010-04-01T00:00:00"/>
    <d v="2016-12-31T00:00:00"/>
    <d v="2016-12-31T00:00:00"/>
    <s v="B1"/>
    <m/>
    <m/>
    <n v="18277"/>
  </r>
  <r>
    <s v="SFMyCP"/>
    <x v="0"/>
    <m/>
    <s v="DIR NAC GENERACION DE CONTENIDOS"/>
    <s v="FOMENTO"/>
    <m/>
    <m/>
    <s v=""/>
    <m/>
    <s v="CCK"/>
    <m/>
    <s v="HERNANDEZ MAXIMILIANO PABLO"/>
    <s v="DNI"/>
    <n v="34681893"/>
    <n v="20346818930"/>
    <m/>
    <s v="LEY MARCO"/>
    <s v="LM"/>
    <d v="2011-11-01T00:00:00"/>
    <d v="2016-12-31T00:00:00"/>
    <d v="2016-12-31T00:00:00"/>
    <s v="C0"/>
    <m/>
    <m/>
    <n v="12274"/>
  </r>
  <r>
    <s v="SFMyCP"/>
    <x v="1"/>
    <m/>
    <s v="DIR GRAL TECNICA ADMINISTRATIVA Y LEGAL"/>
    <s v="COMPRAS Y CONTRATACIONES"/>
    <m/>
    <s v="CONTROL DE ACCESOS  B"/>
    <s v="Asistente"/>
    <s v="ADMINISTRATIVO"/>
    <s v="CCK"/>
    <s v="CCK - Alem 351"/>
    <s v="HERRERA LARA MARIELA"/>
    <s v="DNI"/>
    <n v="37023551"/>
    <s v="27370235517"/>
    <d v="1992-11-25T00:00:00"/>
    <s v="ASISTENCIA TÉCNICA"/>
    <s v="AT"/>
    <m/>
    <m/>
    <d v="2016-12-31T00:00:00"/>
    <m/>
    <s v="UNTREF"/>
    <s v="UNLAM- BICENTENARIO"/>
    <n v="10096"/>
  </r>
  <r>
    <s v="SFMyCP"/>
    <x v="0"/>
    <s v="SUBSEC CENTROS TEMATICOS Y EXP FEDERALES"/>
    <s v="DIR NAC EXPRESIONES FEDERALES"/>
    <s v="DIRECCION DE GESTION EDILICIA"/>
    <s v="SERVICIOS GENERALES"/>
    <m/>
    <s v="Asistente"/>
    <s v="Asistente "/>
    <s v="CCK"/>
    <s v="CCK - Alem 351"/>
    <s v="HERRERA MARIA DEL MAR"/>
    <s v="DNI"/>
    <n v="37900697"/>
    <s v="27379006979"/>
    <d v="1994-06-15T00:00:00"/>
    <s v="ASISTENCIA TÉCNICA"/>
    <s v="AT"/>
    <d v="2015-06-01T00:00:00"/>
    <m/>
    <d v="2016-12-31T00:00:00"/>
    <m/>
    <s v="UNTREF"/>
    <s v="UNLAM- BICENTENARIO"/>
    <n v="10807"/>
  </r>
  <r>
    <s v="SFMyCP"/>
    <x v="1"/>
    <m/>
    <s v="DIR GRAL TECNICA ADMINISTRATIVA Y LEGAL"/>
    <s v="PLANIF  Y ADM DE REC HUMANOS"/>
    <s v="MEDICINA DEL TRABAJO"/>
    <m/>
    <s v="Enfermera/o"/>
    <m/>
    <s v="CCK"/>
    <m/>
    <s v="HERRERA MARIA EUGENIA"/>
    <s v="DNI"/>
    <n v="28633654"/>
    <n v="27286336545"/>
    <m/>
    <s v="LEY MARCO"/>
    <s v="LM"/>
    <d v="2015-06-01T00:00:00"/>
    <d v="2016-03-31T00:00:00"/>
    <d v="2016-12-31T00:00:00"/>
    <s v="C0"/>
    <m/>
    <m/>
    <n v="11730"/>
  </r>
  <r>
    <s v="SFMyCP"/>
    <x v="0"/>
    <s v="SUBSEC CENTROS TEMATICOS Y EXP FEDERALES"/>
    <s v="DIRECCION NACIONAL DE CENTROS TEMATICOS"/>
    <s v="INTENDENCIA - LIMPIEZA"/>
    <m/>
    <m/>
    <m/>
    <m/>
    <s v="TECNÓPOLIS"/>
    <m/>
    <s v="HERRERA VERONICA LORENA"/>
    <s v="DNI"/>
    <n v="28496920"/>
    <n v="27284969206"/>
    <m/>
    <s v="LEY MARCO"/>
    <s v="LM"/>
    <d v="2012-10-31T00:00:00"/>
    <d v="2016-12-31T00:00:00"/>
    <d v="2016-12-31T00:00:00"/>
    <s v="F0"/>
    <m/>
    <m/>
    <n v="13783.6"/>
  </r>
  <r>
    <s v="SFMyCP"/>
    <x v="0"/>
    <s v="SUBSEC CENTROS TEMATICOS Y EXP FEDERALES"/>
    <s v="DIRECCION NACIONAL DE CENTROS TEMATICOS"/>
    <s v="OPERATIVA"/>
    <m/>
    <m/>
    <m/>
    <m/>
    <s v="TECNÓPOLIS"/>
    <m/>
    <s v="HERRERA WALTER NICOLAS"/>
    <s v="DNI"/>
    <n v="30277829"/>
    <n v="23302778299"/>
    <m/>
    <s v="LEY MARCO"/>
    <s v="LM"/>
    <d v="2012-10-31T00:00:00"/>
    <d v="2016-12-31T00:00:00"/>
    <d v="2016-12-31T00:00:00"/>
    <s v="C0"/>
    <m/>
    <m/>
    <n v="29747"/>
  </r>
  <r>
    <s v="SFMyCP"/>
    <x v="1"/>
    <m/>
    <s v="DIR GRAL TECNICA ADMINISTRATIVA Y LEGAL"/>
    <s v="PLANIF  Y ADM DE REC HUMANOS"/>
    <s v="RECURSOS HUMANOS"/>
    <s v="COMUNICACIÓN"/>
    <s v="COMUNICACIÓN"/>
    <m/>
    <m/>
    <m/>
    <s v="HOROVITZ HERNAN"/>
    <s v="DNI"/>
    <n v="31641802"/>
    <n v="20316418024"/>
    <m/>
    <s v="LEY MARCO"/>
    <s v="LM"/>
    <d v="2011-07-28T00:00:00"/>
    <d v="2016-12-31T00:00:00"/>
    <d v="2016-12-31T00:00:00"/>
    <s v="C1"/>
    <m/>
    <m/>
    <n v="12003"/>
  </r>
  <r>
    <s v="SFMyCP"/>
    <x v="1"/>
    <m/>
    <s v="DIR GRAL TECNICA ADMINISTRATIVA Y LEGAL"/>
    <s v="COMPRAS Y CONTRATACIONES"/>
    <m/>
    <m/>
    <m/>
    <s v="ADMINISTRATIVO"/>
    <m/>
    <s v="CCK - Alem 351"/>
    <s v="HORTAS, DANIEL"/>
    <s v="DNI"/>
    <n v="14289145"/>
    <s v="20142891450"/>
    <d v="1960-11-16T00:00:00"/>
    <s v="ASISTENCIA TÉCNICA"/>
    <s v="AT"/>
    <d v="2016-01-01T00:00:00"/>
    <m/>
    <d v="2016-12-31T00:00:00"/>
    <m/>
    <s v="UNTREF"/>
    <s v="UNSAM"/>
    <n v="27000"/>
  </r>
  <r>
    <s v="SFMyCP"/>
    <x v="1"/>
    <m/>
    <s v="DIR GRAL TECNICA ADMINISTRATIVA Y LEGAL"/>
    <s v="PRESUPUESTO"/>
    <m/>
    <m/>
    <m/>
    <s v="ADMINISTRATIVO"/>
    <m/>
    <s v="CCK - Alem 351"/>
    <s v="HURTADO DENIS"/>
    <s v="DNI"/>
    <n v="35569357"/>
    <s v="20355693571"/>
    <d v="1990-11-14T00:00:00"/>
    <s v="ASISTENCIA TÉCNICA"/>
    <s v="AT"/>
    <m/>
    <m/>
    <d v="2016-12-31T00:00:00"/>
    <m/>
    <s v="UNTREF"/>
    <m/>
    <n v="12246"/>
  </r>
  <r>
    <s v="SFMyCP"/>
    <x v="0"/>
    <s v="SUBSEC CENTROS TEMATICOS Y EXP FEDERALES"/>
    <s v="DIR NAC EXPRESIONES FEDERALES"/>
    <s v="DIRECCION DE GESTION EDILICIA"/>
    <s v="MANTENIMIENTO"/>
    <s v="LOGISTICA OPERATIVA"/>
    <s v="Auxiliar de Mantenimiento"/>
    <s v="Auxiliar de Mantenimiento"/>
    <s v="CCK"/>
    <s v="CCK - Alem 351"/>
    <s v="HURTADO RICARDO"/>
    <s v="DNI"/>
    <n v="35897670"/>
    <s v="20358976701"/>
    <d v="1992-10-02T00:00:00"/>
    <s v="ASISTENCIA TÉCNICA"/>
    <s v="AT"/>
    <d v="2015-06-01T00:00:00"/>
    <m/>
    <d v="2016-12-31T00:00:00"/>
    <m/>
    <s v="UNTREF"/>
    <s v="UNSAM-MINPLAN"/>
    <n v="10188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HUTCHINSON RICARDO"/>
    <s v="DNI"/>
    <n v="14619813"/>
    <n v="23146198139"/>
    <m/>
    <s v="LEY MARCO"/>
    <s v="LM"/>
    <d v="2014-12-01T00:00:00"/>
    <d v="2016-03-31T00:00:00"/>
    <d v="2016-12-31T00:00:00"/>
    <s v="D0"/>
    <m/>
    <m/>
    <n v="18000"/>
  </r>
  <r>
    <s v="SFMyCP"/>
    <x v="1"/>
    <m/>
    <s v="DIR GRAL TECNICA ADMINISTRATIVA Y LEGAL"/>
    <s v="PLANIF  Y ADM DE REC HUMANOS"/>
    <s v="RECURSOS HUMANOS"/>
    <m/>
    <m/>
    <m/>
    <m/>
    <m/>
    <s v="IALUNER HÜLSEN GABRIELA"/>
    <s v="DNI"/>
    <n v="30762932"/>
    <n v="27307629327"/>
    <m/>
    <m/>
    <s v="LM"/>
    <d v="2008-10-01T00:00:00"/>
    <m/>
    <d v="2016-12-31T00:00:00"/>
    <s v="C1"/>
    <m/>
    <m/>
    <m/>
  </r>
  <r>
    <s v="SFMyCP"/>
    <x v="1"/>
    <m/>
    <s v="DIR GRAL TECNICA ADMINISTRATIVA Y LEGAL"/>
    <s v="COMPRAS Y CONTRATACIONES"/>
    <m/>
    <m/>
    <m/>
    <m/>
    <s v="CCK"/>
    <m/>
    <s v="IBAÑEZ ORLANDO"/>
    <s v="DNI"/>
    <n v="18780444"/>
    <n v="20187804443"/>
    <m/>
    <s v="LEY MARCO"/>
    <s v="LM"/>
    <d v="2007-01-01T00:00:00"/>
    <d v="2016-12-31T00:00:00"/>
    <d v="2016-12-31T00:00:00"/>
    <s v="A3"/>
    <m/>
    <m/>
    <n v="32195"/>
  </r>
  <r>
    <s v="SFMyCP"/>
    <x v="0"/>
    <m/>
    <s v="COMUNICACIONES"/>
    <s v="COMUNICACIÓN"/>
    <m/>
    <m/>
    <m/>
    <s v="ADMINISTRATIVO"/>
    <m/>
    <s v="CCK - Alem 351"/>
    <s v="IBARGUREN MANUELA"/>
    <s v="DNI"/>
    <n v="35962369"/>
    <n v="27359623696"/>
    <d v="1991-03-26T00:00:00"/>
    <s v="ASISTENCIA TÉCNICA"/>
    <s v="AT"/>
    <d v="2016-07-04T00:00:00"/>
    <m/>
    <d v="2016-12-31T00:00:00"/>
    <m/>
    <s v="UNTREF"/>
    <m/>
    <m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IGARTUA  SEBASTIAN"/>
    <s v="DNI"/>
    <n v="35766149"/>
    <s v="20357661499"/>
    <d v="1989-07-13T00:00:00"/>
    <s v="ASISTENCIA TÉCNICA"/>
    <s v="AT"/>
    <d v="2014-04-01T00:00:00"/>
    <m/>
    <d v="2016-12-31T00:00:00"/>
    <m/>
    <s v="UNTREF"/>
    <s v="UNTREF"/>
    <n v="9995.51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IGLESIAS ANA "/>
    <s v="DNI"/>
    <n v="27264874"/>
    <s v="27272648749"/>
    <d v="1979-07-27T00:00:00"/>
    <s v="ASISTENCIA TÉCNICA"/>
    <s v="AT"/>
    <d v="2013-09-09T00:00:00"/>
    <m/>
    <d v="2016-12-31T00:00:00"/>
    <m/>
    <s v="UNTREF"/>
    <m/>
    <n v="25252"/>
  </r>
  <r>
    <s v="SFMyCP"/>
    <x v="0"/>
    <s v="SUBSEC CENTROS TEMATICOS Y EXP FEDERALES"/>
    <s v="DIR NAC EXPRESIONES FEDERALES"/>
    <s v="DIRECCION"/>
    <m/>
    <m/>
    <s v="Sub Director"/>
    <m/>
    <m/>
    <m/>
    <s v="IGLESIAS LEANDRO"/>
    <s v="DNI"/>
    <m/>
    <m/>
    <m/>
    <m/>
    <m/>
    <m/>
    <m/>
    <d v="2016-12-31T00:00:00"/>
    <m/>
    <m/>
    <m/>
    <s v="."/>
  </r>
  <r>
    <s v="SFMyCP"/>
    <x v="0"/>
    <m/>
    <s v="ARTES VISUALES"/>
    <s v="ARTES VISUALES"/>
    <m/>
    <m/>
    <m/>
    <s v="ADMINISTRATIVO"/>
    <m/>
    <s v="CCK - Alem 351"/>
    <s v="IGNATTI GUIDO"/>
    <s v="DNI"/>
    <n v="28950634"/>
    <s v="23289506349"/>
    <d v="1981-08-14T00:00:00"/>
    <s v="ASISTENCIA TÉCNICA"/>
    <s v="AT"/>
    <d v="2016-01-01T00:00:00"/>
    <m/>
    <d v="2016-12-31T00:00:00"/>
    <m/>
    <s v="UNTREF"/>
    <m/>
    <n v="17000"/>
  </r>
  <r>
    <s v="SFMyCP"/>
    <x v="1"/>
    <m/>
    <s v="DIR GRAL TECNICA ADMINISTRATIVA Y LEGAL"/>
    <s v="INFORMATICA Y SISTEMAS"/>
    <m/>
    <m/>
    <s v="Técnico"/>
    <s v="Analista"/>
    <s v="CCK"/>
    <s v="CCK - Alem 351"/>
    <s v="ILLANES SANTIAGO"/>
    <s v="DNI"/>
    <n v="26580826"/>
    <s v="20265808264"/>
    <d v="1977-12-26T00:00:00"/>
    <s v="ASISTENCIA TÉCNICA"/>
    <s v="AT"/>
    <d v="2013-11-26T00:00:00"/>
    <m/>
    <d v="2016-12-31T00:00:00"/>
    <m/>
    <s v="UNTREF"/>
    <s v="UNLAM- INFO"/>
    <n v="13062"/>
  </r>
  <r>
    <s v="SFMyCP"/>
    <x v="1"/>
    <m/>
    <s v="DIR GRAL TECNICA ADMINISTRATIVA Y LEGAL"/>
    <s v="PLANIF  Y ADM DE REC HUMANOS"/>
    <s v="MEDICINA DEL TRABAJO"/>
    <m/>
    <s v="Enfermera/o"/>
    <m/>
    <s v="CCK"/>
    <m/>
    <s v="IMAZ KARINA PAOLA"/>
    <s v="DNI"/>
    <n v="23120215"/>
    <n v="27231202159"/>
    <m/>
    <s v="LEY MARCO"/>
    <s v="LM"/>
    <d v="2015-05-21T00:00:00"/>
    <d v="2016-03-31T00:00:00"/>
    <d v="2016-12-31T00:00:00"/>
    <s v="C0"/>
    <m/>
    <m/>
    <n v="1200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INGEGNIERI FRANCISCO"/>
    <s v="DNI"/>
    <n v="39910014"/>
    <n v="20399100144"/>
    <d v="1996-08-16T00:00:00"/>
    <s v="ASISTENCIA TÉCNICA"/>
    <s v="AT"/>
    <d v="2016-05-15T00:00:00"/>
    <m/>
    <d v="2016-12-31T00:00:00"/>
    <m/>
    <s v="UNTREF"/>
    <m/>
    <m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IÑIGO  MARIA CRISTINA"/>
    <s v="DNI"/>
    <n v="22228890"/>
    <n v="27222288903"/>
    <d v="1971-06-09T00:00:00"/>
    <s v="ASISTENCIA TÉCNICA"/>
    <s v="CO"/>
    <m/>
    <m/>
    <d v="2016-12-31T00:00:00"/>
    <m/>
    <s v="UNTREF"/>
    <s v="UNTREF"/>
    <n v="1700"/>
  </r>
  <r>
    <s v="SFMyCP"/>
    <x v="1"/>
    <m/>
    <s v="DIR GRAL TECNICA ADMINISTRATIVA Y LEGAL"/>
    <s v="MESA DE ENTRADA"/>
    <m/>
    <m/>
    <s v="Asistente administrativo."/>
    <m/>
    <s v="CCK"/>
    <m/>
    <s v="IRIART, SERGIO"/>
    <s v="DNI"/>
    <n v="33546747"/>
    <n v="20335467478"/>
    <m/>
    <s v="LEY MARCO"/>
    <s v="LM"/>
    <d v="2013-01-02T00:00:00"/>
    <d v="2016-03-31T00:00:00"/>
    <d v="2016-12-31T00:00:00"/>
    <s v="D0"/>
    <m/>
    <m/>
    <n v="1019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IRIONDO MATIAS"/>
    <s v="DNI"/>
    <n v="24921752"/>
    <s v="20249217523"/>
    <d v="1975-10-12T00:00:00"/>
    <s v="ASISTENCIA TÉCNICA"/>
    <s v="AT"/>
    <d v="2014-04-01T00:00:00"/>
    <m/>
    <d v="2016-12-31T00:00:00"/>
    <m/>
    <s v="UNTREF"/>
    <s v="UNSAM- LADA"/>
    <n v="2406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ITURRALDE ADRIAN"/>
    <s v="DNI"/>
    <n v="16237010"/>
    <s v="20162370104"/>
    <d v="1963-01-12T00:00:00"/>
    <s v="ASISTENCIA TÉCNICA"/>
    <s v="AT"/>
    <d v="2013-06-01T00:00:00"/>
    <m/>
    <d v="2016-12-31T00:00:00"/>
    <m/>
    <s v="UNTREF"/>
    <m/>
    <n v="32782"/>
  </r>
  <r>
    <s v="SFMyCP"/>
    <x v="0"/>
    <s v="SUBSEC CENTROS TEMATICOS Y EXP FEDERALES"/>
    <s v="DIR NAC EXPRESIONES FEDERALES"/>
    <s v="COMUNICACIÓN"/>
    <s v="PRENSA"/>
    <m/>
    <m/>
    <s v="ADMINISTRATIVO"/>
    <m/>
    <s v="CCK - Alem 351"/>
    <s v="IVANOSKI MARIA LUCILA"/>
    <s v="DNI"/>
    <n v="28778937"/>
    <n v="27287789373"/>
    <d v="1981-05-15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JACOBO LOLA MARIA"/>
    <s v="DNI"/>
    <m/>
    <m/>
    <m/>
    <m/>
    <s v="AT"/>
    <m/>
    <m/>
    <d v="2016-12-31T00:00:00"/>
    <m/>
    <s v="UNTREF"/>
    <m/>
    <m/>
  </r>
  <r>
    <s v="SFMyCP"/>
    <x v="0"/>
    <m/>
    <s v="ARTES VISUALES"/>
    <s v="ARTES VISUALES"/>
    <m/>
    <m/>
    <m/>
    <s v="Orientador de Sala"/>
    <m/>
    <m/>
    <s v="JALIL CAROLINA"/>
    <s v="DNI"/>
    <n v="26392514"/>
    <n v="27263925144"/>
    <m/>
    <s v="ASISTENCIA TÉCNICA"/>
    <s v="AT"/>
    <d v="2016-07-01T00:00:00"/>
    <m/>
    <d v="2016-12-31T00:00:00"/>
    <m/>
    <m/>
    <m/>
    <m/>
  </r>
  <r>
    <s v="SFMyCP"/>
    <x v="0"/>
    <m/>
    <s v="DIR NAC GENERACION DE CONTENIDOS"/>
    <s v="TELEVISION DIGITAL ABIERTA"/>
    <s v="CIARA"/>
    <m/>
    <s v="PANORAMA ARGENTINO"/>
    <s v="ADMINISTRATIVO"/>
    <s v="CABILDO 65"/>
    <s v="CABILDO 65"/>
    <s v="JECHSMAYR HERNAN"/>
    <s v="DNI"/>
    <n v="17964747"/>
    <s v="20179647479"/>
    <d v="1966-10-13T00:00:00"/>
    <s v="ASISTENCIA TÉCNICA"/>
    <s v="AT"/>
    <d v="2012-03-01T00:00:00"/>
    <m/>
    <d v="2016-12-31T00:00:00"/>
    <m/>
    <s v="UNTREF"/>
    <s v="UNSAM- LADA"/>
    <n v="10829"/>
  </r>
  <r>
    <s v="SFMyCP"/>
    <x v="0"/>
    <s v="SUBSEC CENTROS TEMATICOS Y EXP FEDERALES"/>
    <s v="DIRECCION NACIONAL DE CENTROS TEMATICOS"/>
    <s v="ADMINISTRACION -LEGALES"/>
    <m/>
    <m/>
    <s v="Administrativo"/>
    <m/>
    <s v="TECNÓPOLIS"/>
    <m/>
    <s v="JIMENEZ ALEGRE NELLY GLADYS"/>
    <s v="DNI"/>
    <n v="28814776"/>
    <n v="27288147766"/>
    <m/>
    <s v="LEY MARCO"/>
    <s v="LM"/>
    <d v="2015-03-01T00:00:00"/>
    <d v="2016-03-31T00:00:00"/>
    <d v="2016-12-31T00:00:00"/>
    <s v="C0"/>
    <m/>
    <m/>
    <n v="17065"/>
  </r>
  <r>
    <s v="SFMyCP"/>
    <x v="1"/>
    <m/>
    <s v="DIR GRAL TECNICA ADMINISTRATIVA Y LEGAL"/>
    <s v="COMPRAS Y CONTRATACIONES"/>
    <m/>
    <m/>
    <s v="Asistente"/>
    <m/>
    <s v="CCK"/>
    <m/>
    <s v="JIMENEZ LUIS"/>
    <s v="DNI"/>
    <n v="29192074"/>
    <n v="20291920749"/>
    <m/>
    <s v="LEY MARCO"/>
    <s v="LM"/>
    <d v="2010-06-01T00:00:00"/>
    <d v="2016-12-31T00:00:00"/>
    <d v="2016-12-31T00:00:00"/>
    <s v="C1"/>
    <m/>
    <m/>
    <n v="11730"/>
  </r>
  <r>
    <s v="SFMyCP"/>
    <x v="0"/>
    <m/>
    <s v="DIR NAC GENERACION DE CONTENIDOS"/>
    <s v="TELEVISION DIGITAL ABIERTA"/>
    <s v="CIARA"/>
    <m/>
    <s v="PANORAMA ARGENTINO"/>
    <s v="PRODUCTOR de EXTERIORES"/>
    <s v="CABILDO 65"/>
    <s v="CABILDO 65"/>
    <s v="JORDAN MARIANO"/>
    <s v="DNI"/>
    <n v="28080101"/>
    <s v="20280801012"/>
    <d v="1980-04-14T00:00:00"/>
    <s v="ASISTENCIA TÉCNICA"/>
    <s v="AT"/>
    <d v="2015-04-15T00:00:00"/>
    <m/>
    <d v="2016-12-31T00:00:00"/>
    <m/>
    <s v="UNTREF"/>
    <s v="UNSAM- LADA"/>
    <n v="18795"/>
  </r>
  <r>
    <s v="SFMyCP"/>
    <x v="0"/>
    <s v="SUBSEC CENTROS TEMATICOS Y EXP FEDERALES"/>
    <s v="DIR NAC EXPRESIONES FEDERALES"/>
    <s v="INSTITUCIONALES"/>
    <m/>
    <m/>
    <m/>
    <m/>
    <s v="CCK"/>
    <m/>
    <s v="JORGE MARTHA"/>
    <s v="DNI"/>
    <n v="16765329"/>
    <n v="24167653290"/>
    <m/>
    <s v="LEY MARCO"/>
    <s v="LM"/>
    <d v="2010-06-01T00:00:00"/>
    <d v="2016-12-31T00:00:00"/>
    <d v="2016-12-31T00:00:00"/>
    <s v="C0"/>
    <m/>
    <m/>
    <n v="12000"/>
  </r>
  <r>
    <s v="SFMyCP"/>
    <x v="0"/>
    <s v="SUBSEC CENTROS TEMATICOS Y EXP FEDERALES"/>
    <s v="DIRECCION NACIONAL DE CENTROS TEMATICOS"/>
    <s v="OPERATIVA"/>
    <m/>
    <m/>
    <m/>
    <s v="CONTROL DE ACCESOS/DIGITALIZACION VEHICULAR"/>
    <s v="TECNÓPOLIS"/>
    <s v="TECNOPOLIS"/>
    <s v="JOSA ANDREA FABIANA"/>
    <s v="DNI"/>
    <n v="17802888"/>
    <s v="27178028885"/>
    <d v="1965-10-25T00:00:00"/>
    <s v="ASISTENCIA TÉCNICA"/>
    <s v="AT"/>
    <d v="2013-07-01T00:00:00"/>
    <m/>
    <d v="2016-12-31T00:00:00"/>
    <m/>
    <s v="UNTREF"/>
    <s v="UNTREF"/>
    <n v="11289.69"/>
  </r>
  <r>
    <s v="SFMyCP"/>
    <x v="0"/>
    <s v="SUBSEC CENTROS TEMATICOS Y EXP FEDERALES"/>
    <s v="DIR NAC EXPRESIONES FEDERALES"/>
    <s v="TECNICA"/>
    <m/>
    <m/>
    <m/>
    <s v="OPERACIÓN/MONTAJE/MANTENIMIENTO"/>
    <m/>
    <s v="TECNOPOLIS"/>
    <s v="JUAREZ CLAUDIO NESTOR"/>
    <s v="DNI"/>
    <n v="14596714"/>
    <n v="20145967148"/>
    <d v="1961-07-03T00:00:00"/>
    <s v="ASISTENCIA TÉCNICA"/>
    <s v="AT"/>
    <d v="2016-05-01T00:00:00"/>
    <m/>
    <d v="2016-12-31T00:00:00"/>
    <m/>
    <s v="UNTREF"/>
    <m/>
    <n v="15000"/>
  </r>
  <r>
    <s v="SFMyCP"/>
    <x v="0"/>
    <s v="SUBSEC CENTROS TEMATICOS Y EXP FEDERALES"/>
    <s v="DIR NAC EXPRESIONES FEDERALES"/>
    <s v="DIRECCION DE GESTION EDILICIA"/>
    <s v="CONTROL Y PLANIFICACION"/>
    <m/>
    <m/>
    <m/>
    <m/>
    <m/>
    <s v="JUAREZ JESUS EMMANUEL MARIO"/>
    <s v="DNI"/>
    <n v="33194188"/>
    <m/>
    <m/>
    <m/>
    <s v="LM"/>
    <m/>
    <m/>
    <d v="2016-12-31T00:00:00"/>
    <s v="C1"/>
    <m/>
    <m/>
    <m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JUAREZ JUAQUIN NEMESIO"/>
    <s v="DNI"/>
    <n v="39624844"/>
    <n v="20396248442"/>
    <d v="1996-03-31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m/>
    <m/>
    <m/>
    <m/>
    <s v="PRIVADA"/>
    <m/>
    <s v="CCK"/>
    <m/>
    <s v="JUAREZ JULIAN"/>
    <s v="DNI"/>
    <n v="38357064"/>
    <n v="20383570647"/>
    <m/>
    <s v="ASISTENCIA TÉCNICA"/>
    <s v="AT"/>
    <m/>
    <m/>
    <m/>
    <m/>
    <m/>
    <m/>
    <m/>
  </r>
  <r>
    <s v="SFMyCP"/>
    <x v="0"/>
    <m/>
    <s v="DIR NAC GENERACION DE CONTENIDOS"/>
    <s v="TELEVISION DIGITAL ABIERTA"/>
    <s v="CIARA"/>
    <m/>
    <s v="PANORAMA ARGENTINO"/>
    <s v="ADMINISTRATIVO"/>
    <s v="CABILDO 65"/>
    <s v="CABILDO 65"/>
    <s v="JURI GABRIEL"/>
    <s v="DNI"/>
    <n v="22478193"/>
    <s v="20224781939"/>
    <d v="1970-04-30T00:00:00"/>
    <s v="ASISTENCIA TÉCNICA"/>
    <s v="AT"/>
    <d v="2011-06-01T00:00:00"/>
    <m/>
    <d v="2016-12-31T00:00:00"/>
    <m/>
    <s v="UNTREF"/>
    <s v="UNSAM- LADA"/>
    <n v="16465"/>
  </r>
  <r>
    <s v="SFMyCP"/>
    <x v="0"/>
    <m/>
    <s v="DIR NAC GENERACION DE CONTENIDOS"/>
    <s v="TELEVISION DIGITAL ABIERTA"/>
    <s v="CIARA"/>
    <m/>
    <s v="PANORAMA ARGENTINO"/>
    <m/>
    <s v="CABILDO 65"/>
    <m/>
    <s v="JUSTO MARIA DEL ROSARIO"/>
    <s v="DNI"/>
    <n v="32890956"/>
    <n v="27328909567"/>
    <m/>
    <s v="LEY MARCO"/>
    <s v="LM"/>
    <d v="2011-05-01T00:00:00"/>
    <d v="2016-12-31T00:00:00"/>
    <d v="2016-12-31T00:00:00"/>
    <s v="C1"/>
    <m/>
    <m/>
    <n v="12000"/>
  </r>
  <r>
    <s v="SFMyCP"/>
    <x v="1"/>
    <m/>
    <s v="UNIDAD DE MINISTRO"/>
    <m/>
    <m/>
    <m/>
    <s v="PRIVADA"/>
    <s v="ADMINISTRATIVO"/>
    <m/>
    <s v="CCK - Alem 351"/>
    <s v="KACANAS VALERIA ANA"/>
    <s v="DNI"/>
    <n v="21850394"/>
    <n v="27218503948"/>
    <d v="1970-10-17T00:00:00"/>
    <s v="ASISTENCIA TÉCNICA"/>
    <s v="AT"/>
    <m/>
    <m/>
    <d v="2016-12-31T00:00:00"/>
    <m/>
    <s v="UNTREF"/>
    <m/>
    <m/>
  </r>
  <r>
    <s v="SFMyCP"/>
    <x v="1"/>
    <m/>
    <s v="DIR GRAL TECNICA ADMINISTRATIVA Y LEGAL"/>
    <s v="JURIDICOS"/>
    <m/>
    <m/>
    <s v=""/>
    <s v="Asistencia Juridica"/>
    <m/>
    <s v="CCK - Alem 351"/>
    <s v="KAIRUZ GISELA VANINA "/>
    <s v="DNI"/>
    <n v="33839983"/>
    <s v="27338399834"/>
    <d v="1989-03-16T00:00:00"/>
    <s v="ASISTENCIA TÉCNICA"/>
    <s v="AT"/>
    <d v="2015-09-01T00:00:00"/>
    <m/>
    <d v="2016-12-31T00:00:00"/>
    <m/>
    <s v="UNTREF"/>
    <s v="UNLAM -TDA"/>
    <n v="12063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KALOC JULIETA SOLEDAD"/>
    <s v="DNI"/>
    <n v="40734118"/>
    <n v="27407341185"/>
    <d v="1997-11-13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KALOC PABLO DAMIAN"/>
    <s v="DNI"/>
    <n v="39214117"/>
    <n v="20392141171"/>
    <d v="1995-09-14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COMUNICACIÓN"/>
    <m/>
    <m/>
    <m/>
    <m/>
    <s v="CCK"/>
    <m/>
    <s v="KAPLUN FEDERICO BRUNO"/>
    <s v="DNI"/>
    <n v="27860764"/>
    <n v="20278607640"/>
    <m/>
    <s v="LEY MARCO"/>
    <s v="LM"/>
    <d v="2011-11-01T00:00:00"/>
    <d v="2016-12-31T00:00:00"/>
    <d v="2016-12-31T00:00:00"/>
    <s v="B0"/>
    <m/>
    <m/>
    <n v="17107"/>
  </r>
  <r>
    <s v="SFMyCP"/>
    <x v="0"/>
    <m/>
    <s v="DIR NAC GENERACION DE CONTENIDOS"/>
    <s v="TELEVISION DIGITAL ABIERTA"/>
    <s v="CIARA"/>
    <s v="CCK"/>
    <s v="ADMINISTRACIÓN"/>
    <s v="ADMINISTRATIVO"/>
    <s v="CABILDO 65"/>
    <s v="CCK - Alem 351"/>
    <s v="KAPLUN NICOLAS"/>
    <s v="DNI"/>
    <n v="26365492"/>
    <s v="20263654928"/>
    <d v="1978-02-26T00:00:00"/>
    <s v="ASISTENCIA TÉCNICA"/>
    <s v="AT"/>
    <d v="2015-09-01T00:00:00"/>
    <m/>
    <d v="2016-12-31T00:00:00"/>
    <m/>
    <s v="UNTREF"/>
    <s v="UNSAM- LADA"/>
    <n v="10188"/>
  </r>
  <r>
    <s v="SFMyCP"/>
    <x v="1"/>
    <m/>
    <s v="UNIDAD DE MINISTRO"/>
    <m/>
    <m/>
    <m/>
    <s v="PRIVADA"/>
    <s v="ADMINISTRATIVO"/>
    <m/>
    <s v="CCK - Alem 351"/>
    <s v="KAPSIUK, ELIO"/>
    <s v="DNI"/>
    <n v="18393076"/>
    <s v="20183930762"/>
    <d v="1967-11-16T00:00:00"/>
    <s v="ASISTENCIA TÉCNICA"/>
    <s v="AT"/>
    <d v="2016-01-01T00:00:00"/>
    <m/>
    <d v="2016-12-31T00:00:00"/>
    <m/>
    <s v="UNTREF"/>
    <s v="UNSAM"/>
    <n v="19000"/>
  </r>
  <r>
    <s v="SFMyCP"/>
    <x v="0"/>
    <s v="SUBSEC CENTROS TEMATICOS Y EXP FEDERALES"/>
    <s v="DIR NAC EXPRESIONES FEDERALES"/>
    <s v="INSTITUCIONALES"/>
    <m/>
    <m/>
    <m/>
    <s v="asistente funcional"/>
    <s v="CCK"/>
    <s v="CCK - Alem 351"/>
    <s v="KARAVAITIS, ALEJANDRA"/>
    <s v="DNI"/>
    <n v="25248374"/>
    <n v="27252483743"/>
    <d v="1976-07-03T00:00:00"/>
    <s v="ASISTENCIA TÉCNICA"/>
    <s v="AT"/>
    <d v="2016-01-01T00:00:00"/>
    <m/>
    <d v="2016-12-31T00:00:00"/>
    <m/>
    <s v="UNTREF"/>
    <s v="UNSAM"/>
    <n v="19000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KARMASÍN  MARTÍN"/>
    <s v="DNI"/>
    <n v="25974116"/>
    <n v="20259741166"/>
    <m/>
    <s v="LEY MARCO"/>
    <s v="LM"/>
    <d v="2014-12-01T00:00:00"/>
    <d v="2016-03-31T00:00:00"/>
    <d v="2016-12-31T00:00:00"/>
    <s v="D0"/>
    <m/>
    <m/>
    <n v="18000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KATZ GABRIEL"/>
    <s v="DNI"/>
    <n v="23510339"/>
    <s v="20235103398"/>
    <d v="1973-08-15T00:00:00"/>
    <s v="ASISTENCIA TÉCNICA"/>
    <s v="AT"/>
    <d v="2010-11-01T00:00:00"/>
    <m/>
    <d v="2016-12-31T00:00:00"/>
    <m/>
    <s v="UNTREF"/>
    <s v="UNSAM- LADA"/>
    <n v="28909"/>
  </r>
  <r>
    <s v="SFMyCP"/>
    <x v="0"/>
    <m/>
    <s v="COMUNICACIONES"/>
    <s v="COMUNICACIÓN"/>
    <m/>
    <m/>
    <m/>
    <s v="ADMINISTRATIVO"/>
    <m/>
    <s v="CCK - Alem 351"/>
    <s v="KATZ LAURA"/>
    <s v="DNI"/>
    <n v="27680627"/>
    <n v="27276806276"/>
    <d v="1979-09-17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KEEGAN MARY"/>
    <s v="DNI"/>
    <n v="24261523"/>
    <s v="27242615234"/>
    <d v="1974-12-29T00:00:00"/>
    <s v="ASISTENCIA TÉCNICA"/>
    <s v="AT"/>
    <d v="2015-04-01T00:00:00"/>
    <m/>
    <d v="2016-12-31T00:00:00"/>
    <m/>
    <s v="UNTREF"/>
    <s v="UNSAM- LADA"/>
    <n v="19353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KLIMASEK CLAUIDO"/>
    <s v="DNI"/>
    <n v="17380002"/>
    <n v="23173800029"/>
    <m/>
    <s v="LEY MARCO"/>
    <s v="LM"/>
    <d v="2014-12-01T00:00:00"/>
    <d v="2016-03-31T00:00:00"/>
    <d v="2016-12-31T00:00:00"/>
    <s v="D0"/>
    <m/>
    <m/>
    <n v="18000"/>
  </r>
  <r>
    <s v="SFMyCP"/>
    <x v="0"/>
    <s v="SUBSEC CENTROS TEMATICOS Y EXP FEDERALES"/>
    <s v="DIRECCION NACIONAL DE CENTROS TEMATICOS"/>
    <s v="PRODUCCIÓN"/>
    <m/>
    <m/>
    <m/>
    <m/>
    <s v="TECNÓPOLIS"/>
    <m/>
    <s v="KOTIK GUSTAVO SERGIO"/>
    <s v="DNI"/>
    <n v="21671582"/>
    <n v="23216715829"/>
    <m/>
    <s v="LEY MARCO"/>
    <s v="LM"/>
    <d v="2011-07-01T00:00:00"/>
    <d v="2016-12-31T00:00:00"/>
    <d v="2016-12-31T00:00:00"/>
    <s v="C0"/>
    <m/>
    <m/>
    <n v="29206.37"/>
  </r>
  <r>
    <s v="SFMyCP"/>
    <x v="0"/>
    <s v="SUBSEC CENTROS TEMATICOS Y EXP FEDERALES"/>
    <s v="DIR NAC EXPRESIONES FEDERALES"/>
    <s v="COMUNICACIÓN"/>
    <s v="PRENSA"/>
    <m/>
    <m/>
    <s v="ADMINISTRATIVO"/>
    <m/>
    <s v="CCK - Alem 351"/>
    <s v="KUPFERMAN MAXIMILIANO"/>
    <s v="DNI"/>
    <n v="29591878"/>
    <n v="20295918781"/>
    <d v="1982-06-24T00:00:00"/>
    <s v="ASISTENCIA TÉCNICA"/>
    <s v="AT"/>
    <d v="2016-06-01T00:00:00"/>
    <m/>
    <d v="2016-12-31T00:00:00"/>
    <m/>
    <s v="UNTREF"/>
    <m/>
    <n v="20000"/>
  </r>
  <r>
    <s v="SFMyCP"/>
    <x v="0"/>
    <s v="SUBSEC CENTROS TEMATICOS Y EXP FEDERALES"/>
    <s v="DIR NAC EXPRESIONES FEDERALES"/>
    <s v="DIRECCION DE GESTION EDILICIA"/>
    <s v="MANTENIMIENTO"/>
    <m/>
    <m/>
    <s v="Auxiliar de Mantenimiento"/>
    <m/>
    <s v="CCK - Alem 351"/>
    <s v="KUTALEK GERMAN"/>
    <s v="DNI"/>
    <n v="37878033"/>
    <n v="20378780331"/>
    <d v="1993-07-12T00:00:00"/>
    <s v="ASISTENCIA TÉCNICA"/>
    <s v="AT"/>
    <d v="2016-07-01T00:00:00"/>
    <m/>
    <d v="2016-12-31T00:00:00"/>
    <m/>
    <s v="UNTREF"/>
    <m/>
    <m/>
  </r>
  <r>
    <s v="SFMyCP"/>
    <x v="0"/>
    <m/>
    <s v="UNIDAD SECRETARÍA"/>
    <m/>
    <m/>
    <m/>
    <s v="PRIVADA"/>
    <s v="ADMINISTRATIVO"/>
    <m/>
    <s v="CCK - Alem 351"/>
    <s v="LA TORELLA, MARIANA"/>
    <s v="DNI"/>
    <n v="29353203"/>
    <n v="27293532031"/>
    <d v="1982-02-06T00:00:00"/>
    <s v="ASISTENCIA TÉCNICA"/>
    <s v="AT"/>
    <d v="2016-01-01T00:00:00"/>
    <m/>
    <d v="2016-12-31T00:00:00"/>
    <m/>
    <s v="UNTREF"/>
    <s v="UNSAM"/>
    <n v="19000"/>
  </r>
  <r>
    <s v="SFMyCP"/>
    <x v="0"/>
    <m/>
    <s v="DIR NAC GENERACION DE CONTENIDOS"/>
    <s v="TELEVISION DIGITAL ABIERTA"/>
    <s v="CIARA"/>
    <s v="CCK"/>
    <s v="PROGRAMA POLOS AUDIOVISUALES TECNOLÓGICOS"/>
    <m/>
    <s v="CABILDO 65"/>
    <m/>
    <s v="LABORDE ERICA SOLEDAD"/>
    <s v="DNI"/>
    <n v="30060661"/>
    <n v="27300606615"/>
    <m/>
    <s v="LEY MARCO"/>
    <s v="LM"/>
    <d v="2011-03-01T00:00:00"/>
    <d v="2016-12-31T00:00:00"/>
    <d v="2016-12-31T00:00:00"/>
    <s v="C1"/>
    <m/>
    <m/>
    <n v="12547"/>
  </r>
  <r>
    <s v="SFMyCP"/>
    <x v="1"/>
    <m/>
    <s v="DIR GRAL TECNICA ADMINISTRATIVA Y LEGAL"/>
    <s v="PRESUPUESTO"/>
    <m/>
    <s v="REFERENTE"/>
    <m/>
    <m/>
    <s v="CCK"/>
    <m/>
    <s v="LADA ALEJANDRO"/>
    <s v="DNI"/>
    <n v="34253941"/>
    <n v="20342539417"/>
    <m/>
    <s v="LEY MARCO"/>
    <s v="LM"/>
    <d v="2012-12-01T00:00:00"/>
    <d v="2016-12-31T00:00:00"/>
    <d v="2016-12-31T00:00:00"/>
    <s v="A1"/>
    <m/>
    <m/>
    <n v="26237"/>
  </r>
  <r>
    <s v="SFMyCP"/>
    <x v="1"/>
    <m/>
    <s v="DIR GRAL TECNICA ADMINISTRATIVA Y LEGAL"/>
    <s v="PRESUPUESTO"/>
    <m/>
    <m/>
    <m/>
    <s v="ADMINISTRATIVO"/>
    <m/>
    <s v="CCK - Alem 351"/>
    <s v="LADA SANTIAGO RUBEN"/>
    <s v="DNI"/>
    <n v="35569382"/>
    <n v="20355693822"/>
    <d v="1990-12-19T00:00:00"/>
    <s v="ASISTENCIA TÉCNICA"/>
    <s v="AT"/>
    <d v="2016-07-01T00:00:00"/>
    <m/>
    <d v="2016-12-31T00:00:00"/>
    <m/>
    <s v="UNTREF"/>
    <m/>
    <m/>
  </r>
  <r>
    <s v="SFMyCP"/>
    <x v="0"/>
    <m/>
    <s v="COMUNICACIONES"/>
    <s v="COMUNICACIÓN"/>
    <m/>
    <m/>
    <m/>
    <s v="ADMINISTRATIVO"/>
    <s v="CCK"/>
    <s v="CCK - Alem 351"/>
    <s v="LAMARQUE EUGENIO"/>
    <s v="DNI"/>
    <n v="32949122"/>
    <s v="24329491222"/>
    <d v="1987-02-05T00:00:00"/>
    <s v="ASISTENCIA TÉCNICA"/>
    <s v="AT"/>
    <d v="2014-06-01T00:00:00"/>
    <m/>
    <d v="2016-12-31T00:00:00"/>
    <m/>
    <s v="UNTREF"/>
    <s v="UNTREF"/>
    <n v="13593.330000000002"/>
  </r>
  <r>
    <s v="SFMyCP"/>
    <x v="0"/>
    <m/>
    <s v="DIR NAC GENERACION DE CONTENIDOS"/>
    <s v="TELEVISION DIGITAL ABIERTA"/>
    <s v="CIARA"/>
    <m/>
    <s v="BACUA"/>
    <s v="ADMINISTRATIVO"/>
    <s v="CABILDO 65"/>
    <s v="CABILDO 65"/>
    <s v="LAMAS AGUSTIN MATEO"/>
    <s v="DNI"/>
    <n v="32603492"/>
    <s v="20326034925"/>
    <d v="1986-09-19T00:00:00"/>
    <s v="ASISTENCIA TÉCNICA"/>
    <s v="AT"/>
    <d v="2013-02-01T00:00:00"/>
    <m/>
    <d v="2016-12-31T00:00:00"/>
    <m/>
    <s v="UNTREF"/>
    <s v="UNSAM- LADA"/>
    <n v="16465"/>
  </r>
  <r>
    <s v="SFMyCP"/>
    <x v="0"/>
    <s v="SUBSEC CENTROS TEMATICOS Y EXP FEDERALES"/>
    <s v="DIRECCION NACIONAL DE CENTROS TEMATICOS"/>
    <s v="ARQUITECTURA Y OBRA"/>
    <m/>
    <m/>
    <m/>
    <m/>
    <s v="TECNÓPOLIS"/>
    <m/>
    <s v="LAMPART GABRIEL NICOLAS"/>
    <s v="DNI"/>
    <n v="24646302"/>
    <n v="20246463027"/>
    <m/>
    <s v="LEY MARCO"/>
    <s v="LM"/>
    <d v="2012-04-01T00:00:00"/>
    <d v="2016-12-31T00:00:00"/>
    <d v="2016-12-31T00:00:00"/>
    <s v="C0"/>
    <m/>
    <m/>
    <n v="16242.17"/>
  </r>
  <r>
    <s v="SFMyCP"/>
    <x v="0"/>
    <m/>
    <s v="UNIDAD SECRETARÍA"/>
    <m/>
    <m/>
    <m/>
    <s v="PRIVADA"/>
    <s v="ADMINISTRATIVO"/>
    <m/>
    <s v="CCK - Alem 351"/>
    <s v="LANARI EUGENIA"/>
    <s v="DNI"/>
    <n v="34653242"/>
    <n v="23346532424"/>
    <d v="1986-10-22T00:00:00"/>
    <m/>
    <s v="AT"/>
    <m/>
    <m/>
    <d v="2016-12-31T00:00:00"/>
    <m/>
    <s v="UNTREF"/>
    <m/>
    <m/>
  </r>
  <r>
    <s v="SFMyCP"/>
    <x v="0"/>
    <m/>
    <s v="UNIDAD SECRETARÍA"/>
    <m/>
    <m/>
    <m/>
    <s v="PRIVADA"/>
    <s v="ADMINISTRATIVO"/>
    <m/>
    <s v="CCK - Alem 351"/>
    <s v="LANARI SOFIA"/>
    <s v="DNI"/>
    <n v="32677592"/>
    <n v="23326775924"/>
    <d v="1986-10-22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m/>
    <s v="PANORAMA ARGENTINO"/>
    <s v="ADMINISTRATIVO"/>
    <s v="CABILDO 65"/>
    <s v="CABILDO 65"/>
    <s v="LANDONI DIEGO"/>
    <s v="DNI"/>
    <n v="26338210"/>
    <s v="20263382103"/>
    <d v="1977-11-25T00:00:00"/>
    <s v="ASISTENCIA TÉCNICA"/>
    <s v="AT"/>
    <d v="2013-03-01T00:00:00"/>
    <m/>
    <d v="2016-12-31T00:00:00"/>
    <m/>
    <s v="UNTREF"/>
    <s v="UNSAM- LADA"/>
    <n v="16465"/>
  </r>
  <r>
    <s v="SFMyCP"/>
    <x v="1"/>
    <m/>
    <s v="DIR GRAL TECNICA ADMINISTRATIVA Y LEGAL"/>
    <s v="PRESUPUESTO"/>
    <m/>
    <m/>
    <m/>
    <s v="ADMINISTRATIVO"/>
    <m/>
    <s v="CCK - Alem 351"/>
    <s v="LANDRIEL AGUSTIN"/>
    <s v="DNI"/>
    <n v="35634548"/>
    <n v="20356345488"/>
    <d v="1990-08-31T00:00:00"/>
    <s v="ASISTENCIA TÉCNICA"/>
    <s v="AT"/>
    <d v="2016-06-01T00:00:00"/>
    <m/>
    <d v="2016-12-31T00:00:00"/>
    <m/>
    <s v="UNTREF"/>
    <m/>
    <m/>
  </r>
  <r>
    <s v="SFMyCP"/>
    <x v="1"/>
    <m/>
    <s v="DIR GRAL TECNICA ADMINISTRATIVA Y LEGAL"/>
    <s v="PLANIF  Y ADM DE REC HUMANOS"/>
    <s v="MEDICINA DEL TRABAJO"/>
    <m/>
    <s v="Enfermera/o"/>
    <m/>
    <s v="CCK"/>
    <m/>
    <s v="LANNO LORENA"/>
    <s v="DNI"/>
    <n v="27948229"/>
    <n v="27279482293"/>
    <m/>
    <s v="LEY MARCO"/>
    <s v="LM"/>
    <d v="2015-06-01T00:00:00"/>
    <d v="2016-03-31T00:00:00"/>
    <d v="2016-12-31T00:00:00"/>
    <s v="B0"/>
    <s v="U. LA MATANZA"/>
    <s v="LEY MARCO "/>
    <n v="19096"/>
  </r>
  <r>
    <s v="SFMyCP"/>
    <x v="0"/>
    <m/>
    <s v="DIR NAC GENERACION DE CONTENIDOS"/>
    <m/>
    <m/>
    <m/>
    <m/>
    <s v="ADMINISTRATIVO"/>
    <m/>
    <s v="CCK - Alem 351"/>
    <s v="LANSON DANIEL"/>
    <s v="DNI"/>
    <n v="92485428"/>
    <n v="20924854287"/>
    <d v="1976-09-29T00:00:00"/>
    <s v="ASISTENCIA TÉCNICA"/>
    <s v="AT"/>
    <m/>
    <m/>
    <d v="2016-12-31T00:00:00"/>
    <m/>
    <s v="UNTREF"/>
    <m/>
    <n v="32363"/>
  </r>
  <r>
    <s v="SFMyCP"/>
    <x v="0"/>
    <m/>
    <s v="UNIDAD SECRETARÍA"/>
    <s v="PROYECTOS ESPECIALES"/>
    <s v="SUPERMAX"/>
    <m/>
    <s v="PRIVADA"/>
    <s v="ADMINISTRATIVO"/>
    <m/>
    <s v="NO ENTREGAR"/>
    <s v="LARRALDE FRANCISCO"/>
    <s v="DNI"/>
    <n v="29998060"/>
    <n v="20299980605"/>
    <d v="1983-02-17T00:00:00"/>
    <s v="ASISTENCIA TÉCNICA"/>
    <s v="AT"/>
    <d v="2016-03-15T00:00:00"/>
    <m/>
    <d v="2016-08-31T00:00:00"/>
    <m/>
    <s v="UNTREF"/>
    <m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LARREGINA FLORENCIA"/>
    <s v="DNI"/>
    <n v="34482878"/>
    <s v="23344828784"/>
    <d v="1989-04-17T00:00:00"/>
    <s v="ASISTENCIA TÉCNICA"/>
    <s v="AT"/>
    <d v="2015-06-01T00:00:00"/>
    <m/>
    <d v="2016-12-31T00:00:00"/>
    <m/>
    <s v="UNTREF"/>
    <s v="UNSAM- LADA"/>
    <n v="17564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LARROSA FEDERICO"/>
    <s v="DNI"/>
    <n v="31772426"/>
    <s v="20317724269"/>
    <d v="1985-02-25T00:00:00"/>
    <s v="ASISTENCIA TÉCNICA"/>
    <s v="AT"/>
    <d v="2013-12-12T00:00:00"/>
    <m/>
    <d v="2016-12-31T00:00:00"/>
    <m/>
    <s v="UNTREF"/>
    <s v="UNSAM- LADA"/>
    <n v="24060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LASAGNI AGUSTINA"/>
    <s v="DNI"/>
    <n v="35269809"/>
    <s v="27352698097"/>
    <d v="1990-07-21T00:00:00"/>
    <s v="ASISTENCIA TÉCNICA"/>
    <s v="AT"/>
    <d v="2015-05-04T00:00:00"/>
    <m/>
    <d v="2016-12-31T00:00:00"/>
    <m/>
    <s v="UNTREF"/>
    <s v="UNSAM- LADA"/>
    <n v="18795"/>
  </r>
  <r>
    <s v="SFMyCP"/>
    <x v="0"/>
    <s v="SUBSEC CENTROS TEMATICOS Y EXP FEDERALES"/>
    <s v="DIRECCION NACIONAL DE CENTROS TEMATICOS"/>
    <m/>
    <m/>
    <m/>
    <s v="PRIVADA"/>
    <s v="ADMINISTRATIVO"/>
    <m/>
    <s v="TECNOPOLIS"/>
    <s v="LASTRA CLAUDIO"/>
    <s v="DNI"/>
    <n v="14957725"/>
    <n v="20149577255"/>
    <d v="1962-08-06T00:00:00"/>
    <s v="ASISTENCIA TÉCNICA"/>
    <s v="AT"/>
    <d v="2016-03-01T00:00:00"/>
    <m/>
    <d v="2016-12-31T00:00:00"/>
    <m/>
    <s v="UNTREF"/>
    <m/>
    <n v="35000"/>
  </r>
  <r>
    <s v="SFMyCP"/>
    <x v="0"/>
    <s v="SUBSEC CENTROS TEMATICOS Y EXP FEDERALES"/>
    <s v="UNIDAD SUBSECRETARIO"/>
    <m/>
    <m/>
    <m/>
    <s v="PRIVADA"/>
    <s v="ADMINISTRATIVO"/>
    <m/>
    <s v="CCK - Alem 351"/>
    <s v="LATTANZIO AITA"/>
    <s v="DNI"/>
    <n v="24524414"/>
    <s v="27245244148"/>
    <d v="1975-08-09T00:00:00"/>
    <s v="ASISTENCIA TÉCNICA"/>
    <s v="AT"/>
    <m/>
    <m/>
    <d v="2016-12-31T00:00:00"/>
    <m/>
    <s v="UNTREF"/>
    <m/>
    <m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LAVAYEN FRANCO BRUNO"/>
    <s v="DNI"/>
    <n v="35931200"/>
    <n v="20359312009"/>
    <d v="1991-07-16T00:00:00"/>
    <s v="ASISTENCIA TÉCNICA"/>
    <s v="AT"/>
    <d v="2015-09-01T00:00:00"/>
    <m/>
    <d v="2016-12-31T00:00:00"/>
    <m/>
    <s v="UNTREF"/>
    <s v="UNSAM"/>
    <n v="10000"/>
  </r>
  <r>
    <s v="SFMyCP"/>
    <x v="0"/>
    <m/>
    <s v="DIR NAC GENERACION DE CONTENIDOS"/>
    <s v="INV. AP. RECURSOS DIGITALES"/>
    <s v="CTRO INV PALPALA"/>
    <m/>
    <s v="DISEÑO"/>
    <s v="ANALISTA"/>
    <s v="PALPALÁ-JUJUY"/>
    <s v="PALPALÁ-JUJUY"/>
    <s v="LAZARTE ARMANDO FABIO"/>
    <s v="DNI"/>
    <n v="29419234"/>
    <n v="20294192345"/>
    <d v="1982-07-07T00:00:00"/>
    <s v="ASISTENCIA TÉCNICA"/>
    <s v="AT"/>
    <d v="2015-09-01T00:00:00"/>
    <m/>
    <d v="2016-12-31T00:00:00"/>
    <m/>
    <s v="UNTREF"/>
    <s v="UNSAM"/>
    <n v="10000"/>
  </r>
  <r>
    <s v="SFMyCP"/>
    <x v="0"/>
    <s v="SUBSEC CENTROS TEMATICOS Y EXP FEDERALES"/>
    <s v="DIR NAC EXPRESIONES FEDERALES"/>
    <s v="DIRECCION DE GESTION EDILICIA"/>
    <s v="SERVICIOS GENERALES"/>
    <s v="LIMPIEZA (En comisión Tecnópolis)"/>
    <s v="Auxiliar"/>
    <s v="Auxiliar"/>
    <s v="CCK"/>
    <s v="CCK - Alem 351"/>
    <s v="LEAL CAMILA"/>
    <s v="DNI"/>
    <n v="39000432"/>
    <s v="27390004325"/>
    <d v="1986-04-26T00:00:00"/>
    <s v="ASISTENCIA TÉCNICA"/>
    <s v="AT"/>
    <d v="2015-06-10T00:00:00"/>
    <m/>
    <d v="2016-12-31T00:00:00"/>
    <m/>
    <s v="UNTREF"/>
    <s v="UNTREF"/>
    <n v="10495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LECH SOSINSKI ADAM"/>
    <s v="DNI"/>
    <n v="92778623"/>
    <s v="20927786231"/>
    <d v="1982-11-22T00:00:00"/>
    <s v="ASISTENCIA TÉCNICA"/>
    <s v="AT"/>
    <d v="2013-04-20T00:00:00"/>
    <m/>
    <d v="2016-12-31T00:00:00"/>
    <m/>
    <s v="UNTREF"/>
    <m/>
    <n v="24060"/>
  </r>
  <r>
    <s v="SFMyCP"/>
    <x v="0"/>
    <s v="SUBSEC CENTROS TEMATICOS Y EXP FEDERALES"/>
    <s v="DIRECCION NACIONAL DE CENTROS TEMATICOS"/>
    <s v="INTENDENCIA- MANTENIMIENTO"/>
    <m/>
    <m/>
    <m/>
    <m/>
    <s v="TECNÓPOLIS"/>
    <m/>
    <s v="LEDESMA NESTOR DAMIAN"/>
    <s v="DNI"/>
    <n v="39761602"/>
    <n v="23397616029"/>
    <m/>
    <s v="LEY MARCO"/>
    <s v="LM"/>
    <d v="2011-07-01T00:00:00"/>
    <d v="2016-12-31T00:00:00"/>
    <d v="2016-12-31T00:00:00"/>
    <s v="D0"/>
    <m/>
    <m/>
    <n v="13786"/>
  </r>
  <r>
    <s v="SFMyCP"/>
    <x v="0"/>
    <s v="SUBSEC CENTROS TEMATICOS Y EXP FEDERALES"/>
    <s v="DIRECCION NACIONAL DE CENTROS TEMATICOS"/>
    <s v="COOPERATIVAS"/>
    <m/>
    <m/>
    <s v="Tareas Generales"/>
    <s v="CARPINTERO"/>
    <s v="TECNÓPOLIS"/>
    <m/>
    <s v="LEGUIZAMON  RODRIGO"/>
    <s v="DNI"/>
    <n v="36175840"/>
    <n v="20361758405"/>
    <m/>
    <s v="ASISTENCIA TÉCNICA"/>
    <s v="CO"/>
    <m/>
    <m/>
    <d v="2016-12-31T00:00:00"/>
    <m/>
    <s v="UNTREF"/>
    <s v="UNTREF"/>
    <n v="4700"/>
  </r>
  <r>
    <s v="SFMyCP"/>
    <x v="0"/>
    <s v="SUBSEC CENTROS TEMATICOS Y EXP FEDERALES"/>
    <s v="DIRECCION NACIONAL DE CENTROS TEMATICOS"/>
    <s v="COOPERATIVAS"/>
    <m/>
    <m/>
    <s v="Tareas Generales"/>
    <s v="Tareas Generales"/>
    <s v="TECNÓPOLIS"/>
    <m/>
    <s v="LEGUIZAMON MARGARITA"/>
    <s v="DNI"/>
    <n v="23033997"/>
    <m/>
    <m/>
    <s v="ASISTENCIA TÉCNICA"/>
    <s v="CO"/>
    <m/>
    <m/>
    <d v="2016-12-31T00:00:00"/>
    <m/>
    <s v="UNTREF"/>
    <s v="UNTREF"/>
    <n v="4700"/>
  </r>
  <r>
    <s v="SFMyCP"/>
    <x v="0"/>
    <s v="SUBSEC CENTROS TEMATICOS Y EXP FEDERALES"/>
    <s v="DIR NAC EXPRESIONES FEDERALES"/>
    <m/>
    <m/>
    <m/>
    <m/>
    <s v="asistente funcional"/>
    <s v="CCK"/>
    <s v="CCK - Alem 351"/>
    <s v="LEIBOUSKI ELIZABETH"/>
    <s v="DNI"/>
    <n v="23447824"/>
    <s v="27234478244"/>
    <d v="1973-07-25T00:00:00"/>
    <s v="ASISTENCIA TÉCNICA"/>
    <s v="AT"/>
    <d v="2013-09-02T00:00:00"/>
    <m/>
    <d v="2016-12-31T00:00:00"/>
    <m/>
    <s v="UNTREF"/>
    <s v="UNLAM -TDA"/>
    <n v="16292"/>
  </r>
  <r>
    <s v="SFMyCP"/>
    <x v="0"/>
    <s v="SUBSEC CENTROS TEMATICOS Y EXP FEDERALES"/>
    <s v="DIR NAC EXPRESIONES FEDERALES"/>
    <s v="AUDIOVISUALES"/>
    <m/>
    <m/>
    <m/>
    <m/>
    <s v="CCK"/>
    <s v="CCK - Alem 351"/>
    <s v="LEMME JOSE MARIA"/>
    <s v="DNI"/>
    <n v="29191202"/>
    <n v="20291912029"/>
    <m/>
    <s v="LEY MARCO"/>
    <s v="LM"/>
    <d v="2012-07-01T00:00:00"/>
    <d v="2016-12-31T00:00:00"/>
    <d v="2016-12-31T00:00:00"/>
    <s v="C0"/>
    <m/>
    <m/>
    <n v="25021.33"/>
  </r>
  <r>
    <s v="SFMyCP"/>
    <x v="1"/>
    <m/>
    <s v="DIR GRAL TECNICA ADMINISTRATIVA Y LEGAL"/>
    <s v="PLANIF  Y ADM DE REC HUMANOS"/>
    <s v="TDA"/>
    <m/>
    <s v="RECURSOS HUMANOS"/>
    <m/>
    <s v="CABILDO 65"/>
    <m/>
    <s v="LENCINAS MARIA LAURA"/>
    <s v="DNI"/>
    <n v="27382228"/>
    <n v="27273822289"/>
    <m/>
    <s v="LEY MARCO"/>
    <s v="LM"/>
    <d v="2010-04-01T00:00:00"/>
    <d v="2016-12-31T00:00:00"/>
    <d v="2016-12-31T00:00:00"/>
    <s v="B1"/>
    <m/>
    <m/>
    <n v="20266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LENTINI DIEGO"/>
    <s v="DNI"/>
    <n v="31732531"/>
    <s v="20317325313"/>
    <d v="1985-06-05T00:00:00"/>
    <s v="ASISTENCIA TÉCNICA"/>
    <s v="AT"/>
    <d v="2013-12-10T00:00:00"/>
    <m/>
    <d v="2016-12-31T00:00:00"/>
    <m/>
    <s v="UNTREF"/>
    <m/>
    <n v="18795"/>
  </r>
  <r>
    <s v="SFMyCP"/>
    <x v="1"/>
    <m/>
    <s v="DIR GRAL TECNICA ADMINISTRATIVA Y LEGAL"/>
    <s v="JURIDICOS"/>
    <m/>
    <m/>
    <m/>
    <m/>
    <s v="CCK"/>
    <m/>
    <s v="LENTIS JHONATAN"/>
    <s v="DNI"/>
    <n v="32576720"/>
    <n v="20325767201"/>
    <m/>
    <s v="LEY MARCO"/>
    <s v="LM"/>
    <d v="2013-01-01T00:00:00"/>
    <d v="2016-03-31T00:00:00"/>
    <d v="2016-12-31T00:00:00"/>
    <s v="B0"/>
    <m/>
    <m/>
    <n v="17107"/>
  </r>
  <r>
    <s v="SFMyCP"/>
    <x v="0"/>
    <m/>
    <s v="DIR NAC GENERACION DE CONTENIDOS"/>
    <s v="TELEVISION DIGITAL ABIERTA"/>
    <s v="CIARA"/>
    <m/>
    <s v="PROMOCIONES"/>
    <s v="ADMINISTRATIVO"/>
    <s v="CABILDO 65"/>
    <s v="CABILDO 65"/>
    <s v="LENZBERG JULIA"/>
    <s v="DNI"/>
    <n v="29951587"/>
    <s v="27299515872"/>
    <d v="1982-12-03T00:00:00"/>
    <s v="ASISTENCIA TÉCNICA"/>
    <s v="AT"/>
    <d v="2012-08-01T00:00:00"/>
    <m/>
    <d v="2016-12-31T00:00:00"/>
    <m/>
    <s v="UNTREF"/>
    <s v="UNSAM- LADA"/>
    <n v="20545"/>
  </r>
  <r>
    <s v="SFMyCP"/>
    <x v="0"/>
    <s v="SUBSEC CENTROS TEMATICOS Y EXP FEDERALES"/>
    <s v="DIRECCION NACIONAL DE CENTROS TEMATICOS"/>
    <s v="COOPERATIVAS"/>
    <m/>
    <m/>
    <s v="Tareas Generales"/>
    <s v="MANTENIMIENTO DE ESPACIOS VERDES"/>
    <s v="TECNÓPOLIS"/>
    <m/>
    <s v="LEON MERCEDES MABEL"/>
    <s v="DNI"/>
    <n v="14620292"/>
    <n v="27146202921"/>
    <m/>
    <s v="ASISTENCIA TÉCNICA"/>
    <s v="CO"/>
    <m/>
    <m/>
    <d v="2016-12-31T00:00:00"/>
    <m/>
    <s v="UNTREF"/>
    <s v="UNTREF"/>
    <n v="1700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LEONE AGOSTINA"/>
    <s v="DNI"/>
    <n v="34001226"/>
    <s v="27340012262"/>
    <d v="1988-07-29T00:00:00"/>
    <s v="ASISTENCIA TÉCNICA"/>
    <s v="AT"/>
    <d v="2015-10-01T00:00:00"/>
    <m/>
    <d v="2016-12-31T00:00:00"/>
    <m/>
    <s v="UNTREF"/>
    <s v="UNSAM- LADA"/>
    <n v="16465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LEVY ALEJANDRO"/>
    <s v="DNI"/>
    <n v="18205034"/>
    <s v="20182050343"/>
    <d v="1966-06-17T00:00:00"/>
    <s v="ASISTENCIA TÉCNICA"/>
    <s v="AT"/>
    <d v="2012-05-08T00:00:00"/>
    <m/>
    <d v="2016-12-31T00:00:00"/>
    <m/>
    <s v="UNTREF"/>
    <s v="UNSAM- LADA"/>
    <n v="24060"/>
  </r>
  <r>
    <s v="SFMyCP"/>
    <x v="0"/>
    <s v="SUBSEC CENTROS TEMATICOS Y EXP FEDERALES"/>
    <s v="DIR NAC EXPRESIONES FEDERALES"/>
    <s v="DIRECCION DE GESTION EDILICIA"/>
    <s v="MESA DE AYUDA"/>
    <m/>
    <s v="SECRETARÍA"/>
    <m/>
    <s v="CCK"/>
    <m/>
    <s v="LEYES SABRINA"/>
    <s v="LC"/>
    <n v="27642766"/>
    <n v="27276427666"/>
    <m/>
    <s v="LEY MARCO"/>
    <s v="LM"/>
    <d v="2006-04-01T00:00:00"/>
    <d v="2016-12-31T00:00:00"/>
    <d v="2016-12-31T00:00:00"/>
    <s v="B3"/>
    <m/>
    <m/>
    <n v="20839"/>
  </r>
  <r>
    <s v="SFMyCP"/>
    <x v="0"/>
    <s v="SUBSEC CENTROS TEMATICOS Y EXP FEDERALES"/>
    <s v="DIRECCION NACIONAL DE CENTROS TEMATICOS"/>
    <m/>
    <m/>
    <m/>
    <s v="PRIVADA"/>
    <s v="ADMINISTRATIVO"/>
    <m/>
    <s v="TECNOPOLIS"/>
    <s v="LIPARI KARIN"/>
    <s v="DNI"/>
    <n v="22792210"/>
    <n v="27227922104"/>
    <d v="1972-08-02T00:00:00"/>
    <s v="ASISTENCIA TÉCNICA"/>
    <s v="AT"/>
    <d v="2016-03-01T00:00:00"/>
    <m/>
    <d v="2016-12-31T00:00:00"/>
    <m/>
    <s v="UNTREF"/>
    <m/>
    <n v="20000"/>
  </r>
  <r>
    <s v="SFMyCP"/>
    <x v="0"/>
    <s v="SUBSEC CENTROS TEMATICOS Y EXP FEDERALES"/>
    <s v="DIR NAC EXPRESIONES FEDERALES"/>
    <s v="DIRECCION DE GESTION EDILICIA"/>
    <s v="SEGURIDAD E HIGIENE"/>
    <m/>
    <s v="Ing Seguridad e Higiene"/>
    <s v="Ing Seguridad e Higiene"/>
    <s v="CCK"/>
    <s v="CCK - Alem 351"/>
    <s v="LIRUSSO RAUL"/>
    <s v="DNI"/>
    <n v="11387784"/>
    <n v="20113877848"/>
    <d v="1955-07-23T00:00:00"/>
    <s v="ASISTENCIA TÉCNICA"/>
    <s v="AT"/>
    <d v="2015-05-02T00:00:00"/>
    <m/>
    <d v="2016-12-31T00:00:00"/>
    <m/>
    <s v="UNTREF"/>
    <s v="UNLAM- BICENTENARIO"/>
    <n v="27366"/>
  </r>
  <r>
    <s v="SFMyCP"/>
    <x v="0"/>
    <s v="SUBSEC CENTROS TEMATICOS Y EXP FEDERALES"/>
    <s v="DIRECCION NACIONAL DE CENTROS TEMATICOS"/>
    <s v="INTENDENCIA - MANTENIMIENTO"/>
    <m/>
    <m/>
    <m/>
    <m/>
    <s v="TECNÓPOLIS"/>
    <m/>
    <s v="LISERA MARIANO HUGO"/>
    <s v="DNI"/>
    <n v="27344679"/>
    <n v="20273446797"/>
    <m/>
    <s v="LEY MARCO"/>
    <s v="LM"/>
    <d v="2011-03-01T00:00:00"/>
    <d v="2016-12-31T00:00:00"/>
    <d v="2016-12-31T00:00:00"/>
    <s v="C0"/>
    <m/>
    <m/>
    <n v="20628.54"/>
  </r>
  <r>
    <s v="SFMyCP"/>
    <x v="0"/>
    <m/>
    <s v="DIR NAC GENERACION DE CONTENIDOS"/>
    <s v="TELEVISION DIGITAL ABIERTA"/>
    <s v="CIARA"/>
    <m/>
    <s v="ADMINISTRACIÓN"/>
    <m/>
    <s v="CABILDO 65"/>
    <m/>
    <s v="LIZARRAGA CARLOS ALBERTO"/>
    <s v="DNI"/>
    <n v="31376447"/>
    <n v="20313764479"/>
    <m/>
    <s v="LEY MARCO"/>
    <s v="LM"/>
    <d v="2011-03-01T00:00:00"/>
    <d v="2016-12-31T00:00:00"/>
    <d v="2016-12-31T00:00:00"/>
    <s v="D1"/>
    <m/>
    <m/>
    <n v="10553"/>
  </r>
  <r>
    <s v="SFMyCP"/>
    <x v="0"/>
    <m/>
    <s v="DIR NAC GENERACION DE CONTENIDOS"/>
    <s v="INV. AP. RECURSOS DIGITALES"/>
    <s v="CTRO INV PALPALA"/>
    <m/>
    <s v="ANIMACION"/>
    <s v="ANALISTA"/>
    <s v="PALPALÁ-JUJUY"/>
    <s v="PALPALÁ-JUJUY"/>
    <s v="LIZARRAGA MARIO DEL VALLE"/>
    <s v="DNI"/>
    <n v="31961383"/>
    <n v="20319613839"/>
    <d v="1986-03-22T00:00:00"/>
    <s v="ASISTENCIA TÉCNICA"/>
    <s v="AT"/>
    <d v="2015-09-01T00:00:00"/>
    <m/>
    <d v="2016-12-31T00:00:00"/>
    <m/>
    <s v="UNTREF"/>
    <s v="UNSAM"/>
    <n v="11500"/>
  </r>
  <r>
    <s v="SFMyCP"/>
    <x v="1"/>
    <m/>
    <s v="DIR GRAL TECNICA ADMINISTRATIVA Y LEGAL"/>
    <s v="INFORMATICA Y SISTEMAS"/>
    <m/>
    <m/>
    <m/>
    <m/>
    <s v="CCK"/>
    <s v="CCK - Alem 351"/>
    <s v="LOBO ABELLA NORA BELEN"/>
    <s v="DNI"/>
    <n v="34489609"/>
    <n v="27344896092"/>
    <m/>
    <s v="LEY MARCO"/>
    <s v="LM"/>
    <d v="2013-08-01T00:00:00"/>
    <d v="2016-03-31T00:00:00"/>
    <d v="2016-12-31T00:00:00"/>
    <s v="B0"/>
    <m/>
    <m/>
    <n v="17107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LOJO MATIAS"/>
    <s v="DNI"/>
    <n v="28801969"/>
    <s v="20288019690"/>
    <d v="1981-04-18T00:00:00"/>
    <s v="ASISTENCIA TÉCNICA"/>
    <s v="AT"/>
    <d v="2012-01-01T00:00:00"/>
    <m/>
    <d v="2016-12-31T00:00:00"/>
    <m/>
    <s v="UNTREF"/>
    <m/>
    <n v="24060"/>
  </r>
  <r>
    <s v="SFMyCP"/>
    <x v="0"/>
    <s v="SUBSEC CENTROS TEMATICOS Y EXP FEDERALES"/>
    <s v="DIR NAC EXPRESIONES FEDERALES"/>
    <s v="PRODUCCIÓN"/>
    <m/>
    <m/>
    <m/>
    <s v="ADMINISTRATIVA"/>
    <m/>
    <s v="CCK - Alem 351"/>
    <s v="LOMBARDI MARTIN"/>
    <s v="DNI"/>
    <n v="34411918"/>
    <n v="20344119180"/>
    <d v="1988-10-16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ARQUITECTURA Y OBRA"/>
    <m/>
    <m/>
    <m/>
    <s v="ARQUITECTO"/>
    <s v="TECNÓPOLIS"/>
    <s v="TECNOPOLIS"/>
    <s v="LOPEZ  EDMUNDO EUGENIO"/>
    <s v="DNI"/>
    <n v="4607118"/>
    <s v="20046071183"/>
    <d v="1944-11-26T00:00:00"/>
    <s v="ASISTENCIA TÉCNICA"/>
    <s v="AT"/>
    <d v="2012-04-01T00:00:00"/>
    <m/>
    <d v="2016-12-31T00:00:00"/>
    <m/>
    <s v="UNTREF"/>
    <s v="UNTREF"/>
    <n v="21963.653000000002"/>
  </r>
  <r>
    <s v="SFMyCP"/>
    <x v="0"/>
    <s v="SUBSEC CENTROS TEMATICOS Y EXP FEDERALES"/>
    <s v="DIRECCION NACIONAL DE CENTROS TEMATICOS"/>
    <s v="ADMINISTRACION- RRHH"/>
    <m/>
    <m/>
    <s v="ADMINISTRATIVO"/>
    <m/>
    <s v="TECNÓPOLIS"/>
    <m/>
    <s v="LOPEZ IBAÑEZ SOLEDAD ROMINA"/>
    <s v="DNI"/>
    <n v="36741755"/>
    <n v="27367417558"/>
    <m/>
    <s v="LEY MARCO"/>
    <s v="LM"/>
    <d v="2011-11-01T00:00:00"/>
    <d v="2016-12-31T00:00:00"/>
    <d v="2016-12-31T00:00:00"/>
    <s v="C0"/>
    <m/>
    <m/>
    <n v="23810"/>
  </r>
  <r>
    <s v="SFMyCP"/>
    <x v="0"/>
    <s v="SUBSEC CENTROS TEMATICOS Y EXP FEDERALES"/>
    <s v="UNIDAD SUBSECRETARIO"/>
    <m/>
    <m/>
    <m/>
    <s v="PRIVADA"/>
    <s v="ADMINISTRATIVO"/>
    <m/>
    <s v="CCK - Alem 351"/>
    <s v="LOPEZ LARRAQUY FLORENCIA"/>
    <s v="DNI"/>
    <n v="29319713"/>
    <n v="27293197135"/>
    <d v="1981-02-13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LOPEZ LAURA"/>
    <s v="DNI"/>
    <n v="27576288"/>
    <s v="27275762887"/>
    <d v="1979-04-27T00:00:00"/>
    <s v="ASISTENCIA TÉCNICA"/>
    <s v="AT"/>
    <d v="2013-10-01T00:00:00"/>
    <m/>
    <d v="2016-12-31T00:00:00"/>
    <m/>
    <s v="UNTREF"/>
    <s v="UNSAM- LADA"/>
    <n v="29420"/>
  </r>
  <r>
    <s v="SFMyCP"/>
    <x v="0"/>
    <m/>
    <s v="ARTES VISUALES"/>
    <s v="ARTES VISUALES"/>
    <m/>
    <m/>
    <m/>
    <m/>
    <m/>
    <m/>
    <s v="LOPEZ MARCOS"/>
    <s v="DNI"/>
    <n v="12471569"/>
    <n v="20124715696"/>
    <m/>
    <m/>
    <s v="AT"/>
    <d v="2016-07-01T00:00:00"/>
    <m/>
    <d v="2016-08-31T00:00:00"/>
    <m/>
    <s v="UNTREF"/>
    <m/>
    <m/>
  </r>
  <r>
    <s v="SFMyCP"/>
    <x v="1"/>
    <m/>
    <s v="DIR GRAL TECNICA ADMINISTRATIVA Y LEGAL"/>
    <s v="PLANIF  Y ADM DE REC HUMANOS"/>
    <s v="RECURSOS HUMANOS"/>
    <m/>
    <m/>
    <m/>
    <m/>
    <m/>
    <s v="LOPEZ MARIA LUCILA"/>
    <s v="DNI"/>
    <n v="3243932"/>
    <n v="27324397324"/>
    <m/>
    <m/>
    <s v="LM"/>
    <d v="2006-12-01T00:00:00"/>
    <m/>
    <d v="2016-12-31T00:00:00"/>
    <s v="D2"/>
    <m/>
    <m/>
    <m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LOPEZ NUÑEZ MARIA"/>
    <s v="DNI"/>
    <n v="30927415"/>
    <s v="27309274151"/>
    <d v="1984-04-29T00:00:00"/>
    <s v="ASISTENCIA TÉCNICA"/>
    <s v="AT"/>
    <d v="2012-08-01T00:00:00"/>
    <m/>
    <d v="2016-12-31T00:00:00"/>
    <m/>
    <s v="UNTREF"/>
    <s v="UNSAM- LADA"/>
    <n v="25981"/>
  </r>
  <r>
    <s v="SFMyCP"/>
    <x v="0"/>
    <s v="SUBSEC CENTROS TEMATICOS Y EXP FEDERALES"/>
    <s v="DIRECCION NACIONAL DE CENTROS TEMATICOS"/>
    <s v="INTENDENCIA - TALLERES"/>
    <m/>
    <m/>
    <m/>
    <m/>
    <s v="TECNÓPOLIS"/>
    <m/>
    <s v="LOPEZ QUIROZ  ADRIAN HORACIO"/>
    <s v="DNI"/>
    <n v="94048478"/>
    <n v="20940484783"/>
    <m/>
    <s v="LEY MARCO"/>
    <s v="LM"/>
    <d v="2012-05-01T00:00:00"/>
    <d v="2016-12-31T00:00:00"/>
    <d v="2016-12-31T00:00:00"/>
    <s v="D0"/>
    <m/>
    <m/>
    <n v="10731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LORENZO AGUSTIN"/>
    <s v="DNI"/>
    <n v="38402296"/>
    <s v="20384022961"/>
    <d v="1994-11-08T00:00:00"/>
    <s v="ASISTENCIA TÉCNICA"/>
    <s v="AT"/>
    <d v="2015-09-01T00:00:00"/>
    <m/>
    <d v="2016-12-31T00:00:00"/>
    <m/>
    <s v="UNTREF"/>
    <s v="UNSAM- LADA"/>
    <n v="15234"/>
  </r>
  <r>
    <s v="SFMyCP"/>
    <x v="0"/>
    <m/>
    <s v="COMUNICACIONES"/>
    <s v="COMUNICACIÓN"/>
    <m/>
    <m/>
    <m/>
    <m/>
    <s v="CCK"/>
    <s v="CCK - Alem 351"/>
    <s v="LORENZO MARIANA"/>
    <s v="DNI"/>
    <n v="29040990"/>
    <n v="27290409905"/>
    <m/>
    <s v="LEY MARCO"/>
    <s v="LM"/>
    <d v="2012-06-11T00:00:00"/>
    <d v="2016-12-31T00:00:00"/>
    <d v="2016-12-31T00:00:00"/>
    <s v="B0"/>
    <m/>
    <m/>
    <n v="19096"/>
  </r>
  <r>
    <s v="SFMyCP"/>
    <x v="0"/>
    <s v="SUBSEC CENTROS TEMATICOS Y EXP FEDERALES"/>
    <s v="DIRECCION NACIONAL DE CENTROS TEMATICOS"/>
    <s v="INTENDENCIA - TALLERES"/>
    <m/>
    <m/>
    <m/>
    <s v="HERRERO"/>
    <s v="TECNÓPOLIS"/>
    <s v="TECNOPOLIS"/>
    <s v="LOTO  RENE ANTONIO"/>
    <s v="DNI"/>
    <n v="12803975"/>
    <s v="23128039759"/>
    <d v="1957-02-13T00:00:00"/>
    <s v="ASISTENCIA TÉCNICA"/>
    <s v="AT"/>
    <d v="2014-06-01T00:00:00"/>
    <m/>
    <d v="2016-12-31T00:00:00"/>
    <m/>
    <s v="UNTREF"/>
    <s v="UNTREF"/>
    <n v="11289.69"/>
  </r>
  <r>
    <s v="SFMyCP"/>
    <x v="0"/>
    <s v="SUBSEC CENTROS TEMATICOS Y EXP FEDERALES"/>
    <s v="DIR NAC EXPRESIONES FEDERALES"/>
    <s v="DIRECCION DE GESTION EDILICIA"/>
    <s v="OPERATIVA Y LOGISTICA"/>
    <s v="LIMPIEZA (En comisión Tecnópolis)"/>
    <s v="Auxiliar"/>
    <s v="OPERATIVA Y LOGISTICA"/>
    <s v="CCK"/>
    <s v="CCK - Alem 351"/>
    <s v="LOTZ GUILLERMO"/>
    <s v="DNI"/>
    <n v="16095673"/>
    <s v="23160956739"/>
    <d v="1963-01-15T00:00:00"/>
    <s v="ASISTENCIA TÉCNICA"/>
    <s v="AT"/>
    <d v="2015-06-10T00:00:00"/>
    <m/>
    <d v="2016-12-31T00:00:00"/>
    <m/>
    <s v="UNTREF"/>
    <s v="UNTREF"/>
    <n v="10500"/>
  </r>
  <r>
    <s v="SFMyCP"/>
    <x v="0"/>
    <s v="SUBSEC CENTROS TEMATICOS Y EXP FEDERALES"/>
    <s v="DIR NAC EXPRESIONES FEDERALES"/>
    <s v="DIRECCION DE GESTION EDILICIA"/>
    <s v="MESA DE AYUDA"/>
    <s v="SOPORTE ADMINISTRATIVO"/>
    <s v="Administrativo"/>
    <s v="ADMINISTRATIVO"/>
    <s v="CCK"/>
    <s v="CCK - Alem 351"/>
    <s v="LUCANO SANDRA"/>
    <s v="DNI"/>
    <n v="17332501"/>
    <s v="27173325016"/>
    <d v="1964-12-07T00:00:00"/>
    <s v="ASISTENCIA TÉCNICA"/>
    <s v="AT"/>
    <d v="2015-07-01T00:00:00"/>
    <m/>
    <d v="2016-12-31T00:00:00"/>
    <m/>
    <s v="UNTREF"/>
    <s v="UNLAM- BICENTENARIO"/>
    <n v="15730"/>
  </r>
  <r>
    <s v="SFMyCP"/>
    <x v="0"/>
    <m/>
    <s v="UNIDAD SECRETARÍA"/>
    <m/>
    <m/>
    <m/>
    <s v="PRIVADA"/>
    <m/>
    <m/>
    <m/>
    <s v="LUCAS, MARTÍN"/>
    <s v="DNI"/>
    <n v="26333383"/>
    <m/>
    <d v="1977-11-15T00:00:00"/>
    <m/>
    <m/>
    <d v="2016-01-01T00:00:00"/>
    <m/>
    <d v="2016-12-31T00:00:00"/>
    <m/>
    <s v="U. SAN MARTÍN"/>
    <s v="UNSAM"/>
    <n v="36000"/>
  </r>
  <r>
    <s v="SFMyCP"/>
    <x v="1"/>
    <m/>
    <s v="DIR GRAL TECNICA ADMINISTRATIVA Y LEGAL"/>
    <s v="PRESUPUESTO"/>
    <m/>
    <m/>
    <m/>
    <s v="ADMINISTRATIVO"/>
    <m/>
    <m/>
    <s v="LUDUEÑA MAXIMILIANO"/>
    <s v="DNI"/>
    <n v="33897153"/>
    <m/>
    <m/>
    <s v="LEY MARCO"/>
    <s v="LM"/>
    <m/>
    <m/>
    <d v="2016-12-31T00:00:00"/>
    <s v="C1"/>
    <m/>
    <m/>
    <m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LUIS HERNAN"/>
    <s v="DNI"/>
    <n v="29359743"/>
    <s v="20293597430"/>
    <d v="1982-03-26T00:00:00"/>
    <s v="ASISTENCIA TÉCNICA"/>
    <s v="AT"/>
    <d v="2015-07-01T00:00:00"/>
    <m/>
    <d v="2016-12-31T00:00:00"/>
    <m/>
    <s v="UNTREF"/>
    <s v="UNSAM- LADA"/>
    <n v="19353"/>
  </r>
  <r>
    <s v="SFMyCP"/>
    <x v="0"/>
    <m/>
    <s v="DIR NAC GENERACION DE CONTENIDOS"/>
    <s v="TELEVISION DIGITAL ABIERTA"/>
    <s v="CIARA"/>
    <m/>
    <s v="Responsable Radio Igualdad"/>
    <m/>
    <s v="CABILDO 65"/>
    <m/>
    <s v="LUNA ROMAN DARIO"/>
    <s v="DNI"/>
    <n v="23889942"/>
    <n v="20238899428"/>
    <m/>
    <s v="LEY MARCO"/>
    <s v="LM"/>
    <d v="2015-01-01T00:00:00"/>
    <d v="2016-03-31T00:00:00"/>
    <d v="2016-12-31T00:00:00"/>
    <s v="A1"/>
    <m/>
    <m/>
    <n v="29089"/>
  </r>
  <r>
    <s v="SFMyCP"/>
    <x v="1"/>
    <m/>
    <s v="DIR GRAL TECNICA ADMINISTRATIVA Y LEGAL"/>
    <s v="PRESUPUESTO"/>
    <m/>
    <m/>
    <m/>
    <s v="ADMINISTRATIVO"/>
    <m/>
    <s v="CCK - Alem 351"/>
    <s v="LYNCH EMANUEL"/>
    <s v="DNI"/>
    <n v="38551275"/>
    <s v="23385512759"/>
    <d v="1994-12-05T00:00:00"/>
    <s v="ASISTENCIA TÉCNICA"/>
    <s v="AT"/>
    <m/>
    <m/>
    <d v="2016-12-31T00:00:00"/>
    <m/>
    <s v="UNTREF"/>
    <m/>
    <n v="12500"/>
  </r>
  <r>
    <s v="SFMyCP"/>
    <x v="1"/>
    <m/>
    <s v="DIR GRAL TECNICA ADMINISTRATIVA Y LEGAL"/>
    <s v="COMPRAS Y CONTRATACIONES"/>
    <m/>
    <m/>
    <s v="Analista"/>
    <s v="ADMINISTRATIVO"/>
    <m/>
    <s v="CCK - Alem 351"/>
    <s v="MAC DONALD LINDA"/>
    <s v="DNI"/>
    <n v="32102678"/>
    <s v="27321026783"/>
    <d v="1987-01-22T00:00:00"/>
    <s v="ASISTENCIA TÉCNICA"/>
    <s v="AT"/>
    <d v="2016-05-02T00:00:00"/>
    <m/>
    <d v="2016-12-31T00:00:00"/>
    <m/>
    <s v="UNTREF"/>
    <m/>
    <s v="."/>
  </r>
  <r>
    <s v="SFMyCP"/>
    <x v="0"/>
    <s v="SUBSEC CENTROS TEMATICOS Y EXP FEDERALES"/>
    <s v="DIR NAC EXPRESIONES FEDERALES"/>
    <s v="ADMINISTRACION"/>
    <m/>
    <m/>
    <s v="Administrativo"/>
    <s v="ADMINISTRATIVO"/>
    <s v="CCK"/>
    <s v="CCK - Alem 351"/>
    <s v="MACAGNI IRINA MARÍA NELLY"/>
    <s v="DNI"/>
    <n v="28077190"/>
    <s v="27280771908"/>
    <d v="1980-03-25T00:00:00"/>
    <s v="ASISTENCIA TÉCNICA"/>
    <s v="AT"/>
    <d v="2014-12-15T00:00:00"/>
    <m/>
    <d v="2016-12-31T00:00:00"/>
    <m/>
    <s v="UNTREF"/>
    <s v="CULTURA"/>
    <n v="14000"/>
  </r>
  <r>
    <s v="SFMyCP"/>
    <x v="0"/>
    <s v="SUBSEC CENTROS TEMATICOS Y EXP FEDERALES"/>
    <s v="DIR NAC EXPRESIONES FEDERALES"/>
    <s v="DIRECCION DE GESTION EDILICIA"/>
    <s v="EQUIPO CONTROL Y PLANIFICACION"/>
    <m/>
    <s v="INVESTIGACION APLICADA"/>
    <s v="ADMINISTRATIVO"/>
    <s v="CCK"/>
    <s v="CCK - Alem 351"/>
    <s v="MACCARI PABLO"/>
    <s v="DNI"/>
    <n v="23179837"/>
    <s v="20231798375"/>
    <d v="1973-05-28T00:00:00"/>
    <s v="ASISTENCIA TÉCNICA"/>
    <s v="AT"/>
    <m/>
    <m/>
    <d v="2016-12-31T00:00:00"/>
    <m/>
    <s v="UNTREF"/>
    <s v="UNSAM"/>
    <n v="30145"/>
  </r>
  <r>
    <s v="SFMyCP"/>
    <x v="1"/>
    <m/>
    <s v="DIR GRAL TECNICA ADMINISTRATIVA Y LEGAL"/>
    <s v="COMPRAS Y CONTRATACIONES"/>
    <m/>
    <m/>
    <s v="Administración"/>
    <s v="ADMINISTRATIVO"/>
    <s v="CCK"/>
    <s v="CCK - Alem 351"/>
    <s v="MACCHI SEBASTIAN"/>
    <s v="DNI"/>
    <n v="32478554"/>
    <s v="20324785540"/>
    <d v="1986-07-27T00:00:00"/>
    <s v="ASISTENCIA TÉCNICA"/>
    <s v="AT"/>
    <d v="2015-04-20T00:00:00"/>
    <m/>
    <d v="2016-12-31T00:00:00"/>
    <m/>
    <s v="UNTREF"/>
    <s v="UNSAM"/>
    <n v="17102"/>
  </r>
  <r>
    <s v="SFMyCP"/>
    <x v="0"/>
    <s v="SUBSEC CENTROS TEMATICOS Y EXP FEDERALES"/>
    <s v="DIRECCION NACIONAL DE CENTROS TEMATICOS"/>
    <s v="INTENDENCIA- ACREDITACIONES"/>
    <m/>
    <m/>
    <m/>
    <m/>
    <s v="TECNÓPOLIS"/>
    <m/>
    <s v="MACHADO Carmen Noemi"/>
    <s v="DNI"/>
    <n v="29014857"/>
    <n v="27290148575"/>
    <m/>
    <s v="LEY MARCO"/>
    <s v="LM"/>
    <d v="2011-07-01T00:00:00"/>
    <d v="2016-12-31T00:00:00"/>
    <d v="2016-12-31T00:00:00"/>
    <s v="D1"/>
    <m/>
    <m/>
    <n v="13106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MACHO VIRGINIA"/>
    <s v="DNI"/>
    <n v="27113656"/>
    <s v="27271136566"/>
    <d v="1978-12-22T00:00:00"/>
    <s v="ASISTENCIA TÉCNICA"/>
    <s v="AT"/>
    <d v="2012-08-01T00:00:00"/>
    <m/>
    <d v="2016-12-31T00:00:00"/>
    <m/>
    <s v="UNTREF"/>
    <m/>
    <n v="21640"/>
  </r>
  <r>
    <s v="SFMyCP"/>
    <x v="0"/>
    <s v="SUBSEC CENTROS TEMATICOS Y EXP FEDERALES"/>
    <s v="DIR NAC EXPRESIONES FEDERALES"/>
    <s v="DIRECCION DE GESTION EDILICIA"/>
    <s v="ESPACIOS FISICOS"/>
    <m/>
    <s v="Asistente Técnico"/>
    <s v="ADMINISTRATIVO"/>
    <s v="CCK"/>
    <s v="CCK - Alem 351"/>
    <s v="MACIÁ PABLO ARIEL"/>
    <s v="DNI"/>
    <n v="33403626"/>
    <s v="20334036260"/>
    <d v="1987-11-21T00:00:00"/>
    <s v="ASISTENCIA TÉCNICA"/>
    <s v="AT"/>
    <d v="2015-06-02T00:00:00"/>
    <m/>
    <d v="2016-12-31T00:00:00"/>
    <m/>
    <s v="UNTREF"/>
    <s v="UNLAM- BICENTENARIO"/>
    <n v="10807"/>
  </r>
  <r>
    <s v="SFMyCP"/>
    <x v="1"/>
    <m/>
    <s v="DIR GRAL TECNICA ADMINISTRATIVA Y LEGAL"/>
    <s v="INFORMATICA Y SISTEMAS"/>
    <m/>
    <m/>
    <s v="Analista"/>
    <s v="Analista"/>
    <s v="CCK"/>
    <s v="CCK - Alem 351"/>
    <s v="MAHAFUD JOEL"/>
    <s v="DNI"/>
    <n v="37007907"/>
    <s v="20370079073"/>
    <d v="1992-06-23T00:00:00"/>
    <s v="ASISTENCIA TÉCNICA"/>
    <s v="AT"/>
    <d v="2015-10-01T00:00:00"/>
    <m/>
    <d v="2016-12-31T00:00:00"/>
    <m/>
    <s v="UNTREF"/>
    <s v="UNLAM- INFO"/>
    <n v="7500"/>
  </r>
  <r>
    <s v="SFMyCP"/>
    <x v="1"/>
    <m/>
    <s v="UNIDAD DE MINISTRO"/>
    <m/>
    <m/>
    <m/>
    <s v="PRIVADA"/>
    <s v="ADMINISTRATIVO"/>
    <m/>
    <s v="CCK - Alem 351"/>
    <s v="MALAGRABA, MARIA GABRIELA"/>
    <s v="DNI"/>
    <n v="24963883"/>
    <n v="27249638833"/>
    <d v="1975-11-02T00:00:00"/>
    <s v="ASISTENCIA TÉCNICA"/>
    <s v="AT"/>
    <d v="2016-01-01T00:00:00"/>
    <m/>
    <d v="2016-12-31T00:00:00"/>
    <m/>
    <s v="UNTREF"/>
    <s v="UNSAM"/>
    <n v="12275"/>
  </r>
  <r>
    <s v="SFMyCP"/>
    <x v="0"/>
    <m/>
    <s v="DIR NAC GENERACION DE CONTENIDOS"/>
    <s v="TELEVISION DIGITAL ABIERTA"/>
    <s v="CIARA"/>
    <m/>
    <s v="BACUA"/>
    <m/>
    <s v="CABILDO 65"/>
    <m/>
    <s v="MALASPINA ISABEL"/>
    <s v="DNI"/>
    <n v="29193974"/>
    <n v="27291939746"/>
    <m/>
    <s v="LEY MARCO"/>
    <s v="LM"/>
    <d v="2013-12-01T00:00:00"/>
    <d v="2016-03-31T00:00:00"/>
    <d v="2016-12-31T00:00:00"/>
    <s v="A1"/>
    <m/>
    <m/>
    <n v="29089"/>
  </r>
  <r>
    <s v="SFMyCP"/>
    <x v="0"/>
    <s v="SUBSEC CENTROS TEMATICOS Y EXP FEDERALES"/>
    <s v="DIRECCION NACIONAL DE CENTROS TEMATICOS"/>
    <m/>
    <m/>
    <m/>
    <m/>
    <s v="MANTENIMIENTO DE ESPACIOS VERDES"/>
    <m/>
    <s v="TECNOPOLIS"/>
    <s v="MALDONADO JONATHAN "/>
    <s v="DNI"/>
    <n v="36492782"/>
    <s v="20364927828"/>
    <d v="1991-11-24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GASTRONOMIA"/>
    <m/>
    <m/>
    <s v="COCINA"/>
    <s v="CHEF EJECUTIVO"/>
    <m/>
    <s v="TECNOPOLIS"/>
    <s v="MALOWICKI ZOLKWER GABRIEL"/>
    <s v="DNI"/>
    <n v="31764002"/>
    <n v="20317640022"/>
    <d v="1985-08-04T00:00:00"/>
    <s v="ASISTENCIA TÉCNICA"/>
    <s v="AT"/>
    <d v="2016-05-01T00:00:00"/>
    <m/>
    <d v="2016-12-31T00:00:00"/>
    <m/>
    <s v="UNTREF"/>
    <m/>
    <m/>
  </r>
  <r>
    <s v="SFMyCP"/>
    <x v="1"/>
    <m/>
    <s v="DIR GRAL TECNICA ADMINISTRATIVA Y LEGAL"/>
    <s v="COMPRAS Y CONTRATACIONES"/>
    <m/>
    <m/>
    <m/>
    <s v="ADMINISTRATIVO"/>
    <m/>
    <s v="CCK - Alem 351"/>
    <s v="MANELLI MATÍAS NAHUEL"/>
    <s v="DNI"/>
    <n v="37755992"/>
    <s v="20377559925"/>
    <d v="1993-06-17T00:00:00"/>
    <s v="ASISTENCIA TÉCNICA"/>
    <s v="AT"/>
    <m/>
    <m/>
    <d v="2016-12-31T00:00:00"/>
    <m/>
    <s v="UNTREF"/>
    <m/>
    <n v="1091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MANSILLA PILAR MURIEL"/>
    <s v="DNI"/>
    <n v="37424425"/>
    <n v="27374244251"/>
    <d v="1993-04-28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MANZIONE BIANCA"/>
    <s v="DNI"/>
    <n v="37806458"/>
    <s v="27378064584"/>
    <d v="1993-08-13T00:00:00"/>
    <s v="ASISTENCIA TÉCNICA"/>
    <s v="AT"/>
    <d v="2012-10-01T00:00:00"/>
    <m/>
    <d v="2016-12-31T00:00:00"/>
    <m/>
    <s v="UNTREF"/>
    <s v="UNSAM- LADA"/>
    <n v="15234"/>
  </r>
  <r>
    <s v="SFMyCP"/>
    <x v="1"/>
    <m/>
    <s v="DIR GRAL TECNICA ADMINISTRATIVA Y LEGAL"/>
    <s v="PRESUPUESTO"/>
    <s v="VIATICOS"/>
    <m/>
    <s v="Asistente"/>
    <s v="ADMINISTRATIVO"/>
    <s v="CCK"/>
    <s v="CCK - Alem 351"/>
    <s v="MARA FRANCO"/>
    <s v="DNI"/>
    <n v="32969084"/>
    <s v="23329690849"/>
    <d v="1987-10-28T00:00:00"/>
    <s v="ASISTENCIA TÉCNICA"/>
    <s v="AT"/>
    <d v="2014-12-10T00:00:00"/>
    <m/>
    <d v="2016-12-31T00:00:00"/>
    <m/>
    <s v="UNTREF"/>
    <s v="UNLAM- DGA"/>
    <n v="10187"/>
  </r>
  <r>
    <s v="SFMyCP"/>
    <x v="0"/>
    <s v="SUBSEC CENTROS TEMATICOS Y EXP FEDERALES"/>
    <s v="DIR NAC EXPRESIONES FEDERALES"/>
    <s v="DIRECCION DE GESTION EDILICIA"/>
    <s v="OPERATIVA Y LOGISTICA"/>
    <s v="LOGISTICA OPERATIVA"/>
    <s v="Asistente Técnico Operativo"/>
    <s v="OPERATIVA Y LOGISTICA"/>
    <s v="CCK"/>
    <s v="CCK - Alem 351"/>
    <s v="MARCOTE MARIANO"/>
    <s v="DNI"/>
    <n v="30920038"/>
    <s v="20309200382"/>
    <d v="1984-06-26T00:00:00"/>
    <s v="ASISTENCIA TÉCNICA"/>
    <s v="AT"/>
    <d v="2015-07-13T00:00:00"/>
    <m/>
    <d v="2016-12-31T00:00:00"/>
    <m/>
    <s v="UNTREF"/>
    <s v="UNLAM- BICENTENARIO"/>
    <n v="10807"/>
  </r>
  <r>
    <s v="SFMyCP"/>
    <x v="0"/>
    <s v="SUBSEC CENTROS TEMATICOS Y EXP FEDERALES"/>
    <s v="DIRECCION NACIONAL DE CENTROS TEMATICOS"/>
    <s v="INTENDENCIA - TALLERES"/>
    <m/>
    <m/>
    <m/>
    <m/>
    <s v="TECNÓPOLIS"/>
    <m/>
    <s v="MARECOS Roberto Carlos"/>
    <s v="DNI"/>
    <n v="23331504"/>
    <n v="20233315045"/>
    <m/>
    <s v="LEY MARCO"/>
    <s v="LM"/>
    <d v="2013-05-01T00:00:00"/>
    <d v="2016-03-31T00:00:00"/>
    <d v="2016-12-31T00:00:00"/>
    <s v="C0"/>
    <m/>
    <m/>
    <n v="20106.650000000001"/>
  </r>
  <r>
    <s v="SFMyCP"/>
    <x v="0"/>
    <m/>
    <s v="DIR NAC GENERACION DE CONTENIDOS"/>
    <s v="TELEVISION DIGITAL ABIERTA"/>
    <s v="CIARA"/>
    <m/>
    <s v="BACUA"/>
    <m/>
    <s v="CABILDO 65"/>
    <m/>
    <s v="MAREQUE MORENO MARIA PAULA"/>
    <s v="DNI"/>
    <n v="34152110"/>
    <n v="27341521101"/>
    <m/>
    <s v="LEY MARCO"/>
    <s v="LM"/>
    <d v="2009-01-01T00:00:00"/>
    <d v="2016-12-31T00:00:00"/>
    <d v="2016-12-31T00:00:00"/>
    <s v="C2"/>
    <m/>
    <m/>
    <n v="12960"/>
  </r>
  <r>
    <s v="SFMyCP"/>
    <x v="0"/>
    <m/>
    <s v="UNIDAD SECRETARÍA"/>
    <m/>
    <m/>
    <m/>
    <s v="PRIVADA"/>
    <s v="ADMINISTRATIVO"/>
    <m/>
    <s v="CCK - Alem 351"/>
    <s v="MARICH EKEL "/>
    <s v="DNI"/>
    <n v="24230223"/>
    <n v="20242302231"/>
    <d v="1975-03-30T00:00:00"/>
    <s v="ASISTENCIA TÉCNICA"/>
    <s v="AT"/>
    <m/>
    <m/>
    <d v="2016-12-31T00:00:00"/>
    <m/>
    <s v="UNTREF"/>
    <m/>
    <m/>
  </r>
  <r>
    <s v="SFMyCP"/>
    <x v="0"/>
    <m/>
    <s v="DIR NAC GENERACION DE CONTENIDOS"/>
    <m/>
    <m/>
    <m/>
    <m/>
    <s v="ADMINISTRATIVO"/>
    <m/>
    <s v="CCK - Alem 351"/>
    <s v="MARIN JAVIER ALEJANDRO"/>
    <s v="DNI"/>
    <n v="21731906"/>
    <n v="20217319065"/>
    <d v="1970-09-12T00:00:00"/>
    <s v="ASISTENCIA TÉCNICA"/>
    <s v="AT"/>
    <d v="2016-04-01T00:00:00"/>
    <m/>
    <d v="2016-08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MARINCOVIK, PABLO"/>
    <s v="DNI"/>
    <n v="21167373"/>
    <s v="20211673738"/>
    <d v="1969-12-04T00:00:00"/>
    <s v="ASISTENCIA TÉCNICA"/>
    <s v="AT"/>
    <d v="2016-01-01T00:00:00"/>
    <m/>
    <d v="2016-12-31T00:00:00"/>
    <m/>
    <s v="UNTREF"/>
    <s v="UNSAM"/>
    <n v="19000"/>
  </r>
  <r>
    <s v="SFMyCP"/>
    <x v="0"/>
    <s v="SUBSEC CENTROS TEMATICOS Y EXP FEDERALES"/>
    <s v="DIR NAC EXPRESIONES FEDERALES"/>
    <s v="PRODUCCIÓN"/>
    <m/>
    <m/>
    <m/>
    <s v="ADMINISTRATIVA"/>
    <m/>
    <s v="CCK - Alem 351"/>
    <s v="MARQUEZ CARLOS ANTONIO"/>
    <s v="DNI"/>
    <n v="16988106"/>
    <n v="20169881066"/>
    <d v="1963-02-03T00:00:00"/>
    <s v="ASISTENCIA TÉCNICA"/>
    <s v="AT"/>
    <d v="2016-04-15T00:00:00"/>
    <m/>
    <d v="2016-12-31T00:00:00"/>
    <m/>
    <s v="UNTREF"/>
    <m/>
    <s v="."/>
  </r>
  <r>
    <s v="SFMyCP"/>
    <x v="0"/>
    <s v="SUBSEC CENTROS TEMATICOS Y EXP FEDERALES"/>
    <s v="DIR NAC EXPRESIONES FEDERALES"/>
    <s v="INSTITUCIONALES"/>
    <m/>
    <m/>
    <m/>
    <m/>
    <s v="CCK"/>
    <m/>
    <s v="MARTIN EMILIANO"/>
    <s v="DNI"/>
    <n v="29946823"/>
    <n v="27292468933"/>
    <m/>
    <s v="LEY MARCO"/>
    <s v="LM"/>
    <d v="2012-12-01T00:00:00"/>
    <d v="2016-12-31T00:00:00"/>
    <d v="2016-12-31T00:00:00"/>
    <s v="A1"/>
    <m/>
    <m/>
    <n v="26237"/>
  </r>
  <r>
    <s v="SFMyCP"/>
    <x v="0"/>
    <s v="SUBSEC CENTROS TEMATICOS Y EXP FEDERALES"/>
    <s v="DIRECCION NACIONAL DE CENTROS TEMATICOS"/>
    <s v="INTENDENCIA- PARQUIZACION"/>
    <m/>
    <m/>
    <m/>
    <s v="MANTENIMIENTO DE ESPACIOS VERDES"/>
    <s v="TECNÓPOLIS"/>
    <s v="TECNOPOLIS"/>
    <s v="MARTINEZ  HECTOR MARCELO"/>
    <s v="DNI"/>
    <n v="39706510"/>
    <s v="20397065104"/>
    <d v="1995-08-24T00:00:00"/>
    <s v="ASISTENCIA TÉCNICA"/>
    <s v="AT"/>
    <d v="2014-06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DIRECCION DE GESTION EDILICIA"/>
    <s v="DIRECCION"/>
    <s v="REFERENTE"/>
    <s v="Coordinador de DTO"/>
    <s v="ADMINISTRATIVO"/>
    <s v="CCK"/>
    <s v="CCK - Alem 351"/>
    <s v="MARTINEZ ALBERTO"/>
    <s v="DNI"/>
    <n v="32944728"/>
    <s v="20329447287"/>
    <d v="1987-03-06T00:00:00"/>
    <s v="ASISTENCIA TÉCNICA"/>
    <s v="AT"/>
    <d v="2015-02-01T00:00:00"/>
    <m/>
    <d v="2016-12-31T00:00:00"/>
    <m/>
    <s v="UNTREF"/>
    <s v="UNLAM- BICENTENARIO"/>
    <n v="24500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MARTINEZ ANAHÍ"/>
    <s v="DNI"/>
    <n v="23415236"/>
    <n v="27234152365"/>
    <d v="1973-09-13T00:00:00"/>
    <s v="ASISTENCIA TÉCNICA"/>
    <s v="AT"/>
    <d v="2016-01-01T00:00:00"/>
    <m/>
    <d v="2016-12-31T00:00:00"/>
    <m/>
    <s v="UNTREF"/>
    <s v="UNSAM"/>
    <n v="30000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MARTINEZ ARIEL GUSTAVO"/>
    <s v="DNI"/>
    <n v="26451548"/>
    <n v="20264515484"/>
    <d v="1978-04-17T00:00:00"/>
    <s v="ASISTENCIA TÉCNICA"/>
    <s v="AT"/>
    <d v="2015-09-01T00:00:00"/>
    <m/>
    <d v="2016-12-31T00:00:00"/>
    <m/>
    <s v="UNTREF"/>
    <s v="UNSAM"/>
    <n v="10000"/>
  </r>
  <r>
    <s v="SFMyCP"/>
    <x v="0"/>
    <m/>
    <s v="ARTES VISUALES"/>
    <s v="ARTES VISUALES"/>
    <m/>
    <m/>
    <m/>
    <s v="Orientador de Sala"/>
    <m/>
    <m/>
    <s v="MARTINEZ DAVILA FIORELLA"/>
    <s v="DNI"/>
    <n v="94779981"/>
    <n v="27947799814"/>
    <m/>
    <s v="ASISTENCIA TÉCNICA"/>
    <s v="AT"/>
    <d v="2016-07-01T00:00:00"/>
    <m/>
    <d v="2016-12-31T00:00:00"/>
    <m/>
    <m/>
    <m/>
    <m/>
  </r>
  <r>
    <s v="SFMyCP"/>
    <x v="1"/>
    <m/>
    <s v="DIR GRAL TECNICA ADMINISTRATIVA Y LEGAL"/>
    <s v="PLANIF  Y ADM DE REC HUMANOS"/>
    <s v="RECURSOS HUMANOS"/>
    <m/>
    <m/>
    <m/>
    <m/>
    <m/>
    <s v="MARTINEZ DIEGO"/>
    <s v="DNI"/>
    <n v="31985771"/>
    <n v="20319857711"/>
    <m/>
    <s v="LEY MARCO"/>
    <s v="LM"/>
    <d v="2015-03-01T00:00:00"/>
    <m/>
    <d v="2016-12-31T00:00:00"/>
    <s v="B1"/>
    <m/>
    <m/>
    <m/>
  </r>
  <r>
    <s v="SFMyCP"/>
    <x v="0"/>
    <s v="SUBSEC CENTROS TEMATICOS Y EXP FEDERALES"/>
    <s v="DIR NAC EXPRESIONES FEDERALES"/>
    <s v="ADMINISTRACION"/>
    <m/>
    <m/>
    <s v="Administrativo"/>
    <s v="ADMINISTRATIVO"/>
    <s v="CCK"/>
    <s v="CCK - Alem 351"/>
    <s v="MARTINEZ JAVIER MARCELO"/>
    <s v="DNI"/>
    <n v="27704110"/>
    <s v="20277041104"/>
    <d v="1979-12-12T00:00:00"/>
    <s v="ASISTENCIA TÉCNICA"/>
    <s v="AT"/>
    <d v="2014-10-01T00:00:00"/>
    <m/>
    <d v="2016-12-31T00:00:00"/>
    <m/>
    <s v="UNTREF"/>
    <s v="CULTURA"/>
    <n v="20000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MARTINEZ MELINA"/>
    <s v="DNI"/>
    <n v="30278656"/>
    <s v="27302786564"/>
    <d v="1983-04-06T00:00:00"/>
    <s v="ASISTENCIA TÉCNICA"/>
    <s v="AT"/>
    <d v="2015-03-16T00:00:00"/>
    <m/>
    <d v="2016-12-31T00:00:00"/>
    <m/>
    <s v="UNTREF"/>
    <s v="UNSAM- LADA"/>
    <n v="18795"/>
  </r>
  <r>
    <s v="SFMyCP"/>
    <x v="1"/>
    <m/>
    <s v="DIR GRAL TECNICA ADMINISTRATIVA Y LEGAL"/>
    <s v="PLANIF  Y ADM DE REC HUMANOS"/>
    <s v="RECURSOS HUMANOS"/>
    <s v="COMUNICACIÓN"/>
    <s v="COMUNICACIÓN"/>
    <m/>
    <s v="CCK"/>
    <m/>
    <s v="MARTINO MARCELA NATALIA"/>
    <s v="DNI"/>
    <n v="28807853"/>
    <n v="27288078535"/>
    <m/>
    <s v="LEY MARCO"/>
    <s v="LM"/>
    <d v="2013-12-01T00:00:00"/>
    <d v="2016-03-31T00:00:00"/>
    <d v="2016-12-31T00:00:00"/>
    <s v="B1"/>
    <m/>
    <m/>
    <n v="20266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MASÑUK  JUAN CARLOS"/>
    <s v="DNI"/>
    <n v="17513017"/>
    <n v="23175130179"/>
    <m/>
    <s v="LEY MARCO"/>
    <s v="LM"/>
    <d v="2014-12-01T00:00:00"/>
    <d v="2016-03-31T00:00:00"/>
    <d v="2016-12-31T00:00:00"/>
    <s v="D0"/>
    <m/>
    <m/>
    <n v="1800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MASTANDREA SERGIO"/>
    <s v="DNI"/>
    <n v="29414541"/>
    <s v="23294145419"/>
    <d v="1982-03-30T00:00:00"/>
    <s v="ASISTENCIA TÉCNICA"/>
    <s v="AT"/>
    <d v="2015-11-01T00:00:00"/>
    <m/>
    <d v="2016-12-31T00:00:00"/>
    <m/>
    <s v="UNTREF"/>
    <m/>
    <n v="19353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MATEOS CARLOS ALFONSO"/>
    <s v="DNI"/>
    <n v="23053676"/>
    <n v="20230536768"/>
    <d v="1972-09-23T00:00:00"/>
    <s v="ASISTENCIA TÉCNICA"/>
    <s v="AT"/>
    <d v="2015-09-01T00:00:00"/>
    <m/>
    <d v="2016-12-31T00:00:00"/>
    <m/>
    <s v="UNTREF"/>
    <s v="UNSAM"/>
    <n v="1150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MATUK SEBASTIAN"/>
    <s v="DNI"/>
    <n v="34304285"/>
    <n v="20343042850"/>
    <d v="1989-02-07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ROGRAMA POLOS AUDIOVISUALES TECNOLÓGICOS"/>
    <m/>
    <s v="CABILDO 65"/>
    <m/>
    <s v="MAZU OSCAR EDUARDO"/>
    <s v="DNI"/>
    <n v="16598752"/>
    <n v="20165987528"/>
    <m/>
    <s v="LEY MARCO"/>
    <s v="LM"/>
    <d v="2013-12-01T00:00:00"/>
    <d v="2016-03-31T00:00:00"/>
    <d v="2016-12-31T00:00:00"/>
    <s v="B1"/>
    <m/>
    <m/>
    <n v="18277"/>
  </r>
  <r>
    <s v="SFMyCP"/>
    <x v="0"/>
    <s v="SUBSEC CENTROS TEMATICOS Y EXP FEDERALES"/>
    <s v="DIR NAC EXPRESIONES FEDERALES"/>
    <s v="PRODUCCIÓN"/>
    <m/>
    <m/>
    <m/>
    <s v="ADMINISTRATIVO"/>
    <m/>
    <s v="CCK - Alem 351"/>
    <s v="MAZZEI LAURA"/>
    <s v="DNI"/>
    <n v="27113663"/>
    <n v="27271136639"/>
    <d v="1978-12-25T00:00:00"/>
    <s v="ASISTENCIA TÉCNICA"/>
    <s v="AT"/>
    <d v="2016-05-15T00:00:00"/>
    <m/>
    <d v="2016-12-31T00:00:00"/>
    <m/>
    <s v="UNTREF"/>
    <m/>
    <m/>
  </r>
  <r>
    <s v="SFMyCP"/>
    <x v="0"/>
    <m/>
    <s v="ARTES VISUALES"/>
    <s v="ARTES VISUALES"/>
    <m/>
    <m/>
    <m/>
    <s v="Orientador de Sala"/>
    <m/>
    <m/>
    <s v="MC CARTHY VICTORIA"/>
    <s v="DNI"/>
    <n v="38865071"/>
    <n v="27388650716"/>
    <m/>
    <s v="ASISTENCIA TÉCNICA"/>
    <s v="AT"/>
    <d v="2016-07-01T00:00:00"/>
    <m/>
    <d v="2016-12-31T00:00:00"/>
    <m/>
    <m/>
    <m/>
    <m/>
  </r>
  <r>
    <s v="SFMyCP"/>
    <x v="0"/>
    <s v="SUBSEC CENTROS TEMATICOS Y EXP FEDERALES"/>
    <s v="DIR NAC EXPRESIONES FEDERALES"/>
    <s v="DIRECCION DE GESTION EDILICIA"/>
    <s v="OPERATIVA Y LOGISTICA"/>
    <s v="LOGISTICA OPERATIVA"/>
    <s v="Asistente Técnico Operativo"/>
    <s v="OPERATIVA Y LOGISTICA"/>
    <s v="CCK"/>
    <s v="CCK - Alem 351"/>
    <s v="MEANA ADRIAN"/>
    <s v="DNI"/>
    <n v="29704359"/>
    <s v="20297043596"/>
    <d v="1982-10-28T00:00:00"/>
    <s v="ASISTENCIA TÉCNICA"/>
    <s v="AT"/>
    <d v="2015-07-01T00:00:00"/>
    <m/>
    <d v="2016-12-31T00:00:00"/>
    <m/>
    <s v="UNTREF"/>
    <s v="UNLAM- BICENTENARIO"/>
    <n v="10807"/>
  </r>
  <r>
    <s v="SFMyCP"/>
    <x v="0"/>
    <s v="SUBSEC CENTROS TEMATICOS Y EXP FEDERALES"/>
    <s v="DIR NAC EXPRESIONES FEDERALES"/>
    <s v="DIRECCION DE GESTION EDILICIA"/>
    <s v="AUDITORIA Y CONTROL"/>
    <m/>
    <m/>
    <m/>
    <m/>
    <m/>
    <s v="MEDINA SUSANA EDIT"/>
    <s v="DNI"/>
    <n v="10776913"/>
    <m/>
    <m/>
    <m/>
    <s v="LM"/>
    <m/>
    <m/>
    <d v="2016-12-31T00:00:00"/>
    <s v="B3"/>
    <m/>
    <m/>
    <m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MEDRANO ORTIZ GONZALO"/>
    <s v="DNI"/>
    <n v="34524500"/>
    <s v="20345245007"/>
    <d v="1989-05-08T00:00:00"/>
    <s v="ASISTENCIA TÉCNICA"/>
    <s v="AT"/>
    <d v="2015-09-01T00:00:00"/>
    <m/>
    <d v="2016-12-31T00:00:00"/>
    <m/>
    <s v="UNTREF"/>
    <s v="UNSAM"/>
    <n v="10000"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MEGALOECONOMOS SOFIA"/>
    <s v="DNI"/>
    <n v="31632162"/>
    <s v="27316321629"/>
    <d v="1985-06-11T00:00:00"/>
    <s v="ASISTENCIA TÉCNICA"/>
    <s v="AT"/>
    <d v="2015-05-15T00:00:00"/>
    <m/>
    <d v="2016-12-31T00:00:00"/>
    <m/>
    <s v="UNTREF"/>
    <s v="UNSAM- LADA"/>
    <n v="17849"/>
  </r>
  <r>
    <s v="SFMyCP"/>
    <x v="1"/>
    <m/>
    <s v="DIR GRAL TECNICA ADMINISTRATIVA Y LEGAL"/>
    <s v="COMPRAS Y CONTRATACIONES"/>
    <m/>
    <m/>
    <s v="Administrativo"/>
    <m/>
    <s v="CCK"/>
    <m/>
    <s v="MEGIAS MANUEL"/>
    <s v="DNI"/>
    <n v="30652310"/>
    <n v="20306523105"/>
    <m/>
    <s v="LEY MARCO"/>
    <s v="LM"/>
    <d v="2009-08-01T00:00:00"/>
    <d v="2016-12-31T00:00:00"/>
    <d v="2016-12-31T00:00:00"/>
    <s v="D0"/>
    <m/>
    <m/>
    <n v="10190"/>
  </r>
  <r>
    <s v="SFMyCP"/>
    <x v="0"/>
    <m/>
    <s v="COMUNICACIONES"/>
    <s v="COMUNICACIÓN"/>
    <m/>
    <m/>
    <m/>
    <m/>
    <s v="CCK"/>
    <s v="CCK - Alem 351"/>
    <s v="MELILLO LUCIA"/>
    <s v="DNI"/>
    <n v="33850467"/>
    <n v="27338504670"/>
    <m/>
    <s v="LEY MARCO"/>
    <s v="LM"/>
    <d v="2012-07-01T00:00:00"/>
    <d v="2016-12-31T00:00:00"/>
    <d v="2016-12-31T00:00:00"/>
    <s v="C0"/>
    <m/>
    <m/>
    <n v="16470.8"/>
  </r>
  <r>
    <s v="SFMyCP"/>
    <x v="1"/>
    <m/>
    <s v="DIR GRAL TECNICA ADMINISTRATIVA Y LEGAL"/>
    <s v="PRESUPUESTO"/>
    <m/>
    <m/>
    <m/>
    <s v="ADMINISTRATIVO"/>
    <m/>
    <s v="CCK - Alem 351"/>
    <s v="MELITA ELEONORA"/>
    <s v="DNI"/>
    <n v="36735601"/>
    <n v="27367356019"/>
    <d v="1991-12-26T00:00:00"/>
    <s v="ASISTENCIA TÉCNICA"/>
    <s v="AT"/>
    <d v="2016-07-01T00:00:00"/>
    <m/>
    <d v="2016-12-31T00:00:00"/>
    <m/>
    <s v="UNTREF"/>
    <m/>
    <m/>
  </r>
  <r>
    <s v="SFMyCP"/>
    <x v="1"/>
    <m/>
    <s v="DIR GRAL TECNICA ADMINISTRATIVA Y LEGAL"/>
    <s v="COMPRAS Y CONTRATACIONES"/>
    <m/>
    <m/>
    <s v="Administrativo"/>
    <m/>
    <s v="CCK"/>
    <m/>
    <s v="MENA CAROLINA"/>
    <s v="DNI"/>
    <n v="23587261"/>
    <n v="27235872612"/>
    <m/>
    <s v="LEY MARCO"/>
    <s v="LM"/>
    <d v="2014-10-01T00:00:00"/>
    <d v="2016-03-31T00:00:00"/>
    <d v="2016-12-31T00:00:00"/>
    <s v="B1"/>
    <m/>
    <m/>
    <n v="20266"/>
  </r>
  <r>
    <s v="SFMyCP"/>
    <x v="1"/>
    <m/>
    <s v="DIR GRAL TECNICA ADMINISTRATIVA Y LEGAL"/>
    <s v="COMPRAS Y CONTRATACIONES"/>
    <m/>
    <m/>
    <s v="Analista"/>
    <s v="ADMINISTRATIVO"/>
    <m/>
    <s v="CCK - Alem 351"/>
    <s v="MENA GRISELDA"/>
    <s v="DNI"/>
    <n v="27664255"/>
    <s v="27276642559"/>
    <d v="1979-10-13T00:00:00"/>
    <s v="ASISTENCIA TÉCNICA"/>
    <s v="AT"/>
    <d v="2016-05-02T00:00:00"/>
    <m/>
    <d v="2016-12-31T00:00:00"/>
    <m/>
    <s v="UNTREF"/>
    <m/>
    <s v="."/>
  </r>
  <r>
    <s v="SFMyCP"/>
    <x v="0"/>
    <m/>
    <s v="DIR NAC GENERACION DE CONTENIDOS"/>
    <s v="INV. AP. RECURSOS DIGITALES"/>
    <s v="CTRO INV PALPALA"/>
    <m/>
    <s v="DISEÑO"/>
    <s v="ANALISTA"/>
    <s v="PALPALÁ-JUJUY"/>
    <s v="PALPALÁ-JUJUY"/>
    <s v="MENDEZ RUBEN HECTOR"/>
    <s v="DNI"/>
    <n v="28036334"/>
    <n v="20280363341"/>
    <d v="1980-04-30T00:00:00"/>
    <s v="ASISTENCIA TÉCNICA"/>
    <s v="AT"/>
    <d v="2015-09-01T00:00:00"/>
    <m/>
    <d v="2016-12-31T00:00:00"/>
    <m/>
    <s v="UNTREF"/>
    <s v="UNSAM"/>
    <n v="10000"/>
  </r>
  <r>
    <s v="SFMyCP"/>
    <x v="0"/>
    <s v="SUBSEC CENTROS TEMATICOS Y EXP FEDERALES"/>
    <s v="DIRECCION NACIONAL DE CENTROS TEMATICOS"/>
    <m/>
    <m/>
    <m/>
    <m/>
    <s v="SUPERVISORA DE LIMPIEZA"/>
    <m/>
    <s v="TECNOPOLIS"/>
    <s v="MENDOZA MARIA ZULEMA"/>
    <s v="DNI"/>
    <n v="23037805"/>
    <s v="27230378059"/>
    <d v="1972-12-28T00:00:00"/>
    <s v="ASISTENCIA TÉCNICA"/>
    <s v="AT"/>
    <m/>
    <m/>
    <d v="2016-12-31T00:00:00"/>
    <m/>
    <s v="UNTREF"/>
    <m/>
    <m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MENER ALEJANDRO"/>
    <s v="DNI"/>
    <n v="34738717"/>
    <n v="20347387178"/>
    <m/>
    <s v="LEY MARCO"/>
    <s v="LM"/>
    <d v="2014-12-01T00:00:00"/>
    <d v="2016-03-31T00:00:00"/>
    <d v="2016-12-31T00:00:00"/>
    <s v="D0"/>
    <m/>
    <m/>
    <n v="18000"/>
  </r>
  <r>
    <s v="SFMyCP"/>
    <x v="0"/>
    <s v="SUBSEC CENTROS TEMATICOS Y EXP FEDERALES"/>
    <s v="DIRECCION NACIONAL DE CENTROS TEMATICOS"/>
    <s v="OPERATIVA"/>
    <m/>
    <m/>
    <m/>
    <m/>
    <s v="TECNÓPOLIS"/>
    <m/>
    <s v="MENNA LEANDRO ARIEL"/>
    <s v="DNI"/>
    <n v="23313220"/>
    <n v="23233132209"/>
    <m/>
    <s v="LEY MARCO"/>
    <s v="LM"/>
    <d v="2011-07-01T00:00:00"/>
    <d v="2016-12-31T00:00:00"/>
    <d v="2016-12-31T00:00:00"/>
    <s v="D1"/>
    <m/>
    <m/>
    <n v="21576.62"/>
  </r>
  <r>
    <s v="SFMyCP"/>
    <x v="0"/>
    <s v="SUBSEC CENTROS TEMATICOS Y EXP FEDERALES"/>
    <s v="DIRECCION NACIONAL DE CENTROS TEMATICOS"/>
    <s v="INTENDENCIA - TALLERES"/>
    <m/>
    <m/>
    <m/>
    <s v="MANEJO DE IMPRESORA DIGITAL PLOTTER MIMAKI DE MATERIALES DE GRAFICA PARA COLOCACIÓN. MANTENIMIENTO DÉPOSITO/CARTELERÍA"/>
    <s v="TECNÓPOLIS"/>
    <s v="TECNOPOLIS"/>
    <s v="MERA MAURICIO VALENTIN"/>
    <s v="DNI"/>
    <n v="35348638"/>
    <s v="20353486382"/>
    <d v="1990-06-10T00:00:00"/>
    <s v="ASISTENCIA TÉCNICA"/>
    <s v="AT"/>
    <d v="2013-07-01T00:00:00"/>
    <m/>
    <d v="2016-12-31T00:00:00"/>
    <m/>
    <s v="UNTREF"/>
    <s v="UNTREF"/>
    <n v="11449.4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MEREÑUK TATIANA"/>
    <s v="DNI"/>
    <n v="23326986"/>
    <s v="27233269862"/>
    <d v="1973-05-05T00:00:00"/>
    <s v="ASISTENCIA TÉCNICA"/>
    <s v="AT"/>
    <d v="2011-04-01T00:00:00"/>
    <m/>
    <d v="2016-12-31T00:00:00"/>
    <m/>
    <s v="UNTREF"/>
    <s v="UNSAM- LADA"/>
    <n v="22151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MESTROCRISTINO MARTINA"/>
    <s v="DNI"/>
    <n v="38995191"/>
    <s v="27389951914"/>
    <d v="1995-05-03T00:00:00"/>
    <s v="ASISTENCIA TÉCNICA"/>
    <s v="AT"/>
    <d v="2015-08-01T00:00:00"/>
    <m/>
    <d v="2016-12-31T00:00:00"/>
    <m/>
    <s v="UNTREF"/>
    <s v="UNSAM- LADA"/>
    <n v="16465"/>
  </r>
  <r>
    <s v="SFMyCP"/>
    <x v="0"/>
    <s v="SUBSEC CENTROS TEMATICOS Y EXP FEDERALES"/>
    <s v="UNIDAD SUBSECRETARIO"/>
    <m/>
    <m/>
    <m/>
    <s v="PRIVADA"/>
    <s v="ADMINISTRATIVO"/>
    <m/>
    <s v="CCK - Alem 351"/>
    <s v="MIHANOVICH CAROLINA INES"/>
    <s v="DNI"/>
    <n v="16161406"/>
    <n v="27161614063"/>
    <d v="1962-07-04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SERVICIOS GENERALES"/>
    <s v="SOPORTE ADMINISTRATIVO"/>
    <s v="Responsable"/>
    <s v="Responsable"/>
    <s v="CCK"/>
    <s v="CCK - Alem 351"/>
    <s v="MILANESE FERNANDO"/>
    <s v="DNI"/>
    <n v="32422072"/>
    <s v="20324220721"/>
    <d v="1986-03-25T00:00:00"/>
    <s v="ASISTENCIA TÉCNICA"/>
    <s v="AT"/>
    <d v="2011-07-01T00:00:00"/>
    <m/>
    <d v="2016-12-31T00:00:00"/>
    <m/>
    <s v="UNTREF"/>
    <s v="UNLAM -TDA"/>
    <n v="12246"/>
  </r>
  <r>
    <s v="SFMyCP"/>
    <x v="0"/>
    <m/>
    <s v="UNIDAD SECRETARÍA"/>
    <m/>
    <m/>
    <m/>
    <s v="PRIVADA"/>
    <s v="ADMINISTRATIVO"/>
    <s v="TECNÓPOLIS"/>
    <s v="CCK - Alem 351"/>
    <s v="MILIONE, MARCELA"/>
    <s v="DNI"/>
    <n v="12610450"/>
    <n v="27126104508"/>
    <d v="1958-05-22T00:00:00"/>
    <s v="ASISTENCIA TÉCNICA"/>
    <s v="AT"/>
    <d v="2016-01-01T00:00:00"/>
    <m/>
    <d v="2016-12-31T00:00:00"/>
    <m/>
    <s v="UNTREF"/>
    <s v="UNSAM"/>
    <n v="10533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MIÑO  FERNANDO  LUIS"/>
    <s v="DNI"/>
    <n v="37969951"/>
    <s v="20379699511"/>
    <d v="1993-03-13T00:00:00"/>
    <s v="ASISTENCIA TÉCNICA"/>
    <s v="AT"/>
    <d v="2014-04-01T00:00:00"/>
    <m/>
    <d v="2016-12-31T00:00:00"/>
    <m/>
    <s v="UNTREF"/>
    <s v="UNTREF"/>
    <n v="10497.15"/>
  </r>
  <r>
    <s v="SFMyCP"/>
    <x v="0"/>
    <s v="SUBSEC CENTROS TEMATICOS Y EXP FEDERALES"/>
    <s v="DIRECCION NACIONAL DE CENTROS TEMATICOS"/>
    <s v="COOPERATIVAS"/>
    <m/>
    <m/>
    <s v="Tareas Generales"/>
    <s v="Tareas Generales"/>
    <s v="TECNÓPOLIS"/>
    <m/>
    <s v="MIÑO  JUAN RAMON"/>
    <s v="DNI"/>
    <n v="25001961"/>
    <m/>
    <d v="1993-03-13T00:00:00"/>
    <s v="ASISTENCIA TÉCNICA"/>
    <s v="CO"/>
    <m/>
    <m/>
    <d v="2016-12-31T00:00:00"/>
    <m/>
    <s v="UNTREF"/>
    <s v="UNTREF"/>
    <n v="4700"/>
  </r>
  <r>
    <s v="SFMyCP"/>
    <x v="0"/>
    <s v="SUBSEC CENTROS TEMATICOS Y EXP FEDERALES"/>
    <s v="DIRECCION NACIONAL DE CENTROS TEMATICOS"/>
    <s v="INTENDENCIA - MANTENIMIENTO"/>
    <m/>
    <m/>
    <m/>
    <m/>
    <s v="TECNÓPOLIS"/>
    <m/>
    <s v="MIÑO RAFAEL DIEGO"/>
    <s v="DNI"/>
    <n v="29026896"/>
    <n v="20290268967"/>
    <m/>
    <s v="LEY MARCO"/>
    <s v="LM"/>
    <d v="2012-10-31T00:00:00"/>
    <d v="2016-12-31T00:00:00"/>
    <d v="2016-12-31T00:00:00"/>
    <s v="C0"/>
    <m/>
    <m/>
    <n v="13990"/>
  </r>
  <r>
    <s v="SFMyCP"/>
    <x v="0"/>
    <s v="SUBSEC CENTROS TEMATICOS Y EXP FEDERALES"/>
    <s v="DIR NAC EXPRESIONES FEDERALES"/>
    <s v="DIRECCION DE GESTION EDILICIA"/>
    <s v="ESPACIOS FISICOS"/>
    <m/>
    <s v="Asistente"/>
    <s v="ADMINISTRATIVO"/>
    <s v="CCK"/>
    <s v="CCK - Alem 351"/>
    <s v="MIZZAU CAROLINA"/>
    <s v="DNI"/>
    <n v="25190198"/>
    <s v="27251901983"/>
    <d v="1976-03-02T00:00:00"/>
    <s v="ASISTENCIA TÉCNICA"/>
    <s v="AT"/>
    <d v="2015-06-01T00:00:00"/>
    <m/>
    <d v="2016-12-31T00:00:00"/>
    <m/>
    <s v="UNTREF"/>
    <s v="UNLAM- BICENTENARIO"/>
    <n v="15732"/>
  </r>
  <r>
    <s v="SFMyCP"/>
    <x v="0"/>
    <m/>
    <s v="UNIDAD SECRETARÍA"/>
    <m/>
    <m/>
    <m/>
    <s v="PRIVADA"/>
    <s v="ADMINISTRATIVO"/>
    <m/>
    <s v="CCK - Alem 351"/>
    <s v="MLADINEO IVANA"/>
    <s v="DNI"/>
    <n v="32956861"/>
    <n v="27329568615"/>
    <d v="1987-06-04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MOLINA ANAHI "/>
    <s v="DNI"/>
    <n v="18847242"/>
    <s v="27188472422"/>
    <d v="1981-06-05T00:00:00"/>
    <s v="ASISTENCIA TÉCNICA"/>
    <s v="AT"/>
    <d v="2013-04-01T00:00:00"/>
    <m/>
    <d v="2016-12-31T00:00:00"/>
    <m/>
    <s v="UNTREF"/>
    <s v="UNSAM- LADA"/>
    <n v="23386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MOLLER JENSEN RAÚL"/>
    <s v="DNI"/>
    <n v="32500963"/>
    <s v="20325009633"/>
    <d v="1986-12-10T00:00:00"/>
    <s v="ASISTENCIA TÉCNICA"/>
    <s v="AT"/>
    <d v="2011-09-01T00:00:00"/>
    <m/>
    <d v="2016-12-31T00:00:00"/>
    <m/>
    <s v="UNTREF"/>
    <s v="UNSAM- LADA"/>
    <n v="25763"/>
  </r>
  <r>
    <s v="SFMyCP"/>
    <x v="0"/>
    <s v="SUBSEC CENTROS TEMATICOS Y EXP FEDERALES"/>
    <s v="UNIDAD SUBSECRETARIO"/>
    <m/>
    <m/>
    <m/>
    <s v="Asistente"/>
    <s v="Asistente"/>
    <s v="CCK"/>
    <s v="CCK - Alem 351"/>
    <s v="MOLLO MELISA ALEJANDRA "/>
    <s v="DNI"/>
    <n v="30516545"/>
    <s v="27305165455"/>
    <d v="1983-09-06T00:00:00"/>
    <s v="ASISTENCIA TÉCNICA"/>
    <s v="AT"/>
    <d v="2013-07-01T00:00:00"/>
    <m/>
    <d v="2016-12-31T00:00:00"/>
    <m/>
    <s v="UNTREF"/>
    <s v="UNLAM -TDA"/>
    <n v="12740"/>
  </r>
  <r>
    <s v="SFMyCP"/>
    <x v="0"/>
    <s v="SUBSEC CENTROS TEMATICOS Y EXP FEDERALES"/>
    <s v="DIRECCION NACIONAL DE CENTROS TEMATICOS"/>
    <s v="TECNICA"/>
    <m/>
    <m/>
    <m/>
    <m/>
    <s v="TECNÓPOLIS"/>
    <m/>
    <s v="MONACO ELIAS GERMAN"/>
    <s v="DNI"/>
    <n v="33188115"/>
    <n v="20331881156"/>
    <m/>
    <s v="LEY MARCO"/>
    <s v="LM"/>
    <d v="2013-05-01T00:00:00"/>
    <d v="2016-03-31T00:00:00"/>
    <d v="2016-12-31T00:00:00"/>
    <s v="C0"/>
    <m/>
    <m/>
    <n v="23901"/>
  </r>
  <r>
    <s v="SFMyCP"/>
    <x v="1"/>
    <m/>
    <s v="DIR GRAL TECNICA ADMINISTRATIVA Y LEGAL"/>
    <s v="COMPRAS Y CONTRATACIONES"/>
    <m/>
    <m/>
    <m/>
    <s v="ADMINISTRATIVO"/>
    <m/>
    <s v="CCK - Alem 351"/>
    <s v="MONGANO GUIDO NICOLAS"/>
    <s v="DNI"/>
    <n v="32636605"/>
    <n v="20326366057"/>
    <d v="1986-10-05T00:00:00"/>
    <s v="ASISTENCIA TÉCNICA"/>
    <s v="AT"/>
    <d v="2016-06-01T00:00:00"/>
    <m/>
    <d v="2016-12-31T00:00:00"/>
    <m/>
    <s v="UNTREF"/>
    <m/>
    <m/>
  </r>
  <r>
    <s v="SFMyCP"/>
    <x v="1"/>
    <m/>
    <s v="DIR GRAL TECNICA ADMINISTRATIVA Y LEGAL"/>
    <s v="PLANIF  Y ADM DE REC HUMANOS"/>
    <s v="RECURSOS HUMANOS"/>
    <m/>
    <s v="Analista"/>
    <s v="ADMINISTRATIVO"/>
    <s v="CCK"/>
    <s v="CCK - Alem 351"/>
    <s v="MONOCHIO GINO"/>
    <s v="DNI"/>
    <n v="33792938"/>
    <s v="23337929389"/>
    <d v="1988-10-05T00:00:00"/>
    <s v="ASISTENCIA TÉCNICA"/>
    <s v="AT"/>
    <d v="2014-01-13T00:00:00"/>
    <m/>
    <d v="2016-12-31T00:00:00"/>
    <m/>
    <s v="UNTREF"/>
    <s v="UNSAM- LADA"/>
    <n v="10188"/>
  </r>
  <r>
    <s v="SFMyCP"/>
    <x v="0"/>
    <s v="SUBSEC CENTROS TEMATICOS Y EXP FEDERALES"/>
    <s v="DIRECCION NACIONAL DE CENTROS TEMATICOS"/>
    <s v="INTENDENCIA - TALLERES"/>
    <m/>
    <m/>
    <m/>
    <m/>
    <s v="TECNÓPOLIS"/>
    <m/>
    <s v="MONSERRAT RICARDO"/>
    <s v="DNI"/>
    <n v="10760860"/>
    <n v="20107608606"/>
    <m/>
    <s v="LEY MARCO"/>
    <s v="LM"/>
    <d v="2012-11-30T00:00:00"/>
    <d v="2016-12-31T00:00:00"/>
    <d v="2016-12-31T00:00:00"/>
    <s v="F0"/>
    <m/>
    <m/>
    <n v="13783.6"/>
  </r>
  <r>
    <s v="SFMyCP"/>
    <x v="0"/>
    <s v="SUBSEC CENTROS TEMATICOS Y EXP FEDERALES"/>
    <s v="DIRECCION NACIONAL DE CENTROS TEMATICOS"/>
    <s v="OPERATIVA"/>
    <m/>
    <m/>
    <m/>
    <s v="CONTROL DE ACCESOS/DEPOSITOS DEL PREDIO TURNO NOCHE"/>
    <s v="TECNÓPOLIS"/>
    <s v="TECNOPOLIS"/>
    <s v="MONTENEGRO  CARLOS ALBERTO"/>
    <s v="DNI"/>
    <n v="33084823"/>
    <s v="20330848236"/>
    <d v="1987-05-17T00:00:00"/>
    <s v="ASISTENCIA TÉCNICA"/>
    <s v="AT"/>
    <d v="2013-04-01T00:00:00"/>
    <m/>
    <d v="2016-12-31T00:00:00"/>
    <m/>
    <s v="UNTREF"/>
    <s v="UNTREF"/>
    <n v="11657.4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MONTENEGRO  CARLOS MARCELO"/>
    <s v="DNI"/>
    <n v="36560622"/>
    <s v="20365606227"/>
    <d v="1991-12-29T00:00:00"/>
    <s v="ASISTENCIA TÉCNICA"/>
    <s v="AT"/>
    <d v="2013-07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MONTENEGRO  JOSE MAXIMILANO"/>
    <s v="DNI"/>
    <n v="35713189"/>
    <s v="20357131899"/>
    <d v="1990-06-29T00:00:00"/>
    <s v="ASISTENCIA TÉCNICA"/>
    <s v="AT"/>
    <d v="2014-07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m/>
    <m/>
    <m/>
    <s v="PRIVADA"/>
    <s v="ADMINISTRATIVO"/>
    <m/>
    <s v="TECNOPOLIS"/>
    <s v="MONTERO FLORENCIA"/>
    <s v="DNI"/>
    <n v="92565540"/>
    <n v="27925655401"/>
    <d v="1981-11-05T00:00:00"/>
    <s v="ASISTENCIA TÉCNICA"/>
    <s v="AT"/>
    <d v="2016-03-01T00:00:00"/>
    <m/>
    <d v="2016-12-31T00:00:00"/>
    <m/>
    <s v="UNTREF"/>
    <m/>
    <n v="15000"/>
  </r>
  <r>
    <s v="SFMyCP"/>
    <x v="2"/>
    <m/>
    <s v="UNIDAD SECRETARÍA"/>
    <m/>
    <m/>
    <m/>
    <m/>
    <s v="ADMINISTRATIVO"/>
    <m/>
    <s v="CCK - Alem 351"/>
    <s v="MONTES ANA LAURA"/>
    <s v="DNI"/>
    <n v="18752447"/>
    <n v="23187524474"/>
    <d v="1970-08-27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DIR NAC EXPRESIONES FEDERALES"/>
    <s v="TECNICA"/>
    <m/>
    <m/>
    <m/>
    <s v="ADMINISTRATIVO"/>
    <m/>
    <s v="CCK - Alem 351"/>
    <s v="MONTES DE OCA YESICA"/>
    <s v="DNI"/>
    <n v="33017958"/>
    <n v="27330179584"/>
    <d v="1987-04-14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MONTES ROJAS MICAELA"/>
    <s v="DNI"/>
    <n v="32359444"/>
    <s v="27323594444"/>
    <d v="1986-04-30T00:00:00"/>
    <s v="ASISTENCIA TÉCNICA"/>
    <s v="AT"/>
    <d v="2012-04-23T00:00:00"/>
    <m/>
    <d v="2016-12-31T00:00:00"/>
    <m/>
    <s v="UNTREF"/>
    <s v="UNSAM- LADA"/>
    <n v="18168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MONZON ROCIO MACARENA"/>
    <s v="DNI"/>
    <n v="39696295"/>
    <n v="27396962956"/>
    <d v="1996-07-19T00:00:00"/>
    <s v="ASISTENCIA TÉCNICA"/>
    <s v="AT"/>
    <d v="2016-05-15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MOÑINO ALEJO"/>
    <s v="DNI"/>
    <n v="26580860"/>
    <s v="20265808604"/>
    <d v="1977-12-24T00:00:00"/>
    <s v="ASISTENCIA TÉCNICA"/>
    <s v="AT"/>
    <d v="2010-10-01T00:00:00"/>
    <m/>
    <d v="2016-12-31T00:00:00"/>
    <m/>
    <s v="UNTREF"/>
    <s v="UNSAM- LADA"/>
    <n v="28909"/>
  </r>
  <r>
    <s v="SFMyCP"/>
    <x v="0"/>
    <s v="SUBSEC CENTROS TEMATICOS Y EXP FEDERALES"/>
    <s v="DIR NAC EXPRESIONES FEDERALES"/>
    <m/>
    <m/>
    <m/>
    <s v="ASISTENTE COORD SUR"/>
    <s v="ADMINISTRATIVO"/>
    <m/>
    <s v="CCK - Alem 351"/>
    <s v="MORADO MARIA CLAUDIA"/>
    <s v="DNI"/>
    <n v="13275295"/>
    <n v="27132752953"/>
    <d v="1957-05-10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INV. AP. RECURSOS DIGITALES"/>
    <s v="CTRO INV PALPALA"/>
    <m/>
    <s v="ANIMACION"/>
    <s v="ANALISTA"/>
    <s v="PALPALÁ-JUJUY"/>
    <s v="PALPALÁ-JUJUY"/>
    <s v="MORALES GOMEZ JIMENA MAGALÍ"/>
    <s v="DNI"/>
    <n v="32930419"/>
    <n v="27329304197"/>
    <d v="1987-02-12T00:00:00"/>
    <s v="ASISTENCIA TÉCNICA"/>
    <s v="AT"/>
    <d v="2015-09-01T00:00:00"/>
    <m/>
    <d v="2016-12-31T00:00:00"/>
    <m/>
    <s v="UNTREF"/>
    <s v="UNSAM"/>
    <n v="8000"/>
  </r>
  <r>
    <s v="SFMyCP"/>
    <x v="1"/>
    <m/>
    <s v="DIR GRAL TECNICA ADMINISTRATIVA Y LEGAL"/>
    <s v="COMPRAS Y CONTRATACIONES"/>
    <m/>
    <m/>
    <s v="Analista"/>
    <s v="ADMINISTRATIVO"/>
    <m/>
    <s v="CCK - Alem 351"/>
    <s v="MORAN MELINA"/>
    <s v="DNI"/>
    <n v="30277471"/>
    <s v="23302774714"/>
    <d v="1983-05-16T00:00:00"/>
    <s v="ASISTENCIA TÉCNICA"/>
    <s v="AT"/>
    <d v="2016-05-02T00:00:00"/>
    <m/>
    <d v="2016-12-31T00:00:00"/>
    <m/>
    <s v="UNTREF"/>
    <m/>
    <s v="."/>
  </r>
  <r>
    <s v="SFMyCP"/>
    <x v="0"/>
    <s v="SUBSEC CENTROS TEMATICOS Y EXP FEDERALES"/>
    <s v="DIRECCION NACIONAL DE CENTROS TEMATICOS"/>
    <s v="INTENDENCIA - LIMPIEZA"/>
    <m/>
    <m/>
    <m/>
    <s v="ENCARGADO DE LIMPIEZA"/>
    <s v="TECNÓPOLIS"/>
    <s v="TECNOPOLIS"/>
    <s v="MORENO  VERA TEODORA"/>
    <s v="DNI"/>
    <n v="94654784"/>
    <s v="27946547846"/>
    <d v="1979-09-17T00:00:00"/>
    <s v="ASISTENCIA TÉCNICA"/>
    <s v="AT"/>
    <d v="2011-12-01T00:00:00"/>
    <m/>
    <d v="2016-12-31T00:00:00"/>
    <m/>
    <s v="UNTREF"/>
    <s v="UNTREF"/>
    <n v="13079.52"/>
  </r>
  <r>
    <s v="SFMyCP"/>
    <x v="1"/>
    <m/>
    <s v="DIR GRAL TECNICA ADMINISTRATIVA Y LEGAL"/>
    <s v="PLANIF  Y ADM DE REC HUMANOS"/>
    <s v="MEDICINA DEL TRABAJO"/>
    <m/>
    <s v="Enfermera/o"/>
    <s v="ADMINISTRATIVO"/>
    <m/>
    <s v="CCK - Alem 351"/>
    <s v="MORENO KARINA MERCEDES"/>
    <s v="DNI"/>
    <n v="28618309"/>
    <m/>
    <d v="1981-01-20T00:00:00"/>
    <s v="ASISTENCIA TÉCNICA"/>
    <s v="AT"/>
    <d v="2016-07-14T00:00:00"/>
    <m/>
    <d v="2016-12-31T00:00:00"/>
    <m/>
    <s v="UNTREF"/>
    <m/>
    <m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MORENO MARIA LAURA"/>
    <s v="DNI"/>
    <n v="32575288"/>
    <n v="27325752888"/>
    <d v="1986-09-24T00:00:00"/>
    <s v="ASISTENCIA TÉCNICA"/>
    <s v="CO"/>
    <m/>
    <m/>
    <d v="2016-12-31T00:00:00"/>
    <m/>
    <s v="UNTREF"/>
    <s v="UNTREF"/>
    <n v="1700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MORENO MELISA"/>
    <s v="DNI"/>
    <n v="29130054"/>
    <s v="27291300540"/>
    <d v="1982-01-13T00:00:00"/>
    <s v="ASISTENCIA TÉCNICA"/>
    <s v="AT"/>
    <d v="2013-09-16T00:00:00"/>
    <m/>
    <d v="2016-12-31T00:00:00"/>
    <m/>
    <s v="UNTREF"/>
    <s v="UNSAM- LADA"/>
    <n v="24060"/>
  </r>
  <r>
    <s v="SFMyCP"/>
    <x v="0"/>
    <s v="SUBSEC CENTROS TEMATICOS Y EXP FEDERALES"/>
    <s v="DIRECCION NACIONAL DE CENTROS TEMATICOS"/>
    <s v="INTENDENCIA - MESA DE AYUDA"/>
    <m/>
    <m/>
    <m/>
    <m/>
    <s v="TECNÓPOLIS"/>
    <m/>
    <s v="MOREYRA EDUARDO HERNAN"/>
    <s v="DNI"/>
    <n v="35561238"/>
    <n v="20355612385"/>
    <m/>
    <s v="LEY MARCO"/>
    <s v="LM"/>
    <d v="2013-04-01T00:00:00"/>
    <d v="2016-03-31T00:00:00"/>
    <d v="2016-12-31T00:00:00"/>
    <s v="C0"/>
    <m/>
    <m/>
    <n v="17074"/>
  </r>
  <r>
    <s v="SFMyCP"/>
    <x v="0"/>
    <s v="SUBSEC CENTROS TEMATICOS Y EXP FEDERALES"/>
    <s v="DIRECCION NACIONAL DE CENTROS TEMATICOS"/>
    <s v="INTENDENCIA - PREDIO FERIAL"/>
    <m/>
    <m/>
    <m/>
    <m/>
    <s v="TECNÓPOLIS"/>
    <m/>
    <s v="MOREYRA MARTIN EZEQUIEL"/>
    <s v="DNI"/>
    <n v="33258936"/>
    <n v="23332589369"/>
    <m/>
    <s v="LEY MARCO"/>
    <s v="LM"/>
    <d v="2012-07-01T00:00:00"/>
    <d v="2016-12-31T00:00:00"/>
    <d v="2016-12-31T00:00:00"/>
    <s v="D1"/>
    <m/>
    <m/>
    <n v="16053"/>
  </r>
  <r>
    <s v="SFMyCP"/>
    <x v="0"/>
    <s v="SUBSEC CENTROS TEMATICOS Y EXP FEDERALES"/>
    <s v="DIR NAC EXPRESIONES FEDERALES"/>
    <s v="PRODUCCIÓN"/>
    <s v="TECNICA"/>
    <m/>
    <s v="Analista"/>
    <m/>
    <s v="CCK"/>
    <m/>
    <s v="MORRONE LUCRECIA IVANA"/>
    <s v="DNI"/>
    <n v="29393244"/>
    <n v="27293932447"/>
    <m/>
    <s v="LEY MARCO"/>
    <s v="LM"/>
    <d v="2015-06-01T00:00:00"/>
    <d v="2016-03-31T00:00:00"/>
    <d v="2016-12-31T00:00:00"/>
    <s v="B1"/>
    <m/>
    <m/>
    <n v="20266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MOYA  JUAN ABEL"/>
    <s v="DNI"/>
    <n v="32842913"/>
    <s v="20328429137"/>
    <d v="1987-01-22T00:00:00"/>
    <s v="ASISTENCIA TÉCNICA"/>
    <s v="AT"/>
    <d v="2014-07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MOYA  PATRICIA"/>
    <s v="DNI"/>
    <n v="28628292"/>
    <s v="27286282925"/>
    <d v="1981-02-18T00:00:00"/>
    <s v="ASISTENCIA TÉCNICA"/>
    <s v="AT"/>
    <d v="2014-10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DIRECCION"/>
    <m/>
    <m/>
    <s v="Director"/>
    <m/>
    <m/>
    <m/>
    <s v="MOZZI GUSTAVO"/>
    <s v="DNI"/>
    <m/>
    <m/>
    <m/>
    <m/>
    <m/>
    <m/>
    <m/>
    <d v="2016-12-31T00:00:00"/>
    <m/>
    <m/>
    <m/>
    <s v="."/>
  </r>
  <r>
    <s v="SFMyCP"/>
    <x v="0"/>
    <s v="SUBSEC CENTROS TEMATICOS Y EXP FEDERALES"/>
    <s v="DIR NAC EXPRESIONES FEDERALES"/>
    <m/>
    <m/>
    <m/>
    <s v="ASISTENTE COORD NORTE"/>
    <s v="ADMINISTRATIVO"/>
    <m/>
    <s v="CCK - Alem 351"/>
    <s v="MUINELLO NORMA"/>
    <s v="DNI"/>
    <n v="6410816"/>
    <n v="27064108161"/>
    <d v="1950-11-16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AUDIOVISUALES"/>
    <m/>
    <m/>
    <m/>
    <s v="ADMINISTRATIVO"/>
    <m/>
    <s v="CCK - Alem 351"/>
    <s v="MUIÑO JUAN PABLO"/>
    <s v="DNI"/>
    <n v="24569258"/>
    <n v="20245692588"/>
    <d v="1975-06-26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PRODUCCIÓN"/>
    <m/>
    <m/>
    <m/>
    <s v="ADMINISTRATIVA"/>
    <m/>
    <s v="CCK - Alem 351"/>
    <s v="MUJICA JULIAN"/>
    <s v="DNI"/>
    <n v="20294419"/>
    <s v="20202944192"/>
    <d v="1968-11-06T00:00:00"/>
    <s v="ASISTENCIA TÉCNICA"/>
    <s v="AT"/>
    <d v="2016-04-01T00:00:00"/>
    <m/>
    <d v="2016-12-31T00:00:00"/>
    <m/>
    <s v="UNTREF"/>
    <m/>
    <n v="20000"/>
  </r>
  <r>
    <s v="SFMyCP"/>
    <x v="1"/>
    <m/>
    <m/>
    <m/>
    <m/>
    <m/>
    <m/>
    <m/>
    <m/>
    <m/>
    <s v="EGNER SERGIO DANIEL"/>
    <s v="DNI"/>
    <n v="24170797"/>
    <n v="20241707971"/>
    <d v="1974-09-24T00:00:00"/>
    <s v="ASISTENCIA TÉCNICA"/>
    <s v="AT"/>
    <d v="2016-08-01T00:00:00"/>
    <m/>
    <d v="2016-12-31T00:00:00"/>
    <m/>
    <m/>
    <m/>
    <m/>
  </r>
  <r>
    <s v="SFMyCP"/>
    <x v="1"/>
    <m/>
    <m/>
    <m/>
    <m/>
    <m/>
    <m/>
    <m/>
    <m/>
    <m/>
    <s v="DIAZ WLODKOWSKI JANO"/>
    <s v="DNI"/>
    <n v="36791184"/>
    <n v="20367911847"/>
    <d v="1992-01-09T00:00:00"/>
    <s v="ASISTENCIA TÉCNICA"/>
    <s v="AT"/>
    <d v="2016-08-01T00:00:00"/>
    <m/>
    <d v="2016-12-31T00:00:00"/>
    <m/>
    <m/>
    <m/>
    <m/>
  </r>
  <r>
    <s v="SFMyCP"/>
    <x v="1"/>
    <m/>
    <m/>
    <m/>
    <m/>
    <m/>
    <m/>
    <m/>
    <m/>
    <m/>
    <s v="FONTANA JUAN CARLOS"/>
    <s v="DNI"/>
    <n v="8557802"/>
    <n v="20085578023"/>
    <d v="1951-03-11T00:00:00"/>
    <s v="ASISTENCIA TÉCNICA"/>
    <s v="AT"/>
    <d v="2016-08-01T00:00:00"/>
    <m/>
    <d v="2016-09-30T00:00:00"/>
    <m/>
    <m/>
    <m/>
    <m/>
  </r>
  <r>
    <s v="SFMyCP"/>
    <x v="1"/>
    <m/>
    <m/>
    <m/>
    <m/>
    <m/>
    <m/>
    <m/>
    <m/>
    <m/>
    <s v="FERRARI GRACIELA CARMEN"/>
    <s v="DNI"/>
    <n v="29497455"/>
    <n v="27294974550"/>
    <d v="1982-06-14T00:00:00"/>
    <s v="ASISTENCIA TÉCNICA"/>
    <s v="AT"/>
    <d v="2016-08-01T00:00:00"/>
    <m/>
    <d v="2016-12-31T00:00:00"/>
    <m/>
    <m/>
    <m/>
    <m/>
  </r>
  <r>
    <s v="SFMyCP"/>
    <x v="1"/>
    <m/>
    <m/>
    <m/>
    <m/>
    <m/>
    <m/>
    <m/>
    <m/>
    <m/>
    <s v="SOTO CLAUDIA"/>
    <s v="DNI"/>
    <n v="16345393"/>
    <n v="27163453938"/>
    <d v="1963-01-14T00:00:00"/>
    <s v="ASISTENCIA TÉCNICA"/>
    <s v="AT"/>
    <d v="2016-08-01T00:00:00"/>
    <m/>
    <d v="2016-12-30T00:00:00"/>
    <m/>
    <m/>
    <m/>
    <m/>
  </r>
  <r>
    <s v="SFMyCP"/>
    <x v="0"/>
    <m/>
    <s v="COMUNICACIONES"/>
    <s v="COMUNICACIÓN"/>
    <m/>
    <m/>
    <s v="DIRECTOR"/>
    <s v="ADMINISTRATIVO"/>
    <m/>
    <s v="CCK - Alem 351"/>
    <s v="MUÑIZ, GONZALO"/>
    <s v="DNI"/>
    <n v="29040298"/>
    <s v="20290402981"/>
    <d v="1981-09-01T00:00:00"/>
    <s v="ASISTENCIA TÉCNICA"/>
    <s v="AT"/>
    <d v="2016-01-01T00:00:00"/>
    <m/>
    <d v="2016-12-31T00:00:00"/>
    <m/>
    <s v="UNTREF"/>
    <s v="UNSAM"/>
    <n v="36000"/>
  </r>
  <r>
    <s v="SFMyCP"/>
    <x v="0"/>
    <m/>
    <s v="DIR NAC GENERACION DE CONTENIDOS"/>
    <s v="TELEVISION DIGITAL ABIERTA"/>
    <s v="CIARA"/>
    <m/>
    <s v="PRODUCCIÓN"/>
    <s v="PAÑOL"/>
    <s v="CABILDO 65"/>
    <s v="CABILDO 65"/>
    <s v="MUÑOZ VICTOR"/>
    <s v="DNI"/>
    <n v="30411280"/>
    <s v="20304112809"/>
    <d v="1983-07-16T00:00:00"/>
    <s v="ASISTENCIA TÉCNICA"/>
    <s v="AT"/>
    <d v="2015-02-02T00:00:00"/>
    <m/>
    <d v="2016-12-31T00:00:00"/>
    <m/>
    <s v="UNTREF"/>
    <s v="UNSAM- LADA"/>
    <n v="15234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NANYO FEDERICO"/>
    <s v="DNI"/>
    <n v="28644032"/>
    <s v="20286440321"/>
    <d v="1980-12-03T00:00:00"/>
    <s v="ASISTENCIA TÉCNICA"/>
    <s v="AT"/>
    <d v="2013-03-01T00:00:00"/>
    <m/>
    <d v="2016-12-31T00:00:00"/>
    <m/>
    <s v="UNTREF"/>
    <m/>
    <n v="20959"/>
  </r>
  <r>
    <s v="SFMyCP"/>
    <x v="0"/>
    <m/>
    <s v="DIR NAC GENERACION DE CONTENIDOS"/>
    <s v="TELEVISION DIGITAL ABIERTA"/>
    <s v="CIARA"/>
    <m/>
    <s v="TÉCNICA Y TRANSMISIÓN"/>
    <s v="PRODUCTOR de EXTERIORES"/>
    <s v="CABILDO 65"/>
    <s v="CABILDO 65"/>
    <s v="NAVEIRA OSCAR"/>
    <s v="DNI"/>
    <n v="23426521"/>
    <s v="20234265211"/>
    <d v="1973-11-12T00:00:00"/>
    <s v="ASISTENCIA TÉCNICA"/>
    <s v="AT"/>
    <d v="2010-04-20T00:00:00"/>
    <m/>
    <d v="2016-12-31T00:00:00"/>
    <m/>
    <s v="UNTREF"/>
    <s v="UNSAM- LADA"/>
    <n v="16465"/>
  </r>
  <r>
    <s v="SFMyCP"/>
    <x v="0"/>
    <s v="SUBSEC CENTROS TEMATICOS Y EXP FEDERALES"/>
    <s v="UNIDAD SUBSECRETARIO"/>
    <m/>
    <m/>
    <m/>
    <s v="PRIVADA"/>
    <s v="ADMINISTRATIVO"/>
    <m/>
    <s v="CCK - Alem 351"/>
    <s v="NEYRA CATALINA"/>
    <s v="DNI"/>
    <n v="34203786"/>
    <n v="27342037866"/>
    <d v="1988-12-26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NIELSEN, OSCAR"/>
    <s v="DNI"/>
    <n v="14156490"/>
    <n v="20141564901"/>
    <d v="1960-02-11T00:00:00"/>
    <s v="ASISTENCIA TÉCNICA"/>
    <s v="AT"/>
    <d v="2016-01-01T00:00:00"/>
    <m/>
    <d v="2016-12-31T00:00:00"/>
    <m/>
    <s v="UNTREF"/>
    <s v="UNSAM"/>
    <n v="27370"/>
  </r>
  <r>
    <s v="SFMyCP"/>
    <x v="0"/>
    <m/>
    <s v="DIR NAC GENERACION DE CONTENIDOS"/>
    <s v="TELEVISION DIGITAL ABIERTA"/>
    <s v="CIARA"/>
    <m/>
    <s v="ACUA FEDERAL"/>
    <s v="ADMINISTRATIVO"/>
    <s v="CABILDO 65"/>
    <s v="CABILDO 65"/>
    <s v="NIETO JULIETA"/>
    <s v="DNI"/>
    <n v="31425968"/>
    <s v="27314259683"/>
    <d v="1985-03-14T00:00:00"/>
    <s v="ASISTENCIA TÉCNICA"/>
    <s v="AT"/>
    <d v="2012-05-01T00:00:00"/>
    <m/>
    <d v="2016-12-31T00:00:00"/>
    <m/>
    <s v="UNTREF"/>
    <s v="UNSAM- LADA"/>
    <n v="7680"/>
  </r>
  <r>
    <s v="SFMyCP"/>
    <x v="0"/>
    <s v="SUBSEC CENTROS TEMATICOS Y EXP FEDERALES"/>
    <s v="DIRECCION NACIONAL DE CENTROS TEMATICOS"/>
    <s v="GASTRONOMIA"/>
    <m/>
    <m/>
    <s v="COCINA"/>
    <s v="SUPERVISIÓN DEL ESTADO DE MODULOS GASTRONOMICOS INTERIOR Y EXTERIOR"/>
    <s v="TECNÓPOLIS"/>
    <s v="TECNOPOLIS"/>
    <s v="NIEVAS  SERGIO ALEJANDRO"/>
    <s v="DNI"/>
    <n v="31725315"/>
    <n v="20317253150"/>
    <d v="1985-07-04T00:00:00"/>
    <s v="ASISTENCIA TÉCNICA"/>
    <s v="AT"/>
    <d v="2015-05-01T00:00:00"/>
    <m/>
    <d v="2016-12-31T00:00:00"/>
    <m/>
    <s v="UNTREF"/>
    <s v="UNTREF"/>
    <n v="18000"/>
  </r>
  <r>
    <s v="SFMyCP"/>
    <x v="0"/>
    <s v="SUBSEC CENTROS TEMATICOS Y EXP FEDERALES"/>
    <s v="DIR NAC EXPRESIONES FEDERALES"/>
    <s v="INSTITUCIONALES"/>
    <m/>
    <m/>
    <m/>
    <s v="ADMINISTRATIVO"/>
    <m/>
    <s v="CCK - Alem 351"/>
    <s v="NOBILO GRACIELA"/>
    <s v="DNI"/>
    <n v="14106221"/>
    <s v="27141062218"/>
    <d v="1960-06-03T00:00:00"/>
    <s v="ASISTENCIA TÉCNICA"/>
    <s v="AT"/>
    <m/>
    <m/>
    <d v="2016-12-31T00:00:00"/>
    <m/>
    <s v="UNTREF"/>
    <m/>
    <n v="15000"/>
  </r>
  <r>
    <s v="SFMyCP"/>
    <x v="1"/>
    <m/>
    <s v="UNIDAD DE MINISTRO"/>
    <m/>
    <m/>
    <m/>
    <s v="PRIVADA"/>
    <s v="ADMINISTRATIVO"/>
    <m/>
    <s v="CCK - Alem 351"/>
    <s v="NOVIK, FLORENCIA"/>
    <s v="DNI"/>
    <n v="30742365"/>
    <n v="27307423656"/>
    <d v="1983-12-30T00:00:00"/>
    <s v="ASISTENCIA TÉCNICA"/>
    <s v="AT"/>
    <d v="2016-01-01T00:00:00"/>
    <m/>
    <d v="2016-12-31T00:00:00"/>
    <m/>
    <s v="UNTREF"/>
    <s v="UNSAM"/>
    <n v="27370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NOVILLO IGNACIO "/>
    <s v="DNI"/>
    <n v="26844495"/>
    <s v="20268444956"/>
    <d v="1978-10-10T00:00:00"/>
    <s v="ASISTENCIA TÉCNICA"/>
    <s v="AT"/>
    <d v="2011-08-01T00:00:00"/>
    <m/>
    <d v="2016-12-31T00:00:00"/>
    <m/>
    <s v="UNTREF"/>
    <m/>
    <n v="24060"/>
  </r>
  <r>
    <s v="SFMyCP"/>
    <x v="0"/>
    <s v="SUBSEC CENTROS TEMATICOS Y EXP FEDERALES"/>
    <s v="UNIDAD SUBSECRETARIO"/>
    <m/>
    <m/>
    <m/>
    <s v="PRIVADA"/>
    <s v="ADMINISTRATIVO"/>
    <m/>
    <s v="CCK - Alem 351"/>
    <s v="NOVOTNY YANINA"/>
    <s v="DNI"/>
    <n v="23764787"/>
    <n v="23237647874"/>
    <d v="1974-12-02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NUÑEZ  CELIA NOEMI"/>
    <s v="DNI"/>
    <n v="17972399"/>
    <s v="27179723994"/>
    <d v="1966-03-11T00:00:00"/>
    <s v="ASISTENCIA TÉCNICA"/>
    <s v="AT"/>
    <d v="2013-07-01T00:00:00"/>
    <m/>
    <d v="2016-12-31T00:00:00"/>
    <m/>
    <s v="UNTREF"/>
    <s v="UNTREF"/>
    <n v="9995.51"/>
  </r>
  <r>
    <s v="SFMyCP"/>
    <x v="0"/>
    <s v="SUBSEC CENTROS TEMATICOS Y EXP FEDERALES"/>
    <s v="UNIDAD SUBSECRETARIO"/>
    <m/>
    <m/>
    <m/>
    <s v="Secretaria"/>
    <s v="Secretaria"/>
    <s v="CCK"/>
    <s v="CCK - Alem 351"/>
    <s v="NUÑEZ MARÍA GABRIELA"/>
    <s v="DNI"/>
    <n v="38464250"/>
    <s v="27384642506"/>
    <d v="1994-08-02T00:00:00"/>
    <s v="ASISTENCIA TÉCNICA"/>
    <s v="AT"/>
    <d v="2015-08-01T00:00:00"/>
    <m/>
    <d v="2016-12-31T00:00:00"/>
    <m/>
    <s v="UNTREF"/>
    <s v="UNLAM- BICENTENARIO"/>
    <n v="10096"/>
  </r>
  <r>
    <s v="SFMyCP"/>
    <x v="0"/>
    <s v="SUBSEC CENTROS TEMATICOS Y EXP FEDERALES"/>
    <s v="DIR NAC EXPRESIONES FEDERALES"/>
    <s v="INSTITUCIONALES"/>
    <m/>
    <m/>
    <s v="Asistente funcional"/>
    <s v="asistente funcional"/>
    <s v="CCK"/>
    <s v="CCK - Alem 351"/>
    <s v="ÑAMANDÚ FACUNDO"/>
    <s v="DNI"/>
    <n v="38176579"/>
    <s v="20381765793"/>
    <d v="1994-06-07T00:00:00"/>
    <s v="ASISTENCIA TÉCNICA"/>
    <s v="AT"/>
    <d v="2014-03-01T00:00:00"/>
    <m/>
    <d v="2016-12-31T00:00:00"/>
    <m/>
    <s v="UNTREF"/>
    <s v="UNLAM- FUSION"/>
    <n v="10614"/>
  </r>
  <r>
    <s v="SFMyCP"/>
    <x v="1"/>
    <m/>
    <s v="DIR GRAL TECNICA ADMINISTRATIVA Y LEGAL"/>
    <s v="PRESUPUESTO"/>
    <m/>
    <m/>
    <s v="Analista"/>
    <m/>
    <m/>
    <m/>
    <s v="OCHOA GERMAN EMILIANO"/>
    <s v="DNI"/>
    <n v="30724860"/>
    <n v="20307249600"/>
    <m/>
    <s v="LEY MARCO"/>
    <s v="LM"/>
    <d v="2013-12-01T00:00:00"/>
    <m/>
    <d v="2016-12-31T00:00:00"/>
    <s v="B1"/>
    <m/>
    <m/>
    <m/>
  </r>
  <r>
    <s v="SFMyCP"/>
    <x v="0"/>
    <s v="SUBSEC CENTROS TEMATICOS Y EXP FEDERALES"/>
    <s v="DIR NAC EXPRESIONES FEDERALES"/>
    <s v="DIRECCION DE GESTION EDILICIA"/>
    <s v="SEGURIDAD  "/>
    <m/>
    <s v="ASISTENTE"/>
    <s v="ASISTENTE"/>
    <s v="CCK"/>
    <s v="CCK - Alem 351"/>
    <s v="OCHOA, SERGIO MIGUEL"/>
    <s v="DNI"/>
    <n v="16965144"/>
    <s v="20169651443"/>
    <d v="1964-07-26T00:00:00"/>
    <s v="ASISTENCIA TÉCNICA"/>
    <s v="AT"/>
    <d v="2015-08-01T00:00:00"/>
    <m/>
    <d v="2016-12-31T00:00:00"/>
    <m/>
    <s v="UNTREF"/>
    <s v="UNLAM- BICENTENARIO"/>
    <n v="10900"/>
  </r>
  <r>
    <s v="SFMyCP"/>
    <x v="0"/>
    <s v="SUBSEC CENTROS TEMATICOS Y EXP FEDERALES"/>
    <s v="DIRECCION NACIONAL DE CENTROS TEMATICOS"/>
    <s v="INTENDENCIA - LIMPIEZA"/>
    <m/>
    <m/>
    <m/>
    <m/>
    <s v="TECNÓPOLIS"/>
    <m/>
    <s v="OLIVA ALDANA GIMENA"/>
    <s v="DNI"/>
    <n v="32911473"/>
    <n v="27329114738"/>
    <m/>
    <s v="LEY MARCO"/>
    <s v="LM"/>
    <d v="2011-07-01T00:00:00"/>
    <d v="2016-12-31T00:00:00"/>
    <d v="2016-12-31T00:00:00"/>
    <s v="D0"/>
    <m/>
    <m/>
    <n v="15679.55"/>
  </r>
  <r>
    <s v="SFMyCP"/>
    <x v="0"/>
    <m/>
    <s v="DIR NAC GENERACION DE CONTENIDOS"/>
    <s v="TELEVISION DIGITAL ABIERTA"/>
    <s v="CIARA"/>
    <m/>
    <m/>
    <s v="PRODUCTOR de EXTERIORES"/>
    <s v="CABILDO 65"/>
    <s v="CABILDO 65"/>
    <s v="OLIVA JUAN"/>
    <s v="DNI"/>
    <n v="39372456"/>
    <n v="20393724561"/>
    <d v="1996-01-09T00:00:00"/>
    <s v="ASISTENCIA TÉCNICA"/>
    <s v="AT"/>
    <d v="2015-08-01T00:00:00"/>
    <m/>
    <d v="2016-12-31T00:00:00"/>
    <m/>
    <s v="UNTREF"/>
    <s v="UNSAM- LADA"/>
    <n v="14027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OLIVA MARTIN"/>
    <s v="DNI"/>
    <n v="33486041"/>
    <s v="20334860419"/>
    <d v="1987-12-09T00:00:00"/>
    <s v="ASISTENCIA TÉCNICA"/>
    <s v="AT"/>
    <d v="2013-06-13T00:00:00"/>
    <m/>
    <d v="2016-12-31T00:00:00"/>
    <m/>
    <s v="UNTREF"/>
    <m/>
    <n v="18795"/>
  </r>
  <r>
    <s v="SFMyCP"/>
    <x v="0"/>
    <s v="SUBSEC CENTROS TEMATICOS Y EXP FEDERALES"/>
    <s v="UNIDAD SUBSECRETARIO"/>
    <m/>
    <m/>
    <m/>
    <s v="PRIVADA"/>
    <s v="ADMINISTRATIVO"/>
    <m/>
    <s v="CCK - Alem 351"/>
    <s v="OLIVA VELEZ MANUEL"/>
    <s v="DNI"/>
    <n v="30335285"/>
    <n v="20303352857"/>
    <d v="1983-06-12T00:00:00"/>
    <s v="ASISTENCIA TÉCNICA"/>
    <s v="AT"/>
    <m/>
    <m/>
    <d v="2016-12-31T00:00:00"/>
    <m/>
    <s v="UNTREF"/>
    <m/>
    <m/>
  </r>
  <r>
    <s v="SFMyCP"/>
    <x v="0"/>
    <m/>
    <s v="DIR NAC GENERACION DE CONTENIDOS"/>
    <m/>
    <m/>
    <m/>
    <m/>
    <s v="ADMINISTRATIVO"/>
    <m/>
    <s v="CCK - Alem 351"/>
    <s v="OLOCCO, LEANDRO"/>
    <s v="DNI"/>
    <n v="31041736"/>
    <s v="20310417360"/>
    <d v="1984-06-28T00:00:00"/>
    <s v="ASISTENCIA TÉCNICA"/>
    <s v="AT"/>
    <d v="2016-01-01T00:00:00"/>
    <m/>
    <d v="2016-12-31T00:00:00"/>
    <m/>
    <s v="UNTREF"/>
    <s v="UNSAM"/>
    <n v="36000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ONS MAXIMILIANO"/>
    <s v="DNI"/>
    <n v="32823856"/>
    <s v="20328238560"/>
    <d v="1987-01-28T00:00:00"/>
    <s v="ASISTENCIA TÉCNICA"/>
    <s v="AT"/>
    <d v="2011-07-01T00:00:00"/>
    <m/>
    <d v="2016-12-31T00:00:00"/>
    <m/>
    <s v="UNTREF"/>
    <s v="UNSAM- LADA"/>
    <n v="21683"/>
  </r>
  <r>
    <s v="SFMyCP"/>
    <x v="1"/>
    <m/>
    <s v="DIR GRAL TECNICA ADMINISTRATIVA Y LEGAL"/>
    <s v="MESA DE ENTRADA"/>
    <m/>
    <m/>
    <s v="Responsable"/>
    <s v="Administrativo"/>
    <s v="CCK"/>
    <s v="CCK - Alem 351"/>
    <s v="ORLANDO PABLO MARTIN"/>
    <s v="DNI"/>
    <n v="24756319"/>
    <s v="23247563199"/>
    <d v="1976-01-14T00:00:00"/>
    <s v="ASISTENCIA TÉCNICA"/>
    <s v="AT"/>
    <d v="2015-07-12T00:00:00"/>
    <m/>
    <d v="2016-12-31T00:00:00"/>
    <m/>
    <s v="UNTREF"/>
    <s v="UNLAM -TDA"/>
    <n v="17098"/>
  </r>
  <r>
    <s v="SFMyCP"/>
    <x v="0"/>
    <m/>
    <s v="COMUNICACIONES"/>
    <s v="COMUNICACIÓN"/>
    <m/>
    <m/>
    <m/>
    <s v="ADMINISTRATIVO"/>
    <m/>
    <s v="CCK - Alem 351"/>
    <s v="ORTEGA VINCENT"/>
    <s v="DNI"/>
    <n v="36931486"/>
    <n v="20369314867"/>
    <d v="1992-08-17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m/>
    <m/>
    <m/>
    <s v="PRIVADA"/>
    <s v="ADMINISTRATIVO"/>
    <m/>
    <s v="TECNOPOLIS"/>
    <s v="ORTIZ FRANK NICOLAS"/>
    <s v="DNI"/>
    <n v="33672652"/>
    <n v="20336726523"/>
    <d v="1998-03-29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SERVICIOS GENERALES"/>
    <m/>
    <m/>
    <s v="Asistente"/>
    <m/>
    <s v="CCK - Alem 351"/>
    <s v="ORTIZ JOANA DENISSE"/>
    <s v="DNI"/>
    <n v="34417823"/>
    <s v="27344178238"/>
    <d v="1989-12-30T00:00:00"/>
    <s v="ASISTENCIA TÉCNICA"/>
    <s v="AT"/>
    <d v="2013-11-01T00:00:00"/>
    <m/>
    <d v="2016-12-31T00:00:00"/>
    <m/>
    <s v="UNTREF"/>
    <m/>
    <n v="9479"/>
  </r>
  <r>
    <s v="SFMyCP"/>
    <x v="0"/>
    <s v="SUBSEC CENTROS TEMATICOS Y EXP FEDERALES"/>
    <s v="DIRECCION NACIONAL DE CENTROS TEMATICOS"/>
    <s v="PRODUCCIÓN"/>
    <m/>
    <m/>
    <m/>
    <m/>
    <s v="TECNÓPOLIS"/>
    <m/>
    <s v="ORTIZ PEREZ PLATA PATRICIO LISANDRO"/>
    <s v="DNI"/>
    <n v="33507251"/>
    <n v="20335072511"/>
    <m/>
    <s v="LEY MARCO"/>
    <s v="LM"/>
    <d v="2010-03-01T00:00:00"/>
    <d v="2016-12-31T00:00:00"/>
    <d v="2016-12-31T00:00:00"/>
    <s v="C1"/>
    <m/>
    <m/>
    <n v="18118.63"/>
  </r>
  <r>
    <s v="SFMyCP"/>
    <x v="0"/>
    <s v="SUBSEC CENTROS TEMATICOS Y EXP FEDERALES"/>
    <s v="DIRECCION NACIONAL DE CENTROS TEMATICOS"/>
    <s v="GASTRONOMIA"/>
    <m/>
    <m/>
    <s v="PRIVADA"/>
    <s v="Coordinador"/>
    <m/>
    <s v="TECNOPOLIS"/>
    <s v="ORZALI GRETA"/>
    <s v="DNI"/>
    <n v="27641729"/>
    <n v="27276417296"/>
    <d v="1979-03-01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DIRECCION NACIONAL DE CENTROS TEMATICOS"/>
    <s v="ARQUITECTURA Y OBRA"/>
    <m/>
    <m/>
    <m/>
    <m/>
    <s v="TECNÓPOLIS"/>
    <m/>
    <s v="OVADIA MARCELO NURY"/>
    <s v="DNI"/>
    <n v="11078343"/>
    <n v="20110783435"/>
    <m/>
    <s v="LEY MARCO"/>
    <s v="LM"/>
    <d v="2012-12-01T00:00:00"/>
    <d v="2016-12-31T00:00:00"/>
    <d v="2016-12-31T00:00:00"/>
    <s v="C0"/>
    <m/>
    <m/>
    <n v="24716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OVEJERO JOSE ALEJANDRO"/>
    <s v="DNI"/>
    <n v="22232165"/>
    <n v="20222321655"/>
    <d v="1971-07-21T00:00:00"/>
    <s v="ASISTENCIA TÉCNICA"/>
    <s v="CO"/>
    <m/>
    <m/>
    <d v="2016-12-31T00:00:00"/>
    <m/>
    <s v="UNTREF"/>
    <s v="UNTREF"/>
    <n v="1700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OYAHARÇABAL JUAN"/>
    <s v="DNI"/>
    <n v="30979332"/>
    <s v="20309793324"/>
    <d v="1984-05-10T00:00:00"/>
    <s v="ASISTENCIA TÉCNICA"/>
    <s v="AT"/>
    <d v="2012-08-01T00:00:00"/>
    <m/>
    <d v="2016-12-31T00:00:00"/>
    <m/>
    <s v="UNTREF"/>
    <m/>
    <n v="21683"/>
  </r>
  <r>
    <s v="SFMyCP"/>
    <x v="0"/>
    <s v="SUBSEC CENTROS TEMATICOS Y EXP FEDERALES"/>
    <s v="DIRECCION NACIONAL DE CENTROS TEMATICOS"/>
    <s v="INTENDENCIA - TALLERES"/>
    <m/>
    <m/>
    <m/>
    <s v="COORDINADOR DE TALLER"/>
    <s v="TECNÓPOLIS"/>
    <s v="TECNOPOLIS"/>
    <s v="OZORIO JUAN BAUTISTA ALBERTO"/>
    <s v="DNI"/>
    <n v="20477882"/>
    <s v="20204778826"/>
    <d v="1968-10-15T00:00:00"/>
    <s v="ASISTENCIA TÉCNICA"/>
    <s v="AT"/>
    <d v="2014-04-01T00:00:00"/>
    <m/>
    <d v="2016-12-31T00:00:00"/>
    <m/>
    <s v="UNTREF"/>
    <s v="UNTREF"/>
    <n v="17567.86"/>
  </r>
  <r>
    <s v="SFMyCP"/>
    <x v="0"/>
    <s v="SUBSEC CENTROS TEMATICOS Y EXP FEDERALES"/>
    <s v="DIRECCION NACIONAL DE CENTROS TEMATICOS"/>
    <s v="INTENDENCIA - TALLERES"/>
    <m/>
    <m/>
    <m/>
    <s v="MANTENIMIENTO GRAL DE GRÁFICA/CONFECCIÓN DE ESTRUCTURAS/COLOCACIÓN VINILO/REPARACIÓN DE ESTRUCTURAS"/>
    <s v="TECNÓPOLIS"/>
    <s v="TECNOPOLIS"/>
    <s v="PACHECO  VICTOR HUGO"/>
    <s v="DNI"/>
    <n v="29018545"/>
    <s v="23290185459"/>
    <d v="1981-07-04T00:00:00"/>
    <s v="ASISTENCIA TÉCNICA"/>
    <s v="AT"/>
    <d v="2014-04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DIRECCION DE GESTION EDILICIA"/>
    <s v="SERVICIOS GENERALES"/>
    <m/>
    <s v="control acceso"/>
    <s v="Auxiliar"/>
    <s v="CCK"/>
    <s v="CCK - Alem 351"/>
    <s v="PACHECO FRANCO"/>
    <s v="DNI"/>
    <n v="37233955"/>
    <s v="20372339552"/>
    <d v="1993-06-07T00:00:00"/>
    <s v="ASISTENCIA TÉCNICA"/>
    <s v="AT"/>
    <d v="2015-08-01T00:00:00"/>
    <m/>
    <d v="2016-12-31T00:00:00"/>
    <m/>
    <s v="UNTREF"/>
    <s v="UNLAM- BICENTENARIO"/>
    <n v="10096"/>
  </r>
  <r>
    <s v="SFMyCP"/>
    <x v="2"/>
    <m/>
    <s v="UNIDAD SECRETARÍA"/>
    <m/>
    <m/>
    <m/>
    <m/>
    <s v="ADMINISTRATIVO"/>
    <m/>
    <s v="CCK - Alem 351"/>
    <s v="PAEZ CRISTIAN"/>
    <s v="DNI"/>
    <n v="23118409"/>
    <m/>
    <d v="1972-12-10T00:00:00"/>
    <s v="ASISTENCIA TÉCNICA"/>
    <s v="AT"/>
    <d v="2016-07-01T00:00:00"/>
    <m/>
    <d v="2016-12-31T00:00:00"/>
    <m/>
    <s v="UNTREF"/>
    <m/>
    <m/>
  </r>
  <r>
    <s v="SFMyCP"/>
    <x v="0"/>
    <m/>
    <s v="UNIDAD SECRETARÍA"/>
    <s v="PROYECTOS ESPECIALES"/>
    <m/>
    <m/>
    <s v="PRIVADA"/>
    <s v="ADMINISTRATIVO"/>
    <m/>
    <s v="CCK - Alem 351"/>
    <s v="PAGES VERONICA"/>
    <s v="DNI"/>
    <n v="20117208"/>
    <n v="27201172085"/>
    <d v="1968-03-02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ADMINISTRACION- RRHH"/>
    <m/>
    <m/>
    <s v="ADMINISTRATIVO"/>
    <s v="COORDINADORA PERSONAL TEMPORARIO"/>
    <s v="TECNÓPOLIS"/>
    <s v="TECNOPOLIS"/>
    <s v="PAGNI MARTA INES"/>
    <s v="DNI"/>
    <n v="6237441"/>
    <s v="27062374417"/>
    <d v="1949-12-26T00:00:00"/>
    <s v="ASISTENCIA TÉCNICA"/>
    <s v="AT"/>
    <d v="2013-06-01T00:00:00"/>
    <m/>
    <d v="2016-12-31T00:00:00"/>
    <m/>
    <s v="UNTREF"/>
    <s v="UNTREF"/>
    <n v="21340.27"/>
  </r>
  <r>
    <s v="SFMyCP"/>
    <x v="0"/>
    <s v="SUBSEC CENTROS TEMATICOS Y EXP FEDERALES"/>
    <s v="DIR NAC EXPRESIONES FEDERALES"/>
    <s v="INSTITUCIONALES"/>
    <m/>
    <m/>
    <s v="Analista"/>
    <m/>
    <s v="CCK"/>
    <m/>
    <s v="PALACIOS DANIELA"/>
    <s v="DNI"/>
    <n v="25065302"/>
    <n v="27250653021"/>
    <m/>
    <s v="LEY MARCO"/>
    <s v="LM"/>
    <d v="2011-02-01T00:00:00"/>
    <d v="2016-12-31T00:00:00"/>
    <d v="2016-12-31T00:00:00"/>
    <s v="B3"/>
    <m/>
    <m/>
    <n v="22828"/>
  </r>
  <r>
    <s v="SFMyCP"/>
    <x v="0"/>
    <m/>
    <s v="COMUNICACIONES"/>
    <s v="COMUNICACIÓN"/>
    <m/>
    <m/>
    <m/>
    <s v="ADMINISTRATIVO"/>
    <m/>
    <s v="CCK - Alem 351"/>
    <s v="PALACIOS LUCIA RUIZ"/>
    <s v="DNI"/>
    <n v="29986135"/>
    <s v="27299861355"/>
    <d v="1982-12-30T00:00:00"/>
    <s v="ASISTENCIA TÉCNICA"/>
    <s v="AT"/>
    <d v="2016-01-01T00:00:00"/>
    <m/>
    <d v="2016-12-31T00:00:00"/>
    <m/>
    <s v="UNTREF"/>
    <m/>
    <n v="15000"/>
  </r>
  <r>
    <s v="SFMyCP"/>
    <x v="1"/>
    <m/>
    <s v="DIR GRAL TECNICA ADMINISTRATIVA Y LEGAL"/>
    <s v="PLANIF  Y ADM DE REC HUMANOS"/>
    <s v="MEDICINA DEL TRABAJO"/>
    <m/>
    <s v="DOCTOR"/>
    <s v="ADMINISTRATIVO"/>
    <m/>
    <s v="CCK - Alem 351"/>
    <s v="PAPPOLLA MARIA CELESTE "/>
    <s v="DNI"/>
    <n v="33435429"/>
    <n v="27334354291"/>
    <d v="1988-02-24T00:00:00"/>
    <s v="ASISTENCIA TÉCNICA"/>
    <s v="AT"/>
    <d v="2016-07-14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BACUA"/>
    <s v="ADMINISTRATIVO"/>
    <s v="CABILDO 65"/>
    <s v="CABILDO 65"/>
    <s v="PARED NATALIA"/>
    <s v="DNI"/>
    <n v="32262741"/>
    <s v="27322627411"/>
    <d v="1986-04-20T00:00:00"/>
    <s v="ASISTENCIA TÉCNICA"/>
    <s v="AT"/>
    <d v="2012-12-01T00:00:00"/>
    <m/>
    <d v="2016-12-31T00:00:00"/>
    <m/>
    <s v="UNTREF"/>
    <s v="UNSAM- LADA"/>
    <n v="16465"/>
  </r>
  <r>
    <s v="SFMyCP"/>
    <x v="0"/>
    <m/>
    <s v="DIR NAC GENERACION DE CONTENIDOS"/>
    <s v="TELEVISION DIGITAL ABIERTA"/>
    <s v="CIARA"/>
    <m/>
    <s v="PANORAMA ARGENTINO"/>
    <s v="ADMINISTRATIVO"/>
    <s v="CABILDO 65"/>
    <s v="CABILDO 65"/>
    <s v="PAREDES FRANCISCO"/>
    <s v="DNI"/>
    <n v="20552687"/>
    <s v="20205526871"/>
    <d v="1968-11-01T00:00:00"/>
    <s v="ASISTENCIA TÉCNICA"/>
    <s v="AT"/>
    <d v="2012-04-23T00:00:00"/>
    <m/>
    <d v="2016-12-31T00:00:00"/>
    <m/>
    <s v="UNTREF"/>
    <s v="UNSAM- LADA"/>
    <n v="23386"/>
  </r>
  <r>
    <s v="SFMyCP"/>
    <x v="0"/>
    <s v="SUBSEC CENTROS TEMATICOS Y EXP FEDERALES"/>
    <s v="UNIDAD SUBSECRETARIO"/>
    <m/>
    <m/>
    <m/>
    <s v="ASISTENTE"/>
    <m/>
    <s v="CCK"/>
    <m/>
    <s v="PARMA TAMARA"/>
    <s v="DNI"/>
    <n v="30800939"/>
    <n v="23308009394"/>
    <m/>
    <s v="LEY MARCO"/>
    <s v="LM"/>
    <d v="2013-12-01T00:00:00"/>
    <d v="2016-03-31T00:00:00"/>
    <d v="2016-12-31T00:00:00"/>
    <s v="B1"/>
    <m/>
    <m/>
    <n v="20266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PARODI ADRIANA NOEMI"/>
    <s v="DNI"/>
    <n v="29871046"/>
    <s v="27298710469"/>
    <d v="1982-06-02T00:00:00"/>
    <s v="ASISTENCIA TÉCNICA"/>
    <s v="AT"/>
    <d v="2014-07-01T00:00:00"/>
    <m/>
    <d v="2016-12-31T00:00:00"/>
    <m/>
    <s v="UNTREF"/>
    <s v="UNTREF"/>
    <n v="9995.51"/>
  </r>
  <r>
    <s v="SFMyCP"/>
    <x v="0"/>
    <m/>
    <s v="DIR NAC GENERACION DE CONTENIDOS"/>
    <s v="TELEVISION DIGITAL ABIERTA"/>
    <s v="CIARA"/>
    <m/>
    <s v="PROMOCIONES"/>
    <s v="ADMINISTRATIVO"/>
    <s v="CABILDO 65"/>
    <s v="CABILDO 65"/>
    <s v="PASCUAL FLORENCIA"/>
    <s v="DNI"/>
    <n v="25554128"/>
    <s v="27255541280"/>
    <d v="1976-10-10T00:00:00"/>
    <s v="ASISTENCIA TÉCNICA"/>
    <s v="AT"/>
    <d v="2012-05-03T00:00:00"/>
    <m/>
    <d v="2016-12-31T00:00:00"/>
    <m/>
    <s v="UNTREF"/>
    <s v="UNSAM- LADA"/>
    <n v="19552"/>
  </r>
  <r>
    <s v="SFMyCP"/>
    <x v="0"/>
    <m/>
    <s v="UNIDAD SECRETARÍA"/>
    <m/>
    <m/>
    <m/>
    <s v="PRIVADA"/>
    <s v="ADMINISTRATIVO"/>
    <m/>
    <s v="CCK - Alem 351"/>
    <s v="PASSADORE MIRTHA EDITH"/>
    <s v="DNI"/>
    <n v="6717338"/>
    <n v="23067173384"/>
    <d v="1951-04-24T00:00:00"/>
    <s v="ASISTENCIA TÉCNICA"/>
    <s v="AT"/>
    <d v="2016-07-01T00:00:00"/>
    <m/>
    <d v="2016-12-31T00:00:00"/>
    <m/>
    <s v="UNTREF"/>
    <m/>
    <m/>
  </r>
  <r>
    <s v="SFMyCP"/>
    <x v="1"/>
    <m/>
    <s v="DIR GRAL TECNICA ADMINISTRATIVA Y LEGAL"/>
    <s v="PRESUPUESTO"/>
    <m/>
    <m/>
    <m/>
    <s v="ADMINISTRATIVO"/>
    <m/>
    <s v="CCK - Alem 351"/>
    <s v="PASSAGLIA VICTORIA"/>
    <s v="DNI"/>
    <n v="34103577"/>
    <s v="27341035770"/>
    <d v="1989-01-29T00:00:00"/>
    <s v="ASISTENCIA TÉCNICA"/>
    <s v="AT"/>
    <d v="2016-06-01T00:00:00"/>
    <m/>
    <d v="2016-12-31T00:00:00"/>
    <m/>
    <s v="UNTREF"/>
    <m/>
    <n v="14000"/>
  </r>
  <r>
    <s v="SFMyCP"/>
    <x v="0"/>
    <s v="SUBSEC CENTROS TEMATICOS Y EXP FEDERALES"/>
    <s v="DIRECCION NACIONAL DE CENTROS TEMATICOS"/>
    <s v="INTENDENCIA - TALLERES"/>
    <m/>
    <m/>
    <m/>
    <m/>
    <s v="TECNÓPOLIS"/>
    <m/>
    <s v="PASSERO NICOLAS MANUEL"/>
    <s v="DNI"/>
    <n v="35360516"/>
    <n v="20353605160"/>
    <m/>
    <s v="LEY MARCO"/>
    <s v="LM"/>
    <d v="2014-07-01T00:00:00"/>
    <d v="2016-03-31T00:00:00"/>
    <d v="2016-12-31T00:00:00"/>
    <s v="D1"/>
    <m/>
    <m/>
    <n v="19499.72"/>
  </r>
  <r>
    <s v="SFMyCP"/>
    <x v="0"/>
    <s v="SUBSEC CENTROS TEMATICOS Y EXP FEDERALES"/>
    <s v="DIRECCION NACIONAL DE CENTROS TEMATICOS"/>
    <s v="INTENDENCIA - TALLERES"/>
    <m/>
    <m/>
    <m/>
    <m/>
    <s v="TECNÓPOLIS"/>
    <m/>
    <s v="PATRONE MIGUEL SANTOS"/>
    <s v="DNI"/>
    <n v="36426532"/>
    <n v="20364265329"/>
    <m/>
    <s v="LEY MARCO"/>
    <s v="LM"/>
    <d v="2012-08-01T00:00:00"/>
    <d v="2016-12-31T00:00:00"/>
    <d v="2016-12-31T00:00:00"/>
    <s v="D0"/>
    <m/>
    <m/>
    <n v="9991"/>
  </r>
  <r>
    <s v="SFMyCP"/>
    <x v="0"/>
    <s v="SUBSEC CENTROS TEMATICOS Y EXP FEDERALES"/>
    <s v="DIRECCION NACIONAL DE CENTROS TEMATICOS"/>
    <s v="GASTRONOMIA"/>
    <m/>
    <m/>
    <s v="COCINA"/>
    <s v="PRODUCCION GRAL DE RECETAS, MANIPULACIÓN DE INGREDIENTES, DESPCAHO DE ALIMENTOS"/>
    <s v="TECNÓPOLIS"/>
    <s v="TECNOPOLIS"/>
    <s v="PAULINO  ALEX DARIO"/>
    <s v="DNI"/>
    <n v="39562840"/>
    <s v="20395628403"/>
    <d v="1996-03-22T00:00:00"/>
    <s v="ASISTENCIA TÉCNICA"/>
    <s v="AT"/>
    <d v="2014-04-01T00:00:00"/>
    <m/>
    <d v="2016-12-31T00:00:00"/>
    <m/>
    <s v="UNTREF"/>
    <s v="UNTREF"/>
    <n v="10408.549999999999"/>
  </r>
  <r>
    <s v="SFMyCP"/>
    <x v="0"/>
    <s v="SUBSEC CENTROS TEMATICOS Y EXP FEDERALES"/>
    <s v="DIRECCION NACIONAL DE CENTROS TEMATICOS"/>
    <s v="INTENDENCIA - MANTENIMIENTO"/>
    <m/>
    <m/>
    <m/>
    <m/>
    <s v="TECNÓPOLIS"/>
    <m/>
    <s v="PAVON ERNESTO FABIAN"/>
    <s v="DNI"/>
    <n v="16965096"/>
    <n v="23169650969"/>
    <m/>
    <s v="LEY MARCO"/>
    <s v="LM"/>
    <d v="2012-10-31T00:00:00"/>
    <d v="2016-12-31T00:00:00"/>
    <d v="2016-12-31T00:00:00"/>
    <s v="C0"/>
    <m/>
    <m/>
    <n v="29724.25"/>
  </r>
  <r>
    <s v="SFMyCP"/>
    <x v="0"/>
    <s v="SUBSEC CENTROS TEMATICOS Y EXP FEDERALES"/>
    <s v="DIRECCION NACIONAL DE CENTROS TEMATICOS"/>
    <s v="INTENDENCIA - LIMPIEZA"/>
    <m/>
    <m/>
    <m/>
    <s v="ENCARGADO DE LIMPIEZA"/>
    <s v="TECNÓPOLIS"/>
    <s v="TECNOPOLIS"/>
    <s v="PAVONNE LUCIA GABRIELA"/>
    <s v="DNI"/>
    <n v="18221165"/>
    <s v="27182211651"/>
    <d v="1966-11-25T00:00:00"/>
    <s v="ASISTENCIA TÉCNICA"/>
    <s v="AT"/>
    <d v="2012-07-01T00:00:00"/>
    <m/>
    <d v="2016-12-31T00:00:00"/>
    <m/>
    <s v="UNTREF"/>
    <s v="UNTREF"/>
    <n v="13450"/>
  </r>
  <r>
    <s v="SFMyCP"/>
    <x v="0"/>
    <s v="SUBSEC CENTROS TEMATICOS Y EXP FEDERALES"/>
    <s v="DIRECCION NACIONAL DE CENTROS TEMATICOS"/>
    <s v="INTENDENCIA- MANTENIMIENTO"/>
    <m/>
    <m/>
    <m/>
    <s v="TRASLADOS/CARGA Y DESCARGA"/>
    <s v="TECNÓPOLIS"/>
    <s v="TECNOPOLIS"/>
    <s v="PAZ  JUAN FRANCISCO"/>
    <s v="DNI"/>
    <n v="32525350"/>
    <s v="23325253509"/>
    <d v="1986-09-24T00:00:00"/>
    <s v="ASISTENCIA TÉCNICA"/>
    <s v="AT"/>
    <d v="2011-07-01T00:00:00"/>
    <m/>
    <d v="2016-12-31T00:00:00"/>
    <m/>
    <s v="UNTREF"/>
    <s v="UNTREF"/>
    <n v="11449.4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PECORA NATALY GISELLE"/>
    <s v="DNI"/>
    <n v="37143089"/>
    <n v="27371443895"/>
    <d v="1992-10-16T00:00:00"/>
    <s v="ASISTENCIA TÉCNICA"/>
    <s v="AT"/>
    <d v="2016-06-01T00:00:00"/>
    <m/>
    <d v="2016-12-31T00:00:00"/>
    <m/>
    <s v="UNTREF"/>
    <m/>
    <m/>
  </r>
  <r>
    <s v="SFMyCP"/>
    <x v="2"/>
    <m/>
    <s v="UNIDAD SECRETARÍA"/>
    <m/>
    <m/>
    <m/>
    <s v="PRIVADA"/>
    <s v="ADMINISTRATIVO"/>
    <m/>
    <s v="CCK - Alem 351"/>
    <s v="PEDROSA, FERNANDO HECTOR"/>
    <s v="DNI"/>
    <n v="20405368"/>
    <s v="20204053686"/>
    <d v="1968-07-25T00:00:00"/>
    <s v="ASISTENCIA TÉCNICA"/>
    <s v="AT"/>
    <d v="2016-01-01T00:00:00"/>
    <m/>
    <d v="2016-12-31T00:00:00"/>
    <m/>
    <s v="UNTREF"/>
    <s v="UNSAM"/>
    <n v="27370"/>
  </r>
  <r>
    <s v="SFMyCP"/>
    <x v="0"/>
    <s v="SUBSEC CENTROS TEMATICOS Y EXP FEDERALES"/>
    <s v="DIRECCION NACIONAL DE CENTROS TEMATICOS"/>
    <s v="PRODUCCIÓN"/>
    <m/>
    <m/>
    <m/>
    <m/>
    <s v="TECNÓPOLIS"/>
    <m/>
    <s v="PELLEGATA PAULO NICOLAS"/>
    <s v="DNI"/>
    <n v="23877871"/>
    <n v="23238778719"/>
    <m/>
    <s v="LEY MARCO"/>
    <s v="LM"/>
    <d v="2012-10-31T00:00:00"/>
    <d v="2016-12-31T00:00:00"/>
    <d v="2016-12-31T00:00:00"/>
    <s v="C0"/>
    <m/>
    <m/>
    <n v="29784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PELLEGRINO ALISON"/>
    <s v="DNI"/>
    <n v="38357112"/>
    <s v="27383571125"/>
    <d v="1994-06-05T00:00:00"/>
    <s v="ASISTENCIA TÉCNICA"/>
    <s v="AT"/>
    <d v="2015-02-02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DIRECCION DE GESTION EDILICIA"/>
    <s v="SEGURIDAD E HIGIENE"/>
    <m/>
    <s v="Asistente"/>
    <m/>
    <s v="CCK"/>
    <m/>
    <s v="PELLEGROTTI ANTONELA"/>
    <s v="DNI"/>
    <n v="34294750"/>
    <n v="27342947501"/>
    <m/>
    <s v="LEY MARCO"/>
    <s v="LM"/>
    <d v="2011-06-18T00:00:00"/>
    <d v="2016-12-31T00:00:00"/>
    <d v="2016-12-31T00:00:00"/>
    <s v="C0"/>
    <m/>
    <m/>
    <n v="11456"/>
  </r>
  <r>
    <s v="SFMyCP"/>
    <x v="1"/>
    <m/>
    <s v="UNIDAD DE MINISTRO"/>
    <m/>
    <m/>
    <m/>
    <s v="PRIVADA"/>
    <s v="ADMINISTRATIVO"/>
    <m/>
    <s v="CCK - Alem 351"/>
    <s v="PENNELA ORLANDO OSVALDO"/>
    <s v="DNI"/>
    <n v="4522026"/>
    <n v="20045220266"/>
    <d v="1945-02-20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LIMPIEZA"/>
    <m/>
    <m/>
    <m/>
    <m/>
    <s v="TECNÓPOLIS"/>
    <m/>
    <s v="PENNINO LILIANA BEATRIZ"/>
    <s v="DNI"/>
    <n v="13780199"/>
    <n v="27137801995"/>
    <m/>
    <s v="LEY MARCO"/>
    <s v="LM"/>
    <d v="2011-12-01T00:00:00"/>
    <d v="2016-12-31T00:00:00"/>
    <d v="2016-12-31T00:00:00"/>
    <s v="D0"/>
    <m/>
    <m/>
    <n v="23404"/>
  </r>
  <r>
    <s v="SFMyCP"/>
    <x v="0"/>
    <s v="SUBSEC CENTROS TEMATICOS Y EXP FEDERALES"/>
    <s v="DIRECCION NACIONAL DE CENTROS TEMATICOS"/>
    <s v="PRODUCCIÓN"/>
    <m/>
    <m/>
    <m/>
    <m/>
    <s v="TECNÓPOLIS"/>
    <m/>
    <s v="PEÑA RAMIRO MARTIN"/>
    <s v="DNI"/>
    <n v="23222525"/>
    <n v="20232225255"/>
    <m/>
    <s v="LEY MARCO"/>
    <s v="LM"/>
    <d v="2012-10-31T00:00:00"/>
    <d v="2016-12-31T00:00:00"/>
    <d v="2016-12-31T00:00:00"/>
    <s v="C0"/>
    <m/>
    <m/>
    <n v="29078"/>
  </r>
  <r>
    <s v="SFMyCP"/>
    <x v="0"/>
    <m/>
    <s v="UNIDAD SECRETARÍA"/>
    <m/>
    <m/>
    <m/>
    <s v="PRIVADA"/>
    <s v="ADMINISTRATIVO"/>
    <m/>
    <s v="CCK - Alem 351"/>
    <s v="PEÑA WALTER"/>
    <s v="DNI"/>
    <n v="20964558"/>
    <n v="20209645581"/>
    <d v="1969-06-03T00:00:00"/>
    <s v="ASISTENCIA TÉCNICA"/>
    <s v="AT"/>
    <m/>
    <m/>
    <d v="2016-12-31T00:00:00"/>
    <m/>
    <s v="UNTREF"/>
    <m/>
    <m/>
  </r>
  <r>
    <s v="SFMyCP"/>
    <x v="0"/>
    <s v="SUBSEC CENTROS TEMATICOS Y EXP FEDERALES"/>
    <s v="DIR NAC EXPRESIONES FEDERALES"/>
    <s v="AUDIOVISUALES"/>
    <m/>
    <m/>
    <m/>
    <s v="ADMINISTRATIVO"/>
    <m/>
    <s v="CCK - Alem 351"/>
    <s v="PERAZZO  PATRICIO"/>
    <s v="DNI"/>
    <n v="18780914"/>
    <s v="20187809143"/>
    <d v="1966-01-22T00:00:00"/>
    <s v="ASISTENCIA TÉCNICA"/>
    <s v="AT"/>
    <d v="2011-03-03T00:00:00"/>
    <m/>
    <d v="2016-12-31T00:00:00"/>
    <m/>
    <s v="UNTREF"/>
    <s v="UNTREF"/>
    <n v="13531.11"/>
  </r>
  <r>
    <s v="SFMyCP"/>
    <x v="0"/>
    <s v="SUBSEC CENTROS TEMATICOS Y EXP FEDERALES"/>
    <s v="DIRECCION NACIONAL DE CENTROS TEMATICOS"/>
    <s v="INTENDENCIA - TALLERES"/>
    <m/>
    <m/>
    <m/>
    <s v="CONTROL DE STOCK Y EVOLUCIÓN DE HERRAMIENTAS"/>
    <s v="TECNÓPOLIS"/>
    <s v="TECNOPOLIS"/>
    <s v="PEREZ  VICTOR RUBEN"/>
    <s v="DNI"/>
    <n v="23496931"/>
    <s v="20234969316"/>
    <d v="1974-03-08T00:00:00"/>
    <s v="ASISTENCIA TÉCNICA"/>
    <s v="AT"/>
    <d v="2014-07-01T00:00:00"/>
    <m/>
    <d v="2016-12-31T00:00:00"/>
    <m/>
    <s v="UNTREF"/>
    <s v="UNTREF"/>
    <n v="11449.4"/>
  </r>
  <r>
    <s v="SFMyCP"/>
    <x v="0"/>
    <s v="SUBSEC CENTROS TEMATICOS Y EXP FEDERALES"/>
    <s v="UNIDAD SUBSECRETARIO"/>
    <m/>
    <m/>
    <m/>
    <s v="PRIVADA"/>
    <s v="ADMINISTRATIVO"/>
    <m/>
    <s v="CCK - Alem 351"/>
    <s v="PEREZ ALBERTO LUIS"/>
    <s v="DNI"/>
    <n v="6082291"/>
    <m/>
    <d v="1949-03-09T00:00:00"/>
    <s v="ASISTENCIA TÉCNICA"/>
    <s v="AT"/>
    <d v="2016-07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RENSA Y COMUNICACIÓN"/>
    <m/>
    <s v="CABILDO 65"/>
    <m/>
    <s v="PEREZ CABRIADA MARIANO PABLO"/>
    <s v="DNI"/>
    <n v="25639689"/>
    <n v="20256396891"/>
    <m/>
    <s v="LEY MARCO"/>
    <s v="LM"/>
    <d v="2015-03-01T00:00:00"/>
    <d v="2016-03-31T00:00:00"/>
    <d v="2016-12-31T00:00:00"/>
    <s v="B0"/>
    <m/>
    <m/>
    <n v="19096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PEREZ CARLOS WALTER"/>
    <s v="DNI"/>
    <n v="26949673"/>
    <s v="20269496739"/>
    <d v="1979-02-05T00:00:00"/>
    <s v="ASISTENCIA TÉCNICA"/>
    <s v="AT"/>
    <d v="2014-06-01T00:00:00"/>
    <m/>
    <d v="2016-12-31T00:00:00"/>
    <m/>
    <s v="UNTREF"/>
    <s v="UNTREF"/>
    <n v="9995.51"/>
  </r>
  <r>
    <s v="SFMyCP"/>
    <x v="0"/>
    <m/>
    <s v="UNIDAD SECRETARÍA"/>
    <m/>
    <m/>
    <m/>
    <s v="PRIVADA"/>
    <s v="ADMINISTRATIVO"/>
    <m/>
    <s v="CCK - Alem 351"/>
    <s v="PEREZ FELIX ALAN"/>
    <s v="DNI"/>
    <n v="31614943"/>
    <n v="20316149430"/>
    <d v="1985-05-24T00:00:00"/>
    <s v="ASISTENCIA TÉCNICA"/>
    <s v="AT"/>
    <m/>
    <m/>
    <d v="2016-12-31T00:00:00"/>
    <m/>
    <s v="UNTREF"/>
    <m/>
    <m/>
  </r>
  <r>
    <s v="SFMyCP"/>
    <x v="0"/>
    <s v="SUBSEC CENTROS TEMATICOS Y EXP FEDERALES"/>
    <s v="DIR NAC EXPRESIONES FEDERALES"/>
    <s v="INSTITUCIONALES"/>
    <m/>
    <m/>
    <s v="Analista"/>
    <m/>
    <s v="CCK"/>
    <m/>
    <s v="PEREZ FERNANDEZ ALEJANDRO"/>
    <s v="DNI"/>
    <n v="25730787"/>
    <n v="20257307876"/>
    <m/>
    <s v="LEY MARCO"/>
    <s v="LM"/>
    <d v="2007-11-05T00:00:00"/>
    <d v="2016-12-31T00:00:00"/>
    <d v="2016-12-31T00:00:00"/>
    <s v="B2"/>
    <m/>
    <m/>
    <n v="19528"/>
  </r>
  <r>
    <s v="SFMyCP"/>
    <x v="0"/>
    <m/>
    <s v="DIR NAC GENERACION DE CONTENIDOS"/>
    <s v="TELEVISION DIGITAL ABIERTA"/>
    <s v="CIARA"/>
    <m/>
    <s v="PRENSA Y COMUNICACIÓN"/>
    <m/>
    <s v="CABILDO 65"/>
    <m/>
    <s v="PEREZ LUCIANA"/>
    <s v="LE"/>
    <n v="26183522"/>
    <n v="27261835229"/>
    <m/>
    <s v="LEY MARCO"/>
    <s v="LM"/>
    <d v="2013-12-01T00:00:00"/>
    <d v="2016-03-31T00:00:00"/>
    <d v="2016-12-31T00:00:00"/>
    <s v="B1"/>
    <m/>
    <m/>
    <n v="18277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PEREZ PABLO"/>
    <s v="DNI"/>
    <n v="18303910"/>
    <s v="20183039106"/>
    <d v="1967-08-09T00:00:00"/>
    <s v="ASISTENCIA TÉCNICA"/>
    <s v="AT"/>
    <d v="2016-01-01T00:00:00"/>
    <m/>
    <d v="2016-12-31T00:00:00"/>
    <m/>
    <s v="UNTREF"/>
    <s v="UNSAM"/>
    <n v="21928.32"/>
  </r>
  <r>
    <s v="SFMyCP"/>
    <x v="0"/>
    <m/>
    <s v="ARTES VISUALES"/>
    <s v="ARTES VISUALES"/>
    <m/>
    <m/>
    <m/>
    <m/>
    <m/>
    <m/>
    <s v="PERLES CLAUDIO"/>
    <s v="DNI"/>
    <n v="17547110"/>
    <n v="20175471104"/>
    <m/>
    <m/>
    <s v="AT"/>
    <d v="2016-07-01T00:00:00"/>
    <m/>
    <d v="2016-09-30T00:00:00"/>
    <m/>
    <s v="UNTREF"/>
    <m/>
    <m/>
  </r>
  <r>
    <s v="SFMyCP"/>
    <x v="0"/>
    <m/>
    <s v="ARTES VISUALES"/>
    <s v="ARTES VISUALES"/>
    <m/>
    <m/>
    <m/>
    <m/>
    <m/>
    <m/>
    <s v="PERSICO GASTON"/>
    <s v="DNI"/>
    <n v="22846642"/>
    <n v="20228466426"/>
    <m/>
    <m/>
    <s v="AT"/>
    <d v="2016-07-01T00:00:00"/>
    <m/>
    <d v="2016-07-31T00:00:00"/>
    <m/>
    <s v="UNTREF"/>
    <m/>
    <m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PETTITI PABLO "/>
    <s v="DNI"/>
    <n v="24462764"/>
    <n v="20244627642"/>
    <d v="1975-04-06T00:00:00"/>
    <s v="ASISTENCIA TÉCNICA"/>
    <s v="AT"/>
    <d v="2012-03-01T00:00:00"/>
    <m/>
    <d v="2016-12-31T00:00:00"/>
    <m/>
    <s v="UNTREF"/>
    <m/>
    <n v="24060"/>
  </r>
  <r>
    <s v="SFMyCP"/>
    <x v="0"/>
    <s v="SUBSEC CENTROS TEMATICOS Y EXP FEDERALES"/>
    <s v="UNIDAD SUBSECRETARIO"/>
    <m/>
    <m/>
    <m/>
    <s v="PRIVADA"/>
    <s v="ADMINISTRATIVO"/>
    <m/>
    <s v="CCK - Alem 351"/>
    <s v="PEZZANO FERNANDEZ SANTIAGO"/>
    <s v="DNI"/>
    <n v="33174786"/>
    <n v="20331747867"/>
    <d v="1987-07-15T00:00:00"/>
    <s v="ASISTENCIA TÉCNICA"/>
    <s v="AT"/>
    <m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ESPACIOS FISICOS"/>
    <m/>
    <s v="Asistente"/>
    <s v="ADMINISTRATIVO"/>
    <s v="CCK"/>
    <s v="CCK - Alem 351"/>
    <s v="PICCOLOMINI SEBASTIAN"/>
    <s v="DNI"/>
    <n v="31851944"/>
    <s v="20318519448"/>
    <d v="1979-07-31T00:00:00"/>
    <s v="ASISTENCIA TÉCNICA"/>
    <s v="AT"/>
    <d v="2015-06-02T00:00:00"/>
    <m/>
    <d v="2016-12-31T00:00:00"/>
    <m/>
    <s v="UNTREF"/>
    <s v="UNLAM- BICENTENARIO"/>
    <n v="10807"/>
  </r>
  <r>
    <s v="SFMyCP"/>
    <x v="0"/>
    <s v="SUBSEC CENTROS TEMATICOS Y EXP FEDERALES"/>
    <s v="UNIDAD SUBSECRETARIO"/>
    <m/>
    <m/>
    <m/>
    <s v="PRIVADA"/>
    <s v="ADMINISTRATIVO"/>
    <m/>
    <s v="CCK - Alem 351"/>
    <s v="PICO ESTRADA MARGARITA"/>
    <s v="DNI"/>
    <n v="38614565"/>
    <m/>
    <d v="1994-11-15T00:00:00"/>
    <s v="ASISTENCIA TÉCNICA"/>
    <s v="AT"/>
    <d v="2016-07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ANORAMA ARGENTINO"/>
    <s v="PRODUCTOR de EXTERIORES"/>
    <s v="CABILDO 65"/>
    <s v="CABILDO 65"/>
    <s v="PICO GUILLERMINA"/>
    <s v="DNI"/>
    <n v="31023100"/>
    <s v="27310231008"/>
    <d v="1985-09-08T00:00:00"/>
    <s v="ASISTENCIA TÉCNICA"/>
    <s v="AT"/>
    <d v="2010-10-01T00:00:00"/>
    <m/>
    <d v="2016-12-31T00:00:00"/>
    <m/>
    <s v="UNTREF"/>
    <s v="UNSAM- LADA"/>
    <n v="22875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PIETRACCONNE MARIANELLA"/>
    <s v="DNI"/>
    <n v="31953814"/>
    <s v="27319538149"/>
    <d v="1985-11-29T00:00:00"/>
    <s v="ASISTENCIA TÉCNICA"/>
    <s v="AT"/>
    <d v="2014-05-05T00:00:00"/>
    <m/>
    <d v="2016-12-31T00:00:00"/>
    <m/>
    <s v="UNTREF"/>
    <m/>
    <n v="22151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PINASCO LUIS"/>
    <s v="DNI"/>
    <n v="92566818"/>
    <s v="20925668185"/>
    <d v="1960-03-24T00:00:00"/>
    <s v="ASISTENCIA TÉCNICA"/>
    <s v="AT"/>
    <d v="2013-04-13T00:00:00"/>
    <m/>
    <d v="2016-12-31T00:00:00"/>
    <m/>
    <s v="UNTREF"/>
    <s v="UNSAM- LADA"/>
    <n v="24060"/>
  </r>
  <r>
    <s v="SFMyCP"/>
    <x v="0"/>
    <m/>
    <s v="DIR DE COOPERACION INTERNACIONAL"/>
    <m/>
    <m/>
    <m/>
    <s v="PRIVADA"/>
    <s v="ADMINISTRATIVO"/>
    <m/>
    <s v="CCK - Alem 351"/>
    <s v="PINEDA RUGELES FEILPE"/>
    <s v="DNI"/>
    <n v="93959605"/>
    <s v="20939596055"/>
    <d v="1983-04-13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PINELLA JUAN"/>
    <s v="DNI"/>
    <n v="31039670"/>
    <s v="20310396703"/>
    <d v="1984-10-10T00:00:00"/>
    <s v="ASISTENCIA TÉCNICA"/>
    <s v="AT"/>
    <d v="2013-05-01T00:00:00"/>
    <m/>
    <d v="2016-12-31T00:00:00"/>
    <m/>
    <s v="UNTREF"/>
    <m/>
    <n v="2406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PIORNO GASTÓN"/>
    <s v="DNI"/>
    <n v="35402655"/>
    <n v="20354026555"/>
    <d v="1990-07-27T00:00:00"/>
    <s v="ASISTENCIA TÉCNICA"/>
    <s v="AT"/>
    <d v="2016-06-01T00:00:00"/>
    <m/>
    <d v="2016-12-31T00:00:00"/>
    <m/>
    <s v="UNTREF"/>
    <m/>
    <m/>
  </r>
  <r>
    <s v="SFMyCP"/>
    <x v="1"/>
    <m/>
    <s v="UNIDAD DE MINISTRO"/>
    <m/>
    <m/>
    <m/>
    <s v="PRIVADA"/>
    <s v="ADMINISTRATIVO"/>
    <m/>
    <s v="CCK - Alem 351"/>
    <s v="PIQUET, MARINA LORENA"/>
    <s v="DNI"/>
    <n v="23608875"/>
    <s v="27236088753"/>
    <d v="1974-03-02T00:00:00"/>
    <s v="ASISTENCIA TÉCNICA"/>
    <s v="AT"/>
    <d v="2016-01-01T00:00:00"/>
    <m/>
    <d v="2016-12-31T00:00:00"/>
    <m/>
    <s v="UNTREF"/>
    <s v="UNSAM"/>
    <n v="27000"/>
  </r>
  <r>
    <s v="SFMyCP"/>
    <x v="0"/>
    <s v="SUBSEC CENTROS TEMATICOS Y EXP FEDERALES"/>
    <s v="DIRECCION NACIONAL DE CENTROS TEMATICOS"/>
    <s v="INTENDENCIA- PARQUIZACION"/>
    <m/>
    <m/>
    <m/>
    <m/>
    <s v="TECNÓPOLIS"/>
    <m/>
    <s v="PIRRI FRANCISCO VICENTE"/>
    <s v="DNI"/>
    <n v="92521410"/>
    <n v="20925214109"/>
    <m/>
    <s v="LEY MARCO"/>
    <s v="LM"/>
    <d v="2012-10-01T00:00:00"/>
    <d v="2016-12-31T00:00:00"/>
    <d v="2016-12-31T00:00:00"/>
    <s v="C0"/>
    <m/>
    <m/>
    <n v="29781"/>
  </r>
  <r>
    <s v="SFMyCP"/>
    <x v="0"/>
    <m/>
    <s v="DIR NAC GENERACION DE CONTENIDOS"/>
    <s v="TELEVISION DIGITAL ABIERTA"/>
    <s v="CIARA"/>
    <m/>
    <s v="ACUA MAYOR"/>
    <m/>
    <s v="CABILDO 65"/>
    <m/>
    <s v="PISTOIA AGUSTINA INES"/>
    <s v="DNI"/>
    <n v="30885489"/>
    <n v="27308854898"/>
    <m/>
    <s v="LEY MARCO"/>
    <s v="LM"/>
    <d v="2012-12-01T00:00:00"/>
    <d v="2016-12-31T00:00:00"/>
    <d v="2016-12-31T00:00:00"/>
    <s v="B1"/>
    <m/>
    <m/>
    <n v="18000"/>
  </r>
  <r>
    <s v="SFMyCP"/>
    <x v="0"/>
    <m/>
    <s v="DIR NAC GENERACION DE CONTENIDOS"/>
    <s v="TELEVISION DIGITAL ABIERTA"/>
    <s v="CIARA"/>
    <m/>
    <s v="PROGRAMA POLOS AUDIOVISUALES TECNOLÓGICOS"/>
    <m/>
    <s v="CABILDO 65"/>
    <m/>
    <s v="PIWOWARSKI GABRIELA SUSANA"/>
    <s v="DNI"/>
    <n v="16977688"/>
    <n v="27169776887"/>
    <m/>
    <s v="LEY MARCO"/>
    <s v="LM"/>
    <d v="2014-10-01T00:00:00"/>
    <d v="2016-03-31T00:00:00"/>
    <d v="2016-12-31T00:00:00"/>
    <s v="C0"/>
    <m/>
    <m/>
    <n v="11730"/>
  </r>
  <r>
    <s v="SFMyCP"/>
    <x v="0"/>
    <s v="SUBSEC CENTROS TEMATICOS Y EXP FEDERALES"/>
    <s v="DIRECCION NACIONAL DE CENTROS TEMATICOS"/>
    <s v="OPERATIVA"/>
    <m/>
    <m/>
    <m/>
    <m/>
    <s v="TECNÓPOLIS"/>
    <m/>
    <s v="PIZZI JUAN JOSE"/>
    <s v="DNI"/>
    <n v="17083297"/>
    <n v="20170832974"/>
    <m/>
    <s v="LEY MARCO"/>
    <s v="LM"/>
    <d v="2012-10-31T00:00:00"/>
    <d v="2016-12-31T00:00:00"/>
    <d v="2016-12-31T00:00:00"/>
    <s v="C0"/>
    <m/>
    <m/>
    <n v="21121.22"/>
  </r>
  <r>
    <s v="SFMyCP"/>
    <x v="0"/>
    <s v="SUBSEC CENTROS TEMATICOS Y EXP FEDERALES"/>
    <s v="DIRECCION NACIONAL DE CENTROS TEMATICOS"/>
    <s v="ADMINISTRACION- RRHH"/>
    <m/>
    <m/>
    <s v="ADMINISTRATIVO"/>
    <m/>
    <s v="TECNÓPOLIS"/>
    <m/>
    <s v="PLAUL MAXIMILIANO ADRIAN"/>
    <s v="DNI"/>
    <n v="37162434"/>
    <n v="20371624342"/>
    <m/>
    <s v="LEY MARCO"/>
    <s v="LM"/>
    <d v="2012-11-30T00:00:00"/>
    <d v="2016-12-31T00:00:00"/>
    <d v="2016-12-31T00:00:00"/>
    <s v="D0"/>
    <m/>
    <m/>
    <n v="26079"/>
  </r>
  <r>
    <s v="SFMyCP"/>
    <x v="0"/>
    <s v="SUBSEC CENTROS TEMATICOS Y EXP FEDERALES"/>
    <s v="DIR NAC EXPRESIONES FEDERALES"/>
    <s v="COMUNICACIÓN"/>
    <s v="PRENSA"/>
    <m/>
    <m/>
    <s v="ADMINISTRATIVO"/>
    <s v="CCK"/>
    <s v="CCK - Alem 351"/>
    <s v="POLLINI, MARGARITA"/>
    <s v="DNI"/>
    <n v="25121660"/>
    <s v="27251216601"/>
    <d v="1976-01-13T00:00:00"/>
    <s v="ASISTENCIA TÉCNICA"/>
    <s v="AT"/>
    <d v="2016-02-01T00:00:00"/>
    <m/>
    <d v="2016-12-31T00:00:00"/>
    <m/>
    <s v="UNTREF"/>
    <s v="UNSAM"/>
    <n v="15000"/>
  </r>
  <r>
    <s v="SFMyCP"/>
    <x v="0"/>
    <s v="SUBSEC CENTROS TEMATICOS Y EXP FEDERALES"/>
    <s v="DIRECCION NACIONAL DE CENTROS TEMATICOS"/>
    <s v="OPERATIVA"/>
    <m/>
    <m/>
    <m/>
    <m/>
    <s v="TECNÓPOLIS"/>
    <m/>
    <s v="POMMARES PABLO IGNACIO"/>
    <s v="DNI"/>
    <n v="32456433"/>
    <n v="20324564331"/>
    <m/>
    <s v="LEY MARCO"/>
    <s v="LM"/>
    <d v="2012-07-01T00:00:00"/>
    <d v="2016-12-31T00:00:00"/>
    <d v="2016-12-31T00:00:00"/>
    <s v="D0"/>
    <m/>
    <m/>
    <n v="15839.72"/>
  </r>
  <r>
    <s v="SFMyCP"/>
    <x v="0"/>
    <s v="SUBSEC CENTROS TEMATICOS Y EXP FEDERALES"/>
    <s v="DIR NAC EXPRESIONES FEDERALES"/>
    <s v="INSTITUCIONALES"/>
    <s v="TECNICA"/>
    <m/>
    <m/>
    <s v="asistente funcional"/>
    <m/>
    <s v="CCK - Alem 351"/>
    <s v="PONCE MARIA AGUSTINA"/>
    <s v="DNI"/>
    <n v="29718936"/>
    <n v="27297189366"/>
    <d v="1982-10-31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TALLERES"/>
    <m/>
    <m/>
    <m/>
    <s v="CARPINTERO"/>
    <s v="TECNÓPOLIS"/>
    <s v="TECNOPOLIS"/>
    <s v="PONCE RAMON"/>
    <s v="DNI"/>
    <n v="28713736"/>
    <s v="20287137363"/>
    <d v="1981-04-22T00:00:00"/>
    <s v="ASISTENCIA TÉCNICA"/>
    <s v="AT"/>
    <d v="2011-07-01T00:00:00"/>
    <m/>
    <d v="2016-12-31T00:00:00"/>
    <m/>
    <s v="UNTREF"/>
    <s v="UNTREF"/>
    <n v="11449.4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PORTO OSVALDO "/>
    <s v="DNI"/>
    <n v="13072833"/>
    <n v="20130728333"/>
    <m/>
    <s v="LEY MARCO"/>
    <s v="LM"/>
    <d v="2014-12-01T00:00:00"/>
    <d v="2016-03-31T00:00:00"/>
    <d v="2016-12-31T00:00:00"/>
    <s v="D0"/>
    <m/>
    <m/>
    <n v="18000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PRESS ANA"/>
    <s v="DNI"/>
    <n v="25216896"/>
    <s v="27252168961"/>
    <d v="1976-02-26T00:00:00"/>
    <s v="ASISTENCIA TÉCNICA"/>
    <s v="AT"/>
    <d v="2012-01-01T00:00:00"/>
    <m/>
    <d v="2016-12-31T00:00:00"/>
    <m/>
    <s v="UNTREF"/>
    <s v="UNSAM- LADA"/>
    <n v="17849"/>
  </r>
  <r>
    <s v="SFMyCP"/>
    <x v="0"/>
    <s v="SUBSEC CENTROS TEMATICOS Y EXP FEDERALES"/>
    <s v="DIR NAC EXPRESIONES FEDERALES"/>
    <s v="INSTITUCIONALES"/>
    <m/>
    <m/>
    <m/>
    <m/>
    <m/>
    <m/>
    <s v="PRIETO ESTEBAN"/>
    <s v="DNI"/>
    <n v="27329367"/>
    <n v="20273293672"/>
    <m/>
    <s v="LEY MARCO"/>
    <s v="LM"/>
    <d v="2013-12-01T00:00:00"/>
    <d v="2016-03-31T00:00:00"/>
    <d v="2016-12-31T00:00:00"/>
    <s v="C2"/>
    <m/>
    <m/>
    <n v="12142"/>
  </r>
  <r>
    <s v="SFMyCP"/>
    <x v="0"/>
    <m/>
    <s v="COMUNICACIONES"/>
    <s v="COMUNICACIÓN"/>
    <m/>
    <m/>
    <m/>
    <m/>
    <s v="CCK"/>
    <s v="CCK - Alem 351"/>
    <s v="PROIETTO INGRID MARIA LOURDES"/>
    <s v="DNI"/>
    <n v="21833580"/>
    <n v="27218335808"/>
    <m/>
    <s v="LEY MARCO"/>
    <s v="LM"/>
    <d v="2012-11-30T00:00:00"/>
    <d v="2016-12-31T00:00:00"/>
    <d v="2016-12-31T00:00:00"/>
    <s v="C0"/>
    <m/>
    <m/>
    <n v="29800.97"/>
  </r>
  <r>
    <s v="SFMyCP"/>
    <x v="0"/>
    <s v="SUBSEC CENTROS TEMATICOS Y EXP FEDERALES"/>
    <s v="DIRECCION NACIONAL DE CENTROS TEMATICOS"/>
    <m/>
    <m/>
    <m/>
    <s v="PRIVADA"/>
    <s v="ADMINISTRATIVO"/>
    <m/>
    <s v="TECNOPOLIS"/>
    <s v="PUCCIARELLI ROMINA"/>
    <s v="DNI"/>
    <n v="32805681"/>
    <n v="27328056815"/>
    <d v="1987-10-15T00:00:00"/>
    <s v="ASISTENCIA TÉCNICA"/>
    <s v="AT"/>
    <m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TDA"/>
    <m/>
    <s v="ciara"/>
    <m/>
    <m/>
    <m/>
    <s v="QUINTANA CARLOS ANTONIO"/>
    <s v="DNI"/>
    <n v="18528740"/>
    <n v="20185287409"/>
    <m/>
    <m/>
    <s v="LM"/>
    <d v="2013-12-01T00:00:00"/>
    <m/>
    <d v="2016-12-31T00:00:00"/>
    <s v="D0"/>
    <m/>
    <m/>
    <m/>
  </r>
  <r>
    <s v="SFMyCP"/>
    <x v="1"/>
    <m/>
    <s v="DIR GRAL TECNICA ADMINISTRATIVA Y LEGAL"/>
    <s v="INFORMATICA Y SISTEMAS"/>
    <m/>
    <m/>
    <s v="Analista"/>
    <s v="Analista"/>
    <s v="CCK"/>
    <s v="CCK - Alem 351"/>
    <s v="QUINTANA JUAN MARTIN"/>
    <s v="DNI"/>
    <n v="36547045"/>
    <s v="20365470457"/>
    <d v="1991-09-26T00:00:00"/>
    <s v="ASISTENCIA TÉCNICA"/>
    <s v="AT"/>
    <d v="2014-06-23T00:00:00"/>
    <m/>
    <d v="2016-12-31T00:00:00"/>
    <m/>
    <s v="UNTREF"/>
    <s v="UNLAM- INFO"/>
    <n v="8981"/>
  </r>
  <r>
    <s v="SFMyCP"/>
    <x v="0"/>
    <s v="SUBSEC CENTROS TEMATICOS Y EXP FEDERALES"/>
    <s v="DIRECCION NACIONAL DE CENTROS TEMATICOS"/>
    <s v="COMUNICACIÓN"/>
    <m/>
    <m/>
    <s v="ADMINISTRATIVO"/>
    <m/>
    <s v="TECNÓPOLIS"/>
    <m/>
    <s v="QUIÑOÑEZ CECILIA ANDREA"/>
    <s v="DNI"/>
    <n v="36482574"/>
    <n v="27364825744"/>
    <m/>
    <s v="LEY MARCO"/>
    <s v="LM"/>
    <d v="2013-07-01T00:00:00"/>
    <d v="2016-03-31T00:00:00"/>
    <d v="2016-12-31T00:00:00"/>
    <s v="C0"/>
    <m/>
    <m/>
    <n v="13084.78"/>
  </r>
  <r>
    <s v="SFMyCP"/>
    <x v="0"/>
    <s v="SUBSEC CENTROS TEMATICOS Y EXP FEDERALES"/>
    <s v="DIRECCION NACIONAL DE CENTROS TEMATICOS"/>
    <s v="INTENDENCIA- PARQUIZACION"/>
    <m/>
    <m/>
    <m/>
    <m/>
    <s v="TECNÓPOLIS"/>
    <m/>
    <s v="QUIÑOÑEZ DAHIANA"/>
    <s v="DNI"/>
    <n v="93978389"/>
    <n v="27939783895"/>
    <m/>
    <s v="LEY MARCO"/>
    <s v="LM"/>
    <d v="2012-06-01T00:00:00"/>
    <d v="2016-12-31T00:00:00"/>
    <d v="2016-12-31T00:00:00"/>
    <s v="C0"/>
    <m/>
    <m/>
    <n v="13084"/>
  </r>
  <r>
    <s v="SFMyCP"/>
    <x v="0"/>
    <s v="SUBSEC CENTROS TEMATICOS Y EXP FEDERALES"/>
    <s v="DIRECCION NACIONAL DE CENTROS TEMATICOS"/>
    <s v="INTENDENCIA - FERIAL"/>
    <m/>
    <m/>
    <m/>
    <s v="MANTENIMIENTO"/>
    <s v="TECNÓPOLIS"/>
    <s v="TECNOPOLIS"/>
    <s v="QUIROGA WALTER DAMIAN"/>
    <s v="DNI"/>
    <n v="34738374"/>
    <s v="24347383747"/>
    <d v="1989-08-19T00:00:00"/>
    <s v="ASISTENCIA TÉCNICA"/>
    <s v="AT"/>
    <d v="2013-06-01T00:00:00"/>
    <m/>
    <d v="2016-12-31T00:00:00"/>
    <m/>
    <s v="UNTREF"/>
    <s v="UNTREF"/>
    <n v="11449.4"/>
  </r>
  <r>
    <s v="SFMyCP"/>
    <x v="0"/>
    <s v="SUBSEC CENTROS TEMATICOS Y EXP FEDERALES"/>
    <s v="DIR NAC EXPRESIONES FEDERALES"/>
    <m/>
    <m/>
    <m/>
    <m/>
    <s v="ADMINISTRATIVO"/>
    <m/>
    <s v="CCK - Alem 351"/>
    <s v="RABELLINO NESTOR OSCAR"/>
    <s v="DNI"/>
    <n v="11530452"/>
    <n v="20115304527"/>
    <d v="1955-02-03T00:00:00"/>
    <s v="ASISTENCIA TÉCNICA"/>
    <s v="AT"/>
    <d v="2016-04-01T00:00:00"/>
    <m/>
    <d v="2016-12-31T00:00:00"/>
    <m/>
    <s v="UNTREF"/>
    <m/>
    <m/>
  </r>
  <r>
    <s v="SFMyCP"/>
    <x v="1"/>
    <m/>
    <s v="DIR GRAL TECNICA ADMINISTRATIVA Y LEGAL"/>
    <s v="PRESUPUESTO"/>
    <m/>
    <m/>
    <m/>
    <s v="ADMINISTRATIVO"/>
    <m/>
    <s v="CCK - Alem 351"/>
    <s v="RAMIRES MARIA PAULA"/>
    <s v="DNI"/>
    <n v="30643205"/>
    <n v="27306432058"/>
    <d v="1985-05-01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s v="ADMINISTRACION"/>
    <m/>
    <m/>
    <s v="ADMINISTRATIVO"/>
    <m/>
    <s v="TECNÓPOLIS"/>
    <m/>
    <s v="RAMIREZ Brain Esteban"/>
    <s v="DNI"/>
    <n v="35532252"/>
    <n v="20355322522"/>
    <m/>
    <s v="LEY MARCO"/>
    <s v="LM"/>
    <d v="2014-05-01T00:00:00"/>
    <d v="2016-03-31T00:00:00"/>
    <d v="2016-12-31T00:00:00"/>
    <s v="D1"/>
    <m/>
    <m/>
    <n v="14558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RAMIREZ JOSÉ"/>
    <s v="DNI"/>
    <n v="25824447"/>
    <s v="20258244479"/>
    <d v="1977-05-09T00:00:00"/>
    <s v="ASISTENCIA TÉCNICA"/>
    <s v="AT"/>
    <d v="2016-01-01T00:00:00"/>
    <m/>
    <d v="2016-12-31T00:00:00"/>
    <m/>
    <s v="UNTREF"/>
    <s v="UNSAM"/>
    <n v="10000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RAMON BADIA JAZMIN"/>
    <s v="DNI"/>
    <n v="33443159"/>
    <s v="27334431598"/>
    <d v="1987-11-18T00:00:00"/>
    <s v="ASISTENCIA TÉCNICA"/>
    <s v="AT"/>
    <d v="2012-06-01T00:00:00"/>
    <m/>
    <d v="2016-12-31T00:00:00"/>
    <m/>
    <s v="UNTREF"/>
    <s v="UNSAM- LADA"/>
    <n v="19353"/>
  </r>
  <r>
    <s v="SFMyCP"/>
    <x v="0"/>
    <s v="SUBSEC CENTROS TEMATICOS Y EXP FEDERALES"/>
    <s v="DIRECCION NACIONAL DE CENTROS TEMATICOS"/>
    <s v="COOPERATIVAS"/>
    <m/>
    <m/>
    <s v="Tareas Generales"/>
    <s v="MANTENIMIENTO DE ESPACIOS VERDES"/>
    <s v="TECNÓPOLIS"/>
    <m/>
    <s v="RAMON GLADYS"/>
    <s v="DNI"/>
    <n v="20854162"/>
    <n v="27208541620"/>
    <m/>
    <s v="ASISTENCIA TÉCNICA"/>
    <s v="CO"/>
    <m/>
    <m/>
    <d v="2016-12-31T00:00:00"/>
    <m/>
    <s v="UNTREF"/>
    <s v="UNTREF"/>
    <n v="4700"/>
  </r>
  <r>
    <s v="SFMyCP"/>
    <x v="0"/>
    <s v="SUBSEC CENTROS TEMATICOS Y EXP FEDERALES"/>
    <s v="DIRECCION NACIONAL DE CENTROS TEMATICOS"/>
    <s v="INTENDENCIA- PARQUIZACION"/>
    <m/>
    <m/>
    <m/>
    <s v="MANTENIMIENTO DE ESPACIOS VERDES"/>
    <s v="TECNÓPOLIS"/>
    <s v="TECNOPOLIS"/>
    <s v="RAMON JOSE HUMBERTO"/>
    <s v="DNI"/>
    <n v="25204241"/>
    <s v="20252042416"/>
    <d v="1976-06-16T00:00:00"/>
    <s v="ASISTENCIA TÉCNICA"/>
    <s v="AT"/>
    <d v="2014-10-01T00:00:00"/>
    <m/>
    <d v="2016-12-31T00:00:00"/>
    <m/>
    <s v="UNTREF"/>
    <s v="UNTREF"/>
    <n v="9995.51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RAMOS  JUAN CARLOS"/>
    <s v="DNI"/>
    <n v="29477026"/>
    <n v="20294770268"/>
    <m/>
    <s v="LEY MARCO"/>
    <s v="LM"/>
    <d v="2014-12-01T00:00:00"/>
    <d v="2016-03-31T00:00:00"/>
    <d v="2016-12-31T00:00:00"/>
    <s v="D0"/>
    <m/>
    <m/>
    <n v="18000"/>
  </r>
  <r>
    <s v="SFMyCP"/>
    <x v="1"/>
    <m/>
    <s v="DIR GRAL TECNICA ADMINISTRATIVA Y LEGAL"/>
    <s v="COMPRAS Y CONTRATACIONES"/>
    <m/>
    <m/>
    <s v="Analista"/>
    <s v="ADMINISTRATIVO"/>
    <m/>
    <s v="CCK - Alem 351"/>
    <s v="RAMOS MIRIAM"/>
    <s v="DNI"/>
    <n v="45735293"/>
    <s v="27457352935"/>
    <d v="1995-06-28T00:00:00"/>
    <s v="ASISTENCIA TÉCNICA"/>
    <s v="AT"/>
    <d v="2016-05-02T00:00:00"/>
    <m/>
    <d v="2016-12-31T00:00:00"/>
    <m/>
    <s v="UNTREF"/>
    <m/>
    <s v=".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RAMOS RAFAEL ALDO"/>
    <s v="DNI"/>
    <n v="31442888"/>
    <n v="23314428889"/>
    <d v="1985-02-22T00:00:00"/>
    <s v="ASISTENCIA TÉCNICA"/>
    <s v="AT"/>
    <d v="2015-09-01T00:00:00"/>
    <m/>
    <d v="2016-12-31T00:00:00"/>
    <m/>
    <s v="UNTREF"/>
    <s v="UNSAM"/>
    <n v="11500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RAMPELINI DIEGO"/>
    <s v="DNI"/>
    <n v="26621205"/>
    <s v="20266212055"/>
    <d v="1978-06-19T00:00:00"/>
    <s v="ASISTENCIA TÉCNICA"/>
    <s v="AT"/>
    <d v="2015-04-01T00:00:00"/>
    <m/>
    <d v="2016-12-31T00:00:00"/>
    <m/>
    <s v="UNTREF"/>
    <m/>
    <n v="24060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REBOLLO JORGE FERNANDO"/>
    <s v="DNI"/>
    <n v="92820166"/>
    <s v="20928201660"/>
    <d v="1977-03-22T00:00:00"/>
    <s v="ASISTENCIA TÉCNICA"/>
    <s v="AT"/>
    <d v="2011-07-01T00:00:00"/>
    <m/>
    <d v="2016-12-31T00:00:00"/>
    <m/>
    <s v="UNTREF"/>
    <s v="UNTREF"/>
    <n v="11499.3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REFOJOS MARIANO"/>
    <s v="DNI"/>
    <n v="31009104"/>
    <s v="23310091049"/>
    <d v="1984-01-05T00:00:00"/>
    <s v="ASISTENCIA TÉCNICA"/>
    <s v="AT"/>
    <d v="2011-03-01T00:00:00"/>
    <m/>
    <d v="2016-12-31T00:00:00"/>
    <m/>
    <s v="UNTREF"/>
    <m/>
    <n v="19353"/>
  </r>
  <r>
    <s v="SFMyCP"/>
    <x v="1"/>
    <m/>
    <s v="DIR GRAL TECNICA ADMINISTRATIVA Y LEGAL"/>
    <s v="INFORMATICA Y SISTEMAS"/>
    <m/>
    <m/>
    <s v="Analista"/>
    <m/>
    <s v="CCK"/>
    <m/>
    <s v="REPETTI ARIEL"/>
    <s v="DNI"/>
    <n v="27738544"/>
    <n v="23277385449"/>
    <m/>
    <s v="LEY MARCO"/>
    <s v="LM"/>
    <d v="2013-09-01T00:00:00"/>
    <d v="2016-03-31T00:00:00"/>
    <d v="2016-12-31T00:00:00"/>
    <s v="C0"/>
    <m/>
    <m/>
    <n v="11730"/>
  </r>
  <r>
    <s v="SFMyCP"/>
    <x v="0"/>
    <s v="SUBSEC CENTROS TEMATICOS Y EXP FEDERALES"/>
    <s v="DIR NAC EXPRESIONES FEDERALES"/>
    <s v="DIRECCION DE GESTION EDILICIA"/>
    <s v="EQUIPO CONTROL Y PLANIFICACION"/>
    <m/>
    <s v="INVESTIGACION APLICADA"/>
    <s v="ADMINISTRATIVO"/>
    <s v="CCK"/>
    <s v="CCK - Alem 351"/>
    <s v="RESTUCCIO MARCELO"/>
    <s v="DNI"/>
    <n v="24946722"/>
    <s v="20249467228"/>
    <d v="1975-12-03T00:00:00"/>
    <s v="ASISTENCIA TÉCNICA"/>
    <s v="AT"/>
    <d v="2015-06-01T00:00:00"/>
    <m/>
    <d v="2016-12-31T00:00:00"/>
    <m/>
    <s v="UNTREF"/>
    <s v="UNSAM"/>
    <n v="30145"/>
  </r>
  <r>
    <s v="SFMyCP"/>
    <x v="0"/>
    <m/>
    <s v="UNIDAD SECRETARÍA"/>
    <s v="PROYECTOS ESPECIALES"/>
    <m/>
    <m/>
    <s v="PRIVADA"/>
    <s v="ADMINISTRATIVO"/>
    <m/>
    <s v="CCK - Alem 351"/>
    <s v="REY MARIA ELENA"/>
    <s v="DNI"/>
    <n v="33275553"/>
    <s v="27332755531"/>
    <d v="1987-07-25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INTENDENCIA - TALLERES"/>
    <m/>
    <m/>
    <m/>
    <s v="MANTENIMIENTO GRAL DEL PARQUE"/>
    <s v="TECNÓPOLIS"/>
    <s v="TECNOPOLIS"/>
    <s v="REYES DAMIAN GUILLERMO"/>
    <s v="DNI"/>
    <n v="29975332"/>
    <s v="20299753329"/>
    <d v="1983-01-16T00:00:00"/>
    <s v="ASISTENCIA TÉCNICA"/>
    <s v="AT"/>
    <d v="2014-06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REYNELI AGUSTIN"/>
    <s v="DNI"/>
    <n v="37805084"/>
    <n v="20378050848"/>
    <d v="1993-07-21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REYNOSO CAMILA ANAHI"/>
    <s v="DNI"/>
    <n v="40946532"/>
    <m/>
    <d v="1998-05-15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DIR NAC EXPRESIONES FEDERALES"/>
    <s v="ADMINISTRACION"/>
    <m/>
    <m/>
    <s v="Analista"/>
    <m/>
    <s v="CCK"/>
    <m/>
    <s v="REYNOSO NICHOLAS"/>
    <s v="DNI"/>
    <n v="23126327"/>
    <n v="20231263277"/>
    <m/>
    <s v="LEY MARCO"/>
    <s v="LM"/>
    <d v="2010-07-19T00:00:00"/>
    <d v="2016-12-31T00:00:00"/>
    <d v="2016-12-31T00:00:00"/>
    <s v="B1"/>
    <m/>
    <m/>
    <n v="20266"/>
  </r>
  <r>
    <s v="SFMyCP"/>
    <x v="0"/>
    <s v="SUBSEC CENTROS TEMATICOS Y EXP FEDERALES"/>
    <s v="DIR NAC EXPRESIONES FEDERALES"/>
    <s v="PRODUCCIÓN"/>
    <m/>
    <m/>
    <m/>
    <s v="ADMINISTRATIVA"/>
    <m/>
    <s v="CCK - Alem 351"/>
    <s v="RICCI LIAJOVETSKY GABRIEL"/>
    <s v="DNI"/>
    <n v="30530974"/>
    <s v="20305309746"/>
    <d v="1984-05-05T00:00:00"/>
    <s v="ASISTENCIA TÉCNICA"/>
    <s v="AT"/>
    <d v="2016-04-01T00:00:00"/>
    <m/>
    <d v="2016-12-31T00:00:00"/>
    <m/>
    <s v="UNTREF"/>
    <m/>
    <n v="20000"/>
  </r>
  <r>
    <s v="SFMyCP"/>
    <x v="0"/>
    <s v="SUBSEC CENTROS TEMATICOS Y EXP FEDERALES"/>
    <s v="DIR NAC EXPRESIONES FEDERALES"/>
    <s v="DIRECCION DE GESTION EDILICIA"/>
    <s v="SEGURIDAD  "/>
    <s v="LOGISTICA OPERATIVA"/>
    <s v="Responsable"/>
    <s v="Asistente Técnico Seguridad"/>
    <s v="CCK"/>
    <s v="CCK - Alem 351"/>
    <s v="RICCITELLI MIGUEL ANGEL"/>
    <s v="DNI"/>
    <n v="27257335"/>
    <s v="20272573353"/>
    <d v="1979-05-24T00:00:00"/>
    <s v="ASISTENCIA TÉCNICA"/>
    <s v="AT"/>
    <d v="2015-03-20T00:00:00"/>
    <m/>
    <d v="2016-12-31T00:00:00"/>
    <m/>
    <s v="UNTREF"/>
    <s v="UNLAM- DGA"/>
    <n v="15732"/>
  </r>
  <r>
    <s v="SFMyCP"/>
    <x v="1"/>
    <m/>
    <s v="DIR GRAL TECNICA ADMINISTRATIVA Y LEGAL"/>
    <s v="PRESUPUESTO"/>
    <m/>
    <m/>
    <s v="ADMINISTRACIÓN"/>
    <m/>
    <s v="CCK"/>
    <m/>
    <s v="RICHINO ADRIAN EZEQUIEL"/>
    <s v="DNI"/>
    <n v="31464052"/>
    <n v="20314640528"/>
    <m/>
    <s v="LEY MARCO"/>
    <s v="LM"/>
    <d v="2015-03-01T00:00:00"/>
    <d v="2016-03-31T00:00:00"/>
    <d v="2016-12-31T00:00:00"/>
    <s v="A0"/>
    <m/>
    <m/>
    <n v="27374"/>
  </r>
  <r>
    <s v="SFMyCP"/>
    <x v="1"/>
    <m/>
    <s v="DIR GRAL TECNICA ADMINISTRATIVA Y LEGAL"/>
    <s v="PRESUPUESTO"/>
    <m/>
    <m/>
    <s v="ADMINISTRACIÓN"/>
    <s v="ADMINISTRATIVO"/>
    <m/>
    <s v="CCK - Alem 351"/>
    <s v="RICHINO LEANDRO"/>
    <s v="DNI"/>
    <n v="35317218"/>
    <s v="20353172183"/>
    <d v="1990-08-07T00:00:00"/>
    <s v="ASISTENCIA TÉCNICA"/>
    <s v="AT"/>
    <m/>
    <m/>
    <d v="2016-12-31T00:00:00"/>
    <m/>
    <s v="UNTREF"/>
    <m/>
    <n v="17101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RIOS FERNANDO"/>
    <s v="DNI"/>
    <n v="25296801"/>
    <s v="20252968017"/>
    <d v="1976-05-01T00:00:00"/>
    <s v="ASISTENCIA TÉCNICA"/>
    <s v="AT"/>
    <d v="2010-12-13T00:00:00"/>
    <m/>
    <d v="2016-12-31T00:00:00"/>
    <m/>
    <s v="UNTREF"/>
    <m/>
    <n v="24060"/>
  </r>
  <r>
    <s v="SFMyCP"/>
    <x v="0"/>
    <s v="SUBSEC CENTROS TEMATICOS Y EXP FEDERALES"/>
    <s v="DIRECCION NACIONAL DE CENTROS TEMATICOS"/>
    <s v="INTENDENCIA - MANTENIMIENTO"/>
    <m/>
    <m/>
    <m/>
    <m/>
    <s v="TECNÓPOLIS"/>
    <m/>
    <s v="RIOS Gustavo Francisco"/>
    <s v="DNI"/>
    <n v="29107451"/>
    <n v="20291074511"/>
    <m/>
    <s v="LEY MARCO"/>
    <s v="LM"/>
    <d v="2012-11-30T00:00:00"/>
    <d v="2016-12-31T00:00:00"/>
    <d v="2016-12-31T00:00:00"/>
    <s v="F0"/>
    <m/>
    <m/>
    <n v="12172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RIOS MARIA ISABEL"/>
    <s v="DNI"/>
    <n v="35561305"/>
    <n v="23355613054"/>
    <d v="1990-11-26T00:00:00"/>
    <s v="ASISTENCIA TÉCNICA"/>
    <s v="CO"/>
    <d v="2014-07-01T00:00:00"/>
    <m/>
    <d v="2016-12-31T00:00:00"/>
    <m/>
    <s v="UNTREF"/>
    <s v="UNTREF"/>
    <n v="1700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RIOS NÉSTOR FABIAN"/>
    <s v="DNI"/>
    <n v="17038143"/>
    <n v="20170381433"/>
    <d v="1965-01-20T00:00:00"/>
    <s v="ASISTENCIA TÉCNICA"/>
    <s v="CO"/>
    <m/>
    <m/>
    <d v="2016-12-31T00:00:00"/>
    <m/>
    <s v="UNTREF"/>
    <s v="UNTREF"/>
    <n v="1700"/>
  </r>
  <r>
    <s v="SFMyCP"/>
    <x v="1"/>
    <m/>
    <s v="DIR GRAL TECNICA ADMINISTRATIVA Y LEGAL"/>
    <s v="INFORMATICA Y SISTEMAS"/>
    <m/>
    <m/>
    <s v="Analista"/>
    <s v="Analista"/>
    <s v="CCK"/>
    <s v="CCK - Alem 351"/>
    <s v="RISSO PATRON FACUNDO"/>
    <s v="DNI"/>
    <n v="22777432"/>
    <s v="20227774321"/>
    <d v="1972-08-29T00:00:00"/>
    <s v="ASISTENCIA TÉCNICA"/>
    <s v="AT"/>
    <d v="2015-05-21T00:00:00"/>
    <m/>
    <d v="2016-12-31T00:00:00"/>
    <m/>
    <s v="UNTREF"/>
    <s v="UNLAM- INFO"/>
    <n v="770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RIVADENEIRA CAMILA"/>
    <s v="DNI"/>
    <n v="38625956"/>
    <n v="27386259564"/>
    <d v="1995-01-03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DIRECCION NACIONAL DE CENTROS TEMATICOS"/>
    <s v="TECNICA"/>
    <m/>
    <m/>
    <m/>
    <m/>
    <s v="TECNÓPOLIS"/>
    <m/>
    <s v="RIVERA Soledad"/>
    <s v="DNI"/>
    <n v="28165475"/>
    <n v="27281654751"/>
    <m/>
    <s v="LEY MARCO"/>
    <s v="LM"/>
    <d v="2013-05-01T00:00:00"/>
    <d v="2016-03-31T00:00:00"/>
    <d v="2016-12-31T00:00:00"/>
    <s v="C0"/>
    <m/>
    <m/>
    <n v="29784"/>
  </r>
  <r>
    <s v="SFMyCP"/>
    <x v="0"/>
    <m/>
    <s v="DIR NAC GENERACION DE CONTENIDOS"/>
    <s v="TELEVISION DIGITAL ABIERTA"/>
    <s v="CIARA"/>
    <m/>
    <s v="CTO"/>
    <s v="MANTENIMIENTO"/>
    <s v="CABILDO 65"/>
    <s v="CABILDO 65"/>
    <s v="ROCA LUIS GASTON"/>
    <s v="DNI"/>
    <n v="36944732"/>
    <s v="20369447328"/>
    <d v="1992-12-07T00:00:00"/>
    <s v="ASISTENCIA TÉCNICA"/>
    <s v="AT"/>
    <d v="2013-07-01T00:00:00"/>
    <m/>
    <d v="2016-12-31T00:00:00"/>
    <m/>
    <s v="UNTREF"/>
    <s v="UNSAM- LADA"/>
    <n v="11466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ROCA MANOUKIAN MATIAS"/>
    <s v="DNI"/>
    <n v="35084320"/>
    <s v="20350843206"/>
    <d v="1990-04-27T00:00:00"/>
    <s v="ASISTENCIA TÉCNICA"/>
    <s v="AT"/>
    <d v="2013-03-01T00:00:00"/>
    <m/>
    <d v="2016-12-31T00:00:00"/>
    <m/>
    <s v="UNTREF"/>
    <s v="UNSAM- LADA"/>
    <n v="22890"/>
  </r>
  <r>
    <s v="SFMyCP"/>
    <x v="0"/>
    <m/>
    <s v="UNIDAD SECRETARÍA"/>
    <m/>
    <m/>
    <m/>
    <s v="PRIVADA"/>
    <s v="ADMINISTRATIVO"/>
    <m/>
    <s v="CCK - Alem 351"/>
    <s v="RODRGUEZ JULIA"/>
    <s v="DNI"/>
    <n v="30860376"/>
    <n v="27308603763"/>
    <d v="1984-03-02T00:00:00"/>
    <s v="ASISTENCIA TÉCNICA"/>
    <s v="AT"/>
    <d v="2016-04-01T00:00:00"/>
    <m/>
    <d v="2016-12-31T00:00:00"/>
    <m/>
    <s v="UNTREF"/>
    <m/>
    <m/>
  </r>
  <r>
    <s v="SFMyCP"/>
    <x v="0"/>
    <s v="SUBSEC CENTROS TEMATICOS Y EXP FEDERALES"/>
    <s v="DIRECCION NACIONAL DE CENTROS TEMATICOS"/>
    <s v="INTENDENCIA - TALLERES"/>
    <m/>
    <m/>
    <m/>
    <s v="COLOCACIÓN DE CARTELERIA/DESARME DE ESTRUCTURAS/MANTENIMIENTO"/>
    <s v="TECNÓPOLIS"/>
    <s v="TECNOPOLIS"/>
    <s v="RODRIGUEZ JONATHAN"/>
    <s v="DNI"/>
    <n v="34782221"/>
    <s v="20347822214"/>
    <d v="1989-02-23T00:00:00"/>
    <s v="ASISTENCIA TÉCNICA"/>
    <s v="AT"/>
    <d v="2011-06-06T00:00:00"/>
    <m/>
    <d v="2016-12-31T00:00:00"/>
    <m/>
    <s v="UNTREF"/>
    <s v="UNTREF"/>
    <n v="12000"/>
  </r>
  <r>
    <s v="SFMyCP"/>
    <x v="0"/>
    <m/>
    <s v="DIR NAC GENERACION DE CONTENIDOS"/>
    <s v="TELEVISION DIGITAL ABIERTA"/>
    <s v="CIARA"/>
    <m/>
    <s v="PANORAMA ARGENTINO"/>
    <m/>
    <s v="CABILDO 65"/>
    <m/>
    <s v="RODRIGUEZ JORGE ADRIAN"/>
    <s v="DNI"/>
    <n v="30886045"/>
    <n v="20308860451"/>
    <m/>
    <s v="LEY MARCO"/>
    <s v="LM"/>
    <d v="2013-12-01T00:00:00"/>
    <d v="2016-03-31T00:00:00"/>
    <d v="2016-12-31T00:00:00"/>
    <s v="B0"/>
    <m/>
    <m/>
    <n v="17505"/>
  </r>
  <r>
    <s v="SFMyCP"/>
    <x v="1"/>
    <m/>
    <s v="DIR GRAL TECNICA ADMINISTRATIVA Y LEGAL"/>
    <s v="PRESUPUESTO"/>
    <m/>
    <m/>
    <m/>
    <m/>
    <m/>
    <m/>
    <s v="RODRIGUEZ JORGE GUILLERMO"/>
    <s v="DNI"/>
    <n v="28591140"/>
    <m/>
    <m/>
    <s v="LEY MARCO"/>
    <s v="LM"/>
    <m/>
    <m/>
    <d v="2016-12-31T00:00:00"/>
    <s v="B1"/>
    <m/>
    <m/>
    <m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RODRIGUEZ JUAN RAMON"/>
    <s v="DNI"/>
    <n v="40843063"/>
    <s v="20408430632"/>
    <d v="1987-09-02T00:00:00"/>
    <s v="ASISTENCIA TÉCNICA"/>
    <s v="AT"/>
    <d v="2014-12-01T00:00:00"/>
    <m/>
    <d v="2016-12-31T00:00:00"/>
    <m/>
    <s v="UNTREF"/>
    <s v="UNTREF"/>
    <n v="11449.4"/>
  </r>
  <r>
    <s v="SFMyCP"/>
    <x v="0"/>
    <m/>
    <s v="UNIDAD SECRETARÍA"/>
    <m/>
    <m/>
    <m/>
    <s v="SECRETARIA"/>
    <s v="Secretaria"/>
    <s v="CCK"/>
    <s v="CCK - Alem 351"/>
    <s v="RODRIGUEZ LEILA"/>
    <s v="DNI"/>
    <n v="34265208"/>
    <s v="27342652080"/>
    <d v="1989-02-09T00:00:00"/>
    <s v="ASISTENCIA TÉCNICA"/>
    <s v="AT"/>
    <d v="2015-08-01T00:00:00"/>
    <m/>
    <d v="2016-12-31T00:00:00"/>
    <m/>
    <s v="UNTREF"/>
    <s v="UNLAM -TDA"/>
    <n v="9555"/>
  </r>
  <r>
    <s v="SFMyCP"/>
    <x v="0"/>
    <s v="SUBSEC CENTROS TEMATICOS Y EXP FEDERALES"/>
    <s v="DIR NAC EXPRESIONES FEDERALES"/>
    <s v="PRODUCCIÓN"/>
    <m/>
    <m/>
    <m/>
    <s v="ADMINISTRATIVA"/>
    <m/>
    <s v="CCK - Alem 351"/>
    <s v="RODRIGUEZ MIGUEL ANGEL"/>
    <s v="DNI"/>
    <n v="21618345"/>
    <s v="20216183453"/>
    <d v="1970-05-30T00:00:00"/>
    <s v="ASISTENCIA TÉCNICA"/>
    <s v="AT"/>
    <d v="2016-04-01T00:00:00"/>
    <m/>
    <d v="2016-12-31T00:00:00"/>
    <m/>
    <s v="UNTREF"/>
    <m/>
    <n v="20000"/>
  </r>
  <r>
    <s v="SFMyCP"/>
    <x v="0"/>
    <m/>
    <s v="UNIDAD SECRETARÍA"/>
    <m/>
    <m/>
    <m/>
    <s v="PRIVADA"/>
    <s v="ADMINISTRATIVO"/>
    <m/>
    <s v="CCK - Alem 351"/>
    <s v="RODRIGUEZ MIGUEL ANGEL"/>
    <s v="DNI"/>
    <n v="11222820"/>
    <n v="23112228209"/>
    <d v="1954-01-29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ROIG GUILLERMO"/>
    <s v="DNI"/>
    <n v="18383611"/>
    <s v="20183836111"/>
    <d v="1967-07-27T00:00:00"/>
    <s v="ASISTENCIA TÉCNICA"/>
    <s v="AT"/>
    <d v="2014-05-11T00:00:00"/>
    <m/>
    <d v="2016-12-31T00:00:00"/>
    <m/>
    <s v="UNTREF"/>
    <s v="UNSAM- LADA"/>
    <n v="20959"/>
  </r>
  <r>
    <s v="SFMyCP"/>
    <x v="0"/>
    <s v="SUBSEC CENTROS TEMATICOS Y EXP FEDERALES"/>
    <s v="DIR NAC EXPRESIONES FEDERALES"/>
    <s v="DIRECCION DE GESTION EDILICIA"/>
    <s v="SEGURIDAD  "/>
    <m/>
    <s v="Asistente Técnico Seguridad"/>
    <s v="Asistente Técnico Seguridad"/>
    <s v="CCK"/>
    <s v="CCK - Alem 351"/>
    <s v="ROJAS MIRTA"/>
    <s v="DNI"/>
    <n v="20640391"/>
    <s v="27206403913"/>
    <d v="1968-12-27T00:00:00"/>
    <s v="ASISTENCIA TÉCNICA"/>
    <s v="AT"/>
    <d v="2015-07-01T00:00:00"/>
    <m/>
    <d v="2016-12-31T00:00:00"/>
    <m/>
    <s v="UNTREF"/>
    <s v="UNLAM- BICENTENARIO"/>
    <n v="10860"/>
  </r>
  <r>
    <s v="SFMyCP"/>
    <x v="1"/>
    <m/>
    <s v="DIR GRAL TECNICA ADMINISTRATIVA Y LEGAL"/>
    <s v="INFORMATICA Y SISTEMAS"/>
    <m/>
    <m/>
    <s v="Analista"/>
    <s v="Analista"/>
    <s v="CCK"/>
    <s v="CCK - Alem 351"/>
    <s v="ROJAS SILVIO"/>
    <s v="DNI"/>
    <n v="38522594"/>
    <s v="20385225947"/>
    <d v="1994-09-24T00:00:00"/>
    <s v="ASISTENCIA TÉCNICA"/>
    <s v="AT"/>
    <d v="2015-01-26T00:00:00"/>
    <m/>
    <d v="2016-12-31T00:00:00"/>
    <m/>
    <s v="UNTREF"/>
    <s v="UNLAM- INFO"/>
    <n v="10829"/>
  </r>
  <r>
    <s v="SFMyCP"/>
    <x v="0"/>
    <s v="SUBSEC CENTROS TEMATICOS Y EXP FEDERALES"/>
    <s v="DIRECCION NACIONAL DE CENTROS TEMATICOS"/>
    <s v="ADMINISTRACION -LEGALES"/>
    <m/>
    <m/>
    <s v="Administrativo"/>
    <m/>
    <s v="TECNÓPOLIS"/>
    <m/>
    <s v="ROMANO María Natalia"/>
    <s v="DNI"/>
    <n v="22645586"/>
    <n v="27226455863"/>
    <m/>
    <s v="LEY MARCO"/>
    <s v="LM"/>
    <d v="2011-05-01T00:00:00"/>
    <d v="2016-12-31T00:00:00"/>
    <d v="2016-12-31T00:00:00"/>
    <s v="B0"/>
    <m/>
    <m/>
    <n v="16757"/>
  </r>
  <r>
    <s v="SFMyCP"/>
    <x v="0"/>
    <s v="SUBSEC CENTROS TEMATICOS Y EXP FEDERALES"/>
    <s v="DIR NAC EXPRESIONES FEDERALES"/>
    <s v="DIRECCION"/>
    <m/>
    <m/>
    <s v="Secretaria"/>
    <m/>
    <s v="CCK"/>
    <m/>
    <s v="ROMANO VALENTINA DEL PILAR"/>
    <s v="DNI"/>
    <n v="35216524"/>
    <n v="27352165242"/>
    <m/>
    <s v="LEY MARCO"/>
    <s v="LM"/>
    <d v="2009-04-01T00:00:00"/>
    <d v="2016-12-31T00:00:00"/>
    <d v="2016-12-31T00:00:00"/>
    <s v="B1"/>
    <m/>
    <m/>
    <n v="18277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ROMERO CRISTIAN ADRIAN"/>
    <s v="DNI"/>
    <n v="30276696"/>
    <s v="20302766968"/>
    <d v="1983-04-30T00:00:00"/>
    <s v="ASISTENCIA TÉCNICA"/>
    <s v="AT"/>
    <d v="2013-07-01T00:00:00"/>
    <m/>
    <d v="2016-12-31T00:00:00"/>
    <m/>
    <s v="UNTREF"/>
    <s v="UNTREF"/>
    <n v="11499.3"/>
  </r>
  <r>
    <s v="SFMyCP"/>
    <x v="1"/>
    <m/>
    <s v="UNIDAD DE MINISTRO"/>
    <m/>
    <m/>
    <m/>
    <s v="PRIVADA"/>
    <s v="ADMINISTRATIVO"/>
    <m/>
    <s v="CCK - Alem 351"/>
    <s v="ROSSI MARIA EVELIA"/>
    <s v="DNI"/>
    <n v="36526530"/>
    <s v="27365265300"/>
    <d v="1991-04-21T00:00:00"/>
    <s v="ASISTENCIA TÉCNICA"/>
    <s v="AT"/>
    <d v="2016-01-01T00:00:00"/>
    <m/>
    <d v="2016-12-31T00:00:00"/>
    <m/>
    <s v="UNTREF"/>
    <m/>
    <n v="15000"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RUIZ ANDRES"/>
    <s v="DNI"/>
    <n v="22048883"/>
    <s v="20220488838"/>
    <d v="1971-02-04T00:00:00"/>
    <s v="ASISTENCIA TÉCNICA"/>
    <s v="AT"/>
    <d v="2012-08-01T00:00:00"/>
    <m/>
    <d v="2016-12-31T00:00:00"/>
    <m/>
    <s v="UNTREF"/>
    <m/>
    <n v="24060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RUIZ DIAZ  PEDRO DAMIAN"/>
    <s v="DNI"/>
    <n v="16639040"/>
    <s v="20166390401"/>
    <d v="1963-12-11T00:00:00"/>
    <s v="ASISTENCIA TÉCNICA"/>
    <s v="AT"/>
    <d v="2014-07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RUIZ LEONARDO EZEQUIEL"/>
    <s v="DNI"/>
    <n v="37350780"/>
    <s v="20373507807"/>
    <d v="1993-09-28T00:00:00"/>
    <s v="ASISTENCIA TÉCNICA"/>
    <s v="AT"/>
    <d v="2014-04-01T00:00:00"/>
    <m/>
    <d v="2016-12-31T00:00:00"/>
    <m/>
    <s v="UNTREF"/>
    <s v="UNTREF"/>
    <n v="9995.51"/>
  </r>
  <r>
    <s v="SFMyCP"/>
    <x v="0"/>
    <m/>
    <s v="ARTES VISUALES"/>
    <s v="ARTES VISUALES"/>
    <m/>
    <m/>
    <m/>
    <s v="ADMINISTRATIVO"/>
    <m/>
    <s v="CCK - Alem 351"/>
    <s v="RUIZ NATALI MELINA"/>
    <s v="DNI"/>
    <n v="34602138"/>
    <m/>
    <d v="1989-07-02T00:00:00"/>
    <s v="ASISTENCIA TÉCNICA"/>
    <s v="AT"/>
    <d v="2016-07-01T00:00:00"/>
    <m/>
    <d v="2016-12-31T00:00:00"/>
    <m/>
    <s v="UNTREF"/>
    <m/>
    <m/>
  </r>
  <r>
    <s v="SFMyCP"/>
    <x v="1"/>
    <m/>
    <s v="UNIDAD DE MINISTRO"/>
    <m/>
    <m/>
    <m/>
    <s v="PRIVADA"/>
    <s v="ADMINISTRATIVO"/>
    <m/>
    <s v="CCK - Alem 351"/>
    <s v="RUIZ NORA"/>
    <s v="DNI"/>
    <n v="6715531"/>
    <s v="27067155314"/>
    <d v="1947-05-05T00:00:00"/>
    <s v="ASISTENCIA TÉCNICA"/>
    <s v="AT"/>
    <d v="2016-01-01T00:00:00"/>
    <m/>
    <d v="2016-12-31T00:00:00"/>
    <m/>
    <s v="UNTREF"/>
    <s v="UNSAM"/>
    <n v="12275"/>
  </r>
  <r>
    <s v="SFMyCP"/>
    <x v="2"/>
    <m/>
    <s v="UNIDAD SECRETARÍA"/>
    <m/>
    <m/>
    <m/>
    <m/>
    <s v="ADMINISTRATIVO"/>
    <m/>
    <s v="CCK - Alem 351"/>
    <s v="RUPPERTO BARBARA"/>
    <s v="DNI"/>
    <n v="27203478"/>
    <m/>
    <d v="1979-02-17T00:00:00"/>
    <s v="ASISTENCIA TÉCNICA"/>
    <s v="AT"/>
    <d v="2016-07-01T00:00:00"/>
    <m/>
    <d v="2016-08-31T00:00:00"/>
    <m/>
    <s v="UNTREF"/>
    <m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SAAVEDRA NESTOR"/>
    <s v="DNI"/>
    <n v="16305311"/>
    <s v="20163053110"/>
    <d v="1963-03-17T00:00:00"/>
    <s v="ASISTENCIA TÉCNICA"/>
    <s v="AT"/>
    <d v="2015-03-02T00:00:00"/>
    <m/>
    <d v="2016-12-31T00:00:00"/>
    <m/>
    <s v="UNTREF"/>
    <m/>
    <n v="18795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SACCO JULIETA"/>
    <s v="DNI"/>
    <n v="28863215"/>
    <s v="23288632154"/>
    <d v="1981-04-24T00:00:00"/>
    <s v="ASISTENCIA TÉCNICA"/>
    <s v="AT"/>
    <d v="2015-04-01T00:00:00"/>
    <m/>
    <d v="2016-12-31T00:00:00"/>
    <m/>
    <s v="UNTREF"/>
    <s v="UNSAM- LADA"/>
    <n v="18795"/>
  </r>
  <r>
    <s v="SFMyCP"/>
    <x v="0"/>
    <s v="SUBSEC CENTROS TEMATICOS Y EXP FEDERALES"/>
    <s v="DIR NAC EXPRESIONES FEDERALES"/>
    <s v="PRODUCCIÓN"/>
    <m/>
    <m/>
    <s v="Asistente Técnico"/>
    <s v="ADMINISTRATIVA"/>
    <s v="CCK"/>
    <s v="CCK - Alem 351"/>
    <s v="SADIER EMILIO"/>
    <s v="DNI"/>
    <n v="25330208"/>
    <s v="23253302089"/>
    <d v="1976-05-10T00:00:00"/>
    <s v="ASISTENCIA TÉCNICA"/>
    <s v="AT"/>
    <d v="2014-02-10T00:00:00"/>
    <m/>
    <d v="2016-12-31T00:00:00"/>
    <m/>
    <s v="UNTREF"/>
    <s v="UNSAM"/>
    <n v="13062"/>
  </r>
  <r>
    <s v="SFMyCP"/>
    <x v="0"/>
    <s v="SUBSEC CENTROS TEMATICOS Y EXP FEDERALES"/>
    <s v="DIRECCION NACIONAL DE CENTROS TEMATICOS"/>
    <s v="OPERATIVA"/>
    <m/>
    <m/>
    <m/>
    <m/>
    <s v="TECNÓPOLIS"/>
    <m/>
    <s v="SAEZ MARCIAL  Ignacio"/>
    <s v="DNI"/>
    <n v="27217962"/>
    <n v="20272179620"/>
    <m/>
    <s v="LEY MARCO"/>
    <s v="LM"/>
    <d v="2011-07-01T00:00:00"/>
    <d v="2016-12-31T00:00:00"/>
    <d v="2016-12-31T00:00:00"/>
    <s v="C0"/>
    <m/>
    <m/>
    <n v="19930"/>
  </r>
  <r>
    <s v="SFMyCP"/>
    <x v="0"/>
    <m/>
    <s v="ARTES VISUALES"/>
    <s v="ARTES VISUALES"/>
    <m/>
    <m/>
    <m/>
    <m/>
    <m/>
    <m/>
    <s v="SAHADE PABLO"/>
    <s v="DNI"/>
    <n v="24206132"/>
    <n v="20242061323"/>
    <m/>
    <m/>
    <s v="AT"/>
    <d v="2016-08-01T00:00:00"/>
    <m/>
    <d v="2016-10-30T00:00:00"/>
    <m/>
    <s v="UNTREF"/>
    <m/>
    <m/>
  </r>
  <r>
    <s v="SFMyCP"/>
    <x v="1"/>
    <m/>
    <s v="DIR GRAL TECNICA ADMINISTRATIVA Y LEGAL"/>
    <m/>
    <m/>
    <m/>
    <m/>
    <s v="ADMINISTRATIVO"/>
    <m/>
    <s v="CCK - Alem 351"/>
    <s v="SALAS JOSEFINA"/>
    <s v="DNI"/>
    <n v="37753501"/>
    <s v="23377535014"/>
    <d v="1993-06-22T00:00:00"/>
    <s v="ASISTENCIA TÉCNICA"/>
    <s v="AT"/>
    <d v="2014-11-01T00:00:00"/>
    <m/>
    <d v="2016-12-31T00:00:00"/>
    <m/>
    <s v="UNTREF"/>
    <m/>
    <n v="10189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SALAZAR  MAXIMILIANO"/>
    <s v="DNI"/>
    <n v="36761265"/>
    <s v="20367612658"/>
    <d v="1992-06-02T00:00:00"/>
    <s v="ASISTENCIA TÉCNICA"/>
    <s v="AT"/>
    <d v="2011-07-01T00:00:00"/>
    <m/>
    <d v="2016-12-31T00:00:00"/>
    <m/>
    <s v="UNTREF"/>
    <s v="UNTREF"/>
    <n v="11449.4"/>
  </r>
  <r>
    <s v="SFMyCP"/>
    <x v="0"/>
    <m/>
    <s v="DIR NAC GENERACION DE CONTENIDOS"/>
    <s v="INV. AP. RECURSOS DIGITALES"/>
    <s v="CTRO INV PALPALA"/>
    <m/>
    <s v="GESTION DE PROYECTOS"/>
    <s v="ANALISTA"/>
    <s v="PALPALÁ-JUJUY"/>
    <s v="PALPALÁ-JUJUY"/>
    <s v="SALAZAR JOSUE JOEL"/>
    <s v="DNI"/>
    <n v="32877206"/>
    <n v="20328772060"/>
    <d v="1987-09-10T00:00:00"/>
    <s v="ASISTENCIA TÉCNICA"/>
    <s v="AT"/>
    <d v="2015-09-01T00:00:00"/>
    <m/>
    <d v="2016-12-31T00:00:00"/>
    <m/>
    <s v="UNTREF"/>
    <s v="UNSAM"/>
    <n v="14500"/>
  </r>
  <r>
    <s v="SFMyCP"/>
    <x v="0"/>
    <s v="SUBSEC CENTROS TEMATICOS Y EXP FEDERALES"/>
    <s v="DIR NAC EXPRESIONES FEDERALES"/>
    <s v="PRODUCCIÓN"/>
    <m/>
    <m/>
    <m/>
    <s v="ADMINISTRATIVA"/>
    <m/>
    <s v="CCK - Alem 351"/>
    <s v="SALGADO JUAN MANUEL"/>
    <s v="DNI"/>
    <n v="26047568"/>
    <s v="20260475682"/>
    <d v="1977-06-06T00:00:00"/>
    <s v="ASISTENCIA TÉCNICA"/>
    <s v="AT"/>
    <d v="2016-05-01T00:00:00"/>
    <m/>
    <d v="2016-12-31T00:00:00"/>
    <m/>
    <s v="UNTREF"/>
    <m/>
    <s v="."/>
  </r>
  <r>
    <s v="SFMyCP"/>
    <x v="0"/>
    <s v="SUBSEC CENTROS TEMATICOS Y EXP FEDERALES"/>
    <s v="DIR NAC EXPRESIONES FEDERALES"/>
    <s v="ADMINISTRACION"/>
    <m/>
    <m/>
    <m/>
    <s v="CADETE"/>
    <s v="CCK"/>
    <s v="CCK - Alem 351"/>
    <s v="SALINAS NESTOR"/>
    <s v="DNI"/>
    <n v="26246918"/>
    <s v="20262469183"/>
    <d v="1978-02-03T00:00:00"/>
    <s v="ASISTENCIA TÉCNICA"/>
    <s v="AT"/>
    <d v="2015-03-03T00:00:00"/>
    <m/>
    <d v="2016-12-31T00:00:00"/>
    <m/>
    <s v="UNTREF"/>
    <s v="UNSAM-MINPLAN"/>
    <n v="12500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SALOMONE GUILLERMO"/>
    <s v="DNI"/>
    <n v="12425437"/>
    <s v="20124254370"/>
    <d v="1958-06-01T00:00:00"/>
    <s v="ASISTENCIA TÉCNICA"/>
    <s v="AT"/>
    <d v="2013-01-01T00:00:00"/>
    <m/>
    <d v="2016-12-31T00:00:00"/>
    <m/>
    <s v="UNTREF"/>
    <s v="UNSAM- LADA"/>
    <n v="34485"/>
  </r>
  <r>
    <s v="SFMyCP"/>
    <x v="0"/>
    <s v="SUBSEC CENTROS TEMATICOS Y EXP FEDERALES"/>
    <s v="DIRECCION NACIONAL DE CENTROS TEMATICOS"/>
    <s v="TECNICA"/>
    <m/>
    <m/>
    <m/>
    <s v="OPERACIÓN/MONTAJE/MANTENIMIENTO"/>
    <s v="TECNÓPOLIS"/>
    <s v="TECNOPOLIS"/>
    <s v="SALVO ROMAN ROSS JONATHAN"/>
    <s v="DNI"/>
    <n v="34114414"/>
    <s v="20341144141"/>
    <d v="1988-11-07T00:00:00"/>
    <s v="ASISTENCIA TÉCNICA"/>
    <s v="AT"/>
    <d v="2013-04-01T00:00:00"/>
    <m/>
    <d v="2016-12-31T00:00:00"/>
    <m/>
    <s v="UNTREF"/>
    <s v="UNTREF"/>
    <n v="20817.09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SANABRIA GABRIELA"/>
    <s v="DNI"/>
    <n v="34511518"/>
    <n v="27345115183"/>
    <d v="1989-05-29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SANCHEZ ARIEL"/>
    <s v="DNI"/>
    <n v="38842536"/>
    <s v="23388425369"/>
    <d v="1993-02-02T00:00:00"/>
    <s v="ASISTENCIA TÉCNICA"/>
    <s v="AT"/>
    <d v="2015-08-17T00:00:00"/>
    <m/>
    <d v="2016-12-31T00:00:00"/>
    <m/>
    <s v="UNTREF"/>
    <m/>
    <n v="24060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SANCHEZ FABIAN"/>
    <s v="DNI"/>
    <n v="27263724"/>
    <s v="20272637246"/>
    <d v="1979-05-30T00:00:00"/>
    <s v="ASISTENCIA TÉCNICA"/>
    <s v="AT"/>
    <d v="2015-10-01T00:00:00"/>
    <m/>
    <d v="2016-12-31T00:00:00"/>
    <m/>
    <s v="UNTREF"/>
    <s v="UNSAM- LADA"/>
    <n v="16465"/>
  </r>
  <r>
    <s v="SFMyCP"/>
    <x v="0"/>
    <s v="SUBSEC CENTROS TEMATICOS Y EXP FEDERALES"/>
    <s v="DIRECCION NACIONAL DE CENTROS TEMATICOS"/>
    <s v="GASTRONOMIA"/>
    <m/>
    <m/>
    <s v="COCINA"/>
    <m/>
    <s v="TECNÓPOLIS"/>
    <m/>
    <s v="SANCHEZ Florencia Anabella"/>
    <s v="DNI"/>
    <n v="37200106"/>
    <n v="27372001068"/>
    <m/>
    <s v="LEY MARCO"/>
    <s v="LM"/>
    <d v="2013-07-01T00:00:00"/>
    <d v="2016-03-31T00:00:00"/>
    <d v="2016-12-31T00:00:00"/>
    <s v="C0"/>
    <m/>
    <m/>
    <n v="13084.78"/>
  </r>
  <r>
    <s v="SFMyCP"/>
    <x v="0"/>
    <s v="SUBSEC CENTROS TEMATICOS Y EXP FEDERALES"/>
    <s v="DIR NAC EXPRESIONES FEDERALES"/>
    <s v="DIRECCION DE GESTION EDILICIA"/>
    <s v="MANTENIMIENTO"/>
    <m/>
    <s v=""/>
    <s v="Auxiliar de Mantenimiento"/>
    <s v="CCK"/>
    <s v="CCK - Alem 351"/>
    <s v="SÁNCHEZ GABRIEL "/>
    <s v="DNI"/>
    <n v="23426675"/>
    <s v="20234266757"/>
    <d v="1973-08-22T00:00:00"/>
    <s v="ASISTENCIA TÉCNICA"/>
    <s v="AT"/>
    <d v="2015-05-15T00:00:00"/>
    <m/>
    <d v="2016-12-31T00:00:00"/>
    <m/>
    <s v="UNTREF"/>
    <s v="UNSAM"/>
    <n v="20000"/>
  </r>
  <r>
    <s v="SFMyCP"/>
    <x v="0"/>
    <s v="SUBSEC CENTROS TEMATICOS Y EXP FEDERALES"/>
    <s v="DIRECCION NACIONAL DE CENTROS TEMATICOS"/>
    <s v="MESA DE AYUDA"/>
    <m/>
    <m/>
    <s v="PRIVADA"/>
    <s v="ASISTENTE"/>
    <m/>
    <s v="TECNOPOLIS"/>
    <s v="SANCHEZ LAMOTHE FRANCISCO"/>
    <s v="DNI"/>
    <n v="29303530"/>
    <n v="20293035300"/>
    <d v="1982-03-30T00:00:00"/>
    <s v="ASISTENCIA TÉCNICA"/>
    <s v="AT"/>
    <d v="2016-05-1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SANCHEZ LUCIA"/>
    <s v="DNI"/>
    <n v="38682779"/>
    <s v="27386827791"/>
    <d v="1984-11-24T00:00:00"/>
    <s v="ASISTENCIA TÉCNICA"/>
    <s v="AT"/>
    <d v="2015-10-01T00:00:00"/>
    <m/>
    <d v="2016-12-31T00:00:00"/>
    <m/>
    <s v="UNTREF"/>
    <s v="UNSAM- LADA"/>
    <n v="16465"/>
  </r>
  <r>
    <s v="SFMyCP"/>
    <x v="0"/>
    <s v="SUBSEC CENTROS TEMATICOS Y EXP FEDERALES"/>
    <s v="DIR NAC EXPRESIONES FEDERALES"/>
    <s v="COMUNICACIÓN"/>
    <s v="PRENSA"/>
    <m/>
    <s v="Diseñadora gráfica"/>
    <m/>
    <s v="CCK"/>
    <m/>
    <s v="SANCHEZ PAULA"/>
    <s v="DNI"/>
    <n v="21471551"/>
    <n v="27214715517"/>
    <m/>
    <s v="LEY MARCO"/>
    <s v="LM"/>
    <d v="2011-05-02T00:00:00"/>
    <d v="2016-12-31T00:00:00"/>
    <d v="2016-12-31T00:00:00"/>
    <s v="B1"/>
    <m/>
    <m/>
    <n v="20266"/>
  </r>
  <r>
    <s v="SFMyCP"/>
    <x v="1"/>
    <m/>
    <s v="DIR GRAL TECNICA ADMINISTRATIVA Y LEGAL"/>
    <s v="PLANIF  Y ADM DE REC HUMANOS"/>
    <s v="RECURSOS HUMANOS"/>
    <m/>
    <s v="RECURSOS HUMANOS"/>
    <m/>
    <s v="CABILDO 65"/>
    <m/>
    <s v="SANCHEZ PAYA CAROLA LUCIANA"/>
    <s v="DNI"/>
    <n v="26522544"/>
    <n v="27265225441"/>
    <m/>
    <s v="LEY MARCO"/>
    <s v="LM"/>
    <d v="2012-12-01T00:00:00"/>
    <d v="2016-12-31T00:00:00"/>
    <d v="2016-12-31T00:00:00"/>
    <s v="B0"/>
    <m/>
    <m/>
    <n v="17505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SANCHEZ QUIJANO EMILIANO"/>
    <s v="DNI"/>
    <n v="30448923"/>
    <s v="20304489236"/>
    <d v="1983-08-08T00:00:00"/>
    <s v="ASISTENCIA TÉCNICA"/>
    <s v="AT"/>
    <d v="2011-08-01T00:00:00"/>
    <m/>
    <d v="2016-12-31T00:00:00"/>
    <m/>
    <s v="UNTREF"/>
    <m/>
    <n v="20545"/>
  </r>
  <r>
    <s v="SFMyCP"/>
    <x v="2"/>
    <m/>
    <s v="UNIDAD SECRETARÍA"/>
    <m/>
    <m/>
    <m/>
    <m/>
    <s v="ADMINISTRATIVO"/>
    <m/>
    <s v="CCK - Alem 351"/>
    <s v="SANCHEZ SAÑUDO RICARDO"/>
    <s v="DNI"/>
    <n v="11045200"/>
    <m/>
    <d v="1954-03-30T00:00:00"/>
    <s v="ASISTENCIA TÉCNICA"/>
    <s v="AT"/>
    <d v="2016-07-01T00:00:00"/>
    <m/>
    <d v="2016-12-31T00:00:00"/>
    <m/>
    <s v="UNTREF"/>
    <m/>
    <m/>
  </r>
  <r>
    <s v="SFMyCP"/>
    <x v="1"/>
    <m/>
    <s v="UNIDAD DE MINISTRO"/>
    <m/>
    <m/>
    <m/>
    <s v="PRIVADA"/>
    <s v="ADMINISTRATIVO"/>
    <m/>
    <s v="CCK - Alem 351"/>
    <s v="SANNMARTIN, ALEJANDRA"/>
    <s v="DNI"/>
    <n v="26397949"/>
    <s v="23263979494"/>
    <d v="1977-12-12T00:00:00"/>
    <s v="ASISTENCIA TÉCNICA"/>
    <s v="AT"/>
    <d v="2016-01-01T00:00:00"/>
    <m/>
    <d v="2016-12-31T00:00:00"/>
    <m/>
    <s v="UNTREF"/>
    <s v="UNSAM"/>
    <n v="12742"/>
  </r>
  <r>
    <s v="SFMyCP"/>
    <x v="1"/>
    <m/>
    <s v="DIR GRAL TECNICA ADMINISTRATIVA Y LEGAL"/>
    <s v="MESA DE ENTRADA"/>
    <m/>
    <m/>
    <m/>
    <s v="Administrativo"/>
    <m/>
    <s v="CCK - Alem 351"/>
    <s v="SANTINI GAMARRA MOISES "/>
    <s v="DNI"/>
    <n v="18889124"/>
    <n v="20188891242"/>
    <d v="1993-04-11T00:00:00"/>
    <s v="ASISTENCIA TÉCNICA"/>
    <s v="AT"/>
    <m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SANTOS, LILIANA INES"/>
    <s v="DNI"/>
    <n v="11231408"/>
    <n v="27112314089"/>
    <d v="1954-04-25T00:00:00"/>
    <s v="ASISTENCIA TÉCNICA"/>
    <s v="AT"/>
    <d v="2016-01-01T00:00:00"/>
    <m/>
    <d v="2016-12-31T00:00:00"/>
    <m/>
    <s v="UNTREF"/>
    <s v="UNSAM"/>
    <n v="15000"/>
  </r>
  <r>
    <s v="SFMyCP"/>
    <x v="0"/>
    <s v="SUBSEC CENTROS TEMATICOS Y EXP FEDERALES"/>
    <s v="DIR NAC EXPRESIONES FEDERALES"/>
    <s v="DIRECCION DE GESTION EDILICIA"/>
    <s v="EQUIPO CONTROL Y PLANIFICACION"/>
    <m/>
    <m/>
    <s v="ADMINISTRATIVO"/>
    <s v="CCK"/>
    <s v="CCK - Alem 351"/>
    <s v="SANZ FERNANDA "/>
    <s v="DNI"/>
    <n v="22278247"/>
    <s v="27222782479"/>
    <d v="1971-08-16T00:00:00"/>
    <s v="ASISTENCIA TÉCNICA"/>
    <s v="AT"/>
    <m/>
    <m/>
    <d v="2016-12-31T00:00:00"/>
    <m/>
    <s v="UNTREF"/>
    <s v="UNSAM"/>
    <n v="30145"/>
  </r>
  <r>
    <s v="SFMyCP"/>
    <x v="0"/>
    <m/>
    <s v="DIR NAC GENERACION DE CONTENIDOS"/>
    <s v="TELEVISION DIGITAL ABIERTA"/>
    <s v="CIARA"/>
    <m/>
    <s v="ADMINISTRACIÓN"/>
    <s v="ADMINISTRATIVO"/>
    <s v="CABILDO 65"/>
    <s v="CABILDO 65"/>
    <s v="SARAZOLA LEANDRO"/>
    <s v="DNI"/>
    <n v="33154729"/>
    <s v="20331547299"/>
    <d v="1986-11-18T00:00:00"/>
    <s v="ASISTENCIA TÉCNICA"/>
    <s v="AT"/>
    <d v="2014-06-01T00:00:00"/>
    <m/>
    <d v="2016-12-31T00:00:00"/>
    <m/>
    <s v="UNTREF"/>
    <s v="UNSAM- LADA"/>
    <n v="12246"/>
  </r>
  <r>
    <s v="SFMyCP"/>
    <x v="0"/>
    <m/>
    <s v="UNIDAD SECRETARÍA"/>
    <m/>
    <m/>
    <s v="RENDICION DE CUENTAS"/>
    <s v="Analista"/>
    <m/>
    <s v="CCK"/>
    <m/>
    <s v="SASTRE PEDRO"/>
    <s v="DNI"/>
    <n v="36403671"/>
    <n v="20364036710"/>
    <m/>
    <s v="LEY MARCO"/>
    <s v="LM"/>
    <d v="2012-05-01T00:00:00"/>
    <d v="2016-12-31T00:00:00"/>
    <d v="2016-12-31T00:00:00"/>
    <s v="C1"/>
    <m/>
    <m/>
    <n v="12274"/>
  </r>
  <r>
    <s v="SFMyCP"/>
    <x v="0"/>
    <m/>
    <s v="UNIDAD SECRETARÍA"/>
    <m/>
    <m/>
    <m/>
    <s v="PRIVADA"/>
    <s v="ADMINISTRATIVO"/>
    <m/>
    <s v="CCK - Alem 351"/>
    <s v="SATRIANO JULIO CESAR"/>
    <s v="DNI"/>
    <n v="29246854"/>
    <n v="20292468548"/>
    <d v="1981-12-01T00:00:00"/>
    <s v="ASISTENCIA TÉCNICA"/>
    <s v="AT"/>
    <d v="2016-07-01T00:00:00"/>
    <m/>
    <d v="2016-12-31T00:00:00"/>
    <m/>
    <s v="UNTREF"/>
    <m/>
    <m/>
  </r>
  <r>
    <s v="SFMyCP"/>
    <x v="1"/>
    <m/>
    <s v="UNIDAD DE MINISTRO"/>
    <m/>
    <m/>
    <m/>
    <s v="PRIVADA"/>
    <s v="ADMINISTRATIVO"/>
    <m/>
    <s v="CCK - Alem 351"/>
    <s v="SATRIANO, ROBERTO"/>
    <s v="DNI"/>
    <n v="7823142"/>
    <s v="20078231425"/>
    <d v="1949-08-30T00:00:00"/>
    <s v="ASISTENCIA TÉCNICA"/>
    <s v="AT"/>
    <d v="2016-01-01T00:00:00"/>
    <m/>
    <d v="2016-12-31T00:00:00"/>
    <m/>
    <s v="UNTREF"/>
    <s v="UNSAM"/>
    <n v="19000"/>
  </r>
  <r>
    <s v="SFMyCP"/>
    <x v="0"/>
    <s v="SUBSEC CENTROS TEMATICOS Y EXP FEDERALES"/>
    <s v="DIRECCION NACIONAL DE CENTROS TEMATICOS"/>
    <s v="INTENDENCIA - TALLERES"/>
    <m/>
    <m/>
    <m/>
    <s v="CONTROL DE STOCK/CONTROL DE COMBUSTIBLE"/>
    <s v="TECNÓPOLIS"/>
    <s v="TECNOPOLIS"/>
    <s v="SAURIT  ESTANISLAO ANDRES"/>
    <s v="DNI"/>
    <n v="25924310"/>
    <s v="20259243107"/>
    <d v="1977-08-03T00:00:00"/>
    <s v="ASISTENCIA TÉCNICA"/>
    <s v="AT"/>
    <d v="2013-06-01T00:00:00"/>
    <m/>
    <d v="2016-12-31T00:00:00"/>
    <m/>
    <s v="UNTREF"/>
    <s v="UNTREF"/>
    <n v="11449.4"/>
  </r>
  <r>
    <s v="SFMyCP"/>
    <x v="0"/>
    <s v="SUBSEC CENTROS TEMATICOS Y EXP FEDERALES"/>
    <s v="DIR NAC EXPRESIONES FEDERALES"/>
    <s v="DIRECCION DE GESTION EDILICIA"/>
    <s v="MESA DE AYUDA"/>
    <m/>
    <s v="Asistente Técnico"/>
    <s v="ADMINISTRATIVO"/>
    <s v="CCK"/>
    <s v="CCK - Alem 351"/>
    <s v="SAVIGNON LEILA"/>
    <s v="DNI"/>
    <n v="34492812"/>
    <s v="27344928121"/>
    <d v="1989-03-14T00:00:00"/>
    <s v="ASISTENCIA TÉCNICA"/>
    <s v="AT"/>
    <d v="2015-08-05T00:00:00"/>
    <m/>
    <d v="2016-12-31T00:00:00"/>
    <m/>
    <s v="UNTREF"/>
    <s v="UNLAM- BICENTENARIO"/>
    <n v="10800"/>
  </r>
  <r>
    <s v="SFMyCP"/>
    <x v="0"/>
    <s v="SUBSEC CENTROS TEMATICOS Y EXP FEDERALES"/>
    <s v="UNIDAD SUBSECRETARIO"/>
    <m/>
    <m/>
    <m/>
    <s v="ASESORA"/>
    <m/>
    <s v="CCK"/>
    <m/>
    <s v="SCAGNOLARI MARIA LAURA"/>
    <s v="DNI"/>
    <n v="27144391"/>
    <n v="27271443914"/>
    <m/>
    <s v="LEY MARCO"/>
    <s v="LM"/>
    <d v="2011-01-01T00:00:00"/>
    <d v="2016-12-31T00:00:00"/>
    <d v="2016-12-31T00:00:00"/>
    <s v="A0"/>
    <m/>
    <m/>
    <n v="27374"/>
  </r>
  <r>
    <s v="SFMyCP"/>
    <x v="1"/>
    <m/>
    <s v="DIR GRAL TECNICA ADMINISTRATIVA Y LEGAL"/>
    <s v="PLANIF  Y ADM DE REC HUMANOS"/>
    <s v="MEDICINA DEL TRABAJO"/>
    <m/>
    <s v="Enfermera/o"/>
    <m/>
    <s v="CCK"/>
    <m/>
    <s v="SCARPINO ANTONIO MARCELO"/>
    <s v="DNI"/>
    <n v="14569996"/>
    <n v="20145699968"/>
    <m/>
    <s v="LEY MARCO"/>
    <s v="LM"/>
    <d v="2015-08-01T00:00:00"/>
    <d v="2016-03-31T00:00:00"/>
    <d v="2016-12-31T00:00:00"/>
    <s v="C0"/>
    <m/>
    <m/>
    <n v="11730"/>
  </r>
  <r>
    <s v="SFMyCP"/>
    <x v="0"/>
    <m/>
    <s v="DIR NAC GENERACION DE CONTENIDOS"/>
    <s v="TELEVISION DIGITAL ABIERTA"/>
    <s v="CIARA"/>
    <s v="CCK"/>
    <s v="FOMENTO"/>
    <s v="ADMINISTRATIVO"/>
    <s v="CABILDO 65"/>
    <s v="CABILDO 65"/>
    <s v="SCHARGORODSKY LAURA"/>
    <s v="DNI"/>
    <n v="28325918"/>
    <s v="27283259183"/>
    <d v="1980-07-28T00:00:00"/>
    <s v="ASISTENCIA TÉCNICA"/>
    <s v="AT"/>
    <d v="2011-08-01T00:00:00"/>
    <m/>
    <d v="2016-12-31T00:00:00"/>
    <m/>
    <s v="UNTREF"/>
    <s v="UNSAM- LADA"/>
    <n v="32782"/>
  </r>
  <r>
    <s v="SFMyCP"/>
    <x v="0"/>
    <m/>
    <s v="DIR NAC GENERACION DE CONTENIDOS"/>
    <s v="TELEVISION DIGITAL ABIERTA"/>
    <s v="CIARA"/>
    <m/>
    <s v="PRODUCCIÓN"/>
    <s v="PAÑOL"/>
    <s v="CABILDO 65"/>
    <s v="CABILDO 65"/>
    <s v="SCHENONE LEANDRO"/>
    <s v="DNI"/>
    <n v="23477469"/>
    <s v="20234774698"/>
    <d v="1974-05-24T00:00:00"/>
    <s v="ASISTENCIA TÉCNICA"/>
    <s v="AT"/>
    <d v="2014-09-08T00:00:00"/>
    <m/>
    <d v="2016-12-31T00:00:00"/>
    <m/>
    <s v="UNTREF"/>
    <s v="UNSAM- LADA"/>
    <n v="10188"/>
  </r>
  <r>
    <s v="SFMyCP"/>
    <x v="0"/>
    <m/>
    <s v="DIR NAC GENERACION DE CONTENIDOS"/>
    <m/>
    <m/>
    <m/>
    <s v="SECRETARIA"/>
    <s v="Secretaria"/>
    <s v="CCK"/>
    <s v="CCK - Alem 351"/>
    <s v="SCHIAVI ANA"/>
    <s v="DNI"/>
    <n v="39917444"/>
    <s v="27399174444"/>
    <d v="1996-11-21T00:00:00"/>
    <s v="ASISTENCIA TÉCNICA"/>
    <s v="AT"/>
    <d v="2015-09-02T00:00:00"/>
    <m/>
    <d v="2016-12-31T00:00:00"/>
    <m/>
    <s v="UNTREF"/>
    <s v="UNLAM- BICENTENARIO"/>
    <n v="10189"/>
  </r>
  <r>
    <s v="SFMyCP"/>
    <x v="0"/>
    <s v="SUBSEC CENTROS TEMATICOS Y EXP FEDERALES"/>
    <s v="DIRECCION NACIONAL DE CENTROS TEMATICOS"/>
    <s v="PRODUCCIÓN"/>
    <m/>
    <m/>
    <m/>
    <m/>
    <s v="TECNÓPOLIS"/>
    <m/>
    <s v="SCHUPPISSER Manuela"/>
    <s v="DNI"/>
    <n v="36686000"/>
    <n v="27366860008"/>
    <m/>
    <s v="LEY MARCO"/>
    <s v="LM"/>
    <d v="2011-07-01T00:00:00"/>
    <d v="2016-12-31T00:00:00"/>
    <d v="2016-12-31T00:00:00"/>
    <s v="C0"/>
    <m/>
    <m/>
    <n v="17148"/>
  </r>
  <r>
    <s v="SFMyCP"/>
    <x v="0"/>
    <s v="SUBSEC CENTROS TEMATICOS Y EXP FEDERALES"/>
    <s v="DIR NAC EXPRESIONES FEDERALES"/>
    <s v="PRODUCCIÓN"/>
    <m/>
    <m/>
    <m/>
    <s v="ADMINISTRATIVA"/>
    <m/>
    <s v="CCK - Alem 351"/>
    <s v="SCHWARZ WERNER AMADEO"/>
    <s v="DNI"/>
    <n v="18761949"/>
    <s v="20187619492"/>
    <d v="1977-03-04T00:00:00"/>
    <s v="ASISTENCIA TÉCNICA"/>
    <s v="AT"/>
    <d v="2016-06-01T00:00:00"/>
    <m/>
    <d v="2016-12-31T00:00:00"/>
    <m/>
    <s v="UNTREF"/>
    <m/>
    <n v="18000"/>
  </r>
  <r>
    <s v="SFMyCP"/>
    <x v="0"/>
    <s v="SUBSEC CENTROS TEMATICOS Y EXP FEDERALES"/>
    <s v="DIR NAC EXPRESIONES FEDERALES"/>
    <s v="DIRECCION DE GESTION EDILICIA"/>
    <s v="ESPACIOS FISICOS"/>
    <s v="ESPACIOS FÍSICOS"/>
    <s v="REFERENTE"/>
    <s v="ADMINISTRATIVO"/>
    <s v="CCK"/>
    <s v="CCK - Alem 351"/>
    <s v="SEIF MAXIMILIANO"/>
    <s v="DNI"/>
    <n v="28361042"/>
    <s v="20283610420"/>
    <d v="1980-09-16T00:00:00"/>
    <s v="ASISTENCIA TÉCNICA"/>
    <s v="AT"/>
    <d v="2014-08-01T00:00:00"/>
    <m/>
    <d v="2016-12-31T00:00:00"/>
    <m/>
    <s v="UNTREF"/>
    <s v="UNSAM-MINPLAN"/>
    <n v="25480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SELZER MARIANA"/>
    <s v="DNI"/>
    <n v="25795303"/>
    <s v="27257953039"/>
    <d v="1977-02-12T00:00:00"/>
    <s v="ASISTENCIA TÉCNICA"/>
    <s v="AT"/>
    <d v="2010-10-01T00:00:00"/>
    <m/>
    <d v="2016-12-31T00:00:00"/>
    <m/>
    <s v="UNTREF"/>
    <s v="UNSAM- LADA"/>
    <n v="22662"/>
  </r>
  <r>
    <s v="SFMyCP"/>
    <x v="0"/>
    <s v="SUBSEC CENTROS TEMATICOS Y EXP FEDERALES"/>
    <s v="DIR NAC EXPRESIONES FEDERALES"/>
    <s v="ADMINISTRACION"/>
    <m/>
    <m/>
    <s v="Responsable"/>
    <s v="ADMINISTRATIVO"/>
    <s v="CCK"/>
    <s v="CCK - Alem 351"/>
    <s v="SEMERIA FEDERICO "/>
    <s v="DNI"/>
    <n v="23126670"/>
    <s v="20231266705"/>
    <d v="1973-02-01T00:00:00"/>
    <s v="ASISTENCIA TÉCNICA"/>
    <s v="AT"/>
    <d v="2015-04-01T00:00:00"/>
    <m/>
    <d v="2016-12-31T00:00:00"/>
    <m/>
    <s v="UNTREF"/>
    <s v="UNSAM-MINPLAN"/>
    <n v="20000"/>
  </r>
  <r>
    <s v="SFMyCP"/>
    <x v="0"/>
    <s v="SUBSEC CENTROS TEMATICOS Y EXP FEDERALES"/>
    <s v="DIR NAC EXPRESIONES FEDERALES"/>
    <s v="AUDIOVISUALES"/>
    <m/>
    <m/>
    <m/>
    <s v="ADMINISTRATIVO"/>
    <m/>
    <s v="CCK - Alem 351"/>
    <s v="SEMERIA JULIETA"/>
    <s v="DNI"/>
    <n v="33344752"/>
    <n v="27333447520"/>
    <d v="1987-09-07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SENRA MARIA CELESTE"/>
    <s v="DNI"/>
    <n v="27084585"/>
    <n v="27270845857"/>
    <d v="1978-12-14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TECNICA"/>
    <m/>
    <m/>
    <m/>
    <m/>
    <s v="TECNÓPOLIS"/>
    <m/>
    <s v="SEQUEIRA Adrián Anibal"/>
    <s v="DNI"/>
    <n v="21930163"/>
    <n v="20219301635"/>
    <m/>
    <s v="LEY MARCO"/>
    <s v="LM"/>
    <d v="2013-05-01T00:00:00"/>
    <d v="2016-03-31T00:00:00"/>
    <d v="2016-12-31T00:00:00"/>
    <s v="C0"/>
    <m/>
    <m/>
    <n v="21792.89"/>
  </r>
  <r>
    <s v="SFMyCP"/>
    <x v="1"/>
    <m/>
    <s v="DIR GRAL TECNICA ADMINISTRATIVA Y LEGAL"/>
    <s v="COMPRAS Y CONTRATACIONES"/>
    <m/>
    <m/>
    <s v="Asistente Técnico"/>
    <m/>
    <s v="CCK"/>
    <m/>
    <s v="SICILIANO LAURA PATRICIA"/>
    <s v="DNI"/>
    <n v="22237165"/>
    <n v="27222371657"/>
    <m/>
    <s v="LEY MARCO"/>
    <s v="LM"/>
    <d v="2011-06-01T00:00:00"/>
    <d v="2016-12-31T00:00:00"/>
    <d v="2016-12-31T00:00:00"/>
    <s v="C1"/>
    <m/>
    <m/>
    <n v="12274"/>
  </r>
  <r>
    <s v="SFMyCP"/>
    <x v="0"/>
    <s v="SUBSEC CENTROS TEMATICOS Y EXP FEDERALES"/>
    <s v="DIRECCION NACIONAL DE CENTROS TEMATICOS"/>
    <m/>
    <m/>
    <m/>
    <s v="PRIVADA"/>
    <s v="ADMINISTRATIVO"/>
    <s v="TECNÓPOLIS"/>
    <s v="TECNOPOLIS"/>
    <s v="SIERRA GUSTAVO"/>
    <s v="DNI"/>
    <n v="31213986"/>
    <s v="20312139864"/>
    <d v="1984-08-31T00:00:00"/>
    <s v="ASISTENCIA TÉCNICA"/>
    <s v="AT"/>
    <d v="2016-01-01T00:00:00"/>
    <m/>
    <d v="2016-12-31T00:00:00"/>
    <m/>
    <s v="UNTREF"/>
    <s v="UNSAM"/>
    <n v="10000"/>
  </r>
  <r>
    <s v="SFMyCP"/>
    <x v="1"/>
    <m/>
    <s v="UNIDAD DE MINISTRO"/>
    <m/>
    <m/>
    <m/>
    <s v="PRIVADA"/>
    <s v="ADMINISTRATIVO"/>
    <m/>
    <s v="CCK - Alem 351"/>
    <s v="SILBERGLEIT, SILVINA"/>
    <s v="DNI"/>
    <n v="28231814"/>
    <n v="27282318143"/>
    <d v="1980-06-13T00:00:00"/>
    <s v="ASISTENCIA TÉCNICA"/>
    <s v="AT"/>
    <d v="2016-01-01T00:00:00"/>
    <m/>
    <d v="2016-12-31T00:00:00"/>
    <m/>
    <s v="UNTREF"/>
    <s v="UNSAM"/>
    <n v="27370"/>
  </r>
  <r>
    <s v="SFMyCP"/>
    <x v="0"/>
    <s v="SUBSEC CENTROS TEMATICOS Y EXP FEDERALES"/>
    <s v="DIRECCION NACIONAL DE CENTROS TEMATICOS"/>
    <s v="INTENDENCIA - LIMPIEZA"/>
    <m/>
    <m/>
    <m/>
    <s v="ENCARGADO DE LIMPIEZA"/>
    <s v="TECNÓPOLIS"/>
    <s v="TECNOPOLIS"/>
    <s v="SILVA  IVAN LEANDRO"/>
    <s v="DNI"/>
    <n v="34616953"/>
    <s v="20346169533"/>
    <d v="1989-05-25T00:00:00"/>
    <s v="ASISTENCIA TÉCNICA"/>
    <s v="AT"/>
    <d v="2013-04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SILVA  JORGE YONATAN"/>
    <s v="DNI"/>
    <n v="40516549"/>
    <s v="20405165490"/>
    <d v="1990-01-15T00:00:00"/>
    <s v="ASISTENCIA TÉCNICA"/>
    <s v="AT"/>
    <d v="2014-04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- PARQUIZACION"/>
    <m/>
    <m/>
    <m/>
    <s v="MANTENIMIENTO DE ESPACIOS VERDES"/>
    <s v="TECNÓPOLIS"/>
    <s v="TECNOPOLIS"/>
    <s v="SILVA  RICARDO LUIS"/>
    <s v="DNI"/>
    <n v="24534584"/>
    <s v="20245345845"/>
    <d v="1975-06-30T00:00:00"/>
    <s v="ASISTENCIA TÉCNICA"/>
    <s v="AT"/>
    <d v="2013-07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m/>
    <m/>
    <m/>
    <m/>
    <s v="MANTENIMIENTO DE ESPACIOS VERDES"/>
    <m/>
    <s v="TECNOPOLIS"/>
    <s v="SILVA CRISTHIAN LUIS"/>
    <s v="DNI"/>
    <n v="40166060"/>
    <s v="20401660608"/>
    <d v="1997-04-03T00:00:00"/>
    <s v="ASISTENCIA TÉCNICA"/>
    <s v="AT"/>
    <m/>
    <m/>
    <d v="2016-12-31T00:00:00"/>
    <m/>
    <s v="UNTREF"/>
    <m/>
    <m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SILVA URTISA CARLOS"/>
    <s v="DNI"/>
    <n v="95147687"/>
    <s v="20951476871"/>
    <d v="1986-01-14T00:00:00"/>
    <s v="ASISTENCIA TÉCNICA"/>
    <s v="AT"/>
    <d v="2014-02-15T00:00:00"/>
    <m/>
    <d v="2016-12-31T00:00:00"/>
    <m/>
    <s v="UNTREF"/>
    <s v="UNSAM- LADA"/>
    <n v="15925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SILVENTE FACUNDO"/>
    <s v="DNI"/>
    <n v="34247889"/>
    <n v="20342578897"/>
    <d v="1988-12-21T00:00:00"/>
    <s v="ASISTENCIA TÉCNICA"/>
    <s v="AT"/>
    <d v="2016-05-01T00:00:00"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SIMONIAN JUAN MANUEL"/>
    <s v="DNI"/>
    <n v="32064205"/>
    <n v="20320642052"/>
    <d v="1985-12-17T00:00:00"/>
    <s v="ASISTENCIA TÉCNICA"/>
    <s v="AT"/>
    <d v="2016-06-01T00:00:00"/>
    <m/>
    <d v="2016-08-31T00:00:00"/>
    <m/>
    <s v="UNTREF"/>
    <m/>
    <m/>
  </r>
  <r>
    <s v="SFMyCP"/>
    <x v="0"/>
    <s v="SUBSEC CENTROS TEMATICOS Y EXP FEDERALES"/>
    <s v="DIR NAC EXPRESIONES FEDERALES"/>
    <m/>
    <m/>
    <m/>
    <s v="ASISTENTE COORD SUR"/>
    <s v="ADMINISTRATIVO"/>
    <m/>
    <s v="CCK - Alem 351"/>
    <s v="SMOCOCICH ADRIANO DUILIO"/>
    <s v="DNI"/>
    <n v="12315305"/>
    <n v="20123153058"/>
    <d v="1958-05-16T00:00:00"/>
    <s v="ASISTENCIA TÉCNICA"/>
    <s v="AT"/>
    <d v="2016-06-01T00:00:00"/>
    <m/>
    <d v="2016-12-31T00:00:00"/>
    <m/>
    <s v="UNTREF"/>
    <m/>
    <m/>
  </r>
  <r>
    <s v="SFMyCP"/>
    <x v="1"/>
    <m/>
    <s v="DIR GRAL TECNICA ADMINISTRATIVA Y LEGAL"/>
    <s v="INFORMATICA Y SISTEMAS"/>
    <m/>
    <m/>
    <s v="Analista"/>
    <m/>
    <s v="CCK"/>
    <m/>
    <s v="SOBRINO LUCIANA YAMILA"/>
    <s v="DNI"/>
    <n v="29064222"/>
    <n v="27290642227"/>
    <m/>
    <s v="LEY MARCO"/>
    <s v="LM"/>
    <d v="2012-12-01T00:00:00"/>
    <d v="2016-12-31T00:00:00"/>
    <d v="2016-12-31T00:00:00"/>
    <s v="B1"/>
    <m/>
    <m/>
    <n v="20266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SOIMER ISAAC "/>
    <s v="DNI"/>
    <n v="11721717"/>
    <s v="20117217176"/>
    <d v="1955-11-08T00:00:00"/>
    <s v="ASISTENCIA TÉCNICA"/>
    <s v="AT"/>
    <d v="2013-03-01T00:00:00"/>
    <m/>
    <d v="2016-12-31T00:00:00"/>
    <m/>
    <s v="UNTREF"/>
    <s v="UNSAM- LADA"/>
    <n v="21640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SOIMER NICOLAS"/>
    <s v="DNI"/>
    <n v="37992277"/>
    <s v="20379922776"/>
    <d v="1994-01-04T00:00:00"/>
    <s v="ASISTENCIA TÉCNICA"/>
    <s v="AT"/>
    <d v="2015-05-15T00:00:00"/>
    <m/>
    <d v="2016-12-31T00:00:00"/>
    <m/>
    <s v="UNTREF"/>
    <s v="UNSAM- LADA"/>
    <n v="15234"/>
  </r>
  <r>
    <s v="SFMyCP"/>
    <x v="0"/>
    <s v="SUBSEC CENTROS TEMATICOS Y EXP FEDERALES"/>
    <s v="DIR NAC EXPRESIONES FEDERALES"/>
    <s v="COMUNICACIÓN"/>
    <s v="PRENSA"/>
    <m/>
    <m/>
    <s v="ADMINISTRATIVO"/>
    <s v="CCK"/>
    <s v="CCK - Alem 351"/>
    <s v="SOLARZ, VALERIA"/>
    <s v="DNI"/>
    <n v="23123972"/>
    <s v="27231239729"/>
    <d v="1972-12-23T00:00:00"/>
    <s v="ASISTENCIA TÉCNICA"/>
    <s v="AT"/>
    <d v="2016-01-01T00:00:00"/>
    <m/>
    <d v="2016-12-31T00:00:00"/>
    <m/>
    <s v="UNTREF"/>
    <s v="UNSAM"/>
    <n v="1900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SOLIZ MIGUEL"/>
    <s v="DNI"/>
    <n v="22809362"/>
    <n v="23228093629"/>
    <d v="1972-10-30T00:00:00"/>
    <s v="ASISTENCIA TÉCNICA"/>
    <s v="AT"/>
    <d v="2011-09-01T00:00:00"/>
    <m/>
    <d v="2016-12-31T00:00:00"/>
    <m/>
    <s v="UNTREF"/>
    <s v="UNSAM- LADA"/>
    <n v="32782"/>
  </r>
  <r>
    <s v="SFMyCP"/>
    <x v="0"/>
    <s v="SUBSEC CENTROS TEMATICOS Y EXP FEDERALES"/>
    <s v="DIRECCION NACIONAL DE CENTROS TEMATICOS"/>
    <s v="GASTRONOMIA"/>
    <m/>
    <m/>
    <s v="COCINA"/>
    <s v="LIMPIEZA GENERAL DEL PARQUE"/>
    <s v="TECNÓPOLIS"/>
    <s v="TECNOPOLIS"/>
    <s v="SOLODUJIN DANIEL DE LOS SANTOS"/>
    <s v="DNI"/>
    <n v="38353774"/>
    <s v="20383537747"/>
    <d v="1994-11-01T00:00:00"/>
    <s v="ASISTENCIA TÉCNICA"/>
    <s v="AT"/>
    <d v="2014-04-01T00:00:00"/>
    <m/>
    <d v="2016-12-31T00:00:00"/>
    <m/>
    <s v="UNTREF"/>
    <s v="UNTREF"/>
    <n v="10408.549999999999"/>
  </r>
  <r>
    <s v="SFMyCP"/>
    <x v="0"/>
    <s v="SUBSEC CENTROS TEMATICOS Y EXP FEDERALES"/>
    <s v="DIRECCION NACIONAL DE CENTROS TEMATICOS"/>
    <s v="INTENDENCIA - LIMPIEZA"/>
    <m/>
    <m/>
    <m/>
    <m/>
    <s v="TECNÓPOLIS"/>
    <m/>
    <s v="SOLODUJIN Noelia Edith"/>
    <s v="DNI"/>
    <n v="34263994"/>
    <n v="27342639947"/>
    <m/>
    <s v="LEY MARCO"/>
    <s v="LM"/>
    <d v="2011-12-01T00:00:00"/>
    <d v="2016-12-31T00:00:00"/>
    <d v="2016-12-31T00:00:00"/>
    <s v="D1"/>
    <m/>
    <m/>
    <n v="13270"/>
  </r>
  <r>
    <s v="SFMyCP"/>
    <x v="1"/>
    <m/>
    <s v="DIR GRAL TECNICA ADMINISTRATIVA Y LEGAL"/>
    <s v="COMPRAS Y CONTRATACIONES"/>
    <m/>
    <m/>
    <s v="Analista"/>
    <s v="ADMINISTRATIVO"/>
    <s v="CCK"/>
    <s v="CCK - Alem 351"/>
    <s v="GABIOUD SNÖBOHM AGUSTINA"/>
    <s v="DNI"/>
    <n v="34888306"/>
    <n v="27348883068"/>
    <d v="1989-11-12T00:00:00"/>
    <s v="ASISTENCIA TÉCNICA"/>
    <s v="AT"/>
    <d v="2016-08-01T00:00:00"/>
    <m/>
    <d v="2016-12-31T00:00:00"/>
    <m/>
    <s v="UNTREF"/>
    <m/>
    <s v="."/>
  </r>
  <r>
    <s v="SFMyCP"/>
    <x v="0"/>
    <m/>
    <s v="COMUNICACIONES"/>
    <s v="COMUNICACIÓN"/>
    <m/>
    <m/>
    <m/>
    <m/>
    <s v="CCK"/>
    <s v="CCK - Alem 351"/>
    <s v="SOSA  Lucas Tomas"/>
    <s v="DNI"/>
    <n v="31722364"/>
    <n v="20317223642"/>
    <m/>
    <s v="LEY MARCO"/>
    <s v="LM"/>
    <d v="2012-07-01T00:00:00"/>
    <d v="2016-12-31T00:00:00"/>
    <d v="2016-12-31T00:00:00"/>
    <s v="C0"/>
    <m/>
    <m/>
    <n v="18164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SOSA LUNA JUAN MARIO"/>
    <s v="DNI"/>
    <n v="30160785"/>
    <s v="20301607858"/>
    <d v="1983-05-19T00:00:00"/>
    <s v="ASISTENCIA TÉCNICA"/>
    <s v="AT"/>
    <d v="2011-07-01T00:00:00"/>
    <m/>
    <d v="2016-12-31T00:00:00"/>
    <m/>
    <s v="UNTREF"/>
    <s v="UNTREF"/>
    <n v="11449.4"/>
  </r>
  <r>
    <s v="SFMyCP"/>
    <x v="0"/>
    <s v="SUBSEC CENTROS TEMATICOS Y EXP FEDERALES"/>
    <s v="DIRECCION NACIONAL DE CENTROS TEMATICOS"/>
    <s v="INTENDENCIA - MANTENIMIENTO"/>
    <m/>
    <m/>
    <m/>
    <m/>
    <s v="TECNÓPOLIS"/>
    <m/>
    <s v="SOTELO David Antonio"/>
    <s v="DNI"/>
    <n v="20979830"/>
    <n v="20209798302"/>
    <m/>
    <s v="LEY MARCO"/>
    <s v="LM"/>
    <d v="2011-08-01T00:00:00"/>
    <d v="2016-12-31T00:00:00"/>
    <d v="2016-12-31T00:00:00"/>
    <s v="C0"/>
    <m/>
    <m/>
    <n v="15793.59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SOTELO YONATHAN DAVID"/>
    <s v="DNI"/>
    <n v="36179996"/>
    <s v="20361799969"/>
    <d v="1993-05-10T00:00:00"/>
    <s v="ASISTENCIA TÉCNICA"/>
    <s v="AT"/>
    <d v="2014-04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DIRECCION DE GESTION EDILICIA"/>
    <s v="OPERATIVA Y LOGISTICA"/>
    <s v="LOGISTICA OPERATIVA"/>
    <s v="Responsable"/>
    <s v="OPERATIVA Y LOGISTICA"/>
    <s v="CCK"/>
    <s v="CCK - Alem 351"/>
    <s v="SOTO JONATAN"/>
    <s v="DNI"/>
    <n v="32604554"/>
    <s v="20326045544"/>
    <d v="1986-08-19T00:00:00"/>
    <s v="ASISTENCIA TÉCNICA"/>
    <s v="AT"/>
    <d v="2015-04-18T00:00:00"/>
    <m/>
    <d v="2016-12-31T00:00:00"/>
    <m/>
    <s v="UNTREF"/>
    <s v="UNLAM -TDA"/>
    <n v="11721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SOTOMAYOR ARIEL"/>
    <s v="DNI"/>
    <n v="28969270"/>
    <s v="20289692704"/>
    <d v="1981-12-13T00:00:00"/>
    <s v="ASISTENCIA TÉCNICA"/>
    <s v="AT"/>
    <d v="2015-03-02T00:00:00"/>
    <m/>
    <d v="2016-12-31T00:00:00"/>
    <m/>
    <s v="UNTREF"/>
    <s v="UNSAM- LADA"/>
    <n v="19353"/>
  </r>
  <r>
    <s v="SFMyCP"/>
    <x v="0"/>
    <s v="SUBSEC CENTROS TEMATICOS Y EXP FEDERALES"/>
    <s v="DIR NAC EXPRESIONES FEDERALES"/>
    <s v="DIRECCION DE GESTION EDILICIA"/>
    <s v="ESPACIOS FISICOS"/>
    <m/>
    <s v="Asistente Técnico Administrativo"/>
    <s v="ADMINISTRATIVO"/>
    <s v="CCK"/>
    <s v="CCK - Alem 351"/>
    <s v="SPEAKE RANDY"/>
    <s v="DNI"/>
    <n v="35897637"/>
    <n v="23358976379"/>
    <d v="1992-04-29T00:00:00"/>
    <s v="ASISTENCIA TÉCNICA"/>
    <s v="AT"/>
    <m/>
    <m/>
    <d v="2016-12-31T00:00:00"/>
    <m/>
    <s v="UNTREF"/>
    <s v="UNLAM -TDA"/>
    <n v="11721"/>
  </r>
  <r>
    <s v="SFMyCP"/>
    <x v="1"/>
    <m/>
    <s v="UNIDAD DE MINISTRO"/>
    <m/>
    <m/>
    <m/>
    <s v="PRIVADA"/>
    <s v="ADMINISTRATIVO"/>
    <m/>
    <s v="CCK - Alem 351"/>
    <s v="SPOSITO, LUCAS"/>
    <s v="DNI"/>
    <n v="35161090"/>
    <s v="20351610906"/>
    <d v="1990-03-23T00:00:00"/>
    <s v="ASISTENCIA TÉCNICA"/>
    <s v="AT"/>
    <d v="2016-01-01T00:00:00"/>
    <m/>
    <d v="2016-12-31T00:00:00"/>
    <m/>
    <s v="UNTREF"/>
    <s v="UNSAM"/>
    <n v="17000"/>
  </r>
  <r>
    <s v="SFMyCP"/>
    <x v="0"/>
    <s v="SUBSEC CENTROS TEMATICOS Y EXP FEDERALES"/>
    <s v="DIRECCION NACIONAL DE CENTROS TEMATICOS"/>
    <s v="COOPERATIVAS"/>
    <m/>
    <m/>
    <s v="Tareas Generales"/>
    <s v="TAREAS EN GENERAL TALLER CARPINTERIA/HERRERÍA/TEXTIL"/>
    <s v="TECNÓPOLIS"/>
    <m/>
    <s v="SPROVIERO TAMARA VANINA"/>
    <s v="DNI"/>
    <n v="34154916"/>
    <n v="27341549162"/>
    <d v="1988-03-22T00:00:00"/>
    <s v="ASISTENCIA TÉCNICA"/>
    <s v="CO"/>
    <m/>
    <m/>
    <d v="2016-12-31T00:00:00"/>
    <m/>
    <s v="UNTREF"/>
    <s v="UNTREF"/>
    <n v="1700"/>
  </r>
  <r>
    <s v="SFMyCP"/>
    <x v="0"/>
    <s v="SUBSEC CENTROS TEMATICOS Y EXP FEDERALES"/>
    <s v="DIR NAC EXPRESIONES FEDERALES"/>
    <s v="DIRECCION"/>
    <m/>
    <m/>
    <s v="Asistente"/>
    <s v="Asistente"/>
    <m/>
    <s v="CCK - Alem 351"/>
    <s v="SUAREZ AGUSTINA"/>
    <s v="DNI"/>
    <n v="24270144"/>
    <s v="27242701440"/>
    <d v="1974-10-24T00:00:00"/>
    <s v="ASISTENCIA TÉCNICA"/>
    <s v="AT"/>
    <d v="2016-04-01T00:00:00"/>
    <m/>
    <d v="2016-12-31T00:00:00"/>
    <m/>
    <s v="UNTREF"/>
    <m/>
    <n v="20000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SUAREZ JUAN CARLOS"/>
    <s v="DNI"/>
    <n v="26688463"/>
    <n v="20266884630"/>
    <m/>
    <s v="LEY MARCO"/>
    <s v="LM"/>
    <d v="2014-12-01T00:00:00"/>
    <d v="2016-03-31T00:00:00"/>
    <d v="2016-12-31T00:00:00"/>
    <s v="D0"/>
    <m/>
    <m/>
    <n v="18219"/>
  </r>
  <r>
    <s v="SFMyCP"/>
    <x v="0"/>
    <s v="SUBSEC CENTROS TEMATICOS Y EXP FEDERALES"/>
    <s v="DIRECCION NACIONAL DE CENTROS TEMATICOS"/>
    <s v="INTENDENCIA - LIMPIEZA"/>
    <m/>
    <m/>
    <m/>
    <m/>
    <s v="TECNÓPOLIS"/>
    <m/>
    <s v="SUAREZ Laura Beatriz"/>
    <s v="DNI"/>
    <n v="20715776"/>
    <n v="27207157762"/>
    <m/>
    <s v="LEY MARCO"/>
    <s v="LM"/>
    <d v="2012-10-31T00:00:00"/>
    <d v="2016-12-31T00:00:00"/>
    <d v="2016-12-31T00:00:00"/>
    <s v="C0"/>
    <m/>
    <m/>
    <n v="19227"/>
  </r>
  <r>
    <s v="SFMyCP"/>
    <x v="0"/>
    <s v="SUBSEC CENTROS TEMATICOS Y EXP FEDERALES"/>
    <s v="DIRECCION NACIONAL DE CENTROS TEMATICOS"/>
    <s v="INTENDENCIA - LIMPIEZA"/>
    <m/>
    <m/>
    <m/>
    <s v="LIMPIEZA GENERAL DEL PARQUE"/>
    <s v="TECNÓPOLIS"/>
    <s v="TECNOPOLIS"/>
    <s v="SUAREZ LUCAS ALEJANDRO"/>
    <s v="DNI"/>
    <n v="38354730"/>
    <s v="20383547300"/>
    <d v="1994-07-21T00:00:00"/>
    <s v="ASISTENCIA TÉCNICA"/>
    <s v="AT"/>
    <d v="2014-07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TECNICA"/>
    <s v="MONTAJE"/>
    <m/>
    <m/>
    <s v="ADMINISTRATIVO"/>
    <m/>
    <s v="CCK - Alem 351"/>
    <s v="SUAREZ ROBERTO DANIEL"/>
    <s v="DNI"/>
    <n v="12908061"/>
    <n v="20129080613"/>
    <d v="1958-09-02T00:00:00"/>
    <s v="ASISTENCIA TÉCNICA"/>
    <s v="AT"/>
    <d v="2016-06-01T00:00:00"/>
    <m/>
    <d v="2016-12-31T00:00:00"/>
    <m/>
    <s v="UNTREF"/>
    <m/>
    <m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SUAREZ RUBIO IGNACIO"/>
    <s v="DNI"/>
    <n v="31270453"/>
    <s v="20312704537"/>
    <d v="1984-10-29T00:00:00"/>
    <s v="ASISTENCIA TÉCNICA"/>
    <s v="AT"/>
    <d v="2015-04-01T00:00:00"/>
    <m/>
    <d v="2016-12-31T00:00:00"/>
    <m/>
    <s v="UNTREF"/>
    <m/>
    <n v="19353"/>
  </r>
  <r>
    <s v="SFMyCP"/>
    <x v="0"/>
    <s v="SUBSEC CENTROS TEMATICOS Y EXP FEDERALES"/>
    <s v="DIR NAC EXPRESIONES FEDERALES"/>
    <s v="INSTITUCIONALES"/>
    <m/>
    <m/>
    <s v="Analista"/>
    <m/>
    <s v="CCK"/>
    <m/>
    <s v="SUIFFET ANA CLARA"/>
    <s v="DNI"/>
    <n v="28013886"/>
    <n v="27280138865"/>
    <m/>
    <s v="LEY MARCO"/>
    <s v="LM"/>
    <d v="2009-03-01T00:00:00"/>
    <d v="2016-12-31T00:00:00"/>
    <d v="2016-12-31T00:00:00"/>
    <s v="B0"/>
    <m/>
    <m/>
    <n v="19096"/>
  </r>
  <r>
    <s v="SFMyCP"/>
    <x v="0"/>
    <s v="SUBSEC CENTROS TEMATICOS Y EXP FEDERALES"/>
    <s v="UNIDAD SUBSECRETARIO"/>
    <m/>
    <m/>
    <m/>
    <s v="PRIVADA"/>
    <s v="ADMINISTRATIVO"/>
    <m/>
    <s v="CCK - Alem 351"/>
    <s v="SUMMA RODRIGO EZEQUIEL"/>
    <s v="DNI"/>
    <n v="25989420"/>
    <n v="20259894205"/>
    <d v="1977-08-02T00:00:00"/>
    <s v="ASISTENCIA TÉCNICA"/>
    <s v="AT"/>
    <m/>
    <m/>
    <d v="2016-12-31T00:00:00"/>
    <m/>
    <s v="UNTREF"/>
    <m/>
    <m/>
  </r>
  <r>
    <s v="SFMyCP"/>
    <x v="0"/>
    <s v="SUBSEC CENTROS TEMATICOS Y EXP FEDERALES"/>
    <s v="DIR NAC EXPRESIONES FEDERALES"/>
    <s v="AUDIOVISUALES"/>
    <m/>
    <m/>
    <m/>
    <m/>
    <s v="CCK"/>
    <s v="CCK - Alem 351"/>
    <s v="SZENKIERMAN,  Laura Gisela"/>
    <s v="DNI"/>
    <n v="28076813"/>
    <n v="27280768133"/>
    <m/>
    <s v="LEY MARCO"/>
    <s v="LM"/>
    <d v="2011-07-01T00:00:00"/>
    <d v="2016-12-31T00:00:00"/>
    <d v="2016-12-31T00:00:00"/>
    <s v="C0"/>
    <m/>
    <m/>
    <n v="24220.959999999999"/>
  </r>
  <r>
    <s v="SFMyCP"/>
    <x v="0"/>
    <s v="SUBSEC CENTROS TEMATICOS Y EXP FEDERALES"/>
    <s v="DIR NAC EXPRESIONES FEDERALES"/>
    <s v="DIRECCION DE GESTION EDILICIA"/>
    <s v="EQUIPO CONTROL Y PLANIFICACION"/>
    <m/>
    <m/>
    <m/>
    <m/>
    <m/>
    <s v="SZMULEWICZ DEMIAN"/>
    <s v="DNI"/>
    <n v="26352654"/>
    <n v="20263526547"/>
    <m/>
    <s v="LEY MARCO"/>
    <s v="LM"/>
    <d v="2008-02-01T00:00:00"/>
    <d v="2016-12-31T00:00:00"/>
    <d v="2016-12-31T00:00:00"/>
    <s v="B2"/>
    <m/>
    <s v="B2"/>
    <m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TABAREZ VIDECKIS NICOLAS"/>
    <s v="DNI"/>
    <n v="27419365"/>
    <s v="20274193655"/>
    <d v="1979-07-23T00:00:00"/>
    <s v="ASISTENCIA TÉCNICA"/>
    <s v="AT"/>
    <d v="2012-05-01T00:00:00"/>
    <m/>
    <d v="2016-12-31T00:00:00"/>
    <m/>
    <s v="UNTREF"/>
    <m/>
    <n v="27582"/>
  </r>
  <r>
    <s v="SFMyCP"/>
    <x v="1"/>
    <m/>
    <s v="DIR GRAL TECNICA ADMINISTRATIVA Y LEGAL"/>
    <s v="PLANIF  Y ADM DE REC HUMANOS"/>
    <s v="TDA"/>
    <m/>
    <s v="RECURSOS HUMANOS"/>
    <m/>
    <s v="CABILDO 65"/>
    <m/>
    <s v="TAGARELLI CARLA MARIA"/>
    <s v="DNI"/>
    <n v="22110046"/>
    <n v="27221100463"/>
    <m/>
    <s v="LEY MARCO"/>
    <s v="LM"/>
    <d v="2013-12-01T00:00:00"/>
    <d v="2016-03-31T00:00:00"/>
    <d v="2016-12-31T00:00:00"/>
    <s v="B0"/>
    <m/>
    <m/>
    <n v="17107"/>
  </r>
  <r>
    <s v="SFMyCP"/>
    <x v="1"/>
    <m/>
    <s v="UNIDAD DE MINISTRO"/>
    <m/>
    <m/>
    <m/>
    <s v="PRIVADA"/>
    <s v="ADMINISTRATIVO"/>
    <m/>
    <s v="CCK - Alem 351"/>
    <s v="TARDITTI, EDUARDO JORGE"/>
    <s v="DNI"/>
    <n v="6560219"/>
    <s v="23065602199"/>
    <d v="1947-07-07T00:00:00"/>
    <s v="ASISTENCIA TÉCNICA"/>
    <s v="AT"/>
    <d v="2016-01-01T00:00:00"/>
    <m/>
    <d v="2016-12-31T00:00:00"/>
    <m/>
    <s v="UNTREF"/>
    <s v="UNSAM"/>
    <n v="27000"/>
  </r>
  <r>
    <s v="SFMyCP"/>
    <x v="1"/>
    <m/>
    <s v="DIR GRAL TECNICA ADMINISTRATIVA Y LEGAL"/>
    <s v="PLANIF  Y ADM DE REC HUMANOS"/>
    <s v="RECURSOS HUMANOS"/>
    <m/>
    <s v="Analista de RR.HH."/>
    <s v="ADMINISTRATIVO"/>
    <s v="CCK"/>
    <s v="CCK - Alem 351"/>
    <s v="TELLO LUCÍA"/>
    <s v="DNI"/>
    <n v="36637604"/>
    <s v="27366376041"/>
    <d v="1991-11-13T00:00:00"/>
    <s v="ASISTENCIA TÉCNICA"/>
    <s v="AT"/>
    <d v="2014-11-01T00:00:00"/>
    <m/>
    <d v="2016-12-31T00:00:00"/>
    <m/>
    <s v="UNTREF"/>
    <s v="UNLAM -TDA"/>
    <n v="10189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TENEGLIA JOSE"/>
    <s v="DNI"/>
    <n v="24007592"/>
    <s v="20240075920"/>
    <d v="1974-07-22T00:00:00"/>
    <s v="ASISTENCIA TÉCNICA"/>
    <s v="AT"/>
    <d v="2012-06-01T00:00:00"/>
    <m/>
    <d v="2016-12-31T00:00:00"/>
    <m/>
    <s v="UNTREF"/>
    <s v="UNSAM- LADA"/>
    <n v="16465"/>
  </r>
  <r>
    <s v="SFMyCP"/>
    <x v="1"/>
    <m/>
    <s v="DIR GRAL TECNICA ADMINISTRATIVA Y LEGAL"/>
    <s v="COMPRAS Y CONTRATACIONES"/>
    <m/>
    <m/>
    <s v="ADMINISTRACIÓN"/>
    <s v="ADMINISTRATIVO"/>
    <s v="CCK"/>
    <s v="CCK - Alem 351"/>
    <s v="TEVES NANCY FLORENCIA"/>
    <s v="DNI"/>
    <n v="32690517"/>
    <s v="27326905173"/>
    <d v="1986-09-30T00:00:00"/>
    <s v="ASISTENCIA TÉCNICA"/>
    <s v="AT"/>
    <d v="2013-03-01T00:00:00"/>
    <m/>
    <d v="2016-12-31T00:00:00"/>
    <m/>
    <s v="UNTREF"/>
    <s v="UNSAM- LADA"/>
    <n v="9875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TEVEZ CAROLINA"/>
    <s v="DNI"/>
    <n v="32022652"/>
    <s v="27320226525"/>
    <d v="1986-01-30T00:00:00"/>
    <s v="ASISTENCIA TÉCNICA"/>
    <s v="AT"/>
    <d v="2015-04-01T00:00:00"/>
    <m/>
    <d v="2016-12-31T00:00:00"/>
    <m/>
    <s v="UNTREF"/>
    <s v="UNSAM- LADA"/>
    <n v="18795"/>
  </r>
  <r>
    <s v="SFMyCP"/>
    <x v="1"/>
    <m/>
    <s v="DIR GRAL TECNICA ADMINISTRATIVA Y LEGAL"/>
    <s v="PRESUPUESTO"/>
    <m/>
    <m/>
    <s v="ANALISTA"/>
    <s v="ADMINISTRATIVO"/>
    <m/>
    <s v="CCK - Alem 351"/>
    <s v="TOKUMORI MARIA KAMI"/>
    <s v="DNI"/>
    <n v="36990736"/>
    <n v="27369907366"/>
    <d v="1992-03-14T00:00:00"/>
    <s v="ASISTENCIA TÉCNICA"/>
    <s v="AT"/>
    <d v="2016-05-02T00:00:00"/>
    <m/>
    <d v="2016-12-31T00:00:00"/>
    <m/>
    <s v="UNTREF"/>
    <m/>
    <s v="."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TOLCACHIER NICOLAS"/>
    <s v="DNI"/>
    <n v="24270526"/>
    <s v="20242705263"/>
    <d v="1974-10-18T00:00:00"/>
    <s v="ASISTENCIA TÉCNICA"/>
    <s v="AT"/>
    <d v="2009-11-01T00:00:00"/>
    <m/>
    <d v="2016-12-31T00:00:00"/>
    <m/>
    <s v="UNTREF"/>
    <s v="UNSAM- LADA"/>
    <n v="27717"/>
  </r>
  <r>
    <s v="SFMyCP"/>
    <x v="0"/>
    <s v="SUBSEC CENTROS TEMATICOS Y EXP FEDERALES"/>
    <s v="DIRECCION NACIONAL DE CENTROS TEMATICOS"/>
    <s v="INTENDENCIA- MANTENIMIENTO"/>
    <m/>
    <m/>
    <m/>
    <s v="MANTENIMIENTO GRAL DEL PARQUE"/>
    <s v="TECNÓPOLIS"/>
    <s v="TECNOPOLIS"/>
    <s v="TOLEDO CARLOS IVÁN"/>
    <s v="DNI"/>
    <n v="38928395"/>
    <s v="23389283959"/>
    <d v="1995-05-23T00:00:00"/>
    <s v="ASISTENCIA TÉCNICA"/>
    <s v="AT"/>
    <d v="2014-04-01T00:00:00"/>
    <m/>
    <d v="2016-12-31T00:00:00"/>
    <m/>
    <s v="UNTREF"/>
    <s v="UNTREF"/>
    <n v="9995.51"/>
  </r>
  <r>
    <s v="SFMyCP"/>
    <x v="0"/>
    <s v="SUBSEC CENTROS TEMATICOS Y EXP FEDERALES"/>
    <s v="DIR NAC EXPRESIONES FEDERALES"/>
    <s v="DIRECCION DE GESTION EDILICIA"/>
    <s v="ESPACIOS FISICOS"/>
    <m/>
    <s v="Fotografa/o"/>
    <s v="ADMINISTRATIVO"/>
    <s v="CCK"/>
    <s v="CCK - Alem 351"/>
    <s v="TOLEDO WIDENSKY JULIETA"/>
    <s v="DNI"/>
    <n v="35897693"/>
    <s v="27358976935"/>
    <d v="1992-12-12T00:00:00"/>
    <s v="ASISTENCIA TÉCNICA"/>
    <s v="AT"/>
    <d v="2015-08-03T00:00:00"/>
    <m/>
    <d v="2016-12-31T00:00:00"/>
    <m/>
    <s v="UNTREF"/>
    <s v="UNLAM -TDA"/>
    <n v="10807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TORANZO AGUSTIN"/>
    <s v="DNI"/>
    <n v="29752031"/>
    <s v="20297520319"/>
    <d v="1982-09-04T00:00:00"/>
    <s v="ASISTENCIA TÉCNICA"/>
    <s v="AT"/>
    <d v="2012-08-01T00:00:00"/>
    <m/>
    <d v="2016-12-31T00:00:00"/>
    <m/>
    <s v="UNTREF"/>
    <s v="UNSAM- LADA"/>
    <n v="23288"/>
  </r>
  <r>
    <s v="SFMyCP"/>
    <x v="0"/>
    <s v="SUBSEC CENTROS TEMATICOS Y EXP FEDERALES"/>
    <s v="DIRECCION NACIONAL DE CENTROS TEMATICOS"/>
    <s v="OPERATIVA"/>
    <m/>
    <m/>
    <m/>
    <s v="CONTROL DE ACCESOS/DEPOSITOS DEL PREDIO TURNO NOCHE"/>
    <s v="TECNÓPOLIS"/>
    <s v="TECNOPOLIS"/>
    <s v="TORMANN LUCAS ALEJANDRO"/>
    <s v="DNI"/>
    <n v="39100326"/>
    <s v="20391003263"/>
    <d v="1995-06-11T00:00:00"/>
    <s v="ASISTENCIA TÉCNICA"/>
    <s v="AT"/>
    <d v="2014-07-01T00:00:00"/>
    <m/>
    <d v="2016-12-31T00:00:00"/>
    <m/>
    <s v="UNTREF"/>
    <s v="UNTREF"/>
    <n v="9995.51"/>
  </r>
  <r>
    <s v="SFMyCP"/>
    <x v="0"/>
    <s v="SUBSEC CENTROS TEMATICOS Y EXP FEDERALES"/>
    <s v="DIRECCION NACIONAL DE CENTROS TEMATICOS"/>
    <s v="INTENDENCIA - TALLERES"/>
    <m/>
    <m/>
    <m/>
    <m/>
    <s v="TECNÓPOLIS"/>
    <m/>
    <s v="TORNESE Alejandro Federico"/>
    <s v="DNI"/>
    <n v="12462086"/>
    <n v="20124620865"/>
    <m/>
    <s v="LEY MARCO"/>
    <s v="LM"/>
    <d v="2012-04-01T00:00:00"/>
    <d v="2016-12-31T00:00:00"/>
    <d v="2016-12-31T00:00:00"/>
    <s v="C0"/>
    <m/>
    <m/>
    <n v="20583"/>
  </r>
  <r>
    <s v="SFMyCP"/>
    <x v="0"/>
    <s v="SUBSEC CENTROS TEMATICOS Y EXP FEDERALES"/>
    <s v="DIRECCION NACIONAL DE CENTROS TEMATICOS"/>
    <s v="ARQUITECTURA Y OBRA"/>
    <m/>
    <m/>
    <m/>
    <s v="MANTENIMIENTO"/>
    <s v="TECNÓPOLIS"/>
    <s v="TECNOPOLIS"/>
    <s v="TORRES  MAXIMILIANO JOSE"/>
    <s v="DNI"/>
    <n v="28635991"/>
    <s v="20286359915"/>
    <d v="1981-03-08T00:00:00"/>
    <s v="ASISTENCIA TÉCNICA"/>
    <s v="AT"/>
    <d v="2011-07-01T00:00:00"/>
    <m/>
    <d v="2016-12-31T00:00:00"/>
    <m/>
    <s v="UNTREF"/>
    <s v="UNTREF"/>
    <n v="11449.4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TORRES GUSTAVO"/>
    <s v="DNI"/>
    <n v="22006983"/>
    <s v="20220069835"/>
    <d v="1971-03-14T00:00:00"/>
    <s v="ASISTENCIA TÉCNICA"/>
    <s v="AT"/>
    <d v="2012-05-03T00:00:00"/>
    <m/>
    <d v="2016-12-31T00:00:00"/>
    <m/>
    <s v="UNTREF"/>
    <s v="UNSAM- LADA"/>
    <n v="25252"/>
  </r>
  <r>
    <s v="SFMyCP"/>
    <x v="0"/>
    <s v="SUBSEC CENTROS TEMATICOS Y EXP FEDERALES"/>
    <s v="DIRECCION NACIONAL DE CENTROS TEMATICOS"/>
    <s v="OPERATIVA"/>
    <m/>
    <m/>
    <m/>
    <m/>
    <s v="TECNÓPOLIS"/>
    <m/>
    <s v="TORRES Jorge David"/>
    <s v="DNI"/>
    <n v="36662611"/>
    <n v="20366626116"/>
    <m/>
    <s v="LEY MARCO"/>
    <s v="LM"/>
    <d v="2013-07-01T00:00:00"/>
    <d v="2016-03-31T00:00:00"/>
    <d v="2016-12-31T00:00:00"/>
    <s v="C0"/>
    <m/>
    <m/>
    <n v="15043.07"/>
  </r>
  <r>
    <s v="SFMyCP"/>
    <x v="1"/>
    <m/>
    <s v="UNIDAD DE MINISTRO"/>
    <m/>
    <m/>
    <m/>
    <s v="PRIVADA"/>
    <s v="ADMINISTRATIVO"/>
    <m/>
    <s v="CCK - Alem 351"/>
    <s v="TORRETA, CLAUDIO"/>
    <s v="DNI"/>
    <n v="24291240"/>
    <n v="20242912404"/>
    <d v="1975-04-21T00:00:00"/>
    <s v="ASISTENCIA TÉCNICA"/>
    <s v="AT"/>
    <d v="2016-01-01T00:00:00"/>
    <m/>
    <d v="2016-12-31T00:00:00"/>
    <m/>
    <s v="UNTREF"/>
    <s v="UNSAM"/>
    <n v="27370"/>
  </r>
  <r>
    <s v="SFMyCP"/>
    <x v="0"/>
    <s v="SUBSEC CENTROS TEMATICOS Y EXP FEDERALES"/>
    <s v="DIRECCION NACIONAL DE CENTROS TEMATICOS"/>
    <s v="INTENDENCIA - TALLERES"/>
    <m/>
    <m/>
    <m/>
    <s v="CARPINTERO"/>
    <s v="TECNÓPOLIS"/>
    <s v="TECNOPOLIS"/>
    <s v="TORRICO GUTIERREZ ANTONIO FRANCO"/>
    <s v="DNI"/>
    <n v="37141701"/>
    <s v="20371417010"/>
    <d v="1992-12-07T00:00:00"/>
    <s v="ASISTENCIA TÉCNICA"/>
    <s v="AT"/>
    <d v="2014-07-01T00:00:00"/>
    <m/>
    <d v="2016-12-31T00:00:00"/>
    <m/>
    <s v="UNTREF"/>
    <s v="UNTREF"/>
    <n v="11499"/>
  </r>
  <r>
    <s v="SFMyCP"/>
    <x v="0"/>
    <m/>
    <s v="DIR NAC GENERACION DE CONTENIDOS"/>
    <s v="TELEVISION DIGITAL ABIERTA"/>
    <s v="CIARA"/>
    <m/>
    <s v="PRODUCCIÓN"/>
    <m/>
    <m/>
    <m/>
    <s v="TOSCANI LUCAS SEBASTIAN"/>
    <s v="DNI"/>
    <n v="31576451"/>
    <n v="20315764514"/>
    <m/>
    <m/>
    <s v="LM"/>
    <d v="2013-12-01T00:00:00"/>
    <m/>
    <d v="2016-12-31T00:00:00"/>
    <s v="B0"/>
    <m/>
    <m/>
    <n v="16000"/>
  </r>
  <r>
    <s v="SFMyCP"/>
    <x v="1"/>
    <m/>
    <s v="DIR GRAL TECNICA ADMINISTRATIVA Y LEGAL"/>
    <s v="PLANIF  Y ADM DE REC HUMANOS"/>
    <s v="S. GENERALES - AUTOMOTORES"/>
    <s v="AUTOMOTORES"/>
    <s v="CHOFER"/>
    <m/>
    <s v="CCK"/>
    <m/>
    <s v="TRAPANI ALEJANDRO"/>
    <s v="DNI"/>
    <n v="26787449"/>
    <n v="20267874493"/>
    <m/>
    <s v="LEY MARCO"/>
    <s v="LM"/>
    <d v="2014-12-01T00:00:00"/>
    <d v="2016-03-31T00:00:00"/>
    <d v="2016-12-31T00:00:00"/>
    <s v="C0"/>
    <m/>
    <m/>
    <n v="18000"/>
  </r>
  <r>
    <s v="SFMyCP"/>
    <x v="0"/>
    <s v="SUBSEC CENTROS TEMATICOS Y EXP FEDERALES"/>
    <s v="DIR NAC EXPRESIONES FEDERALES"/>
    <s v="DIRECCION DE GESTION EDILICIA"/>
    <s v="OPERATIVA Y LOGISTICA"/>
    <s v="LIMPIEZA (En comisión Tecnópolis)"/>
    <s v="Auxiliar"/>
    <s v="OPERATIVA Y LOGISTICA"/>
    <s v="CCK"/>
    <s v="CCK - Alem 351"/>
    <s v="TRESER CARLOS"/>
    <s v="DNI"/>
    <n v="34520527"/>
    <s v="20345205277"/>
    <d v="1989-01-25T00:00:00"/>
    <s v="ASISTENCIA TÉCNICA"/>
    <s v="AT"/>
    <d v="2015-10-10T00:00:00"/>
    <m/>
    <d v="2016-12-31T00:00:00"/>
    <m/>
    <s v="UNTREF"/>
    <s v="UNSAM-MINPLAN"/>
    <n v="8500"/>
  </r>
  <r>
    <s v="SFMyCP"/>
    <x v="0"/>
    <m/>
    <s v="DIR NAC GENERACION DE CONTENIDOS"/>
    <s v="TELEVISION DIGITAL ABIERTA"/>
    <s v="CIARA"/>
    <m/>
    <s v="PRENSA Y COMUNICACIÓN"/>
    <m/>
    <s v="CABILDO 65"/>
    <m/>
    <s v="TRICARICO MARCOS DAMIAN"/>
    <s v="DNI"/>
    <n v="17636422"/>
    <n v="20176364220"/>
    <m/>
    <s v="LEY MARCO"/>
    <s v="LM"/>
    <d v="2015-02-01T00:00:00"/>
    <d v="2016-03-31T00:00:00"/>
    <d v="2016-12-31T00:00:00"/>
    <s v="C2"/>
    <m/>
    <m/>
    <n v="13233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TRONCOSO SAMANTA"/>
    <s v="DNI"/>
    <n v="33220920"/>
    <s v="27332209200"/>
    <d v="1987-09-04T00:00:00"/>
    <s v="ASISTENCIA TÉCNICA"/>
    <s v="AT"/>
    <d v="2013-03-01T00:00:00"/>
    <m/>
    <d v="2016-12-31T00:00:00"/>
    <m/>
    <s v="UNTREF"/>
    <s v="UNSAM- LADA"/>
    <n v="19353"/>
  </r>
  <r>
    <s v="SFMyCP"/>
    <x v="1"/>
    <m/>
    <s v="DIR GRAL TECNICA ADMINISTRATIVA Y LEGAL"/>
    <s v="INFORMATICA Y SISTEMAS"/>
    <m/>
    <m/>
    <s v="Analista"/>
    <m/>
    <s v="CCK"/>
    <m/>
    <s v="TRYBULSKI CHRISTIAN"/>
    <s v="DNI"/>
    <n v="36828254"/>
    <n v="20368282546"/>
    <m/>
    <s v="LEY MARCO"/>
    <s v="LM"/>
    <d v="2011-11-15T00:00:00"/>
    <d v="2016-12-31T00:00:00"/>
    <d v="2016-12-31T00:00:00"/>
    <s v="C1"/>
    <m/>
    <m/>
    <n v="12274"/>
  </r>
  <r>
    <s v="SFMyCP"/>
    <x v="2"/>
    <m/>
    <s v="UNIDAD SECRETARÍA"/>
    <m/>
    <m/>
    <m/>
    <m/>
    <s v="ADMINISTRATIVO"/>
    <s v="CCK"/>
    <s v="CCK - Alem 351"/>
    <s v="TUZIEKIEVICZ GABRIELA"/>
    <s v="DNI"/>
    <n v="23044714"/>
    <s v="23230447144"/>
    <d v="1973-08-06T00:00:00"/>
    <s v="ASISTENCIA TÉCNICA"/>
    <s v="AT"/>
    <d v="2014-12-04T00:00:00"/>
    <m/>
    <d v="2016-12-31T00:00:00"/>
    <m/>
    <s v="UNTREF"/>
    <s v="UNLAM- TDA"/>
    <n v="12237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UASSOUF GURMAN GABRIELA"/>
    <s v="DNI"/>
    <n v="33626355"/>
    <s v="27336263552"/>
    <d v="1988-03-01T00:00:00"/>
    <s v="ASISTENCIA TÉCNICA"/>
    <s v="AT"/>
    <d v="2013-06-01T00:00:00"/>
    <m/>
    <d v="2016-12-31T00:00:00"/>
    <m/>
    <s v="UNTREF"/>
    <s v="UNSAM- LADA"/>
    <n v="29420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ULRICH INGRID"/>
    <s v="DNI"/>
    <n v="33021998"/>
    <n v="27330219985"/>
    <d v="1987-05-14T00:00:00"/>
    <s v="ASISTENCIA TÉCNICA"/>
    <s v="AT"/>
    <d v="2016-05-01T00:00:00"/>
    <m/>
    <d v="2016-12-31T00:00:00"/>
    <m/>
    <s v="UNTREF"/>
    <m/>
    <m/>
  </r>
  <r>
    <s v="SFMyCP"/>
    <x v="0"/>
    <m/>
    <s v="DIR NAC GENERACION DE CONTENIDOS"/>
    <s v="TELEVISION DIGITAL ABIERTA"/>
    <s v="PRESIDENCIA"/>
    <m/>
    <s v="PRODUCCIÓN"/>
    <s v="PRODUCTOR de EXTERIORES"/>
    <s v="CABILDO 65"/>
    <s v="CABILDO 65"/>
    <s v="ULRICH SEBASTIAN"/>
    <s v="DNI"/>
    <n v="24515306"/>
    <s v="20245153067"/>
    <d v="1975-03-06T00:00:00"/>
    <s v="ASISTENCIA TÉCNICA"/>
    <s v="AT"/>
    <d v="2013-05-01T00:00:00"/>
    <m/>
    <d v="2016-12-31T00:00:00"/>
    <m/>
    <s v="UNTREF"/>
    <m/>
    <n v="24060"/>
  </r>
  <r>
    <s v="SFMyCP"/>
    <x v="0"/>
    <s v="SUBSEC CENTROS TEMATICOS Y EXP FEDERALES"/>
    <s v="DIR NAC EXPRESIONES FEDERALES"/>
    <s v="DIRECCION DE GESTION EDILICIA"/>
    <s v="DIRECCION"/>
    <m/>
    <s v="Coordinador de Dto"/>
    <m/>
    <s v="CCK"/>
    <m/>
    <s v="UMPIERREZ MANUEL"/>
    <s v="DNI"/>
    <n v="92821036"/>
    <n v="20928210368"/>
    <m/>
    <s v="LEY MARCO"/>
    <s v="LM"/>
    <d v="2015-06-01T00:00:00"/>
    <d v="2016-03-31T00:00:00"/>
    <d v="2016-12-31T00:00:00"/>
    <s v="C1"/>
    <m/>
    <m/>
    <n v="27850"/>
  </r>
  <r>
    <s v="SFMyCP"/>
    <x v="0"/>
    <m/>
    <s v="DIR NAC GENERACION DE CONTENIDOS"/>
    <s v="TELEVISION DIGITAL ABIERTA"/>
    <s v="PRESIDENCIA"/>
    <m/>
    <s v="POSTPRODUCCIÓN"/>
    <s v="ADMINISTRATIVO"/>
    <s v="CABILDO 65"/>
    <s v="CABILDO 65"/>
    <s v="URTIAGA VICTOR"/>
    <s v="DNI"/>
    <n v="25201218"/>
    <s v="20252012185"/>
    <d v="1976-02-17T00:00:00"/>
    <s v="ASISTENCIA TÉCNICA"/>
    <s v="AT"/>
    <d v="2011-07-01T00:00:00"/>
    <m/>
    <d v="2016-12-31T00:00:00"/>
    <m/>
    <s v="UNTREF"/>
    <s v="UNSAM- LADA"/>
    <n v="24060"/>
  </r>
  <r>
    <s v="SFMyCP"/>
    <x v="0"/>
    <m/>
    <s v="ARTES VISUALES"/>
    <s v="ARTES VISUALES"/>
    <m/>
    <m/>
    <s v="DIRECTOR"/>
    <s v="ADMINISTRATIVO"/>
    <m/>
    <s v="CCK - Alem 351"/>
    <s v="URTIAGA, GABRIELA"/>
    <s v="DNI"/>
    <n v="25452505"/>
    <s v="27254525052"/>
    <d v="1976-07-22T00:00:00"/>
    <s v="ASISTENCIA TÉCNICA"/>
    <s v="AT"/>
    <d v="2016-01-01T00:00:00"/>
    <m/>
    <d v="2016-12-31T00:00:00"/>
    <m/>
    <s v="UNTREF"/>
    <s v="UNSAM"/>
    <n v="36000"/>
  </r>
  <r>
    <s v="SFMyCP"/>
    <x v="0"/>
    <s v="SUBSEC CENTROS TEMATICOS Y EXP FEDERALES"/>
    <s v="DIRECCION NACIONAL DE CENTROS TEMATICOS"/>
    <s v="ADMINISTRACION"/>
    <m/>
    <m/>
    <s v="ADMINISTRATIVO"/>
    <m/>
    <s v="TECNÓPOLIS"/>
    <m/>
    <s v="USTARES Matias Nicolas"/>
    <s v="DNI"/>
    <n v="36636933"/>
    <n v="20366369334"/>
    <m/>
    <s v="LEY MARCO"/>
    <s v="LM"/>
    <d v="2012-05-01T00:00:00"/>
    <d v="2016-12-31T00:00:00"/>
    <d v="2016-12-31T00:00:00"/>
    <s v="C0"/>
    <m/>
    <m/>
    <n v="15418.33"/>
  </r>
  <r>
    <s v="SFMyCP"/>
    <x v="0"/>
    <s v="SUBSEC CENTROS TEMATICOS Y EXP FEDERALES"/>
    <s v="DIR NAC EXPRESIONES FEDERALES"/>
    <s v="INSTITUCIONALES"/>
    <m/>
    <m/>
    <s v="Analista"/>
    <m/>
    <s v="CCK"/>
    <m/>
    <s v="VALDOVINO CARMEN"/>
    <s v="DNI"/>
    <n v="23354383"/>
    <n v="27233543832"/>
    <m/>
    <s v="LEY MARCO"/>
    <s v="LM"/>
    <d v="2008-02-01T00:00:00"/>
    <d v="2016-12-31T00:00:00"/>
    <d v="2016-12-31T00:00:00"/>
    <s v="B2"/>
    <m/>
    <m/>
    <n v="21517"/>
  </r>
  <r>
    <s v="SFMyCP"/>
    <x v="0"/>
    <s v="SUBSEC CENTROS TEMATICOS Y EXP FEDERALES"/>
    <s v="DIR NAC EXPRESIONES FEDERALES"/>
    <s v="DIRECCION DE GESTION EDILICIA"/>
    <s v="MESA DE AYUDA"/>
    <m/>
    <s v="ASISTENTE"/>
    <s v="ADMINISTRATIVO"/>
    <s v="CCK"/>
    <s v="CCK - Alem 351"/>
    <s v="VALLADARES CANDELA"/>
    <s v="DNI"/>
    <n v="34000534"/>
    <s v="27340005347"/>
    <d v="1988-08-03T00:00:00"/>
    <s v="ASISTENCIA TÉCNICA"/>
    <s v="AT"/>
    <d v="2015-08-01T00:00:00"/>
    <m/>
    <d v="2016-12-31T00:00:00"/>
    <m/>
    <s v="UNTREF"/>
    <s v="UNLAM- BICENTENARIO"/>
    <n v="10807"/>
  </r>
  <r>
    <s v="SFMyCP"/>
    <x v="1"/>
    <m/>
    <s v="DIR GRAL TECNICA ADMINISTRATIVA Y LEGAL"/>
    <s v="PLANIF  Y ADM DE REC HUMANOS"/>
    <s v="RECURSOS HUMANOS"/>
    <m/>
    <m/>
    <s v="ADMINISTRATIVO"/>
    <m/>
    <s v="CCK - Alem 351"/>
    <s v="VALLONE ORNELLA PAULA"/>
    <s v="DNI"/>
    <n v="39056311"/>
    <s v="27390563111"/>
    <d v="1995-05-14T00:00:00"/>
    <s v="ASISTENCIA TÉCNICA"/>
    <s v="AT"/>
    <d v="2014-04-01T00:00:00"/>
    <m/>
    <d v="2016-12-31T00:00:00"/>
    <m/>
    <s v="UNTREF"/>
    <m/>
    <n v="9479"/>
  </r>
  <r>
    <s v="SFMyCP"/>
    <x v="0"/>
    <s v="SUBSEC CENTROS TEMATICOS Y EXP FEDERALES"/>
    <s v="DIRECCION NACIONAL DE CENTROS TEMATICOS"/>
    <s v="GASTRONOMIA"/>
    <m/>
    <m/>
    <s v="COCINA"/>
    <m/>
    <s v="TECNÓPOLIS"/>
    <m/>
    <s v="VANVICHA Laura Andrea"/>
    <s v="DNI"/>
    <n v="27183180"/>
    <n v="27271831809"/>
    <m/>
    <s v="LEY MARCO"/>
    <s v="LM"/>
    <d v="2013-12-01T00:00:00"/>
    <d v="2016-03-31T00:00:00"/>
    <d v="2016-12-31T00:00:00"/>
    <s v="C1"/>
    <m/>
    <m/>
    <n v="25599"/>
  </r>
  <r>
    <s v="SFMyCP"/>
    <x v="0"/>
    <s v="SUBSEC CENTROS TEMATICOS Y EXP FEDERALES"/>
    <s v="DIR NAC EXPRESIONES FEDERALES"/>
    <s v="PRODUCCIÓN"/>
    <m/>
    <m/>
    <m/>
    <s v="ADMINISTRATIVA"/>
    <m/>
    <s v="CCK - Alem 351"/>
    <s v="VARELA INES"/>
    <s v="DNI"/>
    <n v="31963237"/>
    <s v="27319632374"/>
    <d v="1985-11-28T00:00:00"/>
    <s v="ASISTENCIA TÉCNICA"/>
    <s v="AT"/>
    <d v="2016-05-01T00:00:00"/>
    <m/>
    <d v="2016-12-31T00:00:00"/>
    <m/>
    <s v="UNTREF"/>
    <m/>
    <s v="."/>
  </r>
  <r>
    <s v="SFMyCP"/>
    <x v="0"/>
    <m/>
    <s v="DIR NAC GENERACION DE CONTENIDOS"/>
    <s v="TELEVISION DIGITAL ABIERTA"/>
    <s v="CIARA"/>
    <m/>
    <s v="TÉCNICA Y TRANSMISIÓN"/>
    <s v="ADMINISTRATIVO"/>
    <s v="CABILDO 65"/>
    <s v="CABILDO 65"/>
    <s v="VARELA PABLO"/>
    <s v="DNI"/>
    <n v="31982264"/>
    <s v="20319822640"/>
    <d v="1986-03-03T00:00:00"/>
    <s v="ASISTENCIA TÉCNICA"/>
    <s v="AT"/>
    <d v="2013-12-12T00:00:00"/>
    <m/>
    <d v="2016-12-31T00:00:00"/>
    <m/>
    <s v="UNTREF"/>
    <s v="UNSAM- LADA"/>
    <n v="20034"/>
  </r>
  <r>
    <s v="SFMyCP"/>
    <x v="0"/>
    <s v="SUBSEC CENTROS TEMATICOS Y EXP FEDERALES"/>
    <s v="DIR NAC EXPRESIONES FEDERALES"/>
    <s v="DIRECCION DE GESTION EDILICIA"/>
    <s v="SERVICIOS GENERALES"/>
    <s v="LIMPIEZA (En comisión Tecnópolis)"/>
    <s v="ASISTENTE"/>
    <s v="Asistente "/>
    <s v="CCK"/>
    <s v="CCK - Alem 351"/>
    <s v="VARGAS NANCY PATRICIA"/>
    <s v="DNI"/>
    <n v="34019229"/>
    <s v="27340192295"/>
    <d v="1988-10-19T00:00:00"/>
    <s v="ASISTENCIA TÉCNICA"/>
    <s v="AT"/>
    <d v="2015-06-10T00:00:00"/>
    <m/>
    <d v="2016-12-31T00:00:00"/>
    <m/>
    <s v="UNTREF"/>
    <s v="UNSAM"/>
    <n v="8535"/>
  </r>
  <r>
    <s v="SFMyCP"/>
    <x v="1"/>
    <m/>
    <s v="DIR GRAL TECNICA ADMINISTRATIVA Y LEGAL"/>
    <s v="PLANIF  Y ADM DE REC HUMANOS"/>
    <s v="RECURSOS HUMANOS"/>
    <s v="COMUNICACIÓN"/>
    <s v="DISEÑO"/>
    <m/>
    <s v="CCK"/>
    <m/>
    <s v="VAZQUEZ JAVIER ALEJANDRO"/>
    <s v="DNI"/>
    <n v="28695587"/>
    <n v="20286955879"/>
    <m/>
    <s v="LEY MARCO"/>
    <s v="LM"/>
    <d v="2015-02-01T00:00:00"/>
    <d v="2016-03-31T00:00:00"/>
    <d v="2016-12-31T00:00:00"/>
    <s v="C4"/>
    <m/>
    <m/>
    <n v="14433"/>
  </r>
  <r>
    <s v="SFMyCP"/>
    <x v="0"/>
    <m/>
    <s v="ARTES VISUALES"/>
    <s v="ARTES VISUALES"/>
    <m/>
    <m/>
    <m/>
    <m/>
    <m/>
    <m/>
    <s v="VAZQUEZ NIEVES"/>
    <s v="DNI"/>
    <n v="21796620"/>
    <n v="27217966200"/>
    <m/>
    <m/>
    <s v="AT"/>
    <d v="2016-08-01T00:00:00"/>
    <m/>
    <d v="2016-10-30T00:00:00"/>
    <m/>
    <s v="UNTREF"/>
    <m/>
    <m/>
  </r>
  <r>
    <s v="SFMyCP"/>
    <x v="0"/>
    <s v="SUBSEC CENTROS TEMATICOS Y EXP FEDERALES"/>
    <s v="DIR NAC EXPRESIONES FEDERALES"/>
    <s v="DIRECCION DE GESTION EDILICIA"/>
    <s v="OPERATIVA Y LOGISTICA"/>
    <s v="LIMPIEZA (En comisión Tecnópolis)"/>
    <s v="Auxiliar"/>
    <s v="OPERATIVA Y LOGISTICA"/>
    <s v="CCK"/>
    <s v="CCK - Alem 351"/>
    <s v="VEDOYA EMANUEL"/>
    <s v="DNI"/>
    <n v="37345492"/>
    <s v="20373454924"/>
    <d v="1993-03-23T00:00:00"/>
    <s v="ASISTENCIA TÉCNICA"/>
    <s v="AT"/>
    <d v="2015-06-10T00:00:00"/>
    <m/>
    <d v="2016-12-31T00:00:00"/>
    <m/>
    <s v="UNTREF"/>
    <s v="UNTREF"/>
    <n v="8500"/>
  </r>
  <r>
    <s v="SFMyCP"/>
    <x v="0"/>
    <m/>
    <s v="DIR NAC GENERACION DE CONTENIDOS"/>
    <s v="TELEVISION DIGITAL ABIERTA"/>
    <s v="CIARA"/>
    <m/>
    <s v="CONTENIDOS DIGITALES ABIERTOS CDA"/>
    <s v="ADMINISTRATIVO"/>
    <s v="CABILDO 65"/>
    <s v="CABILDO 65"/>
    <s v="VEGA VICTOR"/>
    <s v="DNI"/>
    <n v="21094516"/>
    <s v="20210945165"/>
    <d v="1969-10-14T00:00:00"/>
    <s v="ASISTENCIA TÉCNICA"/>
    <s v="AT"/>
    <d v="2011-11-01T00:00:00"/>
    <m/>
    <d v="2016-12-31T00:00:00"/>
    <m/>
    <s v="UNTREF"/>
    <s v="UNSAM- LADA"/>
    <n v="39000"/>
  </r>
  <r>
    <s v="SFMyCP"/>
    <x v="1"/>
    <m/>
    <s v="DIR GRAL TECNICA ADMINISTRATIVA Y LEGAL"/>
    <s v="PLANIF  Y ADM DE REC HUMANOS"/>
    <s v="RECURSOS HUMANOS"/>
    <m/>
    <m/>
    <m/>
    <m/>
    <m/>
    <s v="VEGEZZI NICOLAS HERNAN"/>
    <s v="DNI"/>
    <n v="29194068"/>
    <n v="20291940685"/>
    <m/>
    <m/>
    <s v="LM"/>
    <d v="2008-09-01T00:00:00"/>
    <m/>
    <d v="2016-12-31T00:00:00"/>
    <s v="C1"/>
    <m/>
    <m/>
    <m/>
  </r>
  <r>
    <s v="SFMyCP"/>
    <x v="0"/>
    <m/>
    <s v="DIR NAC GENERACION DE CONTENIDOS"/>
    <s v="INV. AP. RECURSOS DIGITALES"/>
    <s v="CTRO INV PALPALA"/>
    <m/>
    <s v="ANIMACION"/>
    <s v="ANALISTA"/>
    <s v="PALPALÁ-JUJUY"/>
    <s v="PALPALÁ-JUJUY"/>
    <s v="VELASQUEZ JORGE RICARDO"/>
    <s v="DNI"/>
    <n v="25287172"/>
    <n v="20252871722"/>
    <d v="1976-08-26T00:00:00"/>
    <s v="ASISTENCIA TÉCNICA"/>
    <s v="AT"/>
    <d v="2015-09-01T00:00:00"/>
    <m/>
    <d v="2016-12-31T00:00:00"/>
    <m/>
    <s v="UNTREF"/>
    <s v="UNSAM"/>
    <n v="10000"/>
  </r>
  <r>
    <s v="SFMyCP"/>
    <x v="0"/>
    <s v="SUBSEC CENTROS TEMATICOS Y EXP FEDERALES"/>
    <s v="DIR NAC EXPRESIONES FEDERALES"/>
    <s v="DIRECCION DE GESTION EDILICIA"/>
    <s v="SERVICIOS GENERALES"/>
    <s v="CONTROL DE ACCESOS A"/>
    <s v="Asistente Técnico Administrativo"/>
    <s v="Asistente Técnico Administrativo"/>
    <s v="CCK"/>
    <s v="CCK - Alem 351"/>
    <s v="VELAZQUEZ EDUARDO"/>
    <s v="DNI"/>
    <n v="33426819"/>
    <s v="20334268196"/>
    <d v="1988-01-21T00:00:00"/>
    <s v="ASISTENCIA TÉCNICA"/>
    <s v="AT"/>
    <d v="2015-06-01T00:00:00"/>
    <m/>
    <d v="2016-12-31T00:00:00"/>
    <m/>
    <s v="UNTREF"/>
    <s v="UNLAM- BICENTENARIO"/>
    <n v="10096"/>
  </r>
  <r>
    <s v="SFMyCP"/>
    <x v="0"/>
    <s v="SUBSEC CENTROS TEMATICOS Y EXP FEDERALES"/>
    <s v="DIRECCION NACIONAL DE CENTROS TEMATICOS"/>
    <s v="ADMINISTRACION"/>
    <m/>
    <m/>
    <s v="ADMINISTRATIVO"/>
    <m/>
    <s v="TECNÓPOLIS"/>
    <m/>
    <s v="VERA Mónica"/>
    <s v="DNI"/>
    <n v="26949557"/>
    <n v="27269495575"/>
    <m/>
    <s v="LEY MARCO"/>
    <s v="LM"/>
    <d v="2012-11-01T00:00:00"/>
    <d v="2016-12-31T00:00:00"/>
    <d v="2016-12-31T00:00:00"/>
    <s v="C0"/>
    <m/>
    <m/>
    <n v="20921.8"/>
  </r>
  <r>
    <s v="SFMyCP"/>
    <x v="0"/>
    <s v="SUBSEC CENTROS TEMATICOS Y EXP FEDERALES"/>
    <s v="DIR NAC EXPRESIONES FEDERALES"/>
    <m/>
    <m/>
    <m/>
    <s v="ASISTENTE COORD NORTE"/>
    <s v="ADMINISTRATIVO"/>
    <m/>
    <s v="CCK - Alem 351"/>
    <s v="VERCELLI CARLOS LUIS"/>
    <s v="DNI"/>
    <n v="8537726"/>
    <n v="20085377265"/>
    <d v="1951-03-07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ECCION NACIONAL DE CENTROS TEMATICOS"/>
    <m/>
    <m/>
    <m/>
    <m/>
    <s v="PRODUCCION GRAL DE RECETAS, MANIPULACIÓN DE INGREDIENTES, DESPCACHO DE ALIMENTOS"/>
    <m/>
    <s v="TECNOPOLIS"/>
    <s v="VERON DIEGO HORACIO"/>
    <s v="DNI"/>
    <n v="35984271"/>
    <n v="20359842717"/>
    <d v="1988-10-06T00:00:00"/>
    <s v="ASISTENCIA TÉCNICA"/>
    <s v="AT"/>
    <m/>
    <m/>
    <d v="2016-12-31T00:00:00"/>
    <m/>
    <s v="UNTREF"/>
    <m/>
    <m/>
  </r>
  <r>
    <s v="SFMyCP"/>
    <x v="0"/>
    <s v="SUBSEC CENTROS TEMATICOS Y EXP FEDERALES"/>
    <s v="DIRECCION NACIONAL DE CENTROS TEMATICOS"/>
    <s v="GASTRONOMIA"/>
    <m/>
    <m/>
    <s v="COCINA"/>
    <m/>
    <s v="TECNÓPOLIS"/>
    <m/>
    <s v="VERON María Encarnación"/>
    <s v="DNI"/>
    <n v="14231277"/>
    <n v="27142312773"/>
    <m/>
    <s v="LEY MARCO"/>
    <s v="LM"/>
    <d v="2012-02-01T00:00:00"/>
    <d v="2016-12-31T00:00:00"/>
    <d v="2016-12-31T00:00:00"/>
    <s v="D0"/>
    <m/>
    <m/>
    <n v="14250"/>
  </r>
  <r>
    <s v="SFMyCP"/>
    <x v="0"/>
    <m/>
    <s v="DIR NAC GENERACION DE CONTENIDOS"/>
    <s v="TELEVISION DIGITAL ABIERTA"/>
    <s v="CIARA"/>
    <m/>
    <s v="PRODUCCIÓN"/>
    <s v="PRODUCTOR de EXTERIORES"/>
    <s v="CABILDO 65"/>
    <s v="CABILDO 65"/>
    <s v="VICO FERNANDO"/>
    <s v="DNI"/>
    <n v="26348466"/>
    <s v="20263484666"/>
    <d v="1997-11-03T00:00:00"/>
    <s v="ASISTENCIA TÉCNICA"/>
    <s v="AT"/>
    <d v="2015-03-02T00:00:00"/>
    <m/>
    <d v="2016-12-31T00:00:00"/>
    <m/>
    <s v="UNTREF"/>
    <s v="UNSAM- LADA"/>
    <n v="20959"/>
  </r>
  <r>
    <s v="SFMyCP"/>
    <x v="1"/>
    <m/>
    <s v="UNIDAD DE MINISTRO"/>
    <m/>
    <m/>
    <m/>
    <s v="PRIVADA"/>
    <s v="ADMINISTRATIVO"/>
    <m/>
    <s v="CCK - Alem 351"/>
    <s v="VIDELA, MARIA EVA"/>
    <s v="DNI"/>
    <n v="11262651"/>
    <s v="23112626514"/>
    <d v="1954-05-06T00:00:00"/>
    <s v="ASISTENCIA TÉCNICA"/>
    <s v="AT"/>
    <d v="2016-01-01T00:00:00"/>
    <m/>
    <d v="2016-12-31T00:00:00"/>
    <m/>
    <s v="UNTREF"/>
    <s v="UNSAM"/>
    <n v="34500"/>
  </r>
  <r>
    <s v="SFMyCP"/>
    <x v="0"/>
    <m/>
    <s v="ARTES VISUALES"/>
    <s v="ARTES VISUALES"/>
    <m/>
    <m/>
    <m/>
    <s v="Orientador de Sala"/>
    <m/>
    <m/>
    <s v="VILLALBA AMPARO"/>
    <s v="DNI"/>
    <n v="36530606"/>
    <n v="27365306066"/>
    <m/>
    <s v="ASISTENCIA TÉCNICA"/>
    <s v="AT"/>
    <d v="2016-07-01T00:00:00"/>
    <m/>
    <d v="2016-12-31T00:00:00"/>
    <m/>
    <m/>
    <m/>
    <m/>
  </r>
  <r>
    <s v="SFMyCP"/>
    <x v="0"/>
    <m/>
    <s v="DIR NAC GENERACION DE CONTENIDOS"/>
    <s v="TELEVISION DIGITAL ABIERTA"/>
    <s v="CIARA"/>
    <m/>
    <s v="ACUA MAYOR"/>
    <s v="ADMINISTRATIVO"/>
    <s v="CABILDO 65"/>
    <s v="CABILDO 65"/>
    <s v="VILLALBA FERNANDO"/>
    <s v="DNI"/>
    <n v="20005465"/>
    <s v="20200054653"/>
    <d v="1962-01-21T00:00:00"/>
    <s v="ASISTENCIA TÉCNICA"/>
    <s v="AT"/>
    <d v="2012-05-07T00:00:00"/>
    <m/>
    <d v="2016-12-31T00:00:00"/>
    <m/>
    <s v="UNTREF"/>
    <s v="UNSAM- LADA"/>
    <n v="17657"/>
  </r>
  <r>
    <s v="SFMyCP"/>
    <x v="0"/>
    <m/>
    <s v="DIR NAC GENERACION DE CONTENIDOS"/>
    <s v="TELEVISION DIGITAL ABIERTA"/>
    <s v="CIARA"/>
    <m/>
    <s v="ADMINISTRACIÓN"/>
    <m/>
    <s v="CABILDO 65"/>
    <m/>
    <s v="VILLAR MARIA BELEN"/>
    <s v="DNI"/>
    <n v="36696469"/>
    <n v="27366964695"/>
    <m/>
    <s v="LEY MARCO"/>
    <s v="LM"/>
    <d v="2015-02-01T00:00:00"/>
    <d v="2016-03-31T00:00:00"/>
    <d v="2016-12-31T00:00:00"/>
    <s v="D0"/>
    <m/>
    <m/>
    <n v="10000"/>
  </r>
  <r>
    <s v="SFMyCP"/>
    <x v="0"/>
    <m/>
    <s v="DIR NAC GENERACION DE CONTENIDOS"/>
    <s v="TELEVISION DIGITAL ABIERTA"/>
    <s v="CIARA"/>
    <m/>
    <s v="PROGRAMA POLOS AUDIOVISUALES TECNOLÓGICOS"/>
    <m/>
    <s v="CABILDO 65"/>
    <m/>
    <s v="VILLAR MARTA ALICIA"/>
    <s v="DNI"/>
    <n v="26881068"/>
    <n v="23268810684"/>
    <m/>
    <s v="LEY MARCO"/>
    <s v="LM"/>
    <d v="2014-09-01T00:00:00"/>
    <d v="2016-03-31T00:00:00"/>
    <d v="2016-12-31T00:00:00"/>
    <s v="C0"/>
    <m/>
    <m/>
    <n v="13094"/>
  </r>
  <r>
    <s v="SFMyCP"/>
    <x v="0"/>
    <m/>
    <s v="ARTES VISUALES"/>
    <s v="ARTES VISUALES"/>
    <m/>
    <m/>
    <m/>
    <s v="Orientador de Sala"/>
    <m/>
    <m/>
    <s v="VILLAROEL CAROL"/>
    <s v="DNI"/>
    <n v="94763837"/>
    <n v="27947638373"/>
    <m/>
    <s v="ASISTENCIA TÉCNICA"/>
    <s v="AT"/>
    <d v="2016-07-01T00:00:00"/>
    <m/>
    <d v="2016-12-31T00:00:00"/>
    <m/>
    <m/>
    <m/>
    <m/>
  </r>
  <r>
    <s v="SFMyCP"/>
    <x v="0"/>
    <s v="SUBSEC CENTROS TEMATICOS Y EXP FEDERALES"/>
    <s v="DIRECCION NACIONAL DE CENTROS TEMATICOS"/>
    <s v="INTENDENCIA- FERIAL"/>
    <m/>
    <m/>
    <m/>
    <m/>
    <s v="TECNÓPOLIS"/>
    <m/>
    <s v="VILLAVERDE Claudia"/>
    <s v="DNI"/>
    <n v="12012195"/>
    <n v="27120121958"/>
    <m/>
    <s v="LEY MARCO"/>
    <s v="LM"/>
    <d v="2011-07-01T00:00:00"/>
    <d v="2016-12-31T00:00:00"/>
    <d v="2016-12-31T00:00:00"/>
    <s v="C0"/>
    <m/>
    <m/>
    <n v="29784"/>
  </r>
  <r>
    <s v="SFMyCP"/>
    <x v="0"/>
    <s v="SUBSEC CENTROS TEMATICOS Y EXP FEDERALES"/>
    <s v="DIR NAC EXPRESIONES FEDERALES"/>
    <s v="DIRECCION DE GESTION EDILICIA"/>
    <s v="MESA DE AYUDA"/>
    <m/>
    <m/>
    <s v="ADMINISTRATIVO"/>
    <m/>
    <s v="CCK - Alem 351"/>
    <s v="VILLAVERDE NADIA GISELA"/>
    <s v="DNI"/>
    <n v="31504616"/>
    <s v="27315046160"/>
    <d v="1985-03-31T00:00:00"/>
    <s v="ASISTENCIA TÉCNICA"/>
    <s v="AT"/>
    <d v="2015-05-01T00:00:00"/>
    <m/>
    <d v="2016-12-31T00:00:00"/>
    <m/>
    <s v="UNTREF"/>
    <m/>
    <n v="10189"/>
  </r>
  <r>
    <s v="SFMyCP"/>
    <x v="0"/>
    <m/>
    <s v="DIR NAC GENERACION DE CONTENIDOS"/>
    <s v="INV. AP. RECURSOS DIGITALES"/>
    <s v="CTRO INV PALPALA"/>
    <m/>
    <s v="ANIMACION"/>
    <s v="ANALISTA"/>
    <s v="PALPALÁ-JUJUY"/>
    <s v="PALPALÁ-JUJUY"/>
    <s v="VILTE CRISTIAN GABRIEL"/>
    <s v="DNI"/>
    <n v="31961384"/>
    <n v="20319613847"/>
    <d v="1986-04-07T00:00:00"/>
    <s v="ASISTENCIA TÉCNICA"/>
    <s v="AT"/>
    <d v="2015-09-01T00:00:00"/>
    <m/>
    <d v="2016-12-31T00:00:00"/>
    <m/>
    <s v="UNTREF"/>
    <s v="UNSAM"/>
    <n v="8000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VILTE PABLO ALFREDO"/>
    <s v="DNI"/>
    <n v="27165852"/>
    <n v="20271658525"/>
    <d v="1979-02-13T00:00:00"/>
    <s v="ASISTENCIA TÉCNICA"/>
    <s v="AT"/>
    <d v="2015-09-01T00:00:00"/>
    <m/>
    <d v="2016-12-31T00:00:00"/>
    <m/>
    <s v="UNTREF"/>
    <s v="UNSAM"/>
    <n v="13000"/>
  </r>
  <r>
    <s v="SFMyCP"/>
    <x v="1"/>
    <m/>
    <s v="DIR GRAL TECNICA ADMINISTRATIVA Y LEGAL"/>
    <s v="JURIDICOS"/>
    <m/>
    <m/>
    <m/>
    <s v="Asistencia Juridica"/>
    <m/>
    <s v="CCK - Alem 351"/>
    <s v="VIÑA SEBASTIAN"/>
    <s v="DNI"/>
    <n v="27375597"/>
    <n v="20273755978"/>
    <d v="1979-09-06T00:00:00"/>
    <s v="ASISTENCIA TÉCNICA"/>
    <s v="AT"/>
    <d v="2016-07-01T00:00:00"/>
    <m/>
    <d v="2016-12-31T00:00:00"/>
    <m/>
    <s v="UNTREF"/>
    <m/>
    <m/>
  </r>
  <r>
    <s v="SFMyCP"/>
    <x v="0"/>
    <s v="SUBSEC CENTROS TEMATICOS Y EXP FEDERALES"/>
    <s v="UNIDAD SUBSECRETARIO"/>
    <m/>
    <m/>
    <m/>
    <s v="PRIVADA"/>
    <s v="ADMINISTRATIVO"/>
    <m/>
    <s v="CCK - Alem 351"/>
    <s v="VITALE, NICOLAS"/>
    <s v="DNI"/>
    <n v="25570101"/>
    <s v="20255701011"/>
    <d v="1976-08-15T00:00:00"/>
    <s v="ASISTENCIA TÉCNICA"/>
    <s v="AT"/>
    <d v="2016-01-01T00:00:00"/>
    <m/>
    <d v="2016-12-31T00:00:00"/>
    <m/>
    <s v="UNTREF"/>
    <s v="UNSAM"/>
    <n v="19925"/>
  </r>
  <r>
    <s v="SFMyCP"/>
    <x v="1"/>
    <m/>
    <s v="DIR GRAL TECNICA ADMINISTRATIVA Y LEGAL"/>
    <s v="CIBERSALUD"/>
    <m/>
    <m/>
    <m/>
    <m/>
    <m/>
    <m/>
    <m/>
    <m/>
    <m/>
    <m/>
    <m/>
    <m/>
    <m/>
    <m/>
    <m/>
    <m/>
    <m/>
    <m/>
    <m/>
    <m/>
  </r>
  <r>
    <s v="SFMyCP"/>
    <x v="1"/>
    <m/>
    <s v="DIR GRAL TECNICA ADMINISTRATIVA Y LEGAL"/>
    <s v="CIBERSALUD"/>
    <m/>
    <m/>
    <m/>
    <m/>
    <m/>
    <m/>
    <m/>
    <m/>
    <m/>
    <m/>
    <m/>
    <m/>
    <m/>
    <m/>
    <m/>
    <m/>
    <m/>
    <m/>
    <m/>
    <m/>
  </r>
  <r>
    <s v="SFMyCP"/>
    <x v="1"/>
    <m/>
    <s v="DIR GRAL TECNICA ADMINISTRATIVA Y LEGAL"/>
    <s v="CIBERSALUD"/>
    <m/>
    <m/>
    <m/>
    <m/>
    <m/>
    <m/>
    <m/>
    <m/>
    <m/>
    <m/>
    <m/>
    <m/>
    <m/>
    <m/>
    <m/>
    <m/>
    <m/>
    <m/>
    <m/>
    <m/>
  </r>
  <r>
    <s v="SFMyCP"/>
    <x v="1"/>
    <m/>
    <s v="DIR GRAL TECNICA ADMINISTRATIVA Y LEGAL"/>
    <s v="CIBERSALUD"/>
    <m/>
    <m/>
    <m/>
    <m/>
    <m/>
    <m/>
    <m/>
    <m/>
    <m/>
    <m/>
    <m/>
    <m/>
    <m/>
    <m/>
    <m/>
    <m/>
    <m/>
    <m/>
    <m/>
    <m/>
  </r>
  <r>
    <s v="SFMyCP"/>
    <x v="1"/>
    <m/>
    <s v="DIR GRAL TECNICA ADMINISTRATIVA Y LEGAL"/>
    <s v="CIBERSALUD"/>
    <m/>
    <m/>
    <s v="ADMINISTRACIÓN"/>
    <m/>
    <m/>
    <m/>
    <s v="VITULLO FEDERICO"/>
    <s v="DNI"/>
    <n v="38995224"/>
    <n v="23389952249"/>
    <m/>
    <s v="LEY MARCO"/>
    <s v="LM"/>
    <d v="2015-05-01T00:00:00"/>
    <d v="2016-03-31T00:00:00"/>
    <d v="2016-12-31T00:00:00"/>
    <s v="D0"/>
    <m/>
    <m/>
    <n v="10190"/>
  </r>
  <r>
    <s v="SFMyCP"/>
    <x v="1"/>
    <m/>
    <s v="DIR GRAL TECNICA ADMINISTRATIVA Y LEGAL"/>
    <s v="INFORMATICA Y SISTEMAS"/>
    <m/>
    <s v="STOCK"/>
    <s v="Analista"/>
    <s v="Analista"/>
    <s v="CCK"/>
    <s v="CCK - Alem 351"/>
    <s v="VOLA RODRIGO EZEQUIEL"/>
    <s v="DNI"/>
    <n v="37113846"/>
    <s v="20371138464"/>
    <d v="1992-09-11T00:00:00"/>
    <s v="ASISTENCIA TÉCNICA"/>
    <s v="AT"/>
    <d v="2014-10-14T00:00:00"/>
    <m/>
    <d v="2016-12-31T00:00:00"/>
    <m/>
    <s v="UNTREF"/>
    <s v="UNLAM- INFO"/>
    <n v="9000"/>
  </r>
  <r>
    <s v="SFMyCP"/>
    <x v="0"/>
    <m/>
    <s v="DIR NAC GENERACION DE CONTENIDOS"/>
    <s v="TELEVISION DIGITAL ABIERTA"/>
    <s v="CIARA"/>
    <m/>
    <s v="POSTPRODUCCIÓN"/>
    <s v="ADMINISTRATIVO"/>
    <s v="CABILDO 65"/>
    <s v="CABILDO 65"/>
    <s v="VRANJES WALTER"/>
    <s v="DNI"/>
    <n v="18359189"/>
    <s v="20183591895"/>
    <d v="1967-04-30T00:00:00"/>
    <s v="ASISTENCIA TÉCNICA"/>
    <s v="AT"/>
    <d v="2013-03-01T00:00:00"/>
    <m/>
    <d v="2016-12-31T00:00:00"/>
    <m/>
    <s v="UNTREF"/>
    <s v="UNSAM- LADA"/>
    <n v="19353"/>
  </r>
  <r>
    <s v="SFMyCP"/>
    <x v="1"/>
    <m/>
    <s v="DIR GRAL TECNICA ADMINISTRATIVA Y LEGAL"/>
    <s v="PLANIF  Y ADM DE REC HUMANOS"/>
    <s v="RECURSOS HUMANOS"/>
    <s v="COMUNICACIÓN"/>
    <m/>
    <m/>
    <m/>
    <m/>
    <s v="WAINERMAN LAURA"/>
    <s v="DNI"/>
    <n v="26312020"/>
    <n v="27263120200"/>
    <m/>
    <s v="LEY MARCO"/>
    <s v="LM"/>
    <d v="2008-08-04T00:00:00"/>
    <d v="2016-12-31T00:00:00"/>
    <d v="2016-12-31T00:00:00"/>
    <s v="B2"/>
    <m/>
    <m/>
    <n v="21517"/>
  </r>
  <r>
    <s v="SFMyCP"/>
    <x v="0"/>
    <m/>
    <s v="DIR NAC GENERACION DE CONTENIDOS"/>
    <s v="COMUNICACIÓN - SIN ASIGNAR TAREA"/>
    <s v="INTEGRACION DIGITAL"/>
    <m/>
    <s v="FOTOGRAFÍA"/>
    <m/>
    <s v="ESMERALDA 255"/>
    <m/>
    <s v="WARSCHAVSKI MATIAS IGOR "/>
    <s v="DNI"/>
    <n v="25983164"/>
    <n v="20259831645"/>
    <m/>
    <s v="LEY MARCO"/>
    <s v="LM"/>
    <d v="2007-01-01T00:00:00"/>
    <d v="2016-12-31T00:00:00"/>
    <d v="2016-12-31T00:00:00"/>
    <s v="A2"/>
    <m/>
    <m/>
    <n v="27891"/>
  </r>
  <r>
    <s v="SFMyCP"/>
    <x v="0"/>
    <s v="SUBSEC CENTROS TEMATICOS Y EXP FEDERALES"/>
    <s v="DIR NAC EXPRESIONES FEDERALES"/>
    <s v="DIRECCION DE GESTION EDILICIA"/>
    <s v="SERVICIOS GENERALES"/>
    <m/>
    <s v="Asistente"/>
    <s v="Asistente "/>
    <s v="CCK"/>
    <s v="CCK - Alem 351"/>
    <s v="WEIDERT FERNANDO RAUL"/>
    <s v="DNI"/>
    <n v="30368270"/>
    <s v="20303682709"/>
    <d v="1983-06-19T00:00:00"/>
    <s v="ASISTENCIA TÉCNICA"/>
    <s v="AT"/>
    <d v="2015-08-01T00:00:00"/>
    <m/>
    <d v="2016-12-31T00:00:00"/>
    <m/>
    <s v="UNTREF"/>
    <s v="UNLAM- BICENTENARIO"/>
    <n v="10090"/>
  </r>
  <r>
    <s v="SFMyCP"/>
    <x v="0"/>
    <s v="SUBSEC CENTROS TEMATICOS Y EXP FEDERALES"/>
    <s v="DIRECCION NACIONAL DE CENTROS TEMATICOS"/>
    <s v="ADMINISTRACION- CADETE"/>
    <m/>
    <m/>
    <s v="CADETE"/>
    <s v="CADETE"/>
    <s v="TECNÓPOLIS"/>
    <s v="TECNOPOLIS"/>
    <s v="WILCHEN MARTIN"/>
    <s v="DNI"/>
    <n v="34265852"/>
    <s v="20342658521"/>
    <d v="1989-03-31T00:00:00"/>
    <s v="ASISTENCIA TÉCNICA"/>
    <s v="AT"/>
    <d v="2015-08-01T00:00:00"/>
    <m/>
    <d v="2016-12-31T00:00:00"/>
    <m/>
    <s v="UNTREF"/>
    <s v="UNTREF"/>
    <n v="11500"/>
  </r>
  <r>
    <s v="SFMyCP"/>
    <x v="0"/>
    <s v="SUBSEC CENTROS TEMATICOS Y EXP FEDERALES"/>
    <s v="DIRECCION NACIONAL DE CENTROS TEMATICOS"/>
    <s v="TECNICA"/>
    <m/>
    <m/>
    <m/>
    <m/>
    <s v="TECNÓPOLIS"/>
    <m/>
    <s v="WRIGHT Leonardo"/>
    <s v="DNI"/>
    <n v="30014231"/>
    <n v="20300142312"/>
    <m/>
    <s v="LEY MARCO"/>
    <s v="LM"/>
    <d v="2013-04-01T00:00:00"/>
    <d v="2016-03-31T00:00:00"/>
    <d v="2016-12-31T00:00:00"/>
    <s v="C0"/>
    <m/>
    <m/>
    <n v="21042"/>
  </r>
  <r>
    <s v="SFMyCP"/>
    <x v="0"/>
    <m/>
    <s v="DIR NAC GENERACION DE CONTENIDOS"/>
    <s v="INV. AP. RECURSOS DIGITALES"/>
    <s v="CTRO INV PALPALA"/>
    <m/>
    <s v="DISEÑO"/>
    <s v="ANALISTA"/>
    <s v="PALPALÁ-JUJUY"/>
    <s v="PALPALÁ-JUJUY"/>
    <s v="YEVARA MARCELO EDUARDO"/>
    <s v="DNI"/>
    <n v="27874288"/>
    <n v="20278742882"/>
    <d v="1980-04-30T00:00:00"/>
    <s v="ASISTENCIA TÉCNICA"/>
    <s v="AT"/>
    <d v="2015-09-01T00:00:00"/>
    <m/>
    <d v="2016-12-31T00:00:00"/>
    <m/>
    <s v="UNTREF"/>
    <s v="UNSAM"/>
    <n v="10000"/>
  </r>
  <r>
    <s v="SFMyCP"/>
    <x v="0"/>
    <s v="SUBSEC CENTROS TEMATICOS Y EXP FEDERALES"/>
    <s v="DIRECCION NACIONAL DE CENTROS TEMATICOS"/>
    <s v="PRODUCCIÓN"/>
    <m/>
    <m/>
    <m/>
    <m/>
    <s v="TECNÓPOLIS"/>
    <m/>
    <s v="ZABALA Nair"/>
    <s v="DNI"/>
    <n v="27460740"/>
    <n v="27274607403"/>
    <m/>
    <s v="LEY MARCO"/>
    <s v="LM"/>
    <d v="2013-02-01T00:00:00"/>
    <d v="2016-03-31T00:00:00"/>
    <d v="2016-12-31T00:00:00"/>
    <s v="C0"/>
    <m/>
    <m/>
    <n v="28555.22"/>
  </r>
  <r>
    <s v="SFMyCP"/>
    <x v="0"/>
    <s v="SUBSEC CENTROS TEMATICOS Y EXP FEDERALES"/>
    <s v="DIR NAC EXPRESIONES FEDERALES"/>
    <s v="TECNICA"/>
    <s v="MONTAJE"/>
    <m/>
    <m/>
    <s v="ADMINISTRATIVO"/>
    <m/>
    <s v="CCK - Alem 351"/>
    <s v="ZADRA ROLANDO JUAN"/>
    <s v="DNI"/>
    <n v="6084351"/>
    <n v="20060843512"/>
    <d v="1949-07-05T00:00:00"/>
    <s v="ASISTENCIA TÉCNICA"/>
    <s v="AT"/>
    <d v="2016-06-01T00:00:00"/>
    <m/>
    <d v="2016-12-31T00:00:00"/>
    <m/>
    <s v="UNTREF"/>
    <m/>
    <m/>
  </r>
  <r>
    <s v="SFMyCP"/>
    <x v="1"/>
    <m/>
    <s v="DIR GRAL TECNICA ADMINISTRATIVA Y LEGAL"/>
    <s v="PLANIF  Y ADM DE REC HUMANOS"/>
    <s v="S. GENERALES - AUTOMOTORES"/>
    <m/>
    <s v="CHOFER"/>
    <s v="ADMINISTRATIVO"/>
    <s v="CCK"/>
    <s v="CCK - Alem 351"/>
    <s v="ZAFONTE  DIEGO"/>
    <s v="DNI"/>
    <n v="25875955"/>
    <s v="23258759559"/>
    <d v="1977-09-24T00:00:00"/>
    <s v="ASISTENCIA TÉCNICA"/>
    <s v="AT"/>
    <m/>
    <m/>
    <d v="2016-12-31T00:00:00"/>
    <m/>
    <s v="UNTREF"/>
    <s v="UNLAM- FUSION"/>
    <n v="18000"/>
  </r>
  <r>
    <s v="SFMyCP"/>
    <x v="0"/>
    <m/>
    <s v="DIR NAC GENERACION DE CONTENIDOS"/>
    <m/>
    <m/>
    <m/>
    <s v="PRIVADA"/>
    <s v="ADMINISTRATIVO"/>
    <m/>
    <s v="CCK - Alem 351"/>
    <s v="ZAMBLERA, MARIÁNGELES"/>
    <s v="DNI"/>
    <n v="29136569"/>
    <s v="27291365693"/>
    <d v="1981-11-02T00:00:00"/>
    <s v="ASISTENCIA TÉCNICA"/>
    <s v="AT"/>
    <d v="2016-01-01T00:00:00"/>
    <m/>
    <d v="2016-12-31T00:00:00"/>
    <m/>
    <s v="UNTREF"/>
    <s v="UNSAM"/>
    <n v="25000"/>
  </r>
  <r>
    <s v="SFMyCP"/>
    <x v="0"/>
    <s v="SUBSEC CENTROS TEMATICOS Y EXP FEDERALES"/>
    <s v="DIRECCION NACIONAL DE CENTROS TEMATICOS"/>
    <s v="PRODUCCIÓN"/>
    <m/>
    <m/>
    <m/>
    <s v="ADMINISTRATIVA"/>
    <s v="TECNÓPOLIS"/>
    <s v="TECNOPOLIS"/>
    <s v="ZAMBONINI  SANTIAGO MARIA"/>
    <s v="DNI"/>
    <n v="17686556"/>
    <s v="20176865564"/>
    <d v="1965-08-03T00:00:00"/>
    <s v="ASISTENCIA TÉCNICA"/>
    <s v="AT"/>
    <d v="2011-03-01T00:00:00"/>
    <m/>
    <d v="2016-12-31T00:00:00"/>
    <m/>
    <s v="UNTREF"/>
    <s v="UNTREF"/>
    <n v="32000"/>
  </r>
  <r>
    <s v="SFMyCP"/>
    <x v="0"/>
    <s v="SUBSEC CENTROS TEMATICOS Y EXP FEDERALES"/>
    <s v="DIRECCION NACIONAL DE CENTROS TEMATICOS"/>
    <s v="INTENDENCIA - TALLERES"/>
    <m/>
    <m/>
    <m/>
    <m/>
    <s v="TECNÓPOLIS"/>
    <m/>
    <s v="ZAMBONINI Mariano Andrés"/>
    <s v="DNI"/>
    <n v="17363262"/>
    <n v="20173632623"/>
    <m/>
    <s v="LEY MARCO"/>
    <s v="LM"/>
    <d v="2012-11-30T00:00:00"/>
    <d v="2016-12-31T00:00:00"/>
    <d v="2016-12-31T00:00:00"/>
    <s v="C0"/>
    <m/>
    <m/>
    <n v="24909"/>
  </r>
  <r>
    <s v="SFMyCP"/>
    <x v="0"/>
    <s v="SUBSEC CENTROS TEMATICOS Y EXP FEDERALES"/>
    <s v="DIRECCION NACIONAL DE CENTROS TEMATICOS"/>
    <s v="INTENDENCIA - TALLERES"/>
    <m/>
    <m/>
    <m/>
    <m/>
    <s v="TECNÓPOLIS"/>
    <m/>
    <s v="ZAMBONINI Tomás Simón"/>
    <s v="DNI"/>
    <n v="34027734"/>
    <n v="20340277342"/>
    <m/>
    <s v="LEY MARCO"/>
    <s v="LM"/>
    <d v="2012-11-30T00:00:00"/>
    <d v="2016-12-31T00:00:00"/>
    <d v="2016-12-31T00:00:00"/>
    <s v="C0"/>
    <m/>
    <m/>
    <n v="22661"/>
  </r>
  <r>
    <s v="SFMyCP"/>
    <x v="0"/>
    <m/>
    <s v="DIR NAC GENERACION DE CONTENIDOS"/>
    <s v="INV. AP. RECURSOS DIGITALES"/>
    <s v="CTRO INV PALPALA"/>
    <m/>
    <s v="DESARROLLOS"/>
    <s v="ANALISTA"/>
    <s v="PALPALÁ-JUJUY"/>
    <s v="PALPALÁ-JUJUY"/>
    <s v="ZAMORA RAUL ALFREDO"/>
    <s v="DNI"/>
    <n v="34132540"/>
    <n v="20341325405"/>
    <d v="1989-08-11T00:00:00"/>
    <s v="ASISTENCIA TÉCNICA"/>
    <s v="AT"/>
    <d v="2015-09-01T00:00:00"/>
    <m/>
    <d v="2016-12-31T00:00:00"/>
    <m/>
    <s v="UNTREF"/>
    <s v="UNSAM"/>
    <n v="11500"/>
  </r>
  <r>
    <s v="SFMyCP"/>
    <x v="0"/>
    <m/>
    <s v="DIR NAC GENERACION DE CONTENIDOS"/>
    <m/>
    <m/>
    <s v="(IGUALDAD CULTURAL)"/>
    <m/>
    <m/>
    <s v="CCK"/>
    <m/>
    <s v="ZAPATA ALEJANDRA"/>
    <s v="DNI"/>
    <n v="27444628"/>
    <n v="27274446280"/>
    <m/>
    <s v="LEY MARCO"/>
    <s v="LM"/>
    <d v="2005-01-01T00:00:00"/>
    <d v="2016-12-31T00:00:00"/>
    <d v="2016-12-31T00:00:00"/>
    <s v="A3"/>
    <m/>
    <m/>
    <n v="30753"/>
  </r>
  <r>
    <s v="SFMyCP"/>
    <x v="0"/>
    <s v="SUBSEC CENTROS TEMATICOS Y EXP FEDERALES"/>
    <s v="DIRECCION NACIONAL DE CENTROS TEMATICOS"/>
    <s v="INTENDENCIA - TALLERES"/>
    <m/>
    <m/>
    <m/>
    <s v="CARPINTERO"/>
    <s v="TECNÓPOLIS"/>
    <s v="TECNOPOLIS"/>
    <s v="ZARAGOZA LEONARDO JAVIER"/>
    <s v="DNI"/>
    <n v="24470829"/>
    <s v="20244708294"/>
    <d v="1975-05-23T00:00:00"/>
    <s v="ASISTENCIA TÉCNICA"/>
    <s v="AT"/>
    <d v="2014-08-01T00:00:00"/>
    <m/>
    <d v="2016-12-31T00:00:00"/>
    <m/>
    <s v="UNTREF"/>
    <s v="UNTREF"/>
    <n v="9995.51"/>
  </r>
  <r>
    <s v="SFMyCP"/>
    <x v="1"/>
    <m/>
    <s v="DIR GRAL TECNICA ADMINISTRATIVA Y LEGAL"/>
    <s v="PLANIF  Y ADM DE REC HUMANOS"/>
    <s v="S. GENERALES - AUTOMOTORES"/>
    <m/>
    <s v="CHOFER"/>
    <s v="ADMINISTRATIVO"/>
    <s v="CCK"/>
    <s v="CCK - Alem 351"/>
    <s v="ZARATE HUGO  HUGO DANIEL"/>
    <s v="DNI"/>
    <n v="21556947"/>
    <s v="20215569471"/>
    <d v="1970-07-09T00:00:00"/>
    <s v="ASISTENCIA TÉCNICA"/>
    <s v="AT"/>
    <m/>
    <m/>
    <d v="2016-12-31T00:00:00"/>
    <m/>
    <s v="UNTREF"/>
    <s v="UNLAM- FUSION"/>
    <n v="18000"/>
  </r>
  <r>
    <s v="SFMyCP"/>
    <x v="0"/>
    <m/>
    <s v="ARTES VISUALES"/>
    <s v="ARTES VISUALES"/>
    <m/>
    <m/>
    <m/>
    <s v="Orientador de Sala"/>
    <m/>
    <m/>
    <s v="ZARCO DELGADO GIMENA"/>
    <s v="DNI"/>
    <n v="29142911"/>
    <n v="23291429114"/>
    <m/>
    <s v="ASISTENCIA TÉCNICA"/>
    <s v="AT"/>
    <d v="2016-07-01T00:00:00"/>
    <m/>
    <d v="2016-12-31T00:00:00"/>
    <m/>
    <m/>
    <m/>
    <m/>
  </r>
  <r>
    <s v="SFMyCP"/>
    <x v="0"/>
    <s v="SUBSEC CENTROS TEMATICOS Y EXP FEDERALES"/>
    <s v="DIR NAC EXPRESIONES FEDERALES"/>
    <s v="PRODUCCIÓN"/>
    <m/>
    <m/>
    <m/>
    <s v="ADMINISTRATIVA"/>
    <m/>
    <s v="CCK - Alem 351"/>
    <s v="ZAREMBA CLARA"/>
    <s v="DNI"/>
    <n v="26516975"/>
    <s v="27265169754"/>
    <d v="1978-03-24T00:00:00"/>
    <s v="ASISTENCIA TÉCNICA"/>
    <s v="AT"/>
    <d v="2016-06-01T00:00:00"/>
    <m/>
    <d v="2016-12-31T00:00:00"/>
    <m/>
    <s v="UNTREF"/>
    <m/>
    <m/>
  </r>
  <r>
    <s v="SFMyCP"/>
    <x v="0"/>
    <s v="SUBSEC CENTROS TEMATICOS Y EXP FEDERALES"/>
    <s v="DIR NAC EXPRESIONES FEDERALES"/>
    <s v="DIRECCION DE GESTION EDILICIA"/>
    <s v="SERVICIOS GENERALES"/>
    <s v="LIMPIEZA (En comisión Tecnópolis)"/>
    <s v="Responsable"/>
    <s v="Responsable"/>
    <s v="CCK"/>
    <s v="CCK - Alem 351"/>
    <s v="ZEÑIUK GABRIEL"/>
    <s v="DNI"/>
    <n v="27067242"/>
    <s v="20270672427"/>
    <d v="1978-12-25T00:00:00"/>
    <s v="ASISTENCIA TÉCNICA"/>
    <s v="AT"/>
    <d v="2015-06-04T00:00:00"/>
    <m/>
    <d v="2016-12-31T00:00:00"/>
    <m/>
    <s v="UNTREF"/>
    <s v="UNTREF"/>
    <n v="18000"/>
  </r>
  <r>
    <s v="SFMyCP"/>
    <x v="0"/>
    <m/>
    <s v="DIR NAC GENERACION DE CONTENIDOS"/>
    <s v="TELEVISION DIGITAL ABIERTA"/>
    <s v="CIARA"/>
    <m/>
    <s v="POSTPRODUCCIÓN"/>
    <s v="EDICION"/>
    <s v="CABILDO 65"/>
    <s v="CABILDO 65"/>
    <s v="ZIRALDO DIEGO"/>
    <s v="DNI"/>
    <n v="31452373"/>
    <s v="20314523734"/>
    <d v="1985-03-01T00:00:00"/>
    <s v="ASISTENCIA TÉCNICA"/>
    <s v="AT"/>
    <d v="2011-09-01T00:00:00"/>
    <m/>
    <d v="2016-12-31T00:00:00"/>
    <m/>
    <s v="UNTREF"/>
    <m/>
    <n v="24060"/>
  </r>
  <r>
    <s v="SFMyCP"/>
    <x v="0"/>
    <m/>
    <s v="DIR NAC GENERACION DE CONTENIDOS"/>
    <s v="TELEVISION DIGITAL ABIERTA"/>
    <s v="CIARA"/>
    <m/>
    <s v="PANORAMA ARGENTINO"/>
    <m/>
    <s v="CABILDO 65"/>
    <m/>
    <s v="ZOTHNER CELIA LUCIANA"/>
    <s v="DNI"/>
    <n v="24229930"/>
    <n v="27242299308"/>
    <m/>
    <s v="LEY MARCO"/>
    <s v="LM"/>
    <d v="2012-12-01T00:00:00"/>
    <d v="2016-12-31T00:00:00"/>
    <d v="2016-12-31T00:00:00"/>
    <s v="B1"/>
    <m/>
    <m/>
    <n v="20266"/>
  </r>
  <r>
    <s v="SFMyCP"/>
    <x v="0"/>
    <s v="SUBSEC CENTROS TEMATICOS Y EXP FEDERALES"/>
    <s v="DIR NAC EXPRESIONES FEDERALES"/>
    <s v="INSTITUCIONALES"/>
    <s v="VISITAS GUIADAS"/>
    <m/>
    <m/>
    <s v="VISITAS GUIADAS"/>
    <m/>
    <s v="CCK - Alem 351"/>
    <s v="ZULIANI MANUELA"/>
    <s v="DNI"/>
    <n v="38297347"/>
    <n v="27382973475"/>
    <d v="1994-05-11T00:00:00"/>
    <s v="ASISTENCIA TÉCNICA"/>
    <s v="AT"/>
    <d v="2016-05-15T00:00:00"/>
    <m/>
    <d v="2016-12-31T00:00:00"/>
    <m/>
    <s v="UNTREF"/>
    <m/>
    <m/>
  </r>
  <r>
    <s v="SFMyCP"/>
    <x v="0"/>
    <m/>
    <s v="DIR NAC GENERACION DE CONTENIDOS"/>
    <s v="TELEVISION DIGITAL ABIERTA"/>
    <s v="CIARA"/>
    <s v="REFERENTE"/>
    <s v="Analista"/>
    <m/>
    <s v="CCK"/>
    <m/>
    <s v="ZUQUI  MARIANO"/>
    <s v="DNI"/>
    <n v="27273669"/>
    <n v="20272736694"/>
    <m/>
    <s v="LEY MARCO"/>
    <s v="LM"/>
    <d v="2010-10-01T00:00:00"/>
    <d v="2016-12-31T00:00:00"/>
    <d v="2016-12-31T00:00:00"/>
    <s v="A1"/>
    <m/>
    <m/>
    <n v="262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19">
  <r>
    <x v="0"/>
    <x v="0"/>
    <x v="0"/>
    <x v="0"/>
    <x v="0"/>
    <x v="0"/>
    <m/>
    <s v="ANIMACION"/>
    <s v="ANALISTA"/>
    <s v="PALPALÁ-JUJUY"/>
    <s v="PALPALÁ-JUJUY"/>
    <x v="0"/>
    <s v="DNI"/>
    <n v="20549287"/>
    <n v="23205492879"/>
    <d v="1968-11-30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1"/>
    <x v="1"/>
    <x v="1"/>
    <x v="1"/>
    <m/>
    <m/>
    <s v="ADMINISTRATIVO"/>
    <s v="CCK"/>
    <s v="CCK - Alem 351"/>
    <x v="1"/>
    <s v="DNI"/>
    <n v="25250840"/>
    <s v="20252508407"/>
    <d v="1976-06-24T00:00:00"/>
    <m/>
    <m/>
    <m/>
    <m/>
    <x v="0"/>
    <x v="0"/>
    <d v="2015-04-01T00:00:00"/>
    <m/>
    <d v="2016-12-31T00:00:00"/>
    <x v="0"/>
    <s v="UNTREF"/>
    <s v="UNSAM-MINPLAN"/>
    <n v="17102"/>
    <x v="1"/>
    <x v="1"/>
    <n v="17102"/>
    <s v="."/>
    <s v="."/>
    <n v="1000"/>
    <x v="0"/>
    <x v="0"/>
    <x v="0"/>
  </r>
  <r>
    <x v="0"/>
    <x v="1"/>
    <x v="0"/>
    <x v="2"/>
    <x v="2"/>
    <x v="2"/>
    <m/>
    <s v="PRIVADA"/>
    <s v="ASESOR"/>
    <m/>
    <s v="CCK - Alem 351"/>
    <x v="2"/>
    <s v="DNI"/>
    <n v="5940898"/>
    <n v="23059408984"/>
    <d v="1948-07-12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1"/>
    <x v="3"/>
    <x v="3"/>
    <x v="2"/>
    <m/>
    <m/>
    <m/>
    <s v="TECNÓPOLIS"/>
    <m/>
    <x v="3"/>
    <s v="DNI"/>
    <n v="36690414"/>
    <n v="20366904140"/>
    <m/>
    <m/>
    <m/>
    <m/>
    <m/>
    <x v="1"/>
    <x v="1"/>
    <d v="2012-07-01T00:00:00"/>
    <d v="2016-12-31T00:00:00"/>
    <d v="2016-12-31T00:00:00"/>
    <x v="1"/>
    <m/>
    <m/>
    <n v="16289.4"/>
    <x v="3"/>
    <x v="3"/>
    <s v="."/>
    <s v="."/>
    <s v="."/>
    <n v="1000"/>
    <x v="1"/>
    <x v="0"/>
    <x v="0"/>
  </r>
  <r>
    <x v="0"/>
    <x v="0"/>
    <x v="1"/>
    <x v="3"/>
    <x v="4"/>
    <x v="2"/>
    <m/>
    <s v="COCINA"/>
    <s v="PRODUCCION GRAL DE RECETAS, MANIPULACIÓN DE INGREDIENTES, DESPCACHO DE ALIMENTOS"/>
    <s v="TECNÓPOLIS"/>
    <s v="TECNOPOLIS"/>
    <x v="4"/>
    <s v="DNI"/>
    <n v="27781495"/>
    <s v="27277814957"/>
    <d v="1980-04-05T00:00:00"/>
    <m/>
    <m/>
    <m/>
    <m/>
    <x v="0"/>
    <x v="0"/>
    <d v="2014-07-01T00:00:00"/>
    <m/>
    <d v="2016-12-31T00:00:00"/>
    <x v="0"/>
    <s v="UNTREF"/>
    <s v="UNTREF"/>
    <n v="12516"/>
    <x v="4"/>
    <x v="3"/>
    <s v="."/>
    <s v="."/>
    <s v="."/>
    <n v="1000"/>
    <x v="0"/>
    <x v="0"/>
    <x v="0"/>
  </r>
  <r>
    <x v="0"/>
    <x v="0"/>
    <x v="1"/>
    <x v="1"/>
    <x v="5"/>
    <x v="3"/>
    <s v="LIMPIEZA (En comisión Tecnópolis)"/>
    <s v="Auxiliar"/>
    <s v="OPERATIVA Y LOGISTICA"/>
    <s v="CCK"/>
    <s v="CCK - Alem 351"/>
    <x v="5"/>
    <s v="DNI"/>
    <n v="26749806"/>
    <s v="20267498068"/>
    <d v="1978-09-04T00:00:00"/>
    <m/>
    <m/>
    <m/>
    <m/>
    <x v="0"/>
    <x v="0"/>
    <d v="2015-06-10T00:00:00"/>
    <m/>
    <d v="2016-12-31T00:00:00"/>
    <x v="0"/>
    <s v="UNTREF"/>
    <s v="UNTREF"/>
    <n v="10500"/>
    <x v="5"/>
    <x v="4"/>
    <n v="14000"/>
    <n v="12500"/>
    <s v="."/>
    <n v="1000"/>
    <x v="0"/>
    <x v="0"/>
    <x v="0"/>
  </r>
  <r>
    <x v="0"/>
    <x v="0"/>
    <x v="1"/>
    <x v="3"/>
    <x v="3"/>
    <x v="2"/>
    <m/>
    <m/>
    <m/>
    <s v="TECNÓPOLIS"/>
    <m/>
    <x v="6"/>
    <s v="DNI"/>
    <n v="33556332"/>
    <n v="27335563323"/>
    <m/>
    <m/>
    <m/>
    <m/>
    <m/>
    <x v="1"/>
    <x v="1"/>
    <d v="2012-01-01T00:00:00"/>
    <d v="2016-12-31T00:00:00"/>
    <d v="2016-12-31T00:00:00"/>
    <x v="1"/>
    <m/>
    <m/>
    <n v="12484.6"/>
    <x v="6"/>
    <x v="3"/>
    <s v="."/>
    <s v="."/>
    <s v="."/>
    <n v="1000"/>
    <x v="1"/>
    <x v="0"/>
    <x v="0"/>
  </r>
  <r>
    <x v="0"/>
    <x v="0"/>
    <x v="0"/>
    <x v="4"/>
    <x v="2"/>
    <x v="2"/>
    <m/>
    <s v="PRIVADA"/>
    <s v="CHOFER"/>
    <m/>
    <s v="CCK - Alem 351"/>
    <x v="7"/>
    <s v="DNI"/>
    <n v="21862533"/>
    <n v="20218625334"/>
    <d v="1971-03-01T00:00:00"/>
    <m/>
    <m/>
    <m/>
    <m/>
    <x v="0"/>
    <x v="0"/>
    <d v="2016-01-01T00:00:00"/>
    <m/>
    <d v="2016-12-31T00:00:00"/>
    <x v="0"/>
    <s v="UNTREF"/>
    <s v="UNSAM"/>
    <n v="12000"/>
    <x v="7"/>
    <x v="4"/>
    <n v="12000"/>
    <s v=".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8"/>
    <s v="DNI"/>
    <n v="25553697"/>
    <s v="20255536975"/>
    <d v="1976-09-22T00:00:00"/>
    <m/>
    <m/>
    <m/>
    <m/>
    <x v="0"/>
    <x v="0"/>
    <d v="2011-07-01T00:00:00"/>
    <m/>
    <d v="2016-12-31T00:00:00"/>
    <x v="0"/>
    <s v="UNTREF"/>
    <s v="UNTREF"/>
    <n v="11449.4"/>
    <x v="8"/>
    <x v="3"/>
    <s v="."/>
    <s v="."/>
    <s v="."/>
    <n v="1000"/>
    <x v="0"/>
    <x v="0"/>
    <x v="0"/>
  </r>
  <r>
    <x v="0"/>
    <x v="1"/>
    <x v="0"/>
    <x v="5"/>
    <x v="7"/>
    <x v="2"/>
    <m/>
    <s v="GESTIÓN ADMINISTRATIVA"/>
    <m/>
    <s v="CCK"/>
    <m/>
    <x v="9"/>
    <s v="DNI"/>
    <n v="33422027"/>
    <n v="27334220279"/>
    <m/>
    <m/>
    <m/>
    <m/>
    <m/>
    <x v="1"/>
    <x v="1"/>
    <d v="2013-12-01T00:00:00"/>
    <d v="2016-03-31T00:00:00"/>
    <d v="2016-12-31T00:00:00"/>
    <x v="2"/>
    <m/>
    <m/>
    <n v="12547"/>
    <x v="9"/>
    <x v="5"/>
    <s v="."/>
    <s v="."/>
    <n v="15000"/>
    <n v="1000"/>
    <x v="1"/>
    <x v="0"/>
    <x v="0"/>
  </r>
  <r>
    <x v="0"/>
    <x v="0"/>
    <x v="0"/>
    <x v="0"/>
    <x v="8"/>
    <x v="4"/>
    <m/>
    <s v="PRODUCCIÓN"/>
    <s v="PRODUCTOR de EXTERIORES"/>
    <s v="CABILDO 65"/>
    <s v="CABILDO 65"/>
    <x v="10"/>
    <s v="DNI"/>
    <n v="29300719"/>
    <s v="20293007196"/>
    <d v="1982-02-03T00:00:00"/>
    <m/>
    <m/>
    <m/>
    <m/>
    <x v="0"/>
    <x v="0"/>
    <d v="2011-08-01T00:00:00"/>
    <m/>
    <d v="2016-12-31T00:00:00"/>
    <x v="0"/>
    <s v="UNTREF"/>
    <m/>
    <n v="23288"/>
    <x v="10"/>
    <x v="3"/>
    <m/>
    <m/>
    <m/>
    <n v="1000"/>
    <x v="2"/>
    <x v="0"/>
    <x v="0"/>
  </r>
  <r>
    <x v="0"/>
    <x v="0"/>
    <x v="1"/>
    <x v="3"/>
    <x v="9"/>
    <x v="2"/>
    <m/>
    <s v="ADMINISTRATIVO"/>
    <s v="ADMINISTRATIVO"/>
    <s v="TECNÓPOLIS"/>
    <m/>
    <x v="11"/>
    <s v="DNI"/>
    <n v="18899387"/>
    <n v="27188993872"/>
    <m/>
    <m/>
    <m/>
    <m/>
    <m/>
    <x v="1"/>
    <x v="1"/>
    <d v="2012-11-01T00:00:00"/>
    <d v="2016-12-31T00:00:00"/>
    <d v="2016-12-31T00:00:00"/>
    <x v="3"/>
    <m/>
    <m/>
    <n v="20253.28"/>
    <x v="11"/>
    <x v="3"/>
    <s v="."/>
    <s v="."/>
    <s v="."/>
    <n v="1000"/>
    <x v="1"/>
    <x v="0"/>
    <x v="0"/>
  </r>
  <r>
    <x v="0"/>
    <x v="0"/>
    <x v="1"/>
    <x v="3"/>
    <x v="9"/>
    <x v="2"/>
    <m/>
    <s v="ADMINISTRATIVO"/>
    <s v="ADMINISTRATIVO"/>
    <s v="TECNÓPOLIS"/>
    <m/>
    <x v="12"/>
    <s v="DNI"/>
    <n v="18899386"/>
    <n v="27188993864"/>
    <m/>
    <m/>
    <m/>
    <m/>
    <m/>
    <x v="1"/>
    <x v="1"/>
    <d v="2012-02-01T00:00:00"/>
    <d v="2016-12-31T00:00:00"/>
    <d v="2016-12-31T00:00:00"/>
    <x v="3"/>
    <m/>
    <m/>
    <n v="29781"/>
    <x v="12"/>
    <x v="3"/>
    <s v="."/>
    <s v="."/>
    <s v="."/>
    <n v="1000"/>
    <x v="1"/>
    <x v="0"/>
    <x v="0"/>
  </r>
  <r>
    <x v="0"/>
    <x v="0"/>
    <x v="1"/>
    <x v="3"/>
    <x v="4"/>
    <x v="2"/>
    <m/>
    <s v="COCINA"/>
    <s v="PRODUCCION GRAL DE RECETAS, MANIPULACIÓN DE INGREDIENTES, DESPCACHO DE ALIMENTOS"/>
    <s v="TECNÓPOLIS"/>
    <s v="TECNOPOLIS"/>
    <x v="13"/>
    <s v="DNI"/>
    <n v="35136175"/>
    <s v="24351361758"/>
    <d v="1990-02-06T00:00:00"/>
    <m/>
    <m/>
    <m/>
    <m/>
    <x v="0"/>
    <x v="0"/>
    <d v="2014-02-01T00:00:00"/>
    <m/>
    <d v="2016-12-31T00:00:00"/>
    <x v="0"/>
    <s v="UNTREF"/>
    <s v="UNTREF"/>
    <n v="10408.549999999999"/>
    <x v="13"/>
    <x v="5"/>
    <s v="."/>
    <s v="."/>
    <s v="."/>
    <n v="1000"/>
    <x v="0"/>
    <x v="0"/>
    <x v="0"/>
  </r>
  <r>
    <x v="0"/>
    <x v="0"/>
    <x v="1"/>
    <x v="1"/>
    <x v="5"/>
    <x v="5"/>
    <s v="MESA DE AYUDA"/>
    <s v="Asistente"/>
    <s v="ADMINISTRATIVO"/>
    <s v="CCK"/>
    <s v="CCK - Alem 351"/>
    <x v="14"/>
    <s v="DNI"/>
    <n v="42663422"/>
    <s v="27426634223"/>
    <d v="1996-06-07T00:00:00"/>
    <m/>
    <m/>
    <m/>
    <m/>
    <x v="0"/>
    <x v="0"/>
    <d v="2015-06-01T00:00:00"/>
    <m/>
    <d v="2016-12-31T00:00:00"/>
    <x v="0"/>
    <s v="UNTREF"/>
    <s v="UNLAM- BICENTENARIO"/>
    <n v="10096"/>
    <x v="5"/>
    <x v="4"/>
    <n v="13000"/>
    <n v="12500"/>
    <s v="."/>
    <n v="1000"/>
    <x v="0"/>
    <x v="0"/>
    <x v="0"/>
  </r>
  <r>
    <x v="0"/>
    <x v="0"/>
    <x v="1"/>
    <x v="1"/>
    <x v="10"/>
    <x v="2"/>
    <m/>
    <m/>
    <s v="ADMINISTRATIVA"/>
    <m/>
    <s v="CCK - Alem 351"/>
    <x v="15"/>
    <s v="DNI"/>
    <n v="22476139"/>
    <n v="27254761392"/>
    <d v="1976-07-29T00:00:00"/>
    <m/>
    <m/>
    <m/>
    <m/>
    <x v="0"/>
    <x v="0"/>
    <d v="2016-04-01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0"/>
    <x v="0"/>
    <x v="8"/>
    <x v="6"/>
    <m/>
    <s v="ACUA MAYOR"/>
    <s v="ADMINISTRATIVO"/>
    <s v="CABILDO 65"/>
    <s v="CABILDO 65"/>
    <x v="16"/>
    <s v="DNI"/>
    <n v="26403953"/>
    <s v="27264039539"/>
    <d v="1978-01-31T00:00:00"/>
    <m/>
    <m/>
    <m/>
    <m/>
    <x v="0"/>
    <x v="0"/>
    <d v="2011-09-21T00:00:00"/>
    <m/>
    <d v="2016-12-31T00:00:00"/>
    <x v="0"/>
    <s v="UNTREF"/>
    <s v="UNSAM- LADA"/>
    <n v="20959"/>
    <x v="15"/>
    <x v="5"/>
    <s v="."/>
    <s v="."/>
    <s v="."/>
    <n v="1000"/>
    <x v="2"/>
    <x v="0"/>
    <x v="0"/>
  </r>
  <r>
    <x v="0"/>
    <x v="0"/>
    <x v="0"/>
    <x v="0"/>
    <x v="8"/>
    <x v="6"/>
    <m/>
    <s v="SERVICIOS GENERALES"/>
    <m/>
    <s v="CABILDO 65"/>
    <m/>
    <x v="17"/>
    <s v="DNI"/>
    <n v="34303292"/>
    <n v="20343032928"/>
    <m/>
    <m/>
    <m/>
    <m/>
    <m/>
    <x v="1"/>
    <x v="1"/>
    <d v="2015-03-01T00:00:00"/>
    <d v="2016-03-31T00:00:00"/>
    <d v="2016-12-31T00:00:00"/>
    <x v="1"/>
    <m/>
    <m/>
    <n v="10553"/>
    <x v="16"/>
    <x v="5"/>
    <s v="."/>
    <s v="."/>
    <s v="."/>
    <n v="1000"/>
    <x v="1"/>
    <x v="0"/>
    <x v="0"/>
  </r>
  <r>
    <x v="0"/>
    <x v="0"/>
    <x v="0"/>
    <x v="0"/>
    <x v="8"/>
    <x v="6"/>
    <m/>
    <s v="ACUA MAYOR"/>
    <s v="ADMINISTRATIVO"/>
    <s v="CABILDO 65"/>
    <s v="CABILDO 65"/>
    <x v="18"/>
    <s v="DNI"/>
    <n v="23865395"/>
    <s v="23238653959"/>
    <d v="1974-03-28T00:00:00"/>
    <m/>
    <m/>
    <m/>
    <m/>
    <x v="0"/>
    <x v="0"/>
    <d v="2010-11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0"/>
    <x v="4"/>
    <x v="11"/>
    <x v="7"/>
    <m/>
    <s v="PRIVADA"/>
    <s v="ADMINISTRATIVO"/>
    <m/>
    <s v="NO ENTREGAR"/>
    <x v="19"/>
    <s v="DNI"/>
    <n v="29064368"/>
    <n v="27290643681"/>
    <d v="1981-09-12T00:00:00"/>
    <m/>
    <m/>
    <m/>
    <m/>
    <x v="0"/>
    <x v="0"/>
    <d v="2016-07-01T00:00:00"/>
    <m/>
    <d v="2016-07-31T00:00:00"/>
    <x v="0"/>
    <s v="UNTREF"/>
    <m/>
    <m/>
    <x v="18"/>
    <x v="3"/>
    <m/>
    <m/>
    <m/>
    <m/>
    <x v="1"/>
    <x v="0"/>
    <x v="1"/>
  </r>
  <r>
    <x v="0"/>
    <x v="0"/>
    <x v="1"/>
    <x v="3"/>
    <x v="3"/>
    <x v="2"/>
    <m/>
    <m/>
    <s v="LIMPIEZA DE OFICINAS/BAÑOS Y CAFETARIA DEL IBC"/>
    <s v="TECNÓPOLIS"/>
    <s v="TECNOPOLIS"/>
    <x v="20"/>
    <s v="DNI"/>
    <n v="25151141"/>
    <s v="27251511417"/>
    <d v="1976-04-16T00:00:00"/>
    <m/>
    <m/>
    <m/>
    <m/>
    <x v="0"/>
    <x v="0"/>
    <d v="2012-02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6"/>
    <x v="12"/>
    <x v="2"/>
    <m/>
    <m/>
    <m/>
    <m/>
    <m/>
    <x v="21"/>
    <s v="DNI"/>
    <n v="16668849"/>
    <n v="20166688496"/>
    <m/>
    <m/>
    <m/>
    <m/>
    <m/>
    <x v="2"/>
    <x v="0"/>
    <d v="2016-07-01T00:00:00"/>
    <m/>
    <d v="2016-09-30T00:00:00"/>
    <x v="0"/>
    <s v="UNTREF"/>
    <m/>
    <m/>
    <x v="18"/>
    <x v="3"/>
    <m/>
    <m/>
    <m/>
    <m/>
    <x v="1"/>
    <x v="0"/>
    <x v="2"/>
  </r>
  <r>
    <x v="0"/>
    <x v="0"/>
    <x v="1"/>
    <x v="3"/>
    <x v="13"/>
    <x v="2"/>
    <m/>
    <s v="ADMINISTRATIVO"/>
    <s v="ADMINISTRATIVO"/>
    <s v="TECNÓPOLIS"/>
    <m/>
    <x v="22"/>
    <s v="DNI"/>
    <n v="32890888"/>
    <n v="20328908884"/>
    <m/>
    <m/>
    <m/>
    <m/>
    <m/>
    <x v="1"/>
    <x v="1"/>
    <d v="2015-01-01T00:00:00"/>
    <d v="2016-03-31T00:00:00"/>
    <d v="2016-12-31T00:00:00"/>
    <x v="3"/>
    <m/>
    <m/>
    <n v="13835"/>
    <x v="20"/>
    <x v="5"/>
    <s v="."/>
    <s v="."/>
    <s v="."/>
    <n v="1000"/>
    <x v="1"/>
    <x v="0"/>
    <x v="0"/>
  </r>
  <r>
    <x v="0"/>
    <x v="0"/>
    <x v="1"/>
    <x v="1"/>
    <x v="14"/>
    <x v="2"/>
    <m/>
    <m/>
    <s v="ADMINISTRATIVO"/>
    <m/>
    <s v="CCK - Alem 351"/>
    <x v="23"/>
    <s v="DNI"/>
    <n v="33205074"/>
    <s v="27332050740"/>
    <d v="1987-08-03T00:00:00"/>
    <m/>
    <m/>
    <m/>
    <m/>
    <x v="0"/>
    <x v="0"/>
    <d v="2014-12-01T00:00:00"/>
    <m/>
    <d v="2016-12-31T00:00:00"/>
    <x v="0"/>
    <s v="UNTREF"/>
    <s v="UNTREF"/>
    <n v="16731"/>
    <x v="21"/>
    <x v="5"/>
    <s v="."/>
    <s v="."/>
    <s v="."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24"/>
    <s v="DNI"/>
    <n v="34295103"/>
    <s v="20342951032"/>
    <d v="1989-04-11T00:00:00"/>
    <m/>
    <m/>
    <m/>
    <m/>
    <x v="0"/>
    <x v="0"/>
    <d v="2014-06-01T00:00:00"/>
    <m/>
    <d v="2016-12-31T00:00:00"/>
    <x v="0"/>
    <s v="UNTREF"/>
    <m/>
    <n v="15234"/>
    <x v="22"/>
    <x v="3"/>
    <m/>
    <m/>
    <m/>
    <n v="1000"/>
    <x v="2"/>
    <x v="0"/>
    <x v="0"/>
  </r>
  <r>
    <x v="0"/>
    <x v="0"/>
    <x v="1"/>
    <x v="3"/>
    <x v="15"/>
    <x v="2"/>
    <m/>
    <m/>
    <s v="HERRERO"/>
    <m/>
    <s v="TECNOPOLIS"/>
    <x v="25"/>
    <s v="DNI"/>
    <n v="35340444"/>
    <n v="20353404440"/>
    <d v="1990-05-22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10"/>
    <x v="2"/>
    <m/>
    <s v="Analista"/>
    <m/>
    <s v="CCK"/>
    <m/>
    <x v="26"/>
    <s v="DNI"/>
    <n v="21644367"/>
    <n v="20216443676"/>
    <m/>
    <m/>
    <m/>
    <m/>
    <m/>
    <x v="1"/>
    <x v="1"/>
    <d v="2010-01-01T00:00:00"/>
    <d v="2016-12-31T00:00:00"/>
    <d v="2016-12-31T00:00:00"/>
    <x v="2"/>
    <m/>
    <m/>
    <n v="12274"/>
    <x v="23"/>
    <x v="5"/>
    <s v="."/>
    <s v="."/>
    <n v="17000"/>
    <n v="1000"/>
    <x v="1"/>
    <x v="0"/>
    <x v="0"/>
  </r>
  <r>
    <x v="0"/>
    <x v="0"/>
    <x v="0"/>
    <x v="0"/>
    <x v="8"/>
    <x v="6"/>
    <s v="CCK"/>
    <s v="PROGRAMA POLOS AUDIOVISUALES TECNOLÓGICOS"/>
    <m/>
    <s v="CABILDO 65"/>
    <m/>
    <x v="27"/>
    <s v="DNI"/>
    <n v="17287085"/>
    <n v="27172870851"/>
    <m/>
    <m/>
    <m/>
    <m/>
    <m/>
    <x v="1"/>
    <x v="1"/>
    <d v="2012-12-01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1"/>
    <x v="14"/>
    <x v="2"/>
    <m/>
    <m/>
    <m/>
    <s v="CCK"/>
    <s v="CCK - Alem 351"/>
    <x v="28"/>
    <s v="DNI"/>
    <n v="16101254"/>
    <n v="20161012549"/>
    <m/>
    <m/>
    <m/>
    <m/>
    <m/>
    <x v="1"/>
    <x v="1"/>
    <d v="2012-10-31T00:00:00"/>
    <d v="2016-12-31T00:00:00"/>
    <d v="2016-12-31T00:00:00"/>
    <x v="3"/>
    <m/>
    <m/>
    <n v="17751"/>
    <x v="25"/>
    <x v="5"/>
    <s v="."/>
    <s v="."/>
    <s v="."/>
    <n v="1000"/>
    <x v="1"/>
    <x v="0"/>
    <x v="0"/>
  </r>
  <r>
    <x v="0"/>
    <x v="0"/>
    <x v="1"/>
    <x v="1"/>
    <x v="14"/>
    <x v="2"/>
    <m/>
    <m/>
    <s v="ADMINISTRATIVO"/>
    <s v="CCK"/>
    <s v="CCK - Alem 351"/>
    <x v="29"/>
    <s v="DNI"/>
    <n v="28509503"/>
    <s v="23285095034"/>
    <d v="1980-12-07T00:00:00"/>
    <m/>
    <m/>
    <m/>
    <m/>
    <x v="0"/>
    <x v="0"/>
    <d v="2015-09-01T00:00:00"/>
    <m/>
    <d v="2016-12-31T00:00:00"/>
    <x v="0"/>
    <s v="UNTREF"/>
    <s v="UNSAM"/>
    <n v="20413"/>
    <x v="26"/>
    <x v="6"/>
    <n v="20413"/>
    <s v="."/>
    <s v="."/>
    <n v="1000"/>
    <x v="0"/>
    <x v="0"/>
    <x v="0"/>
  </r>
  <r>
    <x v="0"/>
    <x v="0"/>
    <x v="1"/>
    <x v="3"/>
    <x v="9"/>
    <x v="2"/>
    <m/>
    <s v="ADMINISTRATIVO"/>
    <s v="ADMINISTRATIVO"/>
    <s v="TECNÓPOLIS"/>
    <m/>
    <x v="30"/>
    <s v="DNI"/>
    <n v="22913909"/>
    <n v="27229139091"/>
    <m/>
    <m/>
    <m/>
    <m/>
    <m/>
    <x v="1"/>
    <x v="1"/>
    <d v="2010-01-01T00:00:00"/>
    <d v="2016-12-31T00:00:00"/>
    <d v="2016-12-31T00:00:00"/>
    <x v="2"/>
    <m/>
    <m/>
    <n v="23417"/>
    <x v="27"/>
    <x v="5"/>
    <s v="."/>
    <s v="."/>
    <s v="."/>
    <n v="1000"/>
    <x v="1"/>
    <x v="0"/>
    <x v="0"/>
  </r>
  <r>
    <x v="0"/>
    <x v="0"/>
    <x v="1"/>
    <x v="1"/>
    <x v="5"/>
    <x v="8"/>
    <s v="ESPACIOS FÍSICOS"/>
    <s v=""/>
    <s v="ADMINISTRATIVO"/>
    <s v="CCK"/>
    <s v="CCK - Alem 351"/>
    <x v="31"/>
    <s v="DNI"/>
    <n v="35364582"/>
    <s v="27353645825"/>
    <d v="1990-10-26T00:00:00"/>
    <m/>
    <m/>
    <m/>
    <m/>
    <x v="0"/>
    <x v="0"/>
    <d v="2015-07-01T00:00:00"/>
    <m/>
    <d v="2016-12-31T00:00:00"/>
    <x v="0"/>
    <s v="UNTREF"/>
    <s v="UNSAM"/>
    <n v="8617"/>
    <x v="28"/>
    <x v="7"/>
    <n v="14000"/>
    <n v="11500"/>
    <n v="14000"/>
    <n v="1000"/>
    <x v="0"/>
    <x v="0"/>
    <x v="0"/>
  </r>
  <r>
    <x v="0"/>
    <x v="0"/>
    <x v="1"/>
    <x v="1"/>
    <x v="10"/>
    <x v="2"/>
    <m/>
    <s v="Analista"/>
    <s v="ADMINISTRATIVA"/>
    <s v="CCK"/>
    <s v="CCK - Alem 351"/>
    <x v="32"/>
    <s v="DNI"/>
    <n v="32620168"/>
    <s v="27326201680"/>
    <d v="1986-11-01T00:00:00"/>
    <m/>
    <m/>
    <m/>
    <m/>
    <x v="0"/>
    <x v="0"/>
    <d v="2015-02-12T00:00:00"/>
    <m/>
    <d v="2016-12-31T00:00:00"/>
    <x v="0"/>
    <s v="UNTREF"/>
    <s v="UNSAM-MINPLAN"/>
    <n v="16000"/>
    <x v="29"/>
    <x v="8"/>
    <n v="20000"/>
    <s v="."/>
    <n v="20000"/>
    <n v="1000"/>
    <x v="0"/>
    <x v="0"/>
    <x v="0"/>
  </r>
  <r>
    <x v="0"/>
    <x v="0"/>
    <x v="1"/>
    <x v="1"/>
    <x v="16"/>
    <x v="2"/>
    <m/>
    <s v="asistente funcional"/>
    <s v="asistente funcional"/>
    <s v="CCK"/>
    <s v="CCK - Alem 351"/>
    <x v="33"/>
    <s v="DNI"/>
    <n v="38297183"/>
    <s v="20382971834"/>
    <d v="1994-04-18T00:00:00"/>
    <m/>
    <m/>
    <m/>
    <m/>
    <x v="0"/>
    <x v="0"/>
    <d v="2015-04-20T00:00:00"/>
    <m/>
    <d v="2016-12-31T00:00:00"/>
    <x v="0"/>
    <s v="UNTREF"/>
    <s v="UNSAM"/>
    <n v="10188"/>
    <x v="5"/>
    <x v="9"/>
    <n v="15000"/>
    <n v="12500"/>
    <n v="15000"/>
    <n v="1000"/>
    <x v="0"/>
    <x v="0"/>
    <x v="0"/>
  </r>
  <r>
    <x v="0"/>
    <x v="0"/>
    <x v="0"/>
    <x v="0"/>
    <x v="0"/>
    <x v="0"/>
    <m/>
    <s v="DESARROLLOS"/>
    <s v="ANALISTA"/>
    <s v="PALPALÁ-JUJUY"/>
    <s v="PALPALÁ-JUJUY"/>
    <x v="34"/>
    <s v="DNI"/>
    <n v="25798152"/>
    <n v="27257981520"/>
    <d v="1977-03-26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1"/>
    <x v="0"/>
    <x v="5"/>
    <x v="17"/>
    <x v="9"/>
    <m/>
    <s v="Analista de RR.HH."/>
    <s v="ADMINISTRATIVO"/>
    <s v="CABILDO 65"/>
    <s v="CABILDO 65"/>
    <x v="35"/>
    <s v="DNI"/>
    <n v="20350366"/>
    <s v="27203503666"/>
    <d v="1968-06-28T00:00:00"/>
    <m/>
    <m/>
    <m/>
    <m/>
    <x v="0"/>
    <x v="0"/>
    <d v="2014-05-05T00:00:00"/>
    <m/>
    <d v="2016-12-31T00:00:00"/>
    <x v="0"/>
    <s v="UNTREF"/>
    <s v="UNSAM- LADA"/>
    <n v="10188"/>
    <x v="5"/>
    <x v="7"/>
    <n v="14000"/>
    <n v="12500"/>
    <n v="14000"/>
    <n v="1000"/>
    <x v="0"/>
    <x v="0"/>
    <x v="0"/>
  </r>
  <r>
    <x v="0"/>
    <x v="1"/>
    <x v="0"/>
    <x v="5"/>
    <x v="18"/>
    <x v="2"/>
    <m/>
    <s v=""/>
    <s v="Asistencia Juridica"/>
    <m/>
    <s v="CCK - Alem 351"/>
    <x v="36"/>
    <s v="DNI"/>
    <n v="35356196"/>
    <s v="27353561966"/>
    <d v="1990-11-08T00:00:00"/>
    <m/>
    <m/>
    <m/>
    <m/>
    <x v="0"/>
    <x v="0"/>
    <d v="2015-09-01T00:00:00"/>
    <m/>
    <d v="2016-12-31T00:00:00"/>
    <x v="0"/>
    <s v="UNTREF"/>
    <s v="UNLAM -TDA"/>
    <n v="12063"/>
    <x v="30"/>
    <x v="7"/>
    <n v="14000"/>
    <n v="14000"/>
    <s v="."/>
    <n v="1000"/>
    <x v="0"/>
    <x v="0"/>
    <x v="0"/>
  </r>
  <r>
    <x v="0"/>
    <x v="1"/>
    <x v="0"/>
    <x v="5"/>
    <x v="17"/>
    <x v="9"/>
    <m/>
    <s v="Analista Sr de RR.HH."/>
    <m/>
    <s v="CABILDO 65"/>
    <m/>
    <x v="37"/>
    <s v="DNI"/>
    <n v="27216534"/>
    <n v="20272165344"/>
    <m/>
    <m/>
    <m/>
    <m/>
    <m/>
    <x v="1"/>
    <x v="1"/>
    <d v="2014-10-01T00:00:00"/>
    <d v="2016-03-31T00:00:00"/>
    <d v="2016-12-31T00:00:00"/>
    <x v="5"/>
    <m/>
    <m/>
    <n v="27374"/>
    <x v="31"/>
    <x v="5"/>
    <s v="."/>
    <s v="."/>
    <s v="."/>
    <n v="1000"/>
    <x v="1"/>
    <x v="0"/>
    <x v="0"/>
  </r>
  <r>
    <x v="0"/>
    <x v="0"/>
    <x v="1"/>
    <x v="3"/>
    <x v="19"/>
    <x v="2"/>
    <m/>
    <s v="RECEPCIONISTA"/>
    <s v="RECEPCION IBC"/>
    <s v="TECNÓPOLIS"/>
    <s v="TECNOPOLIS"/>
    <x v="38"/>
    <s v="DNI"/>
    <n v="32125095"/>
    <s v="20321250956"/>
    <d v="1986-01-08T00:00:00"/>
    <m/>
    <m/>
    <m/>
    <m/>
    <x v="0"/>
    <x v="0"/>
    <d v="2014-08-01T00:00:00"/>
    <m/>
    <d v="2016-12-31T00:00:00"/>
    <x v="0"/>
    <s v="UNTREF"/>
    <s v="UNTREF"/>
    <n v="10000"/>
    <x v="0"/>
    <x v="5"/>
    <s v="."/>
    <s v="."/>
    <s v="."/>
    <n v="1000"/>
    <x v="0"/>
    <x v="0"/>
    <x v="0"/>
  </r>
  <r>
    <x v="0"/>
    <x v="0"/>
    <x v="1"/>
    <x v="3"/>
    <x v="20"/>
    <x v="2"/>
    <m/>
    <m/>
    <m/>
    <s v="TECNÓPOLIS"/>
    <m/>
    <x v="39"/>
    <s v="DNI"/>
    <n v="32484527"/>
    <n v="20324845276"/>
    <m/>
    <m/>
    <m/>
    <m/>
    <m/>
    <x v="1"/>
    <x v="1"/>
    <d v="2012-05-01T00:00:00"/>
    <d v="2016-12-31T00:00:00"/>
    <d v="2016-12-31T00:00:00"/>
    <x v="3"/>
    <m/>
    <m/>
    <n v="13084.78"/>
    <x v="32"/>
    <x v="5"/>
    <s v="."/>
    <s v="."/>
    <s v="."/>
    <n v="1000"/>
    <x v="1"/>
    <x v="0"/>
    <x v="0"/>
  </r>
  <r>
    <x v="0"/>
    <x v="1"/>
    <x v="0"/>
    <x v="5"/>
    <x v="18"/>
    <x v="2"/>
    <m/>
    <s v=""/>
    <m/>
    <m/>
    <m/>
    <x v="40"/>
    <s v="DNI"/>
    <n v="26111281"/>
    <n v="20261112818"/>
    <m/>
    <m/>
    <m/>
    <m/>
    <m/>
    <x v="1"/>
    <x v="1"/>
    <d v="2012-12-01T00:00:00"/>
    <d v="2016-12-31T00:00:00"/>
    <d v="2016-12-31T00:00:00"/>
    <x v="5"/>
    <m/>
    <m/>
    <n v="29089"/>
    <x v="33"/>
    <x v="5"/>
    <s v="."/>
    <s v="."/>
    <s v="."/>
    <n v="1000"/>
    <x v="1"/>
    <x v="0"/>
    <x v="0"/>
  </r>
  <r>
    <x v="0"/>
    <x v="0"/>
    <x v="1"/>
    <x v="1"/>
    <x v="16"/>
    <x v="10"/>
    <m/>
    <m/>
    <s v="asistente funcional"/>
    <m/>
    <s v="CCK - Alem 351"/>
    <x v="41"/>
    <s v="DNI"/>
    <n v="35365200"/>
    <n v="27353652007"/>
    <d v="1990-10-24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21"/>
    <x v="2"/>
    <m/>
    <m/>
    <s v="MANTENIMIENTO DE ESPACIOS VERDES"/>
    <s v="TECNÓPOLIS"/>
    <s v="TECNOPOLIS"/>
    <x v="42"/>
    <s v="DNI"/>
    <n v="36536305"/>
    <s v="20365363057"/>
    <d v="1991-08-06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4"/>
    <x v="2"/>
    <m/>
    <s v="COCINA"/>
    <s v="PRODUCCION GRAL DE RECETAS, MANIPULACIÓN DE INGREDIENTES, DESPCACHO DE ALIMENTOS"/>
    <s v="TECNÓPOLIS"/>
    <s v="TECNOPOLIS"/>
    <x v="43"/>
    <s v="DNI"/>
    <n v="18641336"/>
    <s v="27186413364"/>
    <d v="1967-12-20T00:00:00"/>
    <m/>
    <m/>
    <m/>
    <m/>
    <x v="0"/>
    <x v="0"/>
    <d v="2012-07-01T00:00:00"/>
    <m/>
    <d v="2016-12-31T00:00:00"/>
    <x v="0"/>
    <s v="UNTREF"/>
    <s v="UNTREF"/>
    <n v="9673.07"/>
    <x v="34"/>
    <x v="5"/>
    <s v="."/>
    <s v="."/>
    <s v="."/>
    <n v="1000"/>
    <x v="0"/>
    <x v="0"/>
    <x v="0"/>
  </r>
  <r>
    <x v="0"/>
    <x v="0"/>
    <x v="1"/>
    <x v="1"/>
    <x v="10"/>
    <x v="2"/>
    <m/>
    <m/>
    <s v="ADMINISTRATIVA"/>
    <m/>
    <s v="CCK - Alem 351"/>
    <x v="44"/>
    <s v="DNI"/>
    <n v="22533153"/>
    <s v="20225331538"/>
    <d v="1971-11-26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10"/>
    <x v="2"/>
    <m/>
    <s v="Responsable"/>
    <m/>
    <s v="CCK"/>
    <m/>
    <x v="45"/>
    <s v="DNI"/>
    <n v="20602318"/>
    <n v="27206023185"/>
    <m/>
    <m/>
    <m/>
    <m/>
    <m/>
    <x v="1"/>
    <x v="1"/>
    <d v="2011-06-01T00:00:00"/>
    <d v="2016-12-31T00:00:00"/>
    <d v="2016-12-31T00:00:00"/>
    <x v="6"/>
    <m/>
    <m/>
    <n v="24523"/>
    <x v="35"/>
    <x v="5"/>
    <s v="."/>
    <s v="."/>
    <s v="."/>
    <n v="1000"/>
    <x v="1"/>
    <x v="0"/>
    <x v="0"/>
  </r>
  <r>
    <x v="0"/>
    <x v="0"/>
    <x v="0"/>
    <x v="0"/>
    <x v="8"/>
    <x v="6"/>
    <m/>
    <s v="CONTENIDOS DIGITALES ABIERTOS CDA"/>
    <s v="ADMINISTRATIVO"/>
    <s v="CABILDO 65"/>
    <s v="CABILDO 65"/>
    <x v="46"/>
    <s v="DNI"/>
    <n v="29599892"/>
    <s v="20295998920"/>
    <d v="1982-09-03T00:00:00"/>
    <m/>
    <m/>
    <m/>
    <m/>
    <x v="0"/>
    <x v="0"/>
    <d v="2015-08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0"/>
    <x v="0"/>
    <x v="8"/>
    <x v="6"/>
    <m/>
    <s v="PRODUCCIÓN"/>
    <s v="PRODUCTOR de EXTERIORES"/>
    <s v="CABILDO 65"/>
    <s v="CABILDO 65"/>
    <x v="47"/>
    <s v="DNI"/>
    <n v="32321098"/>
    <s v="20323210986"/>
    <d v="1986-05-10T00:00:00"/>
    <m/>
    <m/>
    <m/>
    <m/>
    <x v="0"/>
    <x v="0"/>
    <d v="2012-08-01T00:00:00"/>
    <m/>
    <d v="2016-12-31T00:00:00"/>
    <x v="0"/>
    <s v="UNTREF"/>
    <m/>
    <n v="18795"/>
    <x v="37"/>
    <x v="3"/>
    <m/>
    <m/>
    <m/>
    <n v="1000"/>
    <x v="2"/>
    <x v="0"/>
    <x v="0"/>
  </r>
  <r>
    <x v="0"/>
    <x v="0"/>
    <x v="0"/>
    <x v="0"/>
    <x v="8"/>
    <x v="6"/>
    <m/>
    <s v="TÉCNICA Y TRANSMISIÓN"/>
    <s v="ADMINISTRATIVO"/>
    <s v="CABILDO 65"/>
    <s v="CABILDO 65"/>
    <x v="48"/>
    <s v="DNI"/>
    <n v="34801157"/>
    <s v="27348011575"/>
    <d v="1989-10-08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49"/>
    <s v="DNI"/>
    <n v="23700637"/>
    <s v="20237006373"/>
    <d v="1974-08-25T00:00:00"/>
    <m/>
    <m/>
    <m/>
    <m/>
    <x v="0"/>
    <x v="0"/>
    <d v="2012-03-01T00:00:00"/>
    <m/>
    <d v="2016-12-31T00:00:00"/>
    <x v="0"/>
    <s v="UNTREF"/>
    <m/>
    <n v="25252"/>
    <x v="38"/>
    <x v="3"/>
    <m/>
    <m/>
    <m/>
    <n v="1000"/>
    <x v="2"/>
    <x v="0"/>
    <x v="0"/>
  </r>
  <r>
    <x v="0"/>
    <x v="0"/>
    <x v="0"/>
    <x v="6"/>
    <x v="12"/>
    <x v="2"/>
    <m/>
    <m/>
    <s v="ADMINISTRATIVO"/>
    <m/>
    <s v="CCK - Alem 351"/>
    <x v="50"/>
    <s v="DNI"/>
    <n v="31195953"/>
    <n v="20311959531"/>
    <d v="1984-11-01T00:00:00"/>
    <m/>
    <m/>
    <m/>
    <m/>
    <x v="0"/>
    <x v="0"/>
    <m/>
    <m/>
    <d v="2016-08-31T00:00:00"/>
    <x v="0"/>
    <s v="UNTREF"/>
    <m/>
    <m/>
    <x v="18"/>
    <x v="3"/>
    <m/>
    <m/>
    <m/>
    <m/>
    <x v="1"/>
    <x v="0"/>
    <x v="2"/>
  </r>
  <r>
    <x v="0"/>
    <x v="0"/>
    <x v="1"/>
    <x v="3"/>
    <x v="22"/>
    <x v="2"/>
    <m/>
    <m/>
    <m/>
    <s v="TECNÓPOLIS"/>
    <m/>
    <x v="51"/>
    <s v="DNI"/>
    <n v="34343723"/>
    <n v="23343437234"/>
    <m/>
    <m/>
    <m/>
    <m/>
    <m/>
    <x v="1"/>
    <x v="1"/>
    <d v="2012-07-01T00:00:00"/>
    <d v="2016-12-31T00:00:00"/>
    <d v="2016-12-31T00:00:00"/>
    <x v="1"/>
    <m/>
    <m/>
    <n v="11410.59"/>
    <x v="39"/>
    <x v="5"/>
    <s v="."/>
    <s v="."/>
    <s v="."/>
    <n v="1000"/>
    <x v="1"/>
    <x v="0"/>
    <x v="0"/>
  </r>
  <r>
    <x v="0"/>
    <x v="0"/>
    <x v="0"/>
    <x v="0"/>
    <x v="0"/>
    <x v="0"/>
    <m/>
    <s v="ANIMACION"/>
    <s v="ANALISTA"/>
    <s v="PALPALÁ-JUJUY"/>
    <s v="PALPALÁ-JUJUY"/>
    <x v="52"/>
    <s v="DNI"/>
    <n v="37460002"/>
    <n v="20374600029"/>
    <d v="1993-02-01T00:00:00"/>
    <m/>
    <m/>
    <m/>
    <m/>
    <x v="0"/>
    <x v="0"/>
    <d v="2015-09-01T00:00:00"/>
    <m/>
    <d v="2016-12-31T00:00:00"/>
    <x v="0"/>
    <s v="UNTREF"/>
    <s v="UNSAM"/>
    <n v="8000"/>
    <x v="40"/>
    <x v="0"/>
    <s v="---------"/>
    <s v="."/>
    <s v="---------"/>
    <n v="1000"/>
    <x v="0"/>
    <x v="0"/>
    <x v="0"/>
  </r>
  <r>
    <x v="0"/>
    <x v="0"/>
    <x v="1"/>
    <x v="3"/>
    <x v="23"/>
    <x v="2"/>
    <m/>
    <m/>
    <m/>
    <s v="TECNÓPOLIS"/>
    <m/>
    <x v="53"/>
    <s v="DNI"/>
    <n v="21729750"/>
    <n v="27217297503"/>
    <m/>
    <m/>
    <m/>
    <m/>
    <m/>
    <x v="1"/>
    <x v="1"/>
    <d v="2012-11-30T00:00:00"/>
    <d v="2016-12-31T00:00:00"/>
    <d v="2016-12-31T00:00:00"/>
    <x v="3"/>
    <m/>
    <m/>
    <n v="28237"/>
    <x v="41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54"/>
    <s v="DNI"/>
    <n v="13978790"/>
    <n v="20139787901"/>
    <d v="1957-06-25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1"/>
    <x v="0"/>
    <x v="5"/>
    <x v="2"/>
    <x v="2"/>
    <m/>
    <m/>
    <m/>
    <m/>
    <m/>
    <x v="55"/>
    <s v="DNI"/>
    <n v="35146744"/>
    <n v="23351467444"/>
    <m/>
    <m/>
    <m/>
    <m/>
    <m/>
    <x v="1"/>
    <x v="1"/>
    <d v="2014-10-01T00:00:00"/>
    <m/>
    <d v="2016-12-31T00:00:00"/>
    <x v="1"/>
    <m/>
    <m/>
    <m/>
    <x v="18"/>
    <x v="3"/>
    <m/>
    <m/>
    <m/>
    <m/>
    <x v="1"/>
    <x v="0"/>
    <x v="2"/>
  </r>
  <r>
    <x v="0"/>
    <x v="0"/>
    <x v="1"/>
    <x v="1"/>
    <x v="16"/>
    <x v="11"/>
    <m/>
    <m/>
    <s v="VISITAS GUIADAS"/>
    <m/>
    <s v="CCK - Alem 351"/>
    <x v="56"/>
    <s v="DNI"/>
    <n v="18858115"/>
    <n v="27188581159"/>
    <d v="1990-12-08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4"/>
    <m/>
    <s v="POSTPRODUCCIÓN"/>
    <s v="ADMINISTRATIVO"/>
    <s v="CABILDO 65"/>
    <s v="CABILDO 65"/>
    <x v="57"/>
    <s v="DNI"/>
    <n v="27952359"/>
    <s v="20279523599"/>
    <d v="1980-02-22T00:00:00"/>
    <m/>
    <m/>
    <m/>
    <m/>
    <x v="0"/>
    <x v="0"/>
    <d v="2011-09-01T00:00:00"/>
    <m/>
    <d v="2016-12-31T00:00:00"/>
    <x v="0"/>
    <s v="UNTREF"/>
    <m/>
    <n v="25252"/>
    <x v="38"/>
    <x v="3"/>
    <m/>
    <m/>
    <m/>
    <n v="1000"/>
    <x v="2"/>
    <x v="0"/>
    <x v="0"/>
  </r>
  <r>
    <x v="0"/>
    <x v="0"/>
    <x v="1"/>
    <x v="3"/>
    <x v="20"/>
    <x v="2"/>
    <m/>
    <m/>
    <m/>
    <s v="TECNÓPOLIS"/>
    <m/>
    <x v="58"/>
    <s v="DNI"/>
    <n v="35238261"/>
    <n v="20352382613"/>
    <m/>
    <m/>
    <m/>
    <m/>
    <m/>
    <x v="1"/>
    <x v="1"/>
    <d v="2013-05-01T00:00:00"/>
    <d v="2016-03-31T00:00:00"/>
    <d v="2016-12-31T00:00:00"/>
    <x v="3"/>
    <m/>
    <m/>
    <n v="17074"/>
    <x v="43"/>
    <x v="5"/>
    <s v="."/>
    <s v="."/>
    <s v="."/>
    <n v="1000"/>
    <x v="1"/>
    <x v="0"/>
    <x v="0"/>
  </r>
  <r>
    <x v="0"/>
    <x v="0"/>
    <x v="0"/>
    <x v="0"/>
    <x v="8"/>
    <x v="6"/>
    <m/>
    <s v="PROMOCIONES"/>
    <s v="ADMINISTRATIVO"/>
    <s v="CABILDO 65"/>
    <s v="CABILDO 65"/>
    <x v="59"/>
    <s v="DNI"/>
    <n v="26239126"/>
    <s v="23262391264"/>
    <d v="1977-09-24T00:00:00"/>
    <m/>
    <m/>
    <m/>
    <m/>
    <x v="0"/>
    <x v="0"/>
    <d v="2013-11-11T00:00:00"/>
    <m/>
    <d v="2016-12-31T00:00:00"/>
    <x v="0"/>
    <s v="UNTREF"/>
    <s v="UNSAM- LADA"/>
    <n v="19041"/>
    <x v="44"/>
    <x v="5"/>
    <s v="."/>
    <s v="."/>
    <s v="."/>
    <n v="1000"/>
    <x v="2"/>
    <x v="0"/>
    <x v="0"/>
  </r>
  <r>
    <x v="0"/>
    <x v="1"/>
    <x v="0"/>
    <x v="5"/>
    <x v="17"/>
    <x v="12"/>
    <s v="AUTOMOTORES"/>
    <s v="CHOFER"/>
    <m/>
    <m/>
    <m/>
    <x v="60"/>
    <s v="DNI"/>
    <n v="28511778"/>
    <n v="20285117780"/>
    <m/>
    <m/>
    <m/>
    <m/>
    <m/>
    <x v="1"/>
    <x v="1"/>
    <d v="2014-12-01T00:00:00"/>
    <d v="2016-03-31T00:00:00"/>
    <d v="2016-12-31T00:00:00"/>
    <x v="1"/>
    <m/>
    <m/>
    <n v="10190"/>
    <x v="45"/>
    <x v="5"/>
    <s v="."/>
    <s v="."/>
    <s v="."/>
    <n v="1000"/>
    <x v="1"/>
    <x v="0"/>
    <x v="0"/>
  </r>
  <r>
    <x v="0"/>
    <x v="0"/>
    <x v="1"/>
    <x v="3"/>
    <x v="15"/>
    <x v="2"/>
    <m/>
    <m/>
    <s v="MANTENIMIENTO INTERNO"/>
    <s v="TECNÓPOLIS"/>
    <s v="TECNOPOLIS"/>
    <x v="61"/>
    <s v="DNI"/>
    <n v="11692335"/>
    <s v="20116923352"/>
    <d v="1955-08-02T00:00:00"/>
    <m/>
    <m/>
    <m/>
    <m/>
    <x v="0"/>
    <x v="0"/>
    <d v="2013-10-01T00:00:00"/>
    <m/>
    <d v="2016-12-31T00:00:00"/>
    <x v="0"/>
    <s v="UNTREF"/>
    <s v="UNTREF"/>
    <n v="12143.3"/>
    <x v="46"/>
    <x v="5"/>
    <s v="."/>
    <s v="."/>
    <s v="."/>
    <n v="1000"/>
    <x v="0"/>
    <x v="0"/>
    <x v="0"/>
  </r>
  <r>
    <x v="0"/>
    <x v="0"/>
    <x v="1"/>
    <x v="1"/>
    <x v="5"/>
    <x v="3"/>
    <s v="LOGISTICA OPERATIVA"/>
    <s v="Asistente"/>
    <s v="OPERATIVA Y LOGISTICA"/>
    <s v="CCK"/>
    <s v="CCK - Alem 351"/>
    <x v="62"/>
    <s v="DNI"/>
    <n v="30020464"/>
    <s v="20300204644"/>
    <d v="1983-03-06T00:00:00"/>
    <m/>
    <m/>
    <m/>
    <m/>
    <x v="0"/>
    <x v="0"/>
    <d v="2015-06-10T00:00:00"/>
    <m/>
    <d v="2016-12-31T00:00:00"/>
    <x v="0"/>
    <s v="UNTREF"/>
    <s v="UNTREF"/>
    <n v="12000"/>
    <x v="5"/>
    <x v="10"/>
    <n v="14000"/>
    <n v="12500"/>
    <s v="."/>
    <n v="1000"/>
    <x v="0"/>
    <x v="0"/>
    <x v="0"/>
  </r>
  <r>
    <x v="0"/>
    <x v="0"/>
    <x v="1"/>
    <x v="3"/>
    <x v="3"/>
    <x v="2"/>
    <m/>
    <m/>
    <s v="ENCARGADO DE LIMPIEZA"/>
    <s v="TECNÓPOLIS"/>
    <s v="TECNOPOLIS"/>
    <x v="63"/>
    <s v="DNI"/>
    <n v="26674300"/>
    <s v="23266743009"/>
    <d v="1978-07-03T00:00:00"/>
    <m/>
    <m/>
    <m/>
    <m/>
    <x v="0"/>
    <x v="0"/>
    <d v="2014-06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5"/>
    <x v="13"/>
    <s v="LOGISTICA OPERATIVA"/>
    <s v="Tecnomecánica"/>
    <s v="Tecnomecánica"/>
    <s v="CCK"/>
    <s v="CCK - Alem 351"/>
    <x v="64"/>
    <s v="DNI"/>
    <n v="37900747"/>
    <s v="20379007474"/>
    <d v="1994-11-17T00:00:00"/>
    <m/>
    <m/>
    <m/>
    <m/>
    <x v="0"/>
    <x v="0"/>
    <d v="2015-06-01T00:00:00"/>
    <m/>
    <d v="2016-12-31T00:00:00"/>
    <x v="0"/>
    <s v="UNTREF"/>
    <s v="UNLAM- BICENTENARIO"/>
    <n v="10166"/>
    <x v="5"/>
    <x v="7"/>
    <n v="14000"/>
    <n v="12500"/>
    <n v="14000"/>
    <n v="1000"/>
    <x v="0"/>
    <x v="0"/>
    <x v="0"/>
  </r>
  <r>
    <x v="0"/>
    <x v="0"/>
    <x v="1"/>
    <x v="3"/>
    <x v="19"/>
    <x v="2"/>
    <m/>
    <s v="RECEPCIONISTA"/>
    <s v="RECEPCION IBC"/>
    <s v="TECNÓPOLIS"/>
    <m/>
    <x v="65"/>
    <s v="DNI"/>
    <n v="17999601"/>
    <n v="23179996014"/>
    <m/>
    <m/>
    <m/>
    <m/>
    <m/>
    <x v="1"/>
    <x v="1"/>
    <d v="2013-04-30T00:00:00"/>
    <d v="2016-03-31T00:00:00"/>
    <d v="2016-12-31T00:00:00"/>
    <x v="7"/>
    <m/>
    <m/>
    <n v="20839.14"/>
    <x v="47"/>
    <x v="5"/>
    <s v="."/>
    <s v="."/>
    <s v="."/>
    <n v="1000"/>
    <x v="1"/>
    <x v="0"/>
    <x v="0"/>
  </r>
  <r>
    <x v="0"/>
    <x v="0"/>
    <x v="0"/>
    <x v="4"/>
    <x v="2"/>
    <x v="2"/>
    <m/>
    <s v="PRIVADA"/>
    <s v="ADMINISTRATIVO"/>
    <m/>
    <s v="CCK - Alem 351"/>
    <x v="66"/>
    <s v="DNI"/>
    <n v="17787833"/>
    <n v="27177878338"/>
    <d v="1966-11-22T00:00:00"/>
    <m/>
    <m/>
    <m/>
    <m/>
    <x v="0"/>
    <x v="0"/>
    <d v="2016-01-01T00:00:00"/>
    <m/>
    <d v="2016-12-31T00:00:00"/>
    <x v="0"/>
    <s v="UNTREF"/>
    <m/>
    <n v="25000"/>
    <x v="48"/>
    <x v="11"/>
    <n v="25000"/>
    <s v="."/>
    <s v="."/>
    <n v="1000"/>
    <x v="0"/>
    <x v="0"/>
    <x v="0"/>
  </r>
  <r>
    <x v="0"/>
    <x v="0"/>
    <x v="1"/>
    <x v="3"/>
    <x v="4"/>
    <x v="2"/>
    <m/>
    <s v="COCINA"/>
    <s v="PRODUCCION GRAL DE RECETAS, MANIPULACIÓN DE INGREDIENTES, DESPCACHO DE ALIMENTOS"/>
    <s v="TECNÓPOLIS"/>
    <s v="TECNOPOLIS"/>
    <x v="67"/>
    <s v="DNI"/>
    <n v="24290240"/>
    <s v="27242902403"/>
    <d v="1975-01-17T00:00:00"/>
    <m/>
    <m/>
    <m/>
    <m/>
    <x v="0"/>
    <x v="0"/>
    <d v="2012-02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1"/>
    <x v="0"/>
    <x v="5"/>
    <x v="25"/>
    <x v="2"/>
    <m/>
    <s v="Asistente"/>
    <s v="ADMINISTRATIVO"/>
    <s v="CCK"/>
    <s v="CCK - Alem 351"/>
    <x v="68"/>
    <s v="DNI"/>
    <n v="31832610"/>
    <s v="27318326105"/>
    <d v="1985-08-01T00:00:00"/>
    <m/>
    <m/>
    <m/>
    <m/>
    <x v="0"/>
    <x v="0"/>
    <d v="2015-07-01T00:00:00"/>
    <m/>
    <d v="2016-12-31T00:00:00"/>
    <x v="0"/>
    <s v="UNTREF"/>
    <s v="UNLAM -TDA"/>
    <n v="11721"/>
    <x v="49"/>
    <x v="10"/>
    <n v="14000"/>
    <n v="13500"/>
    <n v="14000"/>
    <n v="1000"/>
    <x v="0"/>
    <x v="0"/>
    <x v="0"/>
  </r>
  <r>
    <x v="0"/>
    <x v="1"/>
    <x v="0"/>
    <x v="2"/>
    <x v="2"/>
    <x v="2"/>
    <m/>
    <s v="PRIVADA"/>
    <s v="ADMINISTRATIVO"/>
    <m/>
    <s v="CCK - Alem 351"/>
    <x v="69"/>
    <s v="DNI"/>
    <n v="13501717"/>
    <s v="20135017176"/>
    <d v="1957-05-22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1"/>
    <x v="0"/>
    <x v="5"/>
    <x v="26"/>
    <x v="2"/>
    <m/>
    <s v="CCK"/>
    <m/>
    <m/>
    <m/>
    <x v="70"/>
    <s v="DNI"/>
    <n v="33787058"/>
    <n v="23337870589"/>
    <m/>
    <m/>
    <m/>
    <m/>
    <m/>
    <x v="1"/>
    <x v="1"/>
    <d v="2013-12-01T00:00:00"/>
    <m/>
    <d v="2016-12-31T00:00:00"/>
    <x v="3"/>
    <m/>
    <m/>
    <n v="11730"/>
    <x v="51"/>
    <x v="5"/>
    <s v="."/>
    <s v="."/>
    <n v="14000"/>
    <n v="1000"/>
    <x v="1"/>
    <x v="0"/>
    <x v="0"/>
  </r>
  <r>
    <x v="0"/>
    <x v="0"/>
    <x v="1"/>
    <x v="3"/>
    <x v="20"/>
    <x v="2"/>
    <m/>
    <m/>
    <m/>
    <s v="TECNÓPOLIS"/>
    <m/>
    <x v="71"/>
    <s v="DNI"/>
    <n v="30513038"/>
    <n v="27305130384"/>
    <m/>
    <m/>
    <m/>
    <m/>
    <m/>
    <x v="1"/>
    <x v="1"/>
    <d v="2011-07-01T00:00:00"/>
    <d v="2016-12-31T00:00:00"/>
    <d v="2016-12-31T00:00:00"/>
    <x v="8"/>
    <m/>
    <m/>
    <n v="13896"/>
    <x v="52"/>
    <x v="5"/>
    <s v="."/>
    <s v="."/>
    <s v="."/>
    <n v="1000"/>
    <x v="1"/>
    <x v="0"/>
    <x v="0"/>
  </r>
  <r>
    <x v="0"/>
    <x v="1"/>
    <x v="0"/>
    <x v="2"/>
    <x v="2"/>
    <x v="2"/>
    <m/>
    <s v="PRIVADA"/>
    <s v="ADMINISTRATIVO"/>
    <m/>
    <s v="CCK - Alem 351"/>
    <x v="72"/>
    <s v="DNI"/>
    <n v="6439250"/>
    <n v="27064392501"/>
    <d v="1950-07-19T00:00:00"/>
    <m/>
    <m/>
    <m/>
    <m/>
    <x v="0"/>
    <x v="0"/>
    <d v="2016-01-01T00:00:00"/>
    <m/>
    <d v="2016-12-31T00:00:00"/>
    <x v="0"/>
    <s v="UNTREF"/>
    <s v="UNSAM"/>
    <n v="27000"/>
    <x v="53"/>
    <x v="13"/>
    <n v="27000"/>
    <s v="."/>
    <s v="."/>
    <n v="1000"/>
    <x v="0"/>
    <x v="0"/>
    <x v="0"/>
  </r>
  <r>
    <x v="0"/>
    <x v="0"/>
    <x v="1"/>
    <x v="3"/>
    <x v="23"/>
    <x v="2"/>
    <m/>
    <m/>
    <s v="SUPERVISION DE REDES DE AGUA/ATENCION DEL RESERVORIO"/>
    <s v="TECNÓPOLIS"/>
    <s v="TECNOPOLIS"/>
    <x v="73"/>
    <s v="DNI"/>
    <n v="11330261"/>
    <n v="20113302616"/>
    <d v="1954-10-13T00:00:00"/>
    <m/>
    <m/>
    <m/>
    <m/>
    <x v="0"/>
    <x v="0"/>
    <d v="2012-04-01T00:00:00"/>
    <m/>
    <d v="2016-12-31T00:00:00"/>
    <x v="0"/>
    <s v="UNTREF"/>
    <s v="UNTREF"/>
    <n v="26021.360000000001"/>
    <x v="54"/>
    <x v="5"/>
    <s v="."/>
    <s v="."/>
    <s v="."/>
    <n v="1000"/>
    <x v="0"/>
    <x v="0"/>
    <x v="0"/>
  </r>
  <r>
    <x v="0"/>
    <x v="0"/>
    <x v="1"/>
    <x v="3"/>
    <x v="27"/>
    <x v="2"/>
    <m/>
    <m/>
    <m/>
    <s v="TECNÓPOLIS"/>
    <m/>
    <x v="74"/>
    <s v="DNI"/>
    <n v="18114083"/>
    <n v="20181140837"/>
    <m/>
    <m/>
    <m/>
    <m/>
    <m/>
    <x v="1"/>
    <x v="1"/>
    <d v="2013-02-01T00:00:00"/>
    <d v="2016-03-31T00:00:00"/>
    <d v="2016-12-31T00:00:00"/>
    <x v="3"/>
    <m/>
    <m/>
    <n v="29784"/>
    <x v="55"/>
    <x v="5"/>
    <s v="."/>
    <s v="."/>
    <s v="."/>
    <n v="1000"/>
    <x v="1"/>
    <x v="0"/>
    <x v="0"/>
  </r>
  <r>
    <x v="0"/>
    <x v="0"/>
    <x v="1"/>
    <x v="3"/>
    <x v="6"/>
    <x v="2"/>
    <m/>
    <m/>
    <s v="TRASLADOS/CARGA Y DESCARGA"/>
    <s v="TECNÓPOLIS"/>
    <s v="TECNOPOLIS"/>
    <x v="75"/>
    <s v="DNI"/>
    <n v="34334182"/>
    <s v="20343341823"/>
    <d v="1989-03-12T00:00:00"/>
    <m/>
    <m/>
    <m/>
    <m/>
    <x v="0"/>
    <x v="0"/>
    <d v="2013-09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76"/>
    <s v="DNI"/>
    <n v="29229482"/>
    <n v="23292294824"/>
    <d v="1982-03-01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3"/>
    <x v="28"/>
    <x v="2"/>
    <m/>
    <m/>
    <m/>
    <s v="TECNÓPOLIS"/>
    <m/>
    <x v="77"/>
    <s v="DNI"/>
    <n v="31257034"/>
    <n v="20312570344"/>
    <m/>
    <m/>
    <m/>
    <m/>
    <m/>
    <x v="1"/>
    <x v="1"/>
    <d v="2011-06-01T00:00:00"/>
    <d v="2016-12-31T00:00:00"/>
    <d v="2016-12-31T00:00:00"/>
    <x v="3"/>
    <m/>
    <m/>
    <n v="21162"/>
    <x v="56"/>
    <x v="5"/>
    <s v="."/>
    <s v="."/>
    <s v="."/>
    <n v="1000"/>
    <x v="1"/>
    <x v="0"/>
    <x v="0"/>
  </r>
  <r>
    <x v="0"/>
    <x v="0"/>
    <x v="1"/>
    <x v="1"/>
    <x v="10"/>
    <x v="2"/>
    <m/>
    <s v="PRIVADA"/>
    <s v="ADMINISTRATIVA"/>
    <s v="CCK"/>
    <s v="CCK - Alem 351"/>
    <x v="78"/>
    <s v="DNI"/>
    <n v="21710251"/>
    <s v="27217102516"/>
    <d v="1970-06-21T00:00:00"/>
    <m/>
    <m/>
    <m/>
    <m/>
    <x v="0"/>
    <x v="0"/>
    <d v="2016-02-01T00:00:00"/>
    <m/>
    <d v="2016-12-31T00:00:00"/>
    <x v="0"/>
    <s v="UNTREF"/>
    <s v="UNSAM"/>
    <n v="11500"/>
    <x v="57"/>
    <x v="14"/>
    <n v="18000"/>
    <n v="18000"/>
    <s v="."/>
    <n v="1000"/>
    <x v="0"/>
    <x v="0"/>
    <x v="0"/>
  </r>
  <r>
    <x v="0"/>
    <x v="0"/>
    <x v="0"/>
    <x v="0"/>
    <x v="8"/>
    <x v="6"/>
    <m/>
    <s v="ACUA MAYOR"/>
    <s v="ADMINISTRATIVO"/>
    <s v="CABILDO 65"/>
    <s v="CABILDO 65"/>
    <x v="79"/>
    <s v="DNI"/>
    <n v="22849417"/>
    <s v="27228494173"/>
    <d v="1972-08-30T00:00:00"/>
    <m/>
    <m/>
    <m/>
    <m/>
    <x v="0"/>
    <x v="0"/>
    <d v="2011-03-11T00:00:00"/>
    <m/>
    <d v="2016-12-31T00:00:00"/>
    <x v="0"/>
    <s v="UNTREF"/>
    <s v="UNSAM- LADA"/>
    <n v="22151"/>
    <x v="58"/>
    <x v="5"/>
    <s v="."/>
    <s v="."/>
    <s v="."/>
    <n v="1000"/>
    <x v="2"/>
    <x v="0"/>
    <x v="0"/>
  </r>
  <r>
    <x v="0"/>
    <x v="0"/>
    <x v="0"/>
    <x v="6"/>
    <x v="12"/>
    <x v="2"/>
    <m/>
    <m/>
    <m/>
    <m/>
    <m/>
    <x v="80"/>
    <s v="DNI"/>
    <m/>
    <m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1"/>
    <s v="DNI"/>
    <n v="33362851"/>
    <n v="27333628517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2"/>
    <s v="DNI"/>
    <n v="37869364"/>
    <n v="27378693646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3"/>
    <s v="DNI"/>
    <n v="36947998"/>
    <n v="27369479984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4"/>
    <s v="DNI"/>
    <n v="38011494"/>
    <n v="27380114947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5"/>
    <s v="DNI"/>
    <n v="34332288"/>
    <n v="27343322882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6"/>
    <s v="DNI"/>
    <n v="36785043"/>
    <n v="36785043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7"/>
    <s v="DNI"/>
    <n v="33623466"/>
    <n v="33623466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8"/>
    <s v="DNI"/>
    <n v="34021830"/>
    <n v="27340218308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89"/>
    <s v="DNI"/>
    <n v="18833698"/>
    <n v="20188336982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90"/>
    <s v="DNI"/>
    <n v="36529503"/>
    <n v="23365295034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91"/>
    <s v="DNI"/>
    <n v="39098292"/>
    <n v="39098292"/>
    <m/>
    <m/>
    <m/>
    <m/>
    <m/>
    <x v="0"/>
    <x v="0"/>
    <d v="2016-08-01T00:00:00"/>
    <m/>
    <d v="2016-12-31T00:00:00"/>
    <x v="0"/>
    <m/>
    <m/>
    <m/>
    <x v="18"/>
    <x v="3"/>
    <m/>
    <m/>
    <m/>
    <m/>
    <x v="1"/>
    <x v="1"/>
    <x v="2"/>
  </r>
  <r>
    <x v="0"/>
    <x v="0"/>
    <x v="0"/>
    <x v="6"/>
    <x v="12"/>
    <x v="2"/>
    <m/>
    <m/>
    <m/>
    <m/>
    <m/>
    <x v="92"/>
    <s v="DNI"/>
    <n v="1826888"/>
    <n v="23018268884"/>
    <m/>
    <m/>
    <m/>
    <m/>
    <m/>
    <x v="2"/>
    <x v="0"/>
    <d v="2016-07-01T00:00:00"/>
    <m/>
    <d v="2016-09-30T00:00:00"/>
    <x v="0"/>
    <s v="UNTREF"/>
    <m/>
    <m/>
    <x v="18"/>
    <x v="3"/>
    <m/>
    <m/>
    <m/>
    <m/>
    <x v="1"/>
    <x v="0"/>
    <x v="2"/>
  </r>
  <r>
    <x v="0"/>
    <x v="0"/>
    <x v="1"/>
    <x v="3"/>
    <x v="24"/>
    <x v="2"/>
    <m/>
    <s v="Tareas Generales"/>
    <s v="Tareas Generales"/>
    <m/>
    <m/>
    <x v="93"/>
    <s v="DNI"/>
    <n v="24671609"/>
    <m/>
    <m/>
    <m/>
    <m/>
    <m/>
    <m/>
    <x v="2"/>
    <x v="2"/>
    <m/>
    <m/>
    <d v="2016-12-31T00:00:00"/>
    <x v="0"/>
    <m/>
    <m/>
    <m/>
    <x v="18"/>
    <x v="3"/>
    <m/>
    <m/>
    <m/>
    <n v="1000"/>
    <x v="0"/>
    <x v="0"/>
    <x v="0"/>
  </r>
  <r>
    <x v="0"/>
    <x v="0"/>
    <x v="1"/>
    <x v="7"/>
    <x v="2"/>
    <x v="2"/>
    <m/>
    <s v="PRIVADA"/>
    <s v="ADMINISTRATIVO"/>
    <m/>
    <s v="CCK - Alem 351"/>
    <x v="94"/>
    <s v="DNI"/>
    <n v="32771136"/>
    <n v="27327711364"/>
    <d v="1986-10-28T00:00:00"/>
    <m/>
    <m/>
    <m/>
    <m/>
    <x v="0"/>
    <x v="0"/>
    <d v="2016-05-01T00:00:00"/>
    <m/>
    <d v="2016-12-31T00:00:00"/>
    <x v="0"/>
    <s v="UNTREF"/>
    <m/>
    <m/>
    <x v="18"/>
    <x v="3"/>
    <m/>
    <m/>
    <m/>
    <m/>
    <x v="0"/>
    <x v="0"/>
    <x v="2"/>
  </r>
  <r>
    <x v="0"/>
    <x v="1"/>
    <x v="0"/>
    <x v="5"/>
    <x v="18"/>
    <x v="2"/>
    <m/>
    <m/>
    <s v="Asistencia Juridica"/>
    <s v="CCK"/>
    <s v="CCK - Alem 351"/>
    <x v="95"/>
    <s v="DNI"/>
    <n v="34253913"/>
    <s v="20342539131"/>
    <d v="1988-12-02T00:00:00"/>
    <m/>
    <m/>
    <m/>
    <m/>
    <x v="0"/>
    <x v="0"/>
    <d v="2013-08-12T00:00:00"/>
    <m/>
    <d v="2016-12-31T00:00:00"/>
    <x v="0"/>
    <s v="UNTREF"/>
    <s v="UNLAM- TDA"/>
    <n v="9479"/>
    <x v="5"/>
    <x v="10"/>
    <n v="14000"/>
    <n v="12500"/>
    <n v="14000"/>
    <n v="1000"/>
    <x v="0"/>
    <x v="0"/>
    <x v="0"/>
  </r>
  <r>
    <x v="0"/>
    <x v="0"/>
    <x v="1"/>
    <x v="1"/>
    <x v="10"/>
    <x v="2"/>
    <m/>
    <s v="Productora"/>
    <m/>
    <s v="CCK"/>
    <m/>
    <x v="96"/>
    <s v="DNI"/>
    <n v="29315234"/>
    <n v="27293152344"/>
    <m/>
    <m/>
    <m/>
    <m/>
    <m/>
    <x v="1"/>
    <x v="1"/>
    <d v="2015-08-01T00:00:00"/>
    <d v="2016-03-31T00:00:00"/>
    <d v="2016-12-31T00:00:00"/>
    <x v="3"/>
    <m/>
    <m/>
    <n v="12003"/>
    <x v="59"/>
    <x v="5"/>
    <s v="."/>
    <s v="."/>
    <s v="."/>
    <n v="1000"/>
    <x v="1"/>
    <x v="0"/>
    <x v="0"/>
  </r>
  <r>
    <x v="0"/>
    <x v="0"/>
    <x v="1"/>
    <x v="3"/>
    <x v="2"/>
    <x v="2"/>
    <m/>
    <m/>
    <s v="MANTENIMIENTO DE ESPACIOS VERDES"/>
    <m/>
    <s v="TECNOPOLIS"/>
    <x v="97"/>
    <s v="DNI"/>
    <n v="37686108"/>
    <s v="20376861083"/>
    <d v="1991-01-31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CONTENIDOS DIGITALES ABIERTOS CDA"/>
    <s v="ADMINISTRATIVO"/>
    <s v="CABILDO 65"/>
    <s v="CABILDO 65"/>
    <x v="98"/>
    <s v="DNI"/>
    <n v="32244163"/>
    <s v="20322441631"/>
    <d v="1986-02-21T00:00:00"/>
    <m/>
    <m/>
    <m/>
    <m/>
    <x v="0"/>
    <x v="0"/>
    <d v="2012-05-01T00:00:00"/>
    <m/>
    <d v="2016-12-31T00:00:00"/>
    <x v="0"/>
    <s v="UNTREF"/>
    <s v="UNSAM- LADA"/>
    <n v="29420"/>
    <x v="60"/>
    <x v="5"/>
    <s v="."/>
    <s v="."/>
    <s v="."/>
    <n v="1000"/>
    <x v="2"/>
    <x v="0"/>
    <x v="0"/>
  </r>
  <r>
    <x v="0"/>
    <x v="0"/>
    <x v="1"/>
    <x v="1"/>
    <x v="14"/>
    <x v="2"/>
    <m/>
    <m/>
    <m/>
    <s v="CCK"/>
    <s v="CCK - Alem 351"/>
    <x v="99"/>
    <s v="DNI"/>
    <n v="29146267"/>
    <n v="20291462678"/>
    <m/>
    <m/>
    <m/>
    <m/>
    <m/>
    <x v="1"/>
    <x v="1"/>
    <d v="2012-06-01T00:00:00"/>
    <d v="2016-12-31T00:00:00"/>
    <d v="2016-12-31T00:00:00"/>
    <x v="3"/>
    <m/>
    <m/>
    <n v="21133.05"/>
    <x v="61"/>
    <x v="5"/>
    <s v="."/>
    <s v="."/>
    <s v="."/>
    <n v="1000"/>
    <x v="1"/>
    <x v="0"/>
    <x v="0"/>
  </r>
  <r>
    <x v="0"/>
    <x v="1"/>
    <x v="0"/>
    <x v="2"/>
    <x v="2"/>
    <x v="2"/>
    <m/>
    <s v="PRIVADA"/>
    <s v="ADMINISTRATIVO"/>
    <m/>
    <s v="CCK - Alem 351"/>
    <x v="100"/>
    <s v="DNI"/>
    <n v="17944793"/>
    <n v="20179447939"/>
    <d v="1966-09-05T00:00:00"/>
    <m/>
    <m/>
    <m/>
    <m/>
    <x v="0"/>
    <x v="0"/>
    <d v="2016-01-01T00:00:00"/>
    <m/>
    <d v="2016-12-31T00:00:00"/>
    <x v="0"/>
    <s v="UNTREF"/>
    <s v="UNSAM"/>
    <n v="12275"/>
    <x v="62"/>
    <x v="15"/>
    <n v="12275"/>
    <s v="."/>
    <s v="."/>
    <n v="1000"/>
    <x v="0"/>
    <x v="0"/>
    <x v="0"/>
  </r>
  <r>
    <x v="0"/>
    <x v="0"/>
    <x v="1"/>
    <x v="1"/>
    <x v="16"/>
    <x v="2"/>
    <m/>
    <s v="asistente funcional"/>
    <s v="asistente funcional"/>
    <s v="CCK"/>
    <s v="CCK - Alem 351"/>
    <x v="101"/>
    <s v="DNI"/>
    <n v="32143655"/>
    <n v="20321436553"/>
    <d v="1986-03-01T00:00:00"/>
    <m/>
    <m/>
    <m/>
    <m/>
    <x v="0"/>
    <x v="0"/>
    <d v="2015-08-01T00:00:00"/>
    <m/>
    <d v="2016-12-31T00:00:00"/>
    <x v="0"/>
    <s v="UNTREF"/>
    <s v="UNLAM- BICENTENARIO"/>
    <n v="10478"/>
    <x v="5"/>
    <x v="9"/>
    <n v="15000"/>
    <n v="12500"/>
    <n v="15000"/>
    <n v="1000"/>
    <x v="0"/>
    <x v="0"/>
    <x v="0"/>
  </r>
  <r>
    <x v="0"/>
    <x v="0"/>
    <x v="1"/>
    <x v="3"/>
    <x v="15"/>
    <x v="2"/>
    <m/>
    <m/>
    <s v="TRABAJO DE COSTURA A MAQUINA/CORTADOR"/>
    <s v="TECNÓPOLIS"/>
    <s v="TECNOPOLIS"/>
    <x v="102"/>
    <s v="DNI"/>
    <n v="17283320"/>
    <s v="23172833209"/>
    <d v="1964-10-28T00:00:00"/>
    <m/>
    <m/>
    <m/>
    <m/>
    <x v="0"/>
    <x v="0"/>
    <d v="2014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3"/>
    <x v="2"/>
    <m/>
    <m/>
    <s v="COORDINADOR GENERAL DE LIMPIEZA"/>
    <s v="TECNÓPOLIS"/>
    <s v="TECNOPOLIS"/>
    <x v="103"/>
    <s v="DNI"/>
    <n v="22694967"/>
    <s v="20226949675"/>
    <d v="1972-07-08T00:00:00"/>
    <m/>
    <m/>
    <m/>
    <m/>
    <x v="0"/>
    <x v="0"/>
    <d v="2012-02-01T00:00:00"/>
    <m/>
    <d v="2016-12-31T00:00:00"/>
    <x v="0"/>
    <s v="UNTREF"/>
    <s v="UNTREF"/>
    <n v="18735.38"/>
    <x v="63"/>
    <x v="5"/>
    <s v="."/>
    <s v="."/>
    <s v="."/>
    <n v="1000"/>
    <x v="0"/>
    <x v="0"/>
    <x v="0"/>
  </r>
  <r>
    <x v="0"/>
    <x v="1"/>
    <x v="0"/>
    <x v="5"/>
    <x v="25"/>
    <x v="2"/>
    <m/>
    <s v="Asistente"/>
    <s v="ADMINISTRATIVO"/>
    <s v="CCK"/>
    <s v="CCK - Alem 351"/>
    <x v="104"/>
    <s v="DNI"/>
    <n v="33794129"/>
    <s v="20337941290"/>
    <d v="1988-08-02T00:00:00"/>
    <m/>
    <m/>
    <m/>
    <m/>
    <x v="0"/>
    <x v="0"/>
    <d v="2015-03-03T00:00:00"/>
    <m/>
    <d v="2016-12-31T00:00:00"/>
    <x v="0"/>
    <s v="UNTREF"/>
    <s v="UNLAM -TDA"/>
    <n v="17105"/>
    <x v="64"/>
    <x v="16"/>
    <n v="17105"/>
    <s v="."/>
    <s v="."/>
    <n v="1000"/>
    <x v="0"/>
    <x v="0"/>
    <x v="0"/>
  </r>
  <r>
    <x v="0"/>
    <x v="0"/>
    <x v="0"/>
    <x v="0"/>
    <x v="2"/>
    <x v="2"/>
    <m/>
    <s v="PRIVADA"/>
    <s v="ADMINISTRATIVO"/>
    <m/>
    <s v="CCK - Alem 351"/>
    <x v="105"/>
    <s v="DNI"/>
    <n v="16447164"/>
    <s v="27164471646"/>
    <d v="1964-01-03T00:00:00"/>
    <m/>
    <m/>
    <m/>
    <m/>
    <x v="0"/>
    <x v="0"/>
    <d v="2016-04-01T00:00:00"/>
    <m/>
    <d v="2016-12-31T00:00:00"/>
    <x v="0"/>
    <s v="UNTREF"/>
    <m/>
    <n v="24000"/>
    <x v="65"/>
    <x v="17"/>
    <n v="24000"/>
    <s v="."/>
    <s v="."/>
    <n v="1000"/>
    <x v="0"/>
    <x v="0"/>
    <x v="0"/>
  </r>
  <r>
    <x v="0"/>
    <x v="0"/>
    <x v="1"/>
    <x v="1"/>
    <x v="10"/>
    <x v="2"/>
    <m/>
    <m/>
    <s v="ADMINISTRATIVA"/>
    <m/>
    <s v="CCK - Alem 351"/>
    <x v="106"/>
    <s v="DNI"/>
    <n v="12759584"/>
    <n v="23127595844"/>
    <d v="1959-02-13T00:00:00"/>
    <m/>
    <m/>
    <m/>
    <m/>
    <x v="0"/>
    <x v="0"/>
    <d v="2016-04-01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0"/>
    <x v="0"/>
    <x v="8"/>
    <x v="6"/>
    <m/>
    <s v="ACUA FEDERAL"/>
    <s v="ADMINISTRATIVO"/>
    <s v="CABILDO 65"/>
    <s v="CABILDO 65"/>
    <x v="107"/>
    <s v="DNI"/>
    <n v="33219975"/>
    <s v="20332199758"/>
    <d v="1987-11-17T00:00:00"/>
    <m/>
    <m/>
    <m/>
    <m/>
    <x v="0"/>
    <x v="0"/>
    <d v="2014-09-08T00:00:00"/>
    <m/>
    <d v="2016-12-31T00:00:00"/>
    <x v="0"/>
    <s v="UNTREF"/>
    <s v="UNSAM- LADA"/>
    <n v="21056"/>
    <x v="66"/>
    <x v="5"/>
    <s v="."/>
    <s v="."/>
    <s v="."/>
    <n v="1000"/>
    <x v="2"/>
    <x v="0"/>
    <x v="0"/>
  </r>
  <r>
    <x v="0"/>
    <x v="0"/>
    <x v="1"/>
    <x v="3"/>
    <x v="4"/>
    <x v="2"/>
    <m/>
    <s v="COCINA"/>
    <m/>
    <s v="TECNÓPOLIS"/>
    <m/>
    <x v="108"/>
    <s v="DNI"/>
    <n v="95120832"/>
    <n v="23951208329"/>
    <m/>
    <m/>
    <m/>
    <m/>
    <m/>
    <x v="1"/>
    <x v="1"/>
    <d v="2013-04-01T00:00:00"/>
    <d v="2016-03-31T00:00:00"/>
    <d v="2016-12-31T00:00:00"/>
    <x v="2"/>
    <m/>
    <m/>
    <n v="22409"/>
    <x v="67"/>
    <x v="5"/>
    <s v="."/>
    <s v="."/>
    <s v="."/>
    <n v="1000"/>
    <x v="1"/>
    <x v="0"/>
    <x v="0"/>
  </r>
  <r>
    <x v="0"/>
    <x v="0"/>
    <x v="0"/>
    <x v="0"/>
    <x v="8"/>
    <x v="6"/>
    <m/>
    <s v="PROGRAMA POLOS AUDIOVISUALES TECNOLÓGICOS"/>
    <m/>
    <s v="CABILDO 65"/>
    <m/>
    <x v="109"/>
    <s v="DNI"/>
    <n v="23328471"/>
    <n v="27233284713"/>
    <m/>
    <m/>
    <m/>
    <m/>
    <m/>
    <x v="1"/>
    <x v="1"/>
    <d v="2013-12-01T00:00:00"/>
    <d v="2016-03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0"/>
    <x v="0"/>
    <x v="8"/>
    <x v="6"/>
    <m/>
    <s v="PANORAMA ARGENTINO"/>
    <m/>
    <s v="CABILDO 65"/>
    <m/>
    <x v="110"/>
    <s v="DNI"/>
    <n v="27026871"/>
    <n v="20270268715"/>
    <m/>
    <m/>
    <m/>
    <m/>
    <m/>
    <x v="1"/>
    <x v="1"/>
    <d v="2012-12-01T00:00:00"/>
    <d v="2016-12-31T00:00:00"/>
    <d v="2016-12-31T00:00:00"/>
    <x v="4"/>
    <m/>
    <m/>
    <n v="17505"/>
    <x v="68"/>
    <x v="5"/>
    <s v="."/>
    <s v="."/>
    <s v="."/>
    <n v="1000"/>
    <x v="1"/>
    <x v="0"/>
    <x v="0"/>
  </r>
  <r>
    <x v="0"/>
    <x v="0"/>
    <x v="1"/>
    <x v="1"/>
    <x v="16"/>
    <x v="2"/>
    <m/>
    <m/>
    <m/>
    <m/>
    <m/>
    <x v="111"/>
    <s v="DNI"/>
    <n v="29699158"/>
    <n v="27296991584"/>
    <m/>
    <m/>
    <m/>
    <m/>
    <m/>
    <x v="1"/>
    <x v="1"/>
    <d v="2010-07-19T00:00:00"/>
    <d v="2016-12-31T00:00:00"/>
    <d v="2016-12-31T00:00:00"/>
    <x v="2"/>
    <m/>
    <m/>
    <n v="11730"/>
    <x v="51"/>
    <x v="5"/>
    <s v="."/>
    <s v="."/>
    <s v="."/>
    <n v="1000"/>
    <x v="1"/>
    <x v="0"/>
    <x v="0"/>
  </r>
  <r>
    <x v="0"/>
    <x v="0"/>
    <x v="0"/>
    <x v="0"/>
    <x v="8"/>
    <x v="6"/>
    <m/>
    <s v="PROGRAMA POLOS AUDIOVISUALES TECNOLÓGICOS"/>
    <s v="ADMINISTRATIVO"/>
    <s v="CABILDO 65"/>
    <s v="CABILDO 65"/>
    <x v="112"/>
    <s v="DNI"/>
    <n v="32498204"/>
    <s v="27324982049"/>
    <d v="1986-08-05T00:00:00"/>
    <m/>
    <m/>
    <m/>
    <m/>
    <x v="0"/>
    <x v="0"/>
    <d v="2015-02-12T00:00:00"/>
    <m/>
    <d v="2016-12-31T00:00:00"/>
    <x v="0"/>
    <s v="UNTREF"/>
    <s v="UNSAM- LADA"/>
    <n v="15933"/>
    <x v="69"/>
    <x v="5"/>
    <s v="."/>
    <s v="."/>
    <s v="."/>
    <n v="1000"/>
    <x v="2"/>
    <x v="0"/>
    <x v="0"/>
  </r>
  <r>
    <x v="0"/>
    <x v="0"/>
    <x v="1"/>
    <x v="1"/>
    <x v="16"/>
    <x v="11"/>
    <m/>
    <m/>
    <s v="VISITAS GUIADAS"/>
    <m/>
    <s v="CCK - Alem 351"/>
    <x v="113"/>
    <s v="DNI"/>
    <n v="40149217"/>
    <n v="27401492173"/>
    <d v="1997-01-15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5"/>
    <x v="8"/>
    <m/>
    <m/>
    <m/>
    <s v="CCK"/>
    <m/>
    <x v="114"/>
    <s v="DNI"/>
    <n v="27841036"/>
    <n v="20278410367"/>
    <m/>
    <m/>
    <m/>
    <m/>
    <m/>
    <x v="1"/>
    <x v="1"/>
    <d v="2010-08-02T00:00:00"/>
    <d v="2016-12-31T00:00:00"/>
    <d v="2016-12-31T00:00:00"/>
    <x v="2"/>
    <m/>
    <m/>
    <n v="13500"/>
    <x v="49"/>
    <x v="5"/>
    <s v="."/>
    <s v="."/>
    <s v="."/>
    <n v="1000"/>
    <x v="1"/>
    <x v="0"/>
    <x v="0"/>
  </r>
  <r>
    <x v="0"/>
    <x v="0"/>
    <x v="0"/>
    <x v="8"/>
    <x v="1"/>
    <x v="2"/>
    <m/>
    <m/>
    <s v="ADMINISTRATIVO"/>
    <m/>
    <s v="CCK - Alem 351"/>
    <x v="115"/>
    <s v="DNI"/>
    <n v="31464790"/>
    <n v="23314647904"/>
    <d v="1985-02-13T00:00:00"/>
    <m/>
    <m/>
    <m/>
    <m/>
    <x v="0"/>
    <x v="0"/>
    <m/>
    <m/>
    <d v="2016-12-31T00:00:00"/>
    <x v="0"/>
    <s v="UNTREF"/>
    <m/>
    <m/>
    <x v="18"/>
    <x v="3"/>
    <m/>
    <m/>
    <m/>
    <m/>
    <x v="1"/>
    <x v="0"/>
    <x v="2"/>
  </r>
  <r>
    <x v="0"/>
    <x v="0"/>
    <x v="1"/>
    <x v="3"/>
    <x v="20"/>
    <x v="2"/>
    <m/>
    <m/>
    <m/>
    <s v="TECNÓPOLIS"/>
    <m/>
    <x v="116"/>
    <s v="DNI"/>
    <n v="32094923"/>
    <n v="20320949239"/>
    <m/>
    <m/>
    <m/>
    <m/>
    <m/>
    <x v="1"/>
    <x v="1"/>
    <d v="2011-07-01T00:00:00"/>
    <d v="2016-12-31T00:00:00"/>
    <d v="2016-12-31T00:00:00"/>
    <x v="1"/>
    <m/>
    <m/>
    <n v="13240.15"/>
    <x v="70"/>
    <x v="5"/>
    <s v="."/>
    <s v="."/>
    <s v="."/>
    <n v="1000"/>
    <x v="1"/>
    <x v="0"/>
    <x v="0"/>
  </r>
  <r>
    <x v="0"/>
    <x v="0"/>
    <x v="0"/>
    <x v="0"/>
    <x v="8"/>
    <x v="6"/>
    <m/>
    <s v="COORDINACION"/>
    <m/>
    <s v="CABILDO 65"/>
    <m/>
    <x v="117"/>
    <s v="DNI"/>
    <n v="31407283"/>
    <n v="23314072839"/>
    <m/>
    <m/>
    <m/>
    <m/>
    <m/>
    <x v="1"/>
    <x v="1"/>
    <d v="2012-12-01T00:00:00"/>
    <d v="2016-12-31T00:00:00"/>
    <d v="2016-12-31T00:00:00"/>
    <x v="6"/>
    <m/>
    <m/>
    <n v="25093"/>
    <x v="71"/>
    <x v="5"/>
    <s v="."/>
    <s v="."/>
    <s v="."/>
    <n v="1000"/>
    <x v="1"/>
    <x v="0"/>
    <x v="0"/>
  </r>
  <r>
    <x v="0"/>
    <x v="0"/>
    <x v="1"/>
    <x v="1"/>
    <x v="5"/>
    <x v="14"/>
    <s v="ACCESO ALEM"/>
    <s v="Asistente"/>
    <s v="Asistente"/>
    <s v="CCK"/>
    <s v="CCK - Alem 351"/>
    <x v="118"/>
    <s v="DNI"/>
    <n v="37376814"/>
    <s v="27373768141"/>
    <d v="1993-03-29T00:00:00"/>
    <m/>
    <m/>
    <m/>
    <m/>
    <x v="0"/>
    <x v="0"/>
    <d v="2015-08-01T00:00:00"/>
    <m/>
    <d v="2016-12-31T00:00:00"/>
    <x v="0"/>
    <s v="UNTREF"/>
    <s v="UNLAM- BICENTENARIO"/>
    <n v="10096"/>
    <x v="5"/>
    <x v="4"/>
    <n v="14000"/>
    <n v="12500"/>
    <s v="."/>
    <n v="1000"/>
    <x v="0"/>
    <x v="0"/>
    <x v="0"/>
  </r>
  <r>
    <x v="0"/>
    <x v="0"/>
    <x v="1"/>
    <x v="3"/>
    <x v="27"/>
    <x v="2"/>
    <m/>
    <m/>
    <s v="OPERACIÓN/MONTAJE/MANTENIMIENTO"/>
    <s v="TECNÓPOLIS"/>
    <s v="TECNOPOLIS"/>
    <x v="119"/>
    <s v="DNI"/>
    <n v="27766980"/>
    <s v="20277669804"/>
    <d v="1980-02-22T00:00:00"/>
    <m/>
    <m/>
    <m/>
    <m/>
    <x v="0"/>
    <x v="0"/>
    <d v="2013-04-01T00:00:00"/>
    <m/>
    <d v="2016-12-31T00:00:00"/>
    <x v="0"/>
    <s v="UNTREF"/>
    <s v="UNTREF"/>
    <n v="20907.810000000001"/>
    <x v="72"/>
    <x v="5"/>
    <s v="."/>
    <s v=".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120"/>
    <s v="DNI"/>
    <n v="30219051"/>
    <s v="20302190519"/>
    <d v="1983-03-16T00:00:00"/>
    <m/>
    <m/>
    <m/>
    <m/>
    <x v="0"/>
    <x v="0"/>
    <d v="2013-11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7"/>
    <x v="2"/>
    <x v="2"/>
    <m/>
    <s v="PRIVADA"/>
    <s v="ADMINISTRATIVO"/>
    <m/>
    <s v="CCK - Alem 351"/>
    <x v="121"/>
    <s v="DNI"/>
    <n v="23799726"/>
    <n v="20237997264"/>
    <d v="1974-08-25T00:00:00"/>
    <m/>
    <m/>
    <m/>
    <m/>
    <x v="0"/>
    <x v="0"/>
    <d v="2016-05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ACUA MAYOR"/>
    <s v="ADMINISTRATIVO"/>
    <s v="CABILDO 65"/>
    <s v="CABILDO 65"/>
    <x v="122"/>
    <s v="DNI"/>
    <n v="23102518"/>
    <s v="23231025189"/>
    <d v="1973-01-12T00:00:00"/>
    <m/>
    <m/>
    <m/>
    <m/>
    <x v="0"/>
    <x v="0"/>
    <d v="2012-03-19T00:00:00"/>
    <m/>
    <d v="2016-12-31T00:00:00"/>
    <x v="0"/>
    <s v="UNTREF"/>
    <s v="UNSAM- LADA"/>
    <n v="21056"/>
    <x v="66"/>
    <x v="5"/>
    <s v="."/>
    <s v="."/>
    <s v="."/>
    <n v="1000"/>
    <x v="2"/>
    <x v="0"/>
    <x v="0"/>
  </r>
  <r>
    <x v="0"/>
    <x v="0"/>
    <x v="1"/>
    <x v="7"/>
    <x v="2"/>
    <x v="2"/>
    <m/>
    <s v="Asistente"/>
    <s v="Asistente"/>
    <s v="CCK"/>
    <s v="CCK - Alem 351"/>
    <x v="123"/>
    <s v="DNI"/>
    <n v="37752815"/>
    <s v="27377528153"/>
    <d v="1993-05-31T00:00:00"/>
    <m/>
    <m/>
    <m/>
    <m/>
    <x v="0"/>
    <x v="0"/>
    <d v="2014-11-12T00:00:00"/>
    <m/>
    <d v="2016-12-31T00:00:00"/>
    <x v="0"/>
    <s v="UNTREF"/>
    <s v="UNLAM- DGA"/>
    <n v="10187"/>
    <x v="30"/>
    <x v="18"/>
    <n v="16000"/>
    <n v="14000"/>
    <s v="."/>
    <n v="1000"/>
    <x v="0"/>
    <x v="0"/>
    <x v="0"/>
  </r>
  <r>
    <x v="0"/>
    <x v="0"/>
    <x v="1"/>
    <x v="3"/>
    <x v="27"/>
    <x v="2"/>
    <m/>
    <m/>
    <m/>
    <s v="TECNÓPOLIS"/>
    <m/>
    <x v="124"/>
    <s v="DNI"/>
    <n v="31271654"/>
    <n v="20312716543"/>
    <m/>
    <m/>
    <m/>
    <m/>
    <m/>
    <x v="1"/>
    <x v="1"/>
    <d v="2013-02-01T00:00:00"/>
    <d v="2016-03-31T00:00:00"/>
    <d v="2016-12-31T00:00:00"/>
    <x v="3"/>
    <m/>
    <m/>
    <n v="21266"/>
    <x v="74"/>
    <x v="5"/>
    <s v="."/>
    <s v="."/>
    <s v="."/>
    <n v="1000"/>
    <x v="1"/>
    <x v="0"/>
    <x v="0"/>
  </r>
  <r>
    <x v="0"/>
    <x v="0"/>
    <x v="1"/>
    <x v="1"/>
    <x v="5"/>
    <x v="14"/>
    <m/>
    <m/>
    <m/>
    <m/>
    <m/>
    <x v="125"/>
    <s v="DNI"/>
    <n v="26927767"/>
    <m/>
    <m/>
    <m/>
    <m/>
    <m/>
    <m/>
    <x v="2"/>
    <x v="1"/>
    <m/>
    <m/>
    <d v="2016-12-31T00:00:00"/>
    <x v="2"/>
    <m/>
    <m/>
    <m/>
    <x v="18"/>
    <x v="3"/>
    <m/>
    <m/>
    <m/>
    <n v="1000"/>
    <x v="1"/>
    <x v="0"/>
    <x v="0"/>
  </r>
  <r>
    <x v="0"/>
    <x v="0"/>
    <x v="0"/>
    <x v="0"/>
    <x v="8"/>
    <x v="6"/>
    <m/>
    <s v="PRODUCCIÓN"/>
    <s v="PRODUCTOR de EXTERIORES"/>
    <s v="CABILDO 65"/>
    <s v="CABILDO 65"/>
    <x v="126"/>
    <s v="DNI"/>
    <n v="28643869"/>
    <s v="20286438696"/>
    <d v="1981-01-12T00:00:00"/>
    <m/>
    <m/>
    <m/>
    <m/>
    <x v="0"/>
    <x v="0"/>
    <d v="2015-02-02T00:00:00"/>
    <m/>
    <d v="2016-12-31T00:00:00"/>
    <x v="0"/>
    <s v="UNTREF"/>
    <s v="UNSAM- LADA"/>
    <n v="20498"/>
    <x v="75"/>
    <x v="5"/>
    <s v="."/>
    <s v="."/>
    <s v="."/>
    <n v="1000"/>
    <x v="2"/>
    <x v="0"/>
    <x v="0"/>
  </r>
  <r>
    <x v="0"/>
    <x v="0"/>
    <x v="1"/>
    <x v="7"/>
    <x v="2"/>
    <x v="2"/>
    <m/>
    <s v="PRIVADA"/>
    <s v="ADMINISTRATIVO"/>
    <m/>
    <s v="CCK - Alem 351"/>
    <x v="127"/>
    <s v="DNI"/>
    <n v="17673078"/>
    <n v="20176730782"/>
    <d v="1966-02-28T00:00:00"/>
    <m/>
    <m/>
    <m/>
    <m/>
    <x v="0"/>
    <x v="0"/>
    <d v="2016-01-01T00:00:00"/>
    <m/>
    <d v="2016-12-31T00:00:00"/>
    <x v="0"/>
    <s v="UNTREF"/>
    <s v="UNSAM"/>
    <n v="35000"/>
    <x v="76"/>
    <x v="19"/>
    <n v="35000"/>
    <s v="."/>
    <s v="."/>
    <n v="1000"/>
    <x v="0"/>
    <x v="0"/>
    <x v="0"/>
  </r>
  <r>
    <x v="0"/>
    <x v="0"/>
    <x v="1"/>
    <x v="3"/>
    <x v="15"/>
    <x v="2"/>
    <m/>
    <m/>
    <s v="ATENCIÓN DE MOSTRADOR"/>
    <s v="TECNÓPOLIS"/>
    <s v="TECNOPOLIS"/>
    <x v="128"/>
    <s v="DNI"/>
    <n v="35360874"/>
    <s v="20353608747"/>
    <d v="1990-12-23T00:00:00"/>
    <m/>
    <m/>
    <m/>
    <m/>
    <x v="0"/>
    <x v="0"/>
    <d v="2013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29"/>
    <x v="2"/>
    <m/>
    <m/>
    <s v="ADMINISTRACION,DSTRIBUCION Y SEGUIMIENTO DE TAREAS/ORGANIZACIÓN DEL AEREA MANTENIMIENTO"/>
    <s v="TECNÓPOLIS"/>
    <s v="TECNOPOLIS"/>
    <x v="129"/>
    <s v="DNI"/>
    <n v="34423729"/>
    <s v="27344237293"/>
    <d v="1989-08-05T00:00:00"/>
    <m/>
    <m/>
    <m/>
    <m/>
    <x v="0"/>
    <x v="0"/>
    <d v="2015-07-01T00:00:00"/>
    <m/>
    <d v="2016-12-31T00:00:00"/>
    <x v="0"/>
    <s v="UNTREF"/>
    <s v="UNTREF"/>
    <n v="9500"/>
    <x v="77"/>
    <x v="5"/>
    <s v="."/>
    <s v="."/>
    <s v="."/>
    <n v="1000"/>
    <x v="0"/>
    <x v="0"/>
    <x v="0"/>
  </r>
  <r>
    <x v="0"/>
    <x v="0"/>
    <x v="0"/>
    <x v="0"/>
    <x v="8"/>
    <x v="6"/>
    <m/>
    <s v="ACUA FEDERAL"/>
    <s v="ADMINISTRATIVO"/>
    <s v="CABILDO 65"/>
    <s v="CABILDO 65"/>
    <x v="130"/>
    <s v="DNI"/>
    <n v="30925290"/>
    <s v="27309252905"/>
    <d v="1984-04-21T00:00:00"/>
    <m/>
    <m/>
    <m/>
    <m/>
    <x v="0"/>
    <x v="0"/>
    <d v="2013-05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0"/>
    <x v="0"/>
    <x v="8"/>
    <x v="6"/>
    <m/>
    <s v="PRODUCCIÓN"/>
    <s v="PRODUCTOR de EXTERIORES"/>
    <s v="CABILDO 65"/>
    <s v="CABILDO 65"/>
    <x v="131"/>
    <s v="DNI"/>
    <n v="30833891"/>
    <s v="27308338911"/>
    <d v="1983-12-09T00:00:00"/>
    <m/>
    <m/>
    <m/>
    <m/>
    <x v="0"/>
    <x v="0"/>
    <d v="2015-02-02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1"/>
    <x v="0"/>
    <x v="5"/>
    <x v="17"/>
    <x v="15"/>
    <m/>
    <s v="DOCTOR"/>
    <s v="ADMINISTRATIVO"/>
    <m/>
    <s v="CCK - Alem 351"/>
    <x v="132"/>
    <s v="DNI"/>
    <n v="10966721"/>
    <n v="20109667219"/>
    <d v="1954-11-30T00:00:00"/>
    <m/>
    <m/>
    <m/>
    <m/>
    <x v="0"/>
    <x v="0"/>
    <d v="2016-07-14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16"/>
    <x v="2"/>
    <m/>
    <s v="SECRETARIA"/>
    <s v="ASISTENTE"/>
    <s v="CCK"/>
    <s v="CCK - Alem 351"/>
    <x v="133"/>
    <s v="DNI"/>
    <n v="35452327"/>
    <s v="27354523278"/>
    <d v="1990-11-30T00:00:00"/>
    <m/>
    <m/>
    <m/>
    <m/>
    <x v="0"/>
    <x v="0"/>
    <d v="2015-08-01T00:00:00"/>
    <m/>
    <d v="2016-12-31T00:00:00"/>
    <x v="0"/>
    <s v="UNTREF"/>
    <s v="UNLAM- BICENTENARIO"/>
    <n v="10096"/>
    <x v="30"/>
    <x v="18"/>
    <n v="16000"/>
    <n v="14000"/>
    <s v="."/>
    <n v="1000"/>
    <x v="0"/>
    <x v="0"/>
    <x v="0"/>
  </r>
  <r>
    <x v="0"/>
    <x v="0"/>
    <x v="0"/>
    <x v="0"/>
    <x v="8"/>
    <x v="6"/>
    <m/>
    <s v="PROMOCIONES"/>
    <s v="ADMINISTRATIVO"/>
    <s v="CABILDO 65"/>
    <s v="CABILDO 65"/>
    <x v="134"/>
    <s v="DNI"/>
    <n v="29250290"/>
    <n v="20292502909"/>
    <d v="1982-01-07T00:00:00"/>
    <m/>
    <m/>
    <m/>
    <m/>
    <x v="0"/>
    <x v="0"/>
    <d v="2015-04-01T00:00:00"/>
    <m/>
    <d v="2016-12-31T00:00:00"/>
    <x v="0"/>
    <s v="UNTREF"/>
    <s v="UNSAM- LADA"/>
    <n v="15234"/>
    <x v="22"/>
    <x v="5"/>
    <s v="."/>
    <s v="."/>
    <s v="."/>
    <n v="1000"/>
    <x v="2"/>
    <x v="0"/>
    <x v="0"/>
  </r>
  <r>
    <x v="0"/>
    <x v="0"/>
    <x v="1"/>
    <x v="3"/>
    <x v="6"/>
    <x v="2"/>
    <m/>
    <m/>
    <s v="MANTENIMIENTO GRAL DEL PARQUE"/>
    <s v="TECNÓPOLIS"/>
    <s v="TECNOPOLIS"/>
    <x v="135"/>
    <s v="DNI"/>
    <n v="24320153"/>
    <s v="20243201536"/>
    <d v="1975-02-01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136"/>
    <s v="DNI"/>
    <n v="28710766"/>
    <s v="20287107669"/>
    <d v="1981-03-03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1"/>
    <x v="0"/>
    <x v="5"/>
    <x v="30"/>
    <x v="2"/>
    <m/>
    <s v="Analista"/>
    <m/>
    <s v="CCK"/>
    <m/>
    <x v="137"/>
    <s v="DNI"/>
    <n v="27930015"/>
    <n v="27279300152"/>
    <m/>
    <m/>
    <m/>
    <m/>
    <m/>
    <x v="1"/>
    <x v="1"/>
    <d v="2011-07-18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1"/>
    <x v="16"/>
    <x v="2"/>
    <m/>
    <s v="Administrativo"/>
    <m/>
    <s v="CCK"/>
    <m/>
    <x v="138"/>
    <s v="DNI"/>
    <n v="28936423"/>
    <n v="23289364234"/>
    <m/>
    <m/>
    <m/>
    <m/>
    <m/>
    <x v="1"/>
    <x v="1"/>
    <d v="2013-03-04T00:00:00"/>
    <d v="2016-03-31T00:00:00"/>
    <d v="2016-12-31T00:00:00"/>
    <x v="9"/>
    <m/>
    <m/>
    <n v="22590"/>
    <x v="78"/>
    <x v="5"/>
    <s v="."/>
    <s v="."/>
    <s v="."/>
    <n v="1000"/>
    <x v="1"/>
    <x v="2"/>
    <x v="0"/>
  </r>
  <r>
    <x v="0"/>
    <x v="0"/>
    <x v="1"/>
    <x v="3"/>
    <x v="6"/>
    <x v="2"/>
    <m/>
    <m/>
    <m/>
    <s v="TECNÓPOLIS"/>
    <m/>
    <x v="139"/>
    <s v="DNI"/>
    <n v="33841323"/>
    <n v="20338413239"/>
    <m/>
    <m/>
    <m/>
    <m/>
    <m/>
    <x v="1"/>
    <x v="1"/>
    <d v="2012-04-01T00:00:00"/>
    <d v="2016-12-31T00:00:00"/>
    <d v="2016-12-31T00:00:00"/>
    <x v="3"/>
    <m/>
    <m/>
    <n v="13084.78"/>
    <x v="32"/>
    <x v="5"/>
    <s v="."/>
    <s v="."/>
    <s v="."/>
    <n v="1000"/>
    <x v="1"/>
    <x v="0"/>
    <x v="0"/>
  </r>
  <r>
    <x v="0"/>
    <x v="0"/>
    <x v="1"/>
    <x v="3"/>
    <x v="21"/>
    <x v="2"/>
    <m/>
    <m/>
    <s v="SUPERVISOR DE PARQUIZACIÓN"/>
    <s v="TECNÓPOLIS"/>
    <s v="TECNOPOLIS"/>
    <x v="140"/>
    <s v="DNI"/>
    <n v="30832626"/>
    <s v="20308326269"/>
    <d v="1984-05-07T00:00:00"/>
    <m/>
    <m/>
    <m/>
    <m/>
    <x v="0"/>
    <x v="0"/>
    <d v="2013-06-01T00:00:00"/>
    <m/>
    <d v="2016-12-31T00:00:00"/>
    <x v="0"/>
    <s v="UNTREF"/>
    <s v="UNTREF"/>
    <n v="16168.13"/>
    <x v="79"/>
    <x v="5"/>
    <s v="."/>
    <s v="."/>
    <s v="."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141"/>
    <s v="DNI"/>
    <n v="27000237"/>
    <s v="20270002375"/>
    <d v="1978-11-07T00:00:00"/>
    <m/>
    <m/>
    <m/>
    <m/>
    <x v="0"/>
    <x v="0"/>
    <d v="2012-06-01T00:00:00"/>
    <m/>
    <d v="2016-12-31T00:00:00"/>
    <x v="0"/>
    <s v="UNTREF"/>
    <s v="UNSAM- LADA"/>
    <n v="32782"/>
    <x v="80"/>
    <x v="5"/>
    <s v="."/>
    <s v="."/>
    <s v="."/>
    <n v="1000"/>
    <x v="2"/>
    <x v="0"/>
    <x v="0"/>
  </r>
  <r>
    <x v="0"/>
    <x v="1"/>
    <x v="0"/>
    <x v="5"/>
    <x v="18"/>
    <x v="2"/>
    <m/>
    <m/>
    <m/>
    <s v="CCK"/>
    <m/>
    <x v="142"/>
    <s v="DNI"/>
    <n v="31343795"/>
    <n v="27313437952"/>
    <m/>
    <m/>
    <m/>
    <m/>
    <m/>
    <x v="1"/>
    <x v="1"/>
    <d v="2011-07-18T00:00:00"/>
    <d v="2016-12-31T00:00:00"/>
    <d v="2016-12-31T00:00:00"/>
    <x v="4"/>
    <m/>
    <m/>
    <n v="19096"/>
    <x v="81"/>
    <x v="5"/>
    <s v="."/>
    <s v="."/>
    <s v="."/>
    <n v="1000"/>
    <x v="1"/>
    <x v="0"/>
    <x v="0"/>
  </r>
  <r>
    <x v="0"/>
    <x v="0"/>
    <x v="1"/>
    <x v="3"/>
    <x v="3"/>
    <x v="2"/>
    <m/>
    <m/>
    <s v="ENCARGADO DE LIMPIEZA"/>
    <s v="TECNÓPOLIS"/>
    <s v="TECNOPOLIS"/>
    <x v="143"/>
    <s v="DNI"/>
    <n v="23284659"/>
    <s v="27232846599"/>
    <d v="1972-12-09T00:00:00"/>
    <m/>
    <m/>
    <m/>
    <m/>
    <x v="0"/>
    <x v="0"/>
    <d v="2014-07-01T00:00:00"/>
    <m/>
    <d v="2016-12-31T00:00:00"/>
    <x v="0"/>
    <s v="UNTREF"/>
    <s v="UNTREF"/>
    <n v="12245.32"/>
    <x v="82"/>
    <x v="5"/>
    <s v="."/>
    <s v="."/>
    <s v="."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144"/>
    <s v="DNI"/>
    <n v="34137132"/>
    <s v="20341371326"/>
    <d v="1988-09-22T00:00:00"/>
    <m/>
    <m/>
    <m/>
    <m/>
    <x v="0"/>
    <x v="0"/>
    <d v="2013-02-01T00:00:00"/>
    <m/>
    <d v="2016-12-31T00:00:00"/>
    <x v="0"/>
    <s v="UNTREF"/>
    <s v="UNSAM- LADA"/>
    <n v="17849"/>
    <x v="83"/>
    <x v="5"/>
    <s v="."/>
    <s v="."/>
    <s v="."/>
    <n v="1000"/>
    <x v="2"/>
    <x v="0"/>
    <x v="0"/>
  </r>
  <r>
    <x v="0"/>
    <x v="0"/>
    <x v="0"/>
    <x v="0"/>
    <x v="8"/>
    <x v="6"/>
    <m/>
    <s v="BACUA"/>
    <s v="ADMINISTRATIVO"/>
    <s v="CABILDO 65"/>
    <s v="CABILDO 65"/>
    <x v="145"/>
    <s v="DNI"/>
    <n v="30401842"/>
    <s v="27304018424"/>
    <d v="1983-07-14T00:00:00"/>
    <m/>
    <m/>
    <m/>
    <m/>
    <x v="0"/>
    <x v="0"/>
    <d v="2012-04-23T00:00:00"/>
    <m/>
    <d v="2016-12-31T00:00:00"/>
    <x v="0"/>
    <s v="UNTREF"/>
    <s v="UNSAM- LADA"/>
    <n v="17146"/>
    <x v="84"/>
    <x v="5"/>
    <s v="."/>
    <s v="."/>
    <s v="."/>
    <n v="1000"/>
    <x v="2"/>
    <x v="0"/>
    <x v="0"/>
  </r>
  <r>
    <x v="0"/>
    <x v="0"/>
    <x v="1"/>
    <x v="3"/>
    <x v="23"/>
    <x v="2"/>
    <m/>
    <m/>
    <s v="SUPERVISION DE REDES DE AGUA Y CLOACAS"/>
    <s v="TECNÓPOLIS"/>
    <s v="TECNOPOLIS"/>
    <x v="146"/>
    <s v="DNI"/>
    <n v="36294092"/>
    <s v="20362940924"/>
    <d v="1991-07-03T00:00:00"/>
    <m/>
    <m/>
    <m/>
    <m/>
    <x v="0"/>
    <x v="0"/>
    <m/>
    <m/>
    <d v="2016-12-31T00:00:00"/>
    <x v="0"/>
    <s v="UNTREF"/>
    <s v="UNTREF"/>
    <n v="10540.72"/>
    <x v="85"/>
    <x v="5"/>
    <s v="."/>
    <s v="."/>
    <s v="."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147"/>
    <s v="DNI"/>
    <n v="32604139"/>
    <s v="23326041394"/>
    <d v="1986-08-30T00:00:00"/>
    <m/>
    <m/>
    <m/>
    <m/>
    <x v="0"/>
    <x v="0"/>
    <d v="2013-05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1"/>
    <x v="3"/>
    <x v="23"/>
    <x v="2"/>
    <m/>
    <m/>
    <m/>
    <s v="TECNÓPOLIS"/>
    <m/>
    <x v="148"/>
    <s v="DNI"/>
    <n v="32555604"/>
    <n v="20325556049"/>
    <m/>
    <m/>
    <m/>
    <m/>
    <m/>
    <x v="1"/>
    <x v="1"/>
    <d v="2013-04-01T00:00:00"/>
    <d v="2016-03-31T00:00:00"/>
    <d v="2016-12-31T00:00:00"/>
    <x v="3"/>
    <m/>
    <m/>
    <n v="21271"/>
    <x v="86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TAREAS EN GENERAL PAÑOL"/>
    <s v="TECNÓPOLIS"/>
    <m/>
    <x v="149"/>
    <s v="DNI"/>
    <n v="17862197"/>
    <n v="27178621977"/>
    <m/>
    <m/>
    <m/>
    <m/>
    <m/>
    <x v="0"/>
    <x v="2"/>
    <d v="2014-06-01T00:00:00"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1"/>
    <x v="1"/>
    <x v="1"/>
    <m/>
    <m/>
    <s v="VISITAS GUIADAS"/>
    <m/>
    <s v="CCK - Alem 351"/>
    <x v="150"/>
    <s v="DNI"/>
    <n v="35567267"/>
    <n v="27355672676"/>
    <d v="1991-04-24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30"/>
    <x v="2"/>
    <m/>
    <m/>
    <s v="ADMINISTRATIVO"/>
    <m/>
    <s v="CCK - Alem 351"/>
    <x v="151"/>
    <s v="DNI"/>
    <n v="34258772"/>
    <n v="20342587721"/>
    <d v="1988-10-13T00:00:00"/>
    <m/>
    <m/>
    <m/>
    <m/>
    <x v="0"/>
    <x v="0"/>
    <d v="2016-04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COMISION DE SEGUIMIENTO"/>
    <s v="ADMINISTRATIVO"/>
    <s v="CABILDO 65"/>
    <s v="CABILDO 65"/>
    <x v="152"/>
    <s v="DNI"/>
    <n v="11566265"/>
    <s v="20115662652"/>
    <d v="1955-03-21T00:00:00"/>
    <m/>
    <m/>
    <m/>
    <m/>
    <x v="0"/>
    <x v="0"/>
    <d v="2012-05-01T00:00:00"/>
    <m/>
    <d v="2016-12-31T00:00:00"/>
    <x v="0"/>
    <s v="UNTREF"/>
    <s v="UNSAM- LADA"/>
    <n v="32782"/>
    <x v="80"/>
    <x v="5"/>
    <s v="."/>
    <s v="."/>
    <s v="."/>
    <n v="1000"/>
    <x v="2"/>
    <x v="0"/>
    <x v="0"/>
  </r>
  <r>
    <x v="0"/>
    <x v="0"/>
    <x v="1"/>
    <x v="3"/>
    <x v="3"/>
    <x v="2"/>
    <m/>
    <m/>
    <s v="LIMPIEZA GENERAL DEL PARQUE"/>
    <s v="TECNÓPOLIS"/>
    <s v="TECNOPOLIS"/>
    <x v="153"/>
    <s v="DNI"/>
    <n v="29330355"/>
    <s v="27293303555"/>
    <d v="1982-03-08T00:00:00"/>
    <m/>
    <m/>
    <m/>
    <m/>
    <x v="0"/>
    <x v="0"/>
    <d v="2013-07-01T00:00:00"/>
    <m/>
    <d v="2016-12-31T00:00:00"/>
    <x v="0"/>
    <s v="UNTREF"/>
    <s v="UNTREF"/>
    <n v="13450"/>
    <x v="87"/>
    <x v="5"/>
    <s v="."/>
    <s v="."/>
    <s v="."/>
    <n v="1000"/>
    <x v="0"/>
    <x v="0"/>
    <x v="0"/>
  </r>
  <r>
    <x v="0"/>
    <x v="0"/>
    <x v="1"/>
    <x v="1"/>
    <x v="5"/>
    <x v="14"/>
    <s v="LIMPIEZA (En comisión Tecnópolis)"/>
    <s v="Auxiliar"/>
    <s v="Auxiliar"/>
    <s v="CCK"/>
    <s v="CCK - Alem 351"/>
    <x v="154"/>
    <s v="DNI"/>
    <n v="26071220"/>
    <s v="27260712204"/>
    <d v="1977-10-31T00:00:00"/>
    <m/>
    <m/>
    <m/>
    <m/>
    <x v="0"/>
    <x v="0"/>
    <d v="2015-06-10T00:00:00"/>
    <m/>
    <d v="2016-12-31T00:00:00"/>
    <x v="0"/>
    <s v="UNTREF"/>
    <s v="UNTREF"/>
    <n v="10455"/>
    <x v="5"/>
    <x v="4"/>
    <n v="14000"/>
    <n v="12500"/>
    <s v="."/>
    <n v="1000"/>
    <x v="0"/>
    <x v="0"/>
    <x v="0"/>
  </r>
  <r>
    <x v="0"/>
    <x v="0"/>
    <x v="1"/>
    <x v="1"/>
    <x v="5"/>
    <x v="16"/>
    <m/>
    <m/>
    <m/>
    <m/>
    <m/>
    <x v="155"/>
    <s v="DNI"/>
    <n v="11634842"/>
    <m/>
    <m/>
    <m/>
    <m/>
    <m/>
    <m/>
    <x v="2"/>
    <x v="1"/>
    <m/>
    <m/>
    <d v="2016-12-31T00:00:00"/>
    <x v="2"/>
    <m/>
    <m/>
    <m/>
    <x v="18"/>
    <x v="3"/>
    <m/>
    <m/>
    <m/>
    <n v="1000"/>
    <x v="1"/>
    <x v="0"/>
    <x v="0"/>
  </r>
  <r>
    <x v="0"/>
    <x v="0"/>
    <x v="0"/>
    <x v="0"/>
    <x v="8"/>
    <x v="4"/>
    <m/>
    <s v="POSTPRODUCCIÓN"/>
    <s v="ADMINISTRATIVO"/>
    <s v="CABILDO 65"/>
    <s v="CABILDO 65"/>
    <x v="156"/>
    <s v="DNI"/>
    <n v="33605569"/>
    <s v="20336055696"/>
    <d v="1988-01-11T00:00:00"/>
    <m/>
    <m/>
    <m/>
    <m/>
    <x v="0"/>
    <x v="0"/>
    <d v="2015-05-04T00:00:00"/>
    <m/>
    <d v="2016-12-31T00:00:00"/>
    <x v="0"/>
    <s v="UNTREF"/>
    <m/>
    <n v="18795"/>
    <x v="37"/>
    <x v="3"/>
    <m/>
    <m/>
    <m/>
    <n v="1000"/>
    <x v="2"/>
    <x v="0"/>
    <x v="0"/>
  </r>
  <r>
    <x v="0"/>
    <x v="0"/>
    <x v="1"/>
    <x v="3"/>
    <x v="3"/>
    <x v="2"/>
    <m/>
    <m/>
    <s v="LIMPIEZA GENERAL DEL PARQUE"/>
    <s v="TECNÓPOLIS"/>
    <s v="TECNOPOLIS"/>
    <x v="157"/>
    <s v="DNI"/>
    <n v="94138946"/>
    <s v="27941389460"/>
    <d v="1986-08-27T00:00:00"/>
    <m/>
    <m/>
    <m/>
    <m/>
    <x v="0"/>
    <x v="0"/>
    <d v="2013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1"/>
    <x v="0"/>
    <x v="5"/>
    <x v="26"/>
    <x v="2"/>
    <m/>
    <s v="COORDINADOR"/>
    <m/>
    <s v="CCK"/>
    <m/>
    <x v="158"/>
    <s v="DNI"/>
    <n v="36755076"/>
    <n v="20367550768"/>
    <m/>
    <m/>
    <m/>
    <m/>
    <m/>
    <x v="1"/>
    <x v="1"/>
    <d v="2011-05-01T00:00:00"/>
    <d v="2016-12-31T00:00:00"/>
    <d v="2016-12-31T00:00:00"/>
    <x v="4"/>
    <m/>
    <m/>
    <n v="18277"/>
    <x v="88"/>
    <x v="5"/>
    <s v="."/>
    <s v="."/>
    <s v="."/>
    <n v="1000"/>
    <x v="1"/>
    <x v="0"/>
    <x v="0"/>
  </r>
  <r>
    <x v="0"/>
    <x v="1"/>
    <x v="0"/>
    <x v="5"/>
    <x v="17"/>
    <x v="15"/>
    <m/>
    <s v="Enfermera/o"/>
    <m/>
    <s v="CCK"/>
    <m/>
    <x v="159"/>
    <s v="DNI"/>
    <n v="21498647"/>
    <n v="27214986472"/>
    <m/>
    <m/>
    <m/>
    <m/>
    <m/>
    <x v="1"/>
    <x v="1"/>
    <d v="2015-07-16T00:00:00"/>
    <d v="2016-03-31T00:00:00"/>
    <d v="2016-12-31T00:00:00"/>
    <x v="2"/>
    <m/>
    <m/>
    <n v="13638"/>
    <x v="89"/>
    <x v="5"/>
    <s v="."/>
    <s v="."/>
    <s v="."/>
    <n v="1000"/>
    <x v="1"/>
    <x v="0"/>
    <x v="0"/>
  </r>
  <r>
    <x v="0"/>
    <x v="0"/>
    <x v="0"/>
    <x v="8"/>
    <x v="1"/>
    <x v="2"/>
    <m/>
    <m/>
    <s v="ADMINISTRATIVO"/>
    <m/>
    <s v="CCK - Alem 351"/>
    <x v="160"/>
    <s v="DNI"/>
    <n v="26475328"/>
    <s v="27264753282"/>
    <d v="1977-12-29T00:00:00"/>
    <m/>
    <m/>
    <m/>
    <m/>
    <x v="0"/>
    <x v="0"/>
    <d v="2016-01-01T00:00:00"/>
    <m/>
    <d v="2016-12-31T00:00:00"/>
    <x v="0"/>
    <s v="UNTREF"/>
    <m/>
    <n v="12000"/>
    <x v="7"/>
    <x v="4"/>
    <n v="12000"/>
    <s v="."/>
    <s v="."/>
    <n v="1000"/>
    <x v="0"/>
    <x v="0"/>
    <x v="0"/>
  </r>
  <r>
    <x v="0"/>
    <x v="1"/>
    <x v="0"/>
    <x v="5"/>
    <x v="2"/>
    <x v="2"/>
    <m/>
    <m/>
    <s v="ADMINISTRATIVO"/>
    <m/>
    <s v="CCK - Alem 351"/>
    <x v="161"/>
    <s v="DNI"/>
    <n v="21831009"/>
    <n v="27218310090"/>
    <d v="1970-08-13T00:00:00"/>
    <m/>
    <m/>
    <m/>
    <m/>
    <x v="0"/>
    <x v="0"/>
    <d v="2016-07-11T00:00:00"/>
    <m/>
    <d v="2016-12-31T00:00:00"/>
    <x v="0"/>
    <s v="UNTREF"/>
    <m/>
    <m/>
    <x v="18"/>
    <x v="3"/>
    <m/>
    <m/>
    <m/>
    <m/>
    <x v="1"/>
    <x v="0"/>
    <x v="2"/>
  </r>
  <r>
    <x v="0"/>
    <x v="0"/>
    <x v="0"/>
    <x v="0"/>
    <x v="8"/>
    <x v="6"/>
    <m/>
    <s v="PRODUCCIÓN"/>
    <s v="PRODUCTOR de EXTERIORES"/>
    <s v="CABILDO 65"/>
    <s v="CABILDO 65"/>
    <x v="162"/>
    <s v="DNI"/>
    <n v="27184125"/>
    <s v="20271841257"/>
    <d v="1979-02-24T00:00:00"/>
    <m/>
    <m/>
    <m/>
    <m/>
    <x v="0"/>
    <x v="0"/>
    <d v="2012-08-01T00:00:00"/>
    <m/>
    <d v="2016-12-31T00:00:00"/>
    <x v="0"/>
    <s v="UNTREF"/>
    <s v="UNSAM- LADA"/>
    <n v="22151"/>
    <x v="58"/>
    <x v="5"/>
    <s v="."/>
    <s v="."/>
    <s v="."/>
    <n v="1000"/>
    <x v="2"/>
    <x v="0"/>
    <x v="0"/>
  </r>
  <r>
    <x v="0"/>
    <x v="2"/>
    <x v="0"/>
    <x v="4"/>
    <x v="2"/>
    <x v="2"/>
    <m/>
    <s v="ASISTENTE"/>
    <m/>
    <s v="CCK"/>
    <m/>
    <x v="163"/>
    <s v="DNI"/>
    <n v="28030258"/>
    <n v="27280302584"/>
    <m/>
    <m/>
    <m/>
    <m/>
    <m/>
    <x v="1"/>
    <x v="1"/>
    <d v="2012-12-01T00:00:00"/>
    <d v="2016-12-31T00:00:00"/>
    <d v="2016-12-31T00:00:00"/>
    <x v="5"/>
    <m/>
    <m/>
    <n v="27000"/>
    <x v="33"/>
    <x v="5"/>
    <s v="."/>
    <s v="."/>
    <s v="."/>
    <n v="1000"/>
    <x v="1"/>
    <x v="0"/>
    <x v="0"/>
  </r>
  <r>
    <x v="0"/>
    <x v="0"/>
    <x v="1"/>
    <x v="1"/>
    <x v="16"/>
    <x v="2"/>
    <m/>
    <m/>
    <m/>
    <s v="CCK"/>
    <m/>
    <x v="164"/>
    <s v="DNI"/>
    <n v="16668474"/>
    <n v="27166684744"/>
    <m/>
    <m/>
    <m/>
    <m/>
    <m/>
    <x v="1"/>
    <x v="1"/>
    <d v="2012-12-01T00:00:00"/>
    <d v="2016-12-31T00:00:00"/>
    <d v="2016-12-31T00:00:00"/>
    <x v="3"/>
    <m/>
    <m/>
    <n v="12000"/>
    <x v="7"/>
    <x v="0"/>
    <s v="---------"/>
    <s v="."/>
    <s v="---------"/>
    <n v="1000"/>
    <x v="1"/>
    <x v="0"/>
    <x v="0"/>
  </r>
  <r>
    <x v="0"/>
    <x v="0"/>
    <x v="1"/>
    <x v="1"/>
    <x v="10"/>
    <x v="2"/>
    <m/>
    <m/>
    <s v="ADMINISTRATIVA"/>
    <m/>
    <s v="CCK - Alem 351"/>
    <x v="165"/>
    <s v="DNI"/>
    <n v="92267421"/>
    <n v="20922674214"/>
    <d v="1969-01-12T00:00:00"/>
    <m/>
    <m/>
    <m/>
    <m/>
    <x v="0"/>
    <x v="0"/>
    <d v="2016-04-01T00:00:00"/>
    <m/>
    <d v="2016-12-31T00:00:00"/>
    <x v="0"/>
    <s v="UNTREF"/>
    <m/>
    <n v="26000"/>
    <x v="18"/>
    <x v="3"/>
    <m/>
    <m/>
    <m/>
    <n v="1000"/>
    <x v="0"/>
    <x v="0"/>
    <x v="0"/>
  </r>
  <r>
    <x v="0"/>
    <x v="0"/>
    <x v="0"/>
    <x v="4"/>
    <x v="2"/>
    <x v="2"/>
    <m/>
    <s v="PRIVADA"/>
    <s v="ADMINISTRATIVO"/>
    <m/>
    <s v="NO ENTREGAR"/>
    <x v="166"/>
    <s v="DNI"/>
    <n v="32845128"/>
    <s v="20328451280"/>
    <d v="1986-12-06T00:00:00"/>
    <m/>
    <m/>
    <m/>
    <m/>
    <x v="0"/>
    <x v="0"/>
    <d v="2016-01-01T00:00:00"/>
    <m/>
    <d v="2016-12-31T00:00:00"/>
    <x v="0"/>
    <s v="UNTREF"/>
    <s v="UNSAM"/>
    <n v="13000"/>
    <x v="90"/>
    <x v="10"/>
    <n v="13000"/>
    <s v="."/>
    <s v=".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167"/>
    <s v="DNI"/>
    <n v="27084941"/>
    <s v="20270849416"/>
    <d v="1979-02-01T00:00:00"/>
    <m/>
    <m/>
    <m/>
    <m/>
    <x v="0"/>
    <x v="0"/>
    <d v="2011-08-01T00:00:00"/>
    <m/>
    <d v="2016-12-31T00:00:00"/>
    <x v="0"/>
    <s v="UNTREF"/>
    <s v="UNSAM- LADA"/>
    <n v="35111"/>
    <x v="91"/>
    <x v="5"/>
    <s v="."/>
    <s v="."/>
    <s v="."/>
    <n v="1000"/>
    <x v="2"/>
    <x v="0"/>
    <x v="0"/>
  </r>
  <r>
    <x v="0"/>
    <x v="0"/>
    <x v="0"/>
    <x v="4"/>
    <x v="2"/>
    <x v="2"/>
    <m/>
    <s v="PRIVADA"/>
    <s v="ADMINISTRATIVO"/>
    <m/>
    <s v="CCK - Alem 351"/>
    <x v="168"/>
    <s v="DNI"/>
    <n v="33209881"/>
    <n v="20332098811"/>
    <m/>
    <m/>
    <m/>
    <m/>
    <m/>
    <x v="2"/>
    <x v="0"/>
    <d v="2016-07-2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27"/>
    <x v="2"/>
    <m/>
    <m/>
    <s v="OPERACIÓN/MONTAJE/MANTENIMIENTO"/>
    <m/>
    <s v="CCK - Alem 351"/>
    <x v="169"/>
    <s v="DNI"/>
    <n v="32538637"/>
    <n v="20325386372"/>
    <d v="1986-10-27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1"/>
    <x v="0"/>
    <x v="5"/>
    <x v="25"/>
    <x v="2"/>
    <m/>
    <m/>
    <m/>
    <s v="CCK"/>
    <m/>
    <x v="170"/>
    <s v="DNI"/>
    <n v="36949773"/>
    <n v="20369497732"/>
    <m/>
    <m/>
    <m/>
    <m/>
    <m/>
    <x v="1"/>
    <x v="1"/>
    <d v="2015-04-01T00:00:00"/>
    <d v="2016-03-31T00:00:00"/>
    <d v="2016-12-31T00:00:00"/>
    <x v="1"/>
    <m/>
    <m/>
    <n v="10190"/>
    <x v="45"/>
    <x v="5"/>
    <s v="."/>
    <s v="."/>
    <n v="13000"/>
    <n v="1000"/>
    <x v="1"/>
    <x v="0"/>
    <x v="0"/>
  </r>
  <r>
    <x v="0"/>
    <x v="1"/>
    <x v="0"/>
    <x v="5"/>
    <x v="26"/>
    <x v="2"/>
    <m/>
    <s v="Analista"/>
    <s v="Analista"/>
    <s v="CCK"/>
    <s v="CCK - Alem 351"/>
    <x v="171"/>
    <s v="DNI"/>
    <n v="36688481"/>
    <s v="20366884816"/>
    <d v="1992-01-17T00:00:00"/>
    <m/>
    <m/>
    <m/>
    <m/>
    <x v="0"/>
    <x v="0"/>
    <d v="2013-11-15T00:00:00"/>
    <m/>
    <d v="2016-12-31T00:00:00"/>
    <x v="0"/>
    <s v="UNTREF"/>
    <s v="UNLAM- INFO"/>
    <n v="8981"/>
    <x v="28"/>
    <x v="7"/>
    <n v="14000"/>
    <n v="11500"/>
    <n v="14000"/>
    <n v="1000"/>
    <x v="0"/>
    <x v="0"/>
    <x v="0"/>
  </r>
  <r>
    <x v="0"/>
    <x v="0"/>
    <x v="0"/>
    <x v="0"/>
    <x v="8"/>
    <x v="6"/>
    <m/>
    <s v="BACUA"/>
    <s v="ADMINISTRATIVO"/>
    <s v="CABILDO 65"/>
    <s v="CABILDO 65"/>
    <x v="172"/>
    <s v="DNI"/>
    <n v="28079864"/>
    <s v="27280798644"/>
    <d v="1980-04-11T00:00:00"/>
    <m/>
    <m/>
    <m/>
    <m/>
    <x v="0"/>
    <x v="0"/>
    <d v="2013-02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31"/>
    <x v="2"/>
    <m/>
    <s v="DESARROLLOS"/>
    <s v="Asistente"/>
    <s v="CCK"/>
    <s v="CCK - Alem 351"/>
    <x v="173"/>
    <s v="DNI"/>
    <n v="34870420"/>
    <s v="27348704201"/>
    <d v="1989-10-03T00:00:00"/>
    <m/>
    <m/>
    <m/>
    <m/>
    <x v="0"/>
    <x v="0"/>
    <d v="2015-07-06T00:00:00"/>
    <m/>
    <d v="2016-12-31T00:00:00"/>
    <x v="0"/>
    <s v="UNTREF"/>
    <s v="UNSAM"/>
    <n v="10188"/>
    <x v="30"/>
    <x v="18"/>
    <n v="16000"/>
    <n v="14000"/>
    <s v="."/>
    <n v="1000"/>
    <x v="0"/>
    <x v="0"/>
    <x v="0"/>
  </r>
  <r>
    <x v="0"/>
    <x v="0"/>
    <x v="1"/>
    <x v="3"/>
    <x v="27"/>
    <x v="2"/>
    <m/>
    <m/>
    <s v="OPERACIÓN/MONTAJE/MANTENIMIENTO"/>
    <s v="TECNÓPOLIS"/>
    <s v="TECNOPOLIS"/>
    <x v="174"/>
    <s v="DNI"/>
    <n v="31292992"/>
    <s v="23312929929"/>
    <d v="1985-01-04T00:00:00"/>
    <m/>
    <m/>
    <m/>
    <m/>
    <x v="0"/>
    <x v="0"/>
    <d v="2015-07-03T00:00:00"/>
    <m/>
    <d v="2016-12-31T00:00:00"/>
    <x v="0"/>
    <s v="UNTREF"/>
    <s v="UNTREF"/>
    <n v="15503.4"/>
    <x v="92"/>
    <x v="5"/>
    <s v="."/>
    <s v="."/>
    <s v="."/>
    <n v="1000"/>
    <x v="0"/>
    <x v="0"/>
    <x v="0"/>
  </r>
  <r>
    <x v="0"/>
    <x v="1"/>
    <x v="0"/>
    <x v="5"/>
    <x v="17"/>
    <x v="17"/>
    <m/>
    <s v="Analista Sr de RR.HH."/>
    <m/>
    <s v="CCK"/>
    <m/>
    <x v="175"/>
    <s v="DNI"/>
    <n v="20007136"/>
    <n v="20200071361"/>
    <m/>
    <m/>
    <m/>
    <m/>
    <m/>
    <x v="1"/>
    <x v="1"/>
    <d v="2007-02-01T00:00:00"/>
    <d v="2016-12-31T00:00:00"/>
    <d v="2016-12-31T00:00:00"/>
    <x v="10"/>
    <m/>
    <m/>
    <n v="25000"/>
    <x v="48"/>
    <x v="5"/>
    <s v="."/>
    <s v="."/>
    <s v="."/>
    <n v="1000"/>
    <x v="1"/>
    <x v="0"/>
    <x v="0"/>
  </r>
  <r>
    <x v="0"/>
    <x v="0"/>
    <x v="1"/>
    <x v="1"/>
    <x v="5"/>
    <x v="18"/>
    <m/>
    <s v="Asesor"/>
    <m/>
    <s v="CCK"/>
    <m/>
    <x v="176"/>
    <s v="DNI"/>
    <n v="17968607"/>
    <n v="20179686075"/>
    <m/>
    <m/>
    <m/>
    <m/>
    <m/>
    <x v="1"/>
    <x v="1"/>
    <d v="2015-06-01T00:00:00"/>
    <d v="2016-03-31T00:00:00"/>
    <d v="2016-12-31T00:00:00"/>
    <x v="2"/>
    <m/>
    <m/>
    <n v="29784"/>
    <x v="55"/>
    <x v="5"/>
    <s v="."/>
    <s v="."/>
    <s v="."/>
    <n v="1000"/>
    <x v="1"/>
    <x v="0"/>
    <x v="0"/>
  </r>
  <r>
    <x v="0"/>
    <x v="0"/>
    <x v="1"/>
    <x v="1"/>
    <x v="5"/>
    <x v="19"/>
    <m/>
    <s v="Coordinador"/>
    <s v="Coordinador"/>
    <s v="CCK"/>
    <s v="CCK - Alem 351"/>
    <x v="177"/>
    <s v="DNI"/>
    <n v="11293948"/>
    <n v="20112939483"/>
    <d v="1954-09-16T00:00:00"/>
    <m/>
    <m/>
    <m/>
    <m/>
    <x v="0"/>
    <x v="0"/>
    <d v="2015-05-05T00:00:00"/>
    <m/>
    <d v="2016-12-31T00:00:00"/>
    <x v="0"/>
    <s v="UNTREF"/>
    <s v="UNLAM- BICENTENARIO"/>
    <n v="30000"/>
    <x v="93"/>
    <x v="20"/>
    <n v="30000"/>
    <s v="."/>
    <n v="27000"/>
    <n v="1000"/>
    <x v="0"/>
    <x v="0"/>
    <x v="0"/>
  </r>
  <r>
    <x v="0"/>
    <x v="1"/>
    <x v="0"/>
    <x v="5"/>
    <x v="25"/>
    <x v="2"/>
    <m/>
    <s v="PRIVADA"/>
    <s v="Administrativo"/>
    <m/>
    <s v="TECNOPOLIS"/>
    <x v="178"/>
    <s v="DNI"/>
    <n v="27507704"/>
    <n v="27275077041"/>
    <d v="1979-05-22T00:00:00"/>
    <m/>
    <m/>
    <m/>
    <m/>
    <x v="0"/>
    <x v="0"/>
    <d v="2016-04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32"/>
    <x v="2"/>
    <m/>
    <m/>
    <s v="MANTENIMIENTO GENERAÑ"/>
    <s v="TECNÓPOLIS"/>
    <s v="TECNOPOLIS"/>
    <x v="179"/>
    <s v="DNI"/>
    <n v="31091613"/>
    <s v="20310916138"/>
    <d v="1984-10-13T00:00:00"/>
    <m/>
    <m/>
    <m/>
    <m/>
    <x v="0"/>
    <x v="0"/>
    <d v="2015-09-01T00:00:00"/>
    <m/>
    <d v="2016-12-31T00:00:00"/>
    <x v="0"/>
    <s v="UNTREF"/>
    <s v="UNTREF"/>
    <n v="8035.31"/>
    <x v="94"/>
    <x v="5"/>
    <s v="."/>
    <s v="."/>
    <s v="."/>
    <n v="1000"/>
    <x v="0"/>
    <x v="0"/>
    <x v="0"/>
  </r>
  <r>
    <x v="0"/>
    <x v="1"/>
    <x v="0"/>
    <x v="5"/>
    <x v="2"/>
    <x v="2"/>
    <m/>
    <s v="JGM"/>
    <s v="ADMINISTRATIVO"/>
    <m/>
    <s v="CCK - Alem 351"/>
    <x v="180"/>
    <s v="DNI"/>
    <n v="7374442"/>
    <n v="20073744424"/>
    <d v="1948-12-05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3"/>
    <x v="2"/>
    <m/>
    <m/>
    <s v="LIMPIEZA GENERAL DEL PARQUE"/>
    <s v="TECNÓPOLIS"/>
    <s v="TECNOPOLIS"/>
    <x v="181"/>
    <s v="DNI"/>
    <n v="20341389"/>
    <s v="27203413896"/>
    <d v="1986-07-14T00:00:00"/>
    <m/>
    <m/>
    <m/>
    <m/>
    <x v="0"/>
    <x v="0"/>
    <d v="2012-07-01T00:00:00"/>
    <m/>
    <d v="2016-12-31T00:00:00"/>
    <x v="0"/>
    <s v="UNTREF"/>
    <s v="UNTREF"/>
    <n v="9955.51"/>
    <x v="95"/>
    <x v="5"/>
    <s v="."/>
    <s v="."/>
    <s v="."/>
    <n v="1000"/>
    <x v="0"/>
    <x v="0"/>
    <x v="0"/>
  </r>
  <r>
    <x v="0"/>
    <x v="1"/>
    <x v="0"/>
    <x v="5"/>
    <x v="26"/>
    <x v="2"/>
    <m/>
    <s v="ASESORA"/>
    <s v="Analista"/>
    <s v="CCK"/>
    <s v="CCK - Alem 351"/>
    <x v="182"/>
    <s v="DNI"/>
    <n v="25284962"/>
    <s v="27252849624"/>
    <d v="1976-05-28T00:00:00"/>
    <m/>
    <m/>
    <m/>
    <m/>
    <x v="0"/>
    <x v="0"/>
    <m/>
    <m/>
    <d v="2016-12-31T00:00:00"/>
    <x v="0"/>
    <s v="UNTREF"/>
    <s v="UNLAM- INFO"/>
    <n v="14014"/>
    <x v="96"/>
    <x v="21"/>
    <n v="15000"/>
    <s v="."/>
    <n v="15000"/>
    <n v="1000"/>
    <x v="0"/>
    <x v="0"/>
    <x v="0"/>
  </r>
  <r>
    <x v="0"/>
    <x v="0"/>
    <x v="1"/>
    <x v="1"/>
    <x v="27"/>
    <x v="20"/>
    <m/>
    <m/>
    <s v="ADMINISTRATIVO"/>
    <m/>
    <s v="CCK - Alem 351"/>
    <x v="183"/>
    <s v="DNI"/>
    <n v="25051947"/>
    <n v="20250519479"/>
    <d v="1976-04-01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7"/>
    <x v="2"/>
    <x v="2"/>
    <m/>
    <s v="PRIVADA"/>
    <s v="ADMINISTRATIVO"/>
    <m/>
    <s v="CCK - Alem 351"/>
    <x v="184"/>
    <s v="DNI"/>
    <n v="33022528"/>
    <n v="27330225284"/>
    <d v="1987-05-19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18"/>
    <x v="2"/>
    <s v="(IGUALDAD CULTURAL)"/>
    <s v="ASESORA LEGAL"/>
    <m/>
    <s v="CCK"/>
    <m/>
    <x v="185"/>
    <s v="DNI"/>
    <n v="28964645"/>
    <n v="27289646456"/>
    <m/>
    <m/>
    <m/>
    <m/>
    <m/>
    <x v="1"/>
    <x v="1"/>
    <d v="2008-11-01T00:00:00"/>
    <d v="2016-12-31T00:00:00"/>
    <d v="2016-12-31T00:00:00"/>
    <x v="11"/>
    <m/>
    <m/>
    <n v="18334"/>
    <x v="97"/>
    <x v="5"/>
    <s v="."/>
    <s v="."/>
    <s v="."/>
    <n v="1000"/>
    <x v="1"/>
    <x v="0"/>
    <x v="0"/>
  </r>
  <r>
    <x v="0"/>
    <x v="0"/>
    <x v="0"/>
    <x v="0"/>
    <x v="8"/>
    <x v="4"/>
    <m/>
    <s v="PRODUCCIÓN"/>
    <s v="PRODUCTOR de EXTERIORES"/>
    <s v="CABILDO 65"/>
    <s v="CABILDO 65"/>
    <x v="186"/>
    <s v="DNI"/>
    <n v="23124300"/>
    <s v="20231243004"/>
    <d v="1973-01-11T00:00:00"/>
    <m/>
    <m/>
    <m/>
    <m/>
    <x v="0"/>
    <x v="0"/>
    <d v="2015-03-02T00:00:00"/>
    <m/>
    <d v="2016-12-31T00:00:00"/>
    <x v="0"/>
    <s v="UNTREF"/>
    <m/>
    <n v="20989"/>
    <x v="98"/>
    <x v="3"/>
    <m/>
    <m/>
    <m/>
    <n v="1000"/>
    <x v="2"/>
    <x v="0"/>
    <x v="0"/>
  </r>
  <r>
    <x v="0"/>
    <x v="0"/>
    <x v="1"/>
    <x v="1"/>
    <x v="14"/>
    <x v="2"/>
    <m/>
    <m/>
    <m/>
    <s v="CCK"/>
    <s v="CCK - Alem 351"/>
    <x v="187"/>
    <s v="DNI"/>
    <n v="31829624"/>
    <n v="27318296249"/>
    <m/>
    <m/>
    <m/>
    <m/>
    <m/>
    <x v="1"/>
    <x v="1"/>
    <d v="2012-11-30T00:00:00"/>
    <d v="2016-12-31T00:00:00"/>
    <d v="2016-12-31T00:00:00"/>
    <x v="3"/>
    <m/>
    <m/>
    <n v="22174"/>
    <x v="99"/>
    <x v="5"/>
    <s v="."/>
    <s v="."/>
    <s v="."/>
    <n v="1000"/>
    <x v="1"/>
    <x v="0"/>
    <x v="0"/>
  </r>
  <r>
    <x v="0"/>
    <x v="0"/>
    <x v="0"/>
    <x v="8"/>
    <x v="1"/>
    <x v="2"/>
    <m/>
    <m/>
    <s v="ADMINISTRATIVO"/>
    <m/>
    <s v="CCK - Alem 351"/>
    <x v="188"/>
    <s v="DNI"/>
    <n v="25701825"/>
    <s v="20257018254"/>
    <d v="1977-01-15T00:00:00"/>
    <m/>
    <m/>
    <m/>
    <m/>
    <x v="0"/>
    <x v="0"/>
    <d v="2016-03-01T00:00:00"/>
    <m/>
    <d v="2016-12-31T00:00:00"/>
    <x v="0"/>
    <s v="UNTREF"/>
    <m/>
    <n v="12000"/>
    <x v="7"/>
    <x v="3"/>
    <m/>
    <m/>
    <m/>
    <n v="1000"/>
    <x v="0"/>
    <x v="0"/>
    <x v="0"/>
  </r>
  <r>
    <x v="0"/>
    <x v="0"/>
    <x v="0"/>
    <x v="0"/>
    <x v="0"/>
    <x v="0"/>
    <m/>
    <s v="DESARROLLOS"/>
    <s v="ANALISTA"/>
    <s v="PALPALÁ-JUJUY"/>
    <s v="PALPALÁ-JUJUY"/>
    <x v="189"/>
    <s v="DNI"/>
    <n v="30029488"/>
    <n v="20300294880"/>
    <d v="1983-10-21T00:00:00"/>
    <m/>
    <m/>
    <m/>
    <m/>
    <x v="0"/>
    <x v="0"/>
    <d v="2015-09-01T00:00:00"/>
    <m/>
    <d v="2016-12-31T00:00:00"/>
    <x v="0"/>
    <s v="UNTREF"/>
    <s v="UNSAM"/>
    <n v="13000"/>
    <x v="90"/>
    <x v="0"/>
    <s v="---------"/>
    <s v="."/>
    <s v="---------"/>
    <n v="1000"/>
    <x v="0"/>
    <x v="0"/>
    <x v="0"/>
  </r>
  <r>
    <x v="0"/>
    <x v="0"/>
    <x v="1"/>
    <x v="1"/>
    <x v="5"/>
    <x v="14"/>
    <s v="ACCESO ALEM"/>
    <s v="Asistente"/>
    <s v="Asistente"/>
    <s v="CCK"/>
    <s v="CCK - Alem 351"/>
    <x v="190"/>
    <s v="DNI"/>
    <n v="37274121"/>
    <s v="20372741210"/>
    <d v="1992-12-28T00:00:00"/>
    <m/>
    <m/>
    <m/>
    <m/>
    <x v="0"/>
    <x v="0"/>
    <d v="2015-08-01T00:00:00"/>
    <m/>
    <d v="2016-12-31T00:00:00"/>
    <x v="0"/>
    <s v="UNTREF"/>
    <s v="UNLAM- BICENTENARIO"/>
    <n v="10096"/>
    <x v="5"/>
    <x v="4"/>
    <n v="14000"/>
    <n v="12500"/>
    <s v="."/>
    <n v="1000"/>
    <x v="0"/>
    <x v="0"/>
    <x v="0"/>
  </r>
  <r>
    <x v="0"/>
    <x v="0"/>
    <x v="1"/>
    <x v="3"/>
    <x v="2"/>
    <x v="2"/>
    <m/>
    <m/>
    <s v="MANTENIMIENTO DE ESPACIOS VERDES"/>
    <m/>
    <s v="TECNOPOLIS"/>
    <x v="191"/>
    <s v="DNI"/>
    <n v="38423281"/>
    <s v="20384232818"/>
    <d v="1994-07-20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PRODUCCIÓN"/>
    <s v="PRODUCTOR de EXTERIORES"/>
    <s v="CABILDO 65"/>
    <s v="CABILDO 65"/>
    <x v="192"/>
    <s v="DNI"/>
    <n v="33305513"/>
    <s v="23333055139"/>
    <d v="1987-08-10T00:00:00"/>
    <m/>
    <m/>
    <m/>
    <m/>
    <x v="0"/>
    <x v="0"/>
    <d v="2012-05-01T00:00:00"/>
    <m/>
    <d v="2016-12-31T00:00:00"/>
    <x v="0"/>
    <s v="UNTREF"/>
    <m/>
    <n v="19987"/>
    <x v="100"/>
    <x v="3"/>
    <m/>
    <m/>
    <m/>
    <n v="1000"/>
    <x v="2"/>
    <x v="0"/>
    <x v="0"/>
  </r>
  <r>
    <x v="0"/>
    <x v="0"/>
    <x v="1"/>
    <x v="1"/>
    <x v="1"/>
    <x v="1"/>
    <m/>
    <m/>
    <s v="ADMINISTRATIVO"/>
    <m/>
    <s v="CCK - Alem 351"/>
    <x v="193"/>
    <s v="DNI"/>
    <n v="23470508"/>
    <n v="20234705084"/>
    <d v="1973-08-19T00:00:00"/>
    <m/>
    <m/>
    <m/>
    <m/>
    <x v="0"/>
    <x v="0"/>
    <d v="2016-05-15T00:00:00"/>
    <m/>
    <d v="2016-12-31T00:00:00"/>
    <x v="0"/>
    <s v="UNTREF"/>
    <m/>
    <n v="17000"/>
    <x v="50"/>
    <x v="3"/>
    <m/>
    <m/>
    <m/>
    <n v="1000"/>
    <x v="0"/>
    <x v="0"/>
    <x v="0"/>
  </r>
  <r>
    <x v="0"/>
    <x v="0"/>
    <x v="0"/>
    <x v="0"/>
    <x v="8"/>
    <x v="4"/>
    <m/>
    <s v="POSTPRODUCCIÓN"/>
    <s v="ADMINISTRATIVO"/>
    <s v="CABILDO 65"/>
    <s v="CABILDO 65"/>
    <x v="194"/>
    <s v="DNI"/>
    <n v="29721412"/>
    <s v="20297214129"/>
    <d v="1982-11-22T00:00:00"/>
    <m/>
    <m/>
    <m/>
    <m/>
    <x v="0"/>
    <x v="0"/>
    <d v="2012-04-16T00:00:00"/>
    <m/>
    <d v="2016-12-31T00:00:00"/>
    <x v="0"/>
    <s v="UNTREF"/>
    <s v="UNSAM- LADA"/>
    <n v="25763"/>
    <x v="98"/>
    <x v="5"/>
    <s v="."/>
    <s v="."/>
    <s v="."/>
    <n v="1000"/>
    <x v="2"/>
    <x v="0"/>
    <x v="0"/>
  </r>
  <r>
    <x v="0"/>
    <x v="0"/>
    <x v="1"/>
    <x v="3"/>
    <x v="9"/>
    <x v="2"/>
    <m/>
    <s v="ADMINISTRATIVO"/>
    <m/>
    <s v="TECNÓPOLIS"/>
    <m/>
    <x v="195"/>
    <s v="DNI"/>
    <n v="36702151"/>
    <n v="27367021514"/>
    <m/>
    <m/>
    <m/>
    <m/>
    <m/>
    <x v="1"/>
    <x v="1"/>
    <d v="2010-11-01T00:00:00"/>
    <d v="2016-12-31T00:00:00"/>
    <d v="2016-12-31T00:00:00"/>
    <x v="2"/>
    <m/>
    <m/>
    <n v="22491"/>
    <x v="101"/>
    <x v="5"/>
    <s v="."/>
    <s v="."/>
    <s v="."/>
    <n v="1000"/>
    <x v="1"/>
    <x v="0"/>
    <x v="0"/>
  </r>
  <r>
    <x v="0"/>
    <x v="0"/>
    <x v="1"/>
    <x v="1"/>
    <x v="27"/>
    <x v="2"/>
    <m/>
    <m/>
    <s v="OPERACIÓN/MONTAJE/MANTENIMIENTO"/>
    <m/>
    <s v="CCK - Alem 351"/>
    <x v="196"/>
    <s v="DNI"/>
    <n v="27627728"/>
    <n v="20276277281"/>
    <d v="1979-08-22T00:00:00"/>
    <m/>
    <m/>
    <m/>
    <m/>
    <x v="0"/>
    <x v="0"/>
    <d v="2016-07-01T00:00:00"/>
    <m/>
    <d v="2016-08-31T00:00:00"/>
    <x v="0"/>
    <s v="UNTREF"/>
    <m/>
    <m/>
    <x v="18"/>
    <x v="3"/>
    <m/>
    <m/>
    <m/>
    <m/>
    <x v="1"/>
    <x v="0"/>
    <x v="2"/>
  </r>
  <r>
    <x v="0"/>
    <x v="0"/>
    <x v="1"/>
    <x v="1"/>
    <x v="5"/>
    <x v="14"/>
    <s v="ACCESO BOUCHARD"/>
    <s v="Asistente"/>
    <s v="Asistente"/>
    <s v="CCK"/>
    <s v="CCK - Alem 351"/>
    <x v="197"/>
    <s v="DNI"/>
    <n v="36948427"/>
    <s v="20369484274"/>
    <d v="1992-09-16T00:00:00"/>
    <m/>
    <m/>
    <m/>
    <m/>
    <x v="0"/>
    <x v="0"/>
    <d v="2015-08-01T00:00:00"/>
    <m/>
    <d v="2016-12-31T00:00:00"/>
    <x v="0"/>
    <s v="UNTREF"/>
    <s v="UNLAM- BICENTENARIO"/>
    <n v="10096"/>
    <x v="5"/>
    <x v="4"/>
    <n v="14000"/>
    <n v="12500"/>
    <s v="."/>
    <n v="1000"/>
    <x v="0"/>
    <x v="0"/>
    <x v="0"/>
  </r>
  <r>
    <x v="0"/>
    <x v="0"/>
    <x v="1"/>
    <x v="3"/>
    <x v="4"/>
    <x v="2"/>
    <m/>
    <s v="COCINA"/>
    <s v="SUPERVISÓN CONTROL DE CALIDAD DE MERCADERÍA/ISO"/>
    <s v="TECNÓPOLIS"/>
    <s v="TECNOPOLIS"/>
    <x v="198"/>
    <s v="DNI"/>
    <n v="29582611"/>
    <s v="27295826113"/>
    <d v="1982-06-10T00:00:00"/>
    <m/>
    <m/>
    <m/>
    <m/>
    <x v="0"/>
    <x v="0"/>
    <d v="2015-07-01T00:00:00"/>
    <m/>
    <d v="2016-12-31T00:00:00"/>
    <x v="0"/>
    <s v="UNTREF"/>
    <s v="UNTREF"/>
    <n v="9500"/>
    <x v="77"/>
    <x v="5"/>
    <s v="."/>
    <s v="."/>
    <s v="."/>
    <n v="1000"/>
    <x v="0"/>
    <x v="0"/>
    <x v="0"/>
  </r>
  <r>
    <x v="0"/>
    <x v="0"/>
    <x v="1"/>
    <x v="1"/>
    <x v="5"/>
    <x v="13"/>
    <s v="LOGISTICA OPERATIVA"/>
    <s v="Auxiliar de Mantenimiento"/>
    <s v="Auxiliar de Mantenimiento"/>
    <s v="CCK"/>
    <s v="CCK - Alem 351"/>
    <x v="199"/>
    <s v="DNI"/>
    <n v="23490897"/>
    <n v="20234908972"/>
    <d v="1990-05-15T00:00:00"/>
    <m/>
    <m/>
    <m/>
    <m/>
    <x v="0"/>
    <x v="0"/>
    <d v="2015-07-03T00:00:00"/>
    <m/>
    <d v="2016-12-31T00:00:00"/>
    <x v="0"/>
    <s v="UNTREF"/>
    <s v="UNLAM- BICENTENARIO"/>
    <n v="10166"/>
    <x v="5"/>
    <x v="7"/>
    <n v="15000"/>
    <n v="12500"/>
    <n v="14000"/>
    <n v="1000"/>
    <x v="0"/>
    <x v="0"/>
    <x v="0"/>
  </r>
  <r>
    <x v="0"/>
    <x v="0"/>
    <x v="1"/>
    <x v="3"/>
    <x v="3"/>
    <x v="2"/>
    <m/>
    <m/>
    <s v="LIMPIEZA DE OFICINAS/BAÑOS Y CAFETARIA DEL IBC"/>
    <s v="CCK"/>
    <s v="CCK - Alem 351"/>
    <x v="200"/>
    <s v="DNI"/>
    <n v="13165661"/>
    <s v="27131656616"/>
    <d v="1957-04-07T00:00:00"/>
    <m/>
    <m/>
    <m/>
    <m/>
    <x v="0"/>
    <x v="0"/>
    <d v="2013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0"/>
    <x v="0"/>
    <x v="0"/>
    <m/>
    <s v="GESTION DE PROYECTOS"/>
    <s v="ANALISTA"/>
    <s v="PALPALÁ-JUJUY"/>
    <s v="PALPALÁ-JUJUY"/>
    <x v="201"/>
    <s v="DNI"/>
    <n v="25287129"/>
    <n v="20252871293"/>
    <d v="1976-07-15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202"/>
    <s v="DNI"/>
    <n v="25325251"/>
    <s v="27253252516"/>
    <d v="1976-07-21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1"/>
    <x v="1"/>
    <x v="14"/>
    <x v="2"/>
    <m/>
    <m/>
    <m/>
    <s v="TECNÓPOLIS"/>
    <m/>
    <x v="203"/>
    <s v="DNI"/>
    <n v="22885684"/>
    <n v="20228856844"/>
    <m/>
    <m/>
    <m/>
    <m/>
    <m/>
    <x v="1"/>
    <x v="1"/>
    <d v="2011-07-01T00:00:00"/>
    <d v="2016-12-31T00:00:00"/>
    <d v="2016-12-31T00:00:00"/>
    <x v="3"/>
    <m/>
    <m/>
    <n v="28848.48"/>
    <x v="102"/>
    <x v="5"/>
    <s v="."/>
    <s v="."/>
    <s v="."/>
    <n v="1000"/>
    <x v="1"/>
    <x v="0"/>
    <x v="0"/>
  </r>
  <r>
    <x v="0"/>
    <x v="0"/>
    <x v="0"/>
    <x v="0"/>
    <x v="8"/>
    <x v="6"/>
    <m/>
    <s v="POSTPRODUCCIÓN"/>
    <s v="EDICION"/>
    <s v="CABILDO 65"/>
    <s v="CABILDO 65"/>
    <x v="204"/>
    <s v="DNI"/>
    <n v="30930552"/>
    <s v="20309305524"/>
    <d v="1984-04-11T00:00:00"/>
    <m/>
    <m/>
    <m/>
    <m/>
    <x v="0"/>
    <x v="0"/>
    <d v="2013-04-13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1"/>
    <x v="1"/>
    <x v="14"/>
    <x v="2"/>
    <m/>
    <m/>
    <m/>
    <s v="CCK"/>
    <s v="CCK - Alem 351"/>
    <x v="205"/>
    <s v="DNI"/>
    <n v="30862762"/>
    <n v="20308627625"/>
    <m/>
    <m/>
    <m/>
    <m/>
    <m/>
    <x v="1"/>
    <x v="1"/>
    <d v="2012-11-30T00:00:00"/>
    <d v="2016-12-31T00:00:00"/>
    <d v="2016-12-31T00:00:00"/>
    <x v="1"/>
    <m/>
    <m/>
    <n v="18724.21"/>
    <x v="103"/>
    <x v="5"/>
    <s v="."/>
    <s v="."/>
    <s v="."/>
    <n v="1000"/>
    <x v="1"/>
    <x v="0"/>
    <x v="0"/>
  </r>
  <r>
    <x v="0"/>
    <x v="0"/>
    <x v="0"/>
    <x v="9"/>
    <x v="2"/>
    <x v="2"/>
    <m/>
    <s v="DIRECTOR"/>
    <s v="COORDINACIÖN"/>
    <m/>
    <s v="CCK - Alem 351"/>
    <x v="206"/>
    <s v="DNI"/>
    <n v="21588783"/>
    <n v="27215887834"/>
    <d v="1970-06-26T00:00:00"/>
    <m/>
    <m/>
    <m/>
    <m/>
    <x v="0"/>
    <x v="0"/>
    <d v="2016-01-01T00:00:00"/>
    <m/>
    <d v="2016-12-31T00:00:00"/>
    <x v="0"/>
    <s v="UNTREF"/>
    <s v="UNSAM"/>
    <n v="27000"/>
    <x v="53"/>
    <x v="13"/>
    <n v="27000"/>
    <s v="."/>
    <s v="."/>
    <n v="1000"/>
    <x v="0"/>
    <x v="0"/>
    <x v="0"/>
  </r>
  <r>
    <x v="0"/>
    <x v="0"/>
    <x v="0"/>
    <x v="4"/>
    <x v="2"/>
    <x v="2"/>
    <m/>
    <s v="ASISTENTE"/>
    <m/>
    <s v="CCK"/>
    <m/>
    <x v="207"/>
    <s v="DNI"/>
    <n v="28792441"/>
    <n v="20287924411"/>
    <m/>
    <m/>
    <m/>
    <m/>
    <m/>
    <x v="1"/>
    <x v="1"/>
    <d v="2015-05-01T00:00:00"/>
    <d v="2016-03-31T00:00:00"/>
    <d v="2016-12-31T00:00:00"/>
    <x v="9"/>
    <m/>
    <m/>
    <n v="17107"/>
    <x v="104"/>
    <x v="5"/>
    <s v="."/>
    <s v="."/>
    <s v="."/>
    <n v="1000"/>
    <x v="1"/>
    <x v="0"/>
    <x v="0"/>
  </r>
  <r>
    <x v="0"/>
    <x v="0"/>
    <x v="1"/>
    <x v="3"/>
    <x v="15"/>
    <x v="2"/>
    <m/>
    <m/>
    <s v="ATENCIÓN DE MOSTRADOR"/>
    <s v="TECNÓPOLIS"/>
    <s v="TECNOPOLIS"/>
    <x v="208"/>
    <s v="DNI"/>
    <n v="38854457"/>
    <s v="20388544571"/>
    <d v="1995-05-24T00:00:00"/>
    <m/>
    <m/>
    <m/>
    <m/>
    <x v="0"/>
    <x v="0"/>
    <d v="2013-08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1"/>
    <x v="0"/>
    <x v="5"/>
    <x v="17"/>
    <x v="17"/>
    <m/>
    <s v="Analista de RR.HH."/>
    <s v="ADMINISTRATIVO"/>
    <s v="CCK"/>
    <s v="CCK - Alem 351"/>
    <x v="209"/>
    <s v="DNI"/>
    <n v="27259209"/>
    <s v="27272592093"/>
    <d v="1979-04-19T00:00:00"/>
    <m/>
    <m/>
    <m/>
    <m/>
    <x v="0"/>
    <x v="0"/>
    <d v="2015-09-11T00:00:00"/>
    <m/>
    <d v="2016-12-31T00:00:00"/>
    <x v="0"/>
    <s v="UNTREF"/>
    <s v="UNLAM -TDA"/>
    <n v="10910"/>
    <x v="5"/>
    <x v="7"/>
    <n v="14000"/>
    <n v="12500"/>
    <n v="14000"/>
    <n v="1000"/>
    <x v="0"/>
    <x v="0"/>
    <x v="0"/>
  </r>
  <r>
    <x v="0"/>
    <x v="1"/>
    <x v="0"/>
    <x v="5"/>
    <x v="26"/>
    <x v="2"/>
    <m/>
    <m/>
    <m/>
    <m/>
    <m/>
    <x v="210"/>
    <s v="DNI"/>
    <n v="21915097"/>
    <n v="20219150971"/>
    <m/>
    <m/>
    <m/>
    <m/>
    <m/>
    <x v="1"/>
    <x v="1"/>
    <d v="2015-03-01T00:00:00"/>
    <d v="2016-03-31T00:00:00"/>
    <d v="2016-12-31T00:00:00"/>
    <x v="4"/>
    <m/>
    <m/>
    <n v="18277"/>
    <x v="88"/>
    <x v="5"/>
    <s v="."/>
    <s v="."/>
    <s v="."/>
    <n v="1000"/>
    <x v="1"/>
    <x v="0"/>
    <x v="0"/>
  </r>
  <r>
    <x v="0"/>
    <x v="0"/>
    <x v="1"/>
    <x v="1"/>
    <x v="16"/>
    <x v="2"/>
    <m/>
    <s v="Asistente funcional"/>
    <s v="asistente funcional"/>
    <s v="CCK"/>
    <s v="CCK - Alem 351"/>
    <x v="211"/>
    <s v="DNI"/>
    <n v="35172281"/>
    <s v="27351722814"/>
    <d v="1990-04-10T00:00:00"/>
    <m/>
    <m/>
    <m/>
    <m/>
    <x v="0"/>
    <x v="0"/>
    <d v="2013-09-02T00:00:00"/>
    <m/>
    <d v="2016-12-31T00:00:00"/>
    <x v="0"/>
    <s v="UNTREF"/>
    <s v="UNLAM- DGA"/>
    <n v="11728"/>
    <x v="49"/>
    <x v="9"/>
    <n v="15000"/>
    <n v="13500"/>
    <n v="15000"/>
    <n v="1000"/>
    <x v="0"/>
    <x v="0"/>
    <x v="0"/>
  </r>
  <r>
    <x v="0"/>
    <x v="0"/>
    <x v="1"/>
    <x v="1"/>
    <x v="16"/>
    <x v="11"/>
    <m/>
    <m/>
    <s v="VISITAS GUIADAS"/>
    <m/>
    <s v="CCK - Alem 351"/>
    <x v="212"/>
    <s v="DNI"/>
    <n v="33761570"/>
    <n v="27337615703"/>
    <d v="1988-10-18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0"/>
    <x v="0"/>
    <m/>
    <s v="DESARROLLOS"/>
    <s v="ANALISTA"/>
    <s v="PALPALÁ-JUJUY"/>
    <s v="PALPALÁ-JUJUY"/>
    <x v="213"/>
    <s v="DNI"/>
    <n v="30012181"/>
    <n v="20300121811"/>
    <d v="1983-04-28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0"/>
    <x v="1"/>
    <x v="3"/>
    <x v="29"/>
    <x v="2"/>
    <m/>
    <m/>
    <m/>
    <s v="TECNÓPOLIS"/>
    <m/>
    <x v="214"/>
    <s v="DNI"/>
    <n v="28620660"/>
    <n v="27286206609"/>
    <m/>
    <m/>
    <m/>
    <m/>
    <m/>
    <x v="1"/>
    <x v="1"/>
    <d v="2012-11-30T00:00:00"/>
    <d v="2016-12-31T00:00:00"/>
    <d v="2016-12-31T00:00:00"/>
    <x v="1"/>
    <m/>
    <m/>
    <n v="22781.79"/>
    <x v="105"/>
    <x v="5"/>
    <s v="."/>
    <s v="."/>
    <s v="."/>
    <n v="1000"/>
    <x v="1"/>
    <x v="0"/>
    <x v="0"/>
  </r>
  <r>
    <x v="0"/>
    <x v="0"/>
    <x v="1"/>
    <x v="3"/>
    <x v="27"/>
    <x v="2"/>
    <m/>
    <m/>
    <s v="PRODUCCIÓN DE CAMPO/LOGISTICA/ARMADO"/>
    <s v="TECNÓPOLIS"/>
    <s v="TECNOPOLIS"/>
    <x v="215"/>
    <s v="DNI"/>
    <n v="17110640"/>
    <s v="20171106401"/>
    <d v="1964-12-13T00:00:00"/>
    <m/>
    <m/>
    <m/>
    <m/>
    <x v="0"/>
    <x v="0"/>
    <d v="2013-03-06T00:00:00"/>
    <m/>
    <d v="2016-12-31T00:00:00"/>
    <x v="0"/>
    <s v="UNTREF"/>
    <s v="UNTREF"/>
    <n v="17694.53"/>
    <x v="106"/>
    <x v="5"/>
    <s v="."/>
    <s v="."/>
    <s v="."/>
    <n v="1000"/>
    <x v="0"/>
    <x v="0"/>
    <x v="0"/>
  </r>
  <r>
    <x v="0"/>
    <x v="0"/>
    <x v="1"/>
    <x v="3"/>
    <x v="20"/>
    <x v="2"/>
    <m/>
    <m/>
    <m/>
    <s v="TECNÓPOLIS"/>
    <m/>
    <x v="216"/>
    <s v="DNI"/>
    <n v="38128842"/>
    <n v="27381288426"/>
    <m/>
    <m/>
    <m/>
    <m/>
    <m/>
    <x v="1"/>
    <x v="1"/>
    <d v="2012-11-30T00:00:00"/>
    <d v="2016-12-31T00:00:00"/>
    <d v="2016-12-31T00:00:00"/>
    <x v="3"/>
    <m/>
    <m/>
    <n v="15043.07"/>
    <x v="107"/>
    <x v="5"/>
    <s v="."/>
    <s v="."/>
    <s v="."/>
    <n v="1000"/>
    <x v="1"/>
    <x v="0"/>
    <x v="0"/>
  </r>
  <r>
    <x v="0"/>
    <x v="0"/>
    <x v="1"/>
    <x v="1"/>
    <x v="5"/>
    <x v="3"/>
    <s v="LIMPIEZA (En comisión Tecnópolis)"/>
    <s v="Asistente"/>
    <s v="OPERATIVA Y LOGISTICA"/>
    <s v="CCK"/>
    <s v="CCK - Alem 351"/>
    <x v="217"/>
    <s v="DNI"/>
    <n v="34435620"/>
    <s v="20344356204"/>
    <d v="1978-11-04T00:00:00"/>
    <m/>
    <m/>
    <m/>
    <m/>
    <x v="0"/>
    <x v="0"/>
    <d v="2015-06-10T00:00:00"/>
    <m/>
    <d v="2016-12-31T00:00:00"/>
    <x v="0"/>
    <s v="UNTREF"/>
    <s v="UNTREF"/>
    <n v="10500"/>
    <x v="5"/>
    <x v="4"/>
    <n v="14000"/>
    <n v="12500"/>
    <s v="."/>
    <n v="1000"/>
    <x v="0"/>
    <x v="0"/>
    <x v="0"/>
  </r>
  <r>
    <x v="0"/>
    <x v="0"/>
    <x v="0"/>
    <x v="0"/>
    <x v="8"/>
    <x v="6"/>
    <m/>
    <s v="PANORAMA ARGENTINO"/>
    <s v="PRODUCTOR de EXTERIORES"/>
    <s v="CABILDO 65"/>
    <s v="CABILDO 65"/>
    <x v="218"/>
    <s v="DNI"/>
    <n v="27108257"/>
    <s v="27271082571"/>
    <d v="1979-03-27T00:00:00"/>
    <m/>
    <m/>
    <m/>
    <m/>
    <x v="0"/>
    <x v="0"/>
    <d v="2011-09-26T00:00:00"/>
    <m/>
    <d v="2016-12-31T00:00:00"/>
    <x v="0"/>
    <s v="UNTREF"/>
    <s v="UNSAM- LADA"/>
    <n v="31238"/>
    <x v="108"/>
    <x v="5"/>
    <s v="."/>
    <s v="."/>
    <s v="."/>
    <n v="1000"/>
    <x v="2"/>
    <x v="0"/>
    <x v="0"/>
  </r>
  <r>
    <x v="0"/>
    <x v="0"/>
    <x v="1"/>
    <x v="3"/>
    <x v="23"/>
    <x v="2"/>
    <m/>
    <m/>
    <m/>
    <s v="TECNÓPOLIS"/>
    <m/>
    <x v="219"/>
    <s v="DNI"/>
    <n v="11230423"/>
    <n v="20112304232"/>
    <m/>
    <m/>
    <m/>
    <m/>
    <m/>
    <x v="1"/>
    <x v="1"/>
    <d v="2012-12-01T00:00:00"/>
    <d v="2016-12-31T00:00:00"/>
    <d v="2016-12-31T00:00:00"/>
    <x v="10"/>
    <m/>
    <m/>
    <n v="25047.11"/>
    <x v="109"/>
    <x v="5"/>
    <s v="."/>
    <s v="."/>
    <s v="."/>
    <n v="1000"/>
    <x v="1"/>
    <x v="0"/>
    <x v="0"/>
  </r>
  <r>
    <x v="0"/>
    <x v="0"/>
    <x v="0"/>
    <x v="0"/>
    <x v="8"/>
    <x v="6"/>
    <m/>
    <s v="ADMINISTRACIÓN"/>
    <m/>
    <s v="CABILDO 65"/>
    <m/>
    <x v="220"/>
    <s v="DNI"/>
    <n v="30220115"/>
    <n v="27302201159"/>
    <m/>
    <m/>
    <m/>
    <m/>
    <m/>
    <x v="1"/>
    <x v="1"/>
    <d v="2012-12-01T00:00:00"/>
    <d v="2016-12-31T00:00:00"/>
    <d v="2016-12-31T00:00:00"/>
    <x v="2"/>
    <m/>
    <m/>
    <n v="12274"/>
    <x v="23"/>
    <x v="5"/>
    <s v="."/>
    <s v="."/>
    <s v="."/>
    <n v="1000"/>
    <x v="1"/>
    <x v="0"/>
    <x v="0"/>
  </r>
  <r>
    <x v="0"/>
    <x v="0"/>
    <x v="0"/>
    <x v="0"/>
    <x v="8"/>
    <x v="6"/>
    <m/>
    <s v="CONTENIDOS DIGITALES ABIERTOS CDA"/>
    <s v="ADMINISTRATIVO"/>
    <s v="CABILDO 65"/>
    <s v="CABILDO 65"/>
    <x v="221"/>
    <s v="DNI"/>
    <n v="36086015"/>
    <s v="23360860159"/>
    <d v="1991-10-01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1"/>
    <x v="0"/>
    <x v="2"/>
    <x v="2"/>
    <x v="2"/>
    <m/>
    <s v="PRIVADA"/>
    <s v="ADMINISTRATIVO"/>
    <m/>
    <s v="CCK - Alem 351"/>
    <x v="222"/>
    <s v="DNI"/>
    <n v="16975219"/>
    <s v="27169752198"/>
    <d v="1964-04-17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0"/>
    <x v="1"/>
    <x v="1"/>
    <x v="5"/>
    <x v="21"/>
    <m/>
    <s v="Asistente"/>
    <s v="Asistente"/>
    <s v="CCK"/>
    <s v="CCK - Alem 351"/>
    <x v="223"/>
    <s v="DNI"/>
    <n v="18882003"/>
    <s v="23188820034"/>
    <d v="1989-05-10T00:00:00"/>
    <m/>
    <m/>
    <m/>
    <m/>
    <x v="0"/>
    <x v="0"/>
    <d v="2014-02-01T00:00:00"/>
    <m/>
    <d v="2016-12-31T00:00:00"/>
    <x v="0"/>
    <s v="UNTREF"/>
    <s v="UNLAM- DGA"/>
    <n v="10807"/>
    <x v="5"/>
    <x v="7"/>
    <n v="14000"/>
    <n v="12500"/>
    <n v="14000"/>
    <n v="1000"/>
    <x v="0"/>
    <x v="0"/>
    <x v="0"/>
  </r>
  <r>
    <x v="0"/>
    <x v="0"/>
    <x v="1"/>
    <x v="1"/>
    <x v="10"/>
    <x v="2"/>
    <m/>
    <s v="Coordinación"/>
    <s v="ADMINISTRATIVA"/>
    <s v="CCK"/>
    <s v="CCK - Alem 351"/>
    <x v="224"/>
    <s v="DNI"/>
    <n v="16975165"/>
    <s v="27169751655"/>
    <d v="1964-06-10T00:00:00"/>
    <m/>
    <m/>
    <m/>
    <m/>
    <x v="0"/>
    <x v="0"/>
    <d v="2015-12-01T00:00:00"/>
    <m/>
    <d v="2016-12-31T00:00:00"/>
    <x v="0"/>
    <s v="UNTREF"/>
    <s v="UNSAM"/>
    <n v="16000"/>
    <x v="93"/>
    <x v="20"/>
    <n v="30000"/>
    <s v="."/>
    <s v="."/>
    <n v="1000"/>
    <x v="0"/>
    <x v="0"/>
    <x v="0"/>
  </r>
  <r>
    <x v="0"/>
    <x v="0"/>
    <x v="1"/>
    <x v="3"/>
    <x v="2"/>
    <x v="2"/>
    <m/>
    <s v="PRIVADA"/>
    <s v="ADMINISTRATIVO"/>
    <m/>
    <s v="TECNOPOLIS"/>
    <x v="225"/>
    <s v="DNI"/>
    <n v="26934949"/>
    <n v="27269349498"/>
    <d v="1978-10-21T00:00:00"/>
    <m/>
    <m/>
    <m/>
    <m/>
    <x v="0"/>
    <x v="0"/>
    <d v="2016-03-01T00:00:00"/>
    <m/>
    <d v="2016-12-31T00:00:00"/>
    <x v="0"/>
    <s v="UNTREF"/>
    <m/>
    <n v="15000"/>
    <x v="110"/>
    <x v="9"/>
    <n v="15000"/>
    <s v="."/>
    <s v="."/>
    <n v="1000"/>
    <x v="0"/>
    <x v="0"/>
    <x v="0"/>
  </r>
  <r>
    <x v="0"/>
    <x v="0"/>
    <x v="0"/>
    <x v="0"/>
    <x v="8"/>
    <x v="6"/>
    <m/>
    <s v="BACUA"/>
    <s v="ADMINISTRATIVO"/>
    <s v="CABILDO 65"/>
    <s v="CABILDO 65"/>
    <x v="226"/>
    <s v="DNI"/>
    <n v="26364795"/>
    <s v="27263647950"/>
    <d v="1978-02-13T00:00:00"/>
    <m/>
    <m/>
    <m/>
    <m/>
    <x v="0"/>
    <x v="0"/>
    <d v="2011-07-18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0"/>
    <x v="0"/>
    <x v="8"/>
    <x v="4"/>
    <m/>
    <s v="PRODUCCIÓN"/>
    <s v="PRODUCTOR de EXTERIORES"/>
    <s v="CABILDO 65"/>
    <s v="CABILDO 65"/>
    <x v="227"/>
    <s v="DNI"/>
    <n v="31174675"/>
    <s v="27311746753"/>
    <d v="1984-09-04T00:00:00"/>
    <m/>
    <m/>
    <m/>
    <m/>
    <x v="0"/>
    <x v="0"/>
    <d v="2015-08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1"/>
    <x v="3"/>
    <x v="33"/>
    <x v="2"/>
    <m/>
    <s v="ADMINISTRATIVO"/>
    <m/>
    <s v="TECNÓPOLIS"/>
    <m/>
    <x v="228"/>
    <s v="DNI"/>
    <n v="29919350"/>
    <n v="27109341202"/>
    <m/>
    <m/>
    <m/>
    <m/>
    <m/>
    <x v="1"/>
    <x v="1"/>
    <d v="2014-02-01T00:00:00"/>
    <d v="2016-03-31T00:00:00"/>
    <d v="2016-12-31T00:00:00"/>
    <x v="2"/>
    <m/>
    <m/>
    <n v="21612.91"/>
    <x v="111"/>
    <x v="5"/>
    <s v="."/>
    <s v="."/>
    <s v="."/>
    <n v="1000"/>
    <x v="1"/>
    <x v="0"/>
    <x v="0"/>
  </r>
  <r>
    <x v="0"/>
    <x v="0"/>
    <x v="1"/>
    <x v="1"/>
    <x v="16"/>
    <x v="11"/>
    <m/>
    <m/>
    <s v="VISITAS GUIADAS"/>
    <m/>
    <s v="CCK - Alem 351"/>
    <x v="229"/>
    <s v="DNI"/>
    <n v="39245263"/>
    <n v="27392452635"/>
    <d v="1995-09-11T00:00:00"/>
    <m/>
    <m/>
    <m/>
    <m/>
    <x v="0"/>
    <x v="0"/>
    <d v="2016-05-15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34"/>
    <x v="2"/>
    <m/>
    <s v="Jefe de Gabinete"/>
    <s v="Asistente"/>
    <s v="CCK"/>
    <s v="CCK - Alem 351"/>
    <x v="230"/>
    <s v="DNI"/>
    <n v="22896765"/>
    <s v="27228967659"/>
    <d v="1973-01-03T00:00:00"/>
    <m/>
    <m/>
    <m/>
    <m/>
    <x v="0"/>
    <x v="0"/>
    <d v="2016-01-01T00:00:00"/>
    <m/>
    <d v="2016-12-31T00:00:00"/>
    <x v="0"/>
    <s v="UNTREF"/>
    <s v="UNSAM"/>
    <n v="27374"/>
    <x v="112"/>
    <x v="22"/>
    <n v="36000"/>
    <n v="36000"/>
    <s v="."/>
    <n v="1000"/>
    <x v="0"/>
    <x v="0"/>
    <x v="0"/>
  </r>
  <r>
    <x v="0"/>
    <x v="1"/>
    <x v="0"/>
    <x v="5"/>
    <x v="2"/>
    <x v="2"/>
    <m/>
    <s v="PRIVADA"/>
    <s v="ADMINISTRATIVO"/>
    <m/>
    <s v="CCK - Alem 351"/>
    <x v="231"/>
    <s v="DNI"/>
    <n v="12945483"/>
    <s v="20129454831"/>
    <d v="1958-10-12T00:00:00"/>
    <m/>
    <m/>
    <m/>
    <m/>
    <x v="0"/>
    <x v="0"/>
    <d v="2016-01-01T00:00:00"/>
    <m/>
    <d v="2016-12-31T00:00:00"/>
    <x v="0"/>
    <s v="UNTREF"/>
    <s v="UNSAM"/>
    <n v="15182"/>
    <x v="113"/>
    <x v="23"/>
    <n v="15182"/>
    <n v="20000"/>
    <s v="."/>
    <n v="1000"/>
    <x v="0"/>
    <x v="0"/>
    <x v="0"/>
  </r>
  <r>
    <x v="0"/>
    <x v="0"/>
    <x v="1"/>
    <x v="3"/>
    <x v="2"/>
    <x v="2"/>
    <m/>
    <s v="PRIVADA"/>
    <s v="ADMINISTRATIVO"/>
    <s v="TECNÓPOLIS"/>
    <s v="TECNOPOLIS"/>
    <x v="232"/>
    <s v="DNI"/>
    <n v="29041166"/>
    <s v="27290411667"/>
    <d v="1981-09-02T00:00:00"/>
    <m/>
    <m/>
    <m/>
    <m/>
    <x v="0"/>
    <x v="0"/>
    <d v="2016-01-01T00:00:00"/>
    <m/>
    <d v="2016-12-31T00:00:00"/>
    <x v="0"/>
    <s v="UNTREF"/>
    <s v="UNSAM"/>
    <n v="25000"/>
    <x v="48"/>
    <x v="11"/>
    <n v="25000"/>
    <s v=".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233"/>
    <s v="DNI"/>
    <n v="31912459"/>
    <s v="20319124595"/>
    <d v="1985-10-27T00:00:00"/>
    <m/>
    <m/>
    <m/>
    <m/>
    <x v="0"/>
    <x v="0"/>
    <d v="2013-10-08T00:00:00"/>
    <m/>
    <d v="2016-12-31T00:00:00"/>
    <x v="0"/>
    <s v="UNTREF"/>
    <s v="UNSAM- LADA"/>
    <n v="25763"/>
    <x v="114"/>
    <x v="5"/>
    <s v="."/>
    <s v="."/>
    <s v="."/>
    <n v="1000"/>
    <x v="2"/>
    <x v="0"/>
    <x v="0"/>
  </r>
  <r>
    <x v="0"/>
    <x v="0"/>
    <x v="1"/>
    <x v="3"/>
    <x v="2"/>
    <x v="2"/>
    <m/>
    <s v="PRIVADA"/>
    <m/>
    <s v="TECNÓPOLIS"/>
    <m/>
    <x v="234"/>
    <s v="DNI"/>
    <n v="37206132"/>
    <n v="20372061325"/>
    <m/>
    <m/>
    <m/>
    <m/>
    <m/>
    <x v="0"/>
    <x v="0"/>
    <m/>
    <m/>
    <m/>
    <x v="0"/>
    <m/>
    <m/>
    <m/>
    <x v="18"/>
    <x v="3"/>
    <m/>
    <m/>
    <m/>
    <m/>
    <x v="1"/>
    <x v="0"/>
    <x v="2"/>
  </r>
  <r>
    <x v="0"/>
    <x v="0"/>
    <x v="1"/>
    <x v="3"/>
    <x v="2"/>
    <x v="2"/>
    <m/>
    <s v="PRIVADA"/>
    <m/>
    <s v="TECNÓPOLIS"/>
    <m/>
    <x v="235"/>
    <s v="DNI"/>
    <n v="25539605"/>
    <m/>
    <m/>
    <m/>
    <m/>
    <m/>
    <m/>
    <x v="0"/>
    <x v="0"/>
    <m/>
    <m/>
    <m/>
    <x v="0"/>
    <m/>
    <m/>
    <m/>
    <x v="18"/>
    <x v="3"/>
    <m/>
    <m/>
    <m/>
    <m/>
    <x v="1"/>
    <x v="0"/>
    <x v="2"/>
  </r>
  <r>
    <x v="0"/>
    <x v="0"/>
    <x v="1"/>
    <x v="3"/>
    <x v="27"/>
    <x v="2"/>
    <m/>
    <m/>
    <s v="OPERACIÓN/MONTAJE/MANTENIMIENTO"/>
    <s v="TECNÓPOLIS"/>
    <s v="TECNOPOLIS"/>
    <x v="236"/>
    <s v="DNI"/>
    <n v="27287977"/>
    <s v="20272879770"/>
    <d v="1979-06-03T00:00:00"/>
    <m/>
    <m/>
    <m/>
    <m/>
    <x v="0"/>
    <x v="0"/>
    <d v="2013-04-01T00:00:00"/>
    <m/>
    <d v="2016-12-31T00:00:00"/>
    <x v="0"/>
    <s v="UNTREF"/>
    <s v="UNTREF"/>
    <n v="23441.14"/>
    <x v="115"/>
    <x v="5"/>
    <s v="."/>
    <s v="."/>
    <s v="."/>
    <n v="1000"/>
    <x v="0"/>
    <x v="0"/>
    <x v="0"/>
  </r>
  <r>
    <x v="0"/>
    <x v="0"/>
    <x v="1"/>
    <x v="1"/>
    <x v="16"/>
    <x v="11"/>
    <m/>
    <m/>
    <s v="VISITAS GUIADAS"/>
    <m/>
    <s v="CCK - Alem 351"/>
    <x v="237"/>
    <s v="DNI"/>
    <n v="39372628"/>
    <n v="20393726289"/>
    <d v="1995-11-03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3"/>
    <x v="2"/>
    <m/>
    <m/>
    <m/>
    <s v="TECNÓPOLIS"/>
    <m/>
    <x v="238"/>
    <s v="DNI"/>
    <n v="20688117"/>
    <n v="27206881173"/>
    <m/>
    <m/>
    <m/>
    <m/>
    <m/>
    <x v="1"/>
    <x v="1"/>
    <d v="2012-01-01T00:00:00"/>
    <d v="2016-12-31T00:00:00"/>
    <d v="2016-12-31T00:00:00"/>
    <x v="3"/>
    <m/>
    <m/>
    <n v="26338.41"/>
    <x v="116"/>
    <x v="5"/>
    <s v="."/>
    <s v="."/>
    <s v="."/>
    <n v="1000"/>
    <x v="1"/>
    <x v="0"/>
    <x v="0"/>
  </r>
  <r>
    <x v="0"/>
    <x v="1"/>
    <x v="0"/>
    <x v="5"/>
    <x v="17"/>
    <x v="12"/>
    <s v="AUTOMOTORES"/>
    <s v="CHOFER"/>
    <m/>
    <m/>
    <m/>
    <x v="239"/>
    <s v="DNI"/>
    <n v="22305941"/>
    <n v="23223059414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1"/>
    <x v="1"/>
    <x v="1"/>
    <x v="1"/>
    <m/>
    <m/>
    <s v="ADMINISTRATIVO"/>
    <m/>
    <s v="CCK - Alem 351"/>
    <x v="240"/>
    <s v="DNI"/>
    <n v="20593034"/>
    <n v="27205930340"/>
    <d v="1968-10-11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35"/>
    <x v="2"/>
    <m/>
    <m/>
    <m/>
    <s v="TECNÓPOLIS"/>
    <m/>
    <x v="241"/>
    <s v="DNI"/>
    <n v="17233895"/>
    <n v="20172338950"/>
    <m/>
    <m/>
    <m/>
    <m/>
    <m/>
    <x v="1"/>
    <x v="1"/>
    <d v="2011-07-01T00:00:00"/>
    <d v="2016-12-31T00:00:00"/>
    <d v="2016-12-31T00:00:00"/>
    <x v="3"/>
    <m/>
    <m/>
    <n v="29747"/>
    <x v="117"/>
    <x v="5"/>
    <s v="."/>
    <s v="."/>
    <s v="."/>
    <n v="1000"/>
    <x v="1"/>
    <x v="0"/>
    <x v="0"/>
  </r>
  <r>
    <x v="0"/>
    <x v="0"/>
    <x v="1"/>
    <x v="1"/>
    <x v="14"/>
    <x v="2"/>
    <m/>
    <m/>
    <m/>
    <s v="CCK"/>
    <s v="CCK - Alem 351"/>
    <x v="242"/>
    <s v="DNI"/>
    <n v="30366685"/>
    <n v="27303666856"/>
    <m/>
    <m/>
    <m/>
    <m/>
    <m/>
    <x v="1"/>
    <x v="1"/>
    <d v="2012-10-31T00:00:00"/>
    <d v="2016-12-31T00:00:00"/>
    <d v="2016-12-31T00:00:00"/>
    <x v="3"/>
    <m/>
    <m/>
    <n v="22118.560000000001"/>
    <x v="118"/>
    <x v="5"/>
    <s v="."/>
    <s v="."/>
    <s v="."/>
    <n v="1000"/>
    <x v="1"/>
    <x v="0"/>
    <x v="0"/>
  </r>
  <r>
    <x v="0"/>
    <x v="0"/>
    <x v="0"/>
    <x v="0"/>
    <x v="0"/>
    <x v="0"/>
    <m/>
    <s v="DISEÑO"/>
    <s v="ANALISTA"/>
    <s v="PALPALÁ-JUJUY"/>
    <s v="PALPALÁ-JUJUY"/>
    <x v="243"/>
    <s v="DNI"/>
    <n v="30666242"/>
    <n v="20306662423"/>
    <d v="1984-05-22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0"/>
    <x v="0"/>
    <x v="8"/>
    <x v="6"/>
    <m/>
    <s v="BACUA"/>
    <m/>
    <s v="CABILDO 65"/>
    <m/>
    <x v="244"/>
    <s v="DNI"/>
    <n v="24940117"/>
    <n v="27249401175"/>
    <m/>
    <m/>
    <m/>
    <m/>
    <m/>
    <x v="1"/>
    <x v="1"/>
    <d v="2013-12-01T00:00:00"/>
    <d v="2016-03-31T00:00:00"/>
    <d v="2016-12-31T00:00:00"/>
    <x v="4"/>
    <m/>
    <m/>
    <n v="18000"/>
    <x v="57"/>
    <x v="5"/>
    <s v="."/>
    <s v="."/>
    <s v="."/>
    <n v="1000"/>
    <x v="1"/>
    <x v="0"/>
    <x v="0"/>
  </r>
  <r>
    <x v="0"/>
    <x v="0"/>
    <x v="1"/>
    <x v="3"/>
    <x v="20"/>
    <x v="2"/>
    <m/>
    <m/>
    <m/>
    <s v="TECNÓPOLIS"/>
    <m/>
    <x v="245"/>
    <s v="DNI"/>
    <n v="36644944"/>
    <n v="20366449443"/>
    <m/>
    <m/>
    <m/>
    <m/>
    <m/>
    <x v="1"/>
    <x v="1"/>
    <d v="2012-03-01T00:00:00"/>
    <d v="2016-12-31T00:00:00"/>
    <d v="2016-12-31T00:00:00"/>
    <x v="1"/>
    <m/>
    <m/>
    <n v="15533.86"/>
    <x v="119"/>
    <x v="5"/>
    <s v="."/>
    <s v="."/>
    <s v="."/>
    <n v="1000"/>
    <x v="1"/>
    <x v="0"/>
    <x v="0"/>
  </r>
  <r>
    <x v="0"/>
    <x v="1"/>
    <x v="0"/>
    <x v="5"/>
    <x v="17"/>
    <x v="15"/>
    <m/>
    <s v="Enfermera/o"/>
    <s v="ADMINISTRATIVO"/>
    <m/>
    <s v="CCK - Alem 351"/>
    <x v="246"/>
    <s v="DNI"/>
    <n v="14799602"/>
    <n v="27147996026"/>
    <d v="1962-08-24T00:00:00"/>
    <m/>
    <m/>
    <m/>
    <m/>
    <x v="0"/>
    <x v="0"/>
    <d v="2016-07-14T00:00:00"/>
    <m/>
    <d v="2016-12-31T00:00:00"/>
    <x v="0"/>
    <s v="UNTREF"/>
    <m/>
    <m/>
    <x v="18"/>
    <x v="3"/>
    <m/>
    <m/>
    <m/>
    <m/>
    <x v="1"/>
    <x v="0"/>
    <x v="2"/>
  </r>
  <r>
    <x v="0"/>
    <x v="1"/>
    <x v="0"/>
    <x v="5"/>
    <x v="17"/>
    <x v="12"/>
    <s v="AUTOMOTORES"/>
    <s v="CHOFER"/>
    <m/>
    <s v="CCK"/>
    <m/>
    <x v="247"/>
    <s v="DNI"/>
    <n v="18315881"/>
    <n v="20183158814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1"/>
    <x v="3"/>
    <x v="2"/>
    <x v="2"/>
    <m/>
    <s v="PRIVADA"/>
    <s v="ADMINISTRATIVO"/>
    <s v="TECNÓPOLIS"/>
    <s v="TECNOPOLIS"/>
    <x v="248"/>
    <s v="DNI"/>
    <n v="24753217"/>
    <s v="20247532170"/>
    <d v="1975-07-23T00:00:00"/>
    <m/>
    <m/>
    <m/>
    <m/>
    <x v="0"/>
    <x v="0"/>
    <d v="2016-01-01T00:00:00"/>
    <m/>
    <d v="2016-12-31T00:00:00"/>
    <x v="0"/>
    <s v="UNTREF"/>
    <s v="UNSAM"/>
    <n v="29000"/>
    <x v="120"/>
    <x v="24"/>
    <n v="29000"/>
    <s v="."/>
    <s v="."/>
    <n v="1000"/>
    <x v="0"/>
    <x v="0"/>
    <x v="0"/>
  </r>
  <r>
    <x v="0"/>
    <x v="0"/>
    <x v="0"/>
    <x v="0"/>
    <x v="8"/>
    <x v="6"/>
    <m/>
    <s v="BACUA"/>
    <s v="ADMINISTRATIVO"/>
    <s v="CABILDO 65"/>
    <s v="CABILDO 65"/>
    <x v="249"/>
    <s v="DNI"/>
    <n v="94614938"/>
    <s v="20946149382"/>
    <d v="1973-08-31T00:00:00"/>
    <m/>
    <m/>
    <m/>
    <m/>
    <x v="0"/>
    <x v="0"/>
    <d v="2011-09-22T00:00:00"/>
    <m/>
    <d v="2016-12-31T00:00:00"/>
    <x v="0"/>
    <s v="UNTREF"/>
    <s v="UNSAM- LADA"/>
    <n v="34485"/>
    <x v="121"/>
    <x v="5"/>
    <s v="."/>
    <s v="."/>
    <s v="."/>
    <n v="1000"/>
    <x v="2"/>
    <x v="0"/>
    <x v="0"/>
  </r>
  <r>
    <x v="0"/>
    <x v="0"/>
    <x v="1"/>
    <x v="3"/>
    <x v="32"/>
    <x v="2"/>
    <m/>
    <m/>
    <s v="CONTROL/SUPERVICION DE LA LIMPIEZA PREDIO"/>
    <s v="TECNÓPOLIS"/>
    <s v="TECNOPOLIS"/>
    <x v="250"/>
    <s v="DNI"/>
    <n v="23652019"/>
    <s v="27236520191"/>
    <d v="1974-01-10T00:00:00"/>
    <m/>
    <m/>
    <m/>
    <m/>
    <x v="0"/>
    <x v="0"/>
    <d v="2013-06-01T00:00:00"/>
    <m/>
    <d v="2016-12-31T00:00:00"/>
    <x v="0"/>
    <s v="UNTREF"/>
    <s v="UNTREF"/>
    <n v="12273.52"/>
    <x v="122"/>
    <x v="5"/>
    <s v="."/>
    <s v="."/>
    <s v="."/>
    <n v="1000"/>
    <x v="0"/>
    <x v="0"/>
    <x v="0"/>
  </r>
  <r>
    <x v="0"/>
    <x v="0"/>
    <x v="1"/>
    <x v="3"/>
    <x v="36"/>
    <x v="2"/>
    <m/>
    <m/>
    <m/>
    <s v="TECNÓPOLIS"/>
    <m/>
    <x v="251"/>
    <s v="DNI"/>
    <n v="26263263"/>
    <n v="27262632631"/>
    <m/>
    <m/>
    <m/>
    <m/>
    <m/>
    <x v="1"/>
    <x v="1"/>
    <d v="2011-12-01T00:00:00"/>
    <d v="2016-12-31T00:00:00"/>
    <d v="2016-12-31T00:00:00"/>
    <x v="1"/>
    <m/>
    <m/>
    <n v="18391.28"/>
    <x v="123"/>
    <x v="5"/>
    <s v="."/>
    <s v="."/>
    <s v="."/>
    <n v="1000"/>
    <x v="1"/>
    <x v="0"/>
    <x v="0"/>
  </r>
  <r>
    <x v="0"/>
    <x v="0"/>
    <x v="0"/>
    <x v="0"/>
    <x v="8"/>
    <x v="6"/>
    <m/>
    <s v="PRODUCCIÓN"/>
    <s v="PRODUCTOR de EXTERIORES"/>
    <s v="CABILDO 65"/>
    <s v="CABILDO 65"/>
    <x v="252"/>
    <s v="DNI"/>
    <n v="62695520"/>
    <s v="20626955208"/>
    <d v="1980-04-03T00:00:00"/>
    <m/>
    <m/>
    <m/>
    <m/>
    <x v="0"/>
    <x v="0"/>
    <d v="2015-07-01T00:00:00"/>
    <m/>
    <d v="2016-12-31T00:00:00"/>
    <x v="0"/>
    <s v="UNTREF"/>
    <m/>
    <n v="22151"/>
    <x v="58"/>
    <x v="3"/>
    <m/>
    <m/>
    <m/>
    <n v="1000"/>
    <x v="2"/>
    <x v="0"/>
    <x v="0"/>
  </r>
  <r>
    <x v="0"/>
    <x v="0"/>
    <x v="0"/>
    <x v="0"/>
    <x v="8"/>
    <x v="6"/>
    <m/>
    <s v="TÉCNICA Y TRANSMISIÓN"/>
    <s v="ADMINISTRATIVO"/>
    <s v="CABILDO 65"/>
    <s v="CABILDO 65"/>
    <x v="253"/>
    <s v="DNI"/>
    <n v="28800211"/>
    <s v="20288002119"/>
    <d v="1981-03-28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1"/>
    <x v="0"/>
    <x v="5"/>
    <x v="7"/>
    <x v="2"/>
    <m/>
    <s v="ADMINISTRACIÓN"/>
    <s v="ADMINISTRATIVO"/>
    <m/>
    <s v="CCK - Alem 351"/>
    <x v="254"/>
    <s v="DNI"/>
    <n v="32628904"/>
    <s v="20326289044"/>
    <d v="1986-12-19T00:00:00"/>
    <m/>
    <m/>
    <m/>
    <m/>
    <x v="0"/>
    <x v="0"/>
    <m/>
    <m/>
    <d v="2016-12-31T00:00:00"/>
    <x v="0"/>
    <s v="UNTREF"/>
    <m/>
    <n v="17102"/>
    <x v="1"/>
    <x v="25"/>
    <s v="."/>
    <s v="."/>
    <s v="."/>
    <n v="1000"/>
    <x v="0"/>
    <x v="0"/>
    <x v="0"/>
  </r>
  <r>
    <x v="0"/>
    <x v="1"/>
    <x v="0"/>
    <x v="5"/>
    <x v="7"/>
    <x v="2"/>
    <m/>
    <m/>
    <m/>
    <m/>
    <m/>
    <x v="255"/>
    <s v="DNI"/>
    <n v="34783483"/>
    <n v="20347834832"/>
    <m/>
    <m/>
    <m/>
    <m/>
    <m/>
    <x v="1"/>
    <x v="1"/>
    <d v="2008-04-01T00:00:00"/>
    <d v="2016-12-31T00:00:00"/>
    <d v="2016-12-31T00:00:00"/>
    <x v="6"/>
    <m/>
    <m/>
    <n v="22812"/>
    <x v="124"/>
    <x v="5"/>
    <s v="."/>
    <s v="."/>
    <s v="."/>
    <n v="1000"/>
    <x v="1"/>
    <x v="0"/>
    <x v="0"/>
  </r>
  <r>
    <x v="0"/>
    <x v="1"/>
    <x v="0"/>
    <x v="5"/>
    <x v="37"/>
    <x v="2"/>
    <m/>
    <s v="Asistente"/>
    <s v="Asistente"/>
    <s v="CCK"/>
    <s v="CCK - Alem 351"/>
    <x v="256"/>
    <s v="DNI"/>
    <n v="35378165"/>
    <s v="27353781656"/>
    <d v="1990-12-29T00:00:00"/>
    <m/>
    <m/>
    <m/>
    <m/>
    <x v="0"/>
    <x v="0"/>
    <d v="2015-08-01T00:00:00"/>
    <m/>
    <d v="2016-12-31T00:00:00"/>
    <x v="0"/>
    <s v="UNTREF"/>
    <s v="UNLAM- BICENTENARIO"/>
    <n v="10096"/>
    <x v="30"/>
    <x v="18"/>
    <n v="16000"/>
    <n v="14000"/>
    <s v="."/>
    <n v="1000"/>
    <x v="0"/>
    <x v="0"/>
    <x v="0"/>
  </r>
  <r>
    <x v="0"/>
    <x v="0"/>
    <x v="1"/>
    <x v="3"/>
    <x v="20"/>
    <x v="2"/>
    <m/>
    <m/>
    <m/>
    <s v="TECNÓPOLIS"/>
    <m/>
    <x v="257"/>
    <s v="DNI"/>
    <n v="33530306"/>
    <n v="20335303068"/>
    <m/>
    <m/>
    <m/>
    <m/>
    <m/>
    <x v="1"/>
    <x v="1"/>
    <d v="2011-07-01T00:00:00"/>
    <d v="2016-12-31T00:00:00"/>
    <d v="2016-12-31T00:00:00"/>
    <x v="8"/>
    <m/>
    <m/>
    <n v="15838.72"/>
    <x v="125"/>
    <x v="5"/>
    <s v="."/>
    <s v="."/>
    <s v="."/>
    <n v="1000"/>
    <x v="1"/>
    <x v="0"/>
    <x v="0"/>
  </r>
  <r>
    <x v="0"/>
    <x v="0"/>
    <x v="1"/>
    <x v="1"/>
    <x v="5"/>
    <x v="14"/>
    <s v="SOPORTE ADMINISTRATIVO"/>
    <s v="ADMINISTRATIVA"/>
    <s v="Auxiliar"/>
    <s v="CCK"/>
    <s v="CCK - Alem 351"/>
    <x v="258"/>
    <s v="DNI"/>
    <n v="93355924"/>
    <s v="27933559241"/>
    <d v="1990-10-30T00:00:00"/>
    <m/>
    <m/>
    <m/>
    <m/>
    <x v="0"/>
    <x v="0"/>
    <d v="2015-07-20T00:00:00"/>
    <m/>
    <d v="2016-12-31T00:00:00"/>
    <x v="0"/>
    <s v="UNTREF"/>
    <s v="UNLAM- BICENTENARIO"/>
    <n v="15732"/>
    <x v="126"/>
    <x v="26"/>
    <n v="15732"/>
    <s v="."/>
    <s v="."/>
    <n v="1000"/>
    <x v="0"/>
    <x v="0"/>
    <x v="0"/>
  </r>
  <r>
    <x v="0"/>
    <x v="0"/>
    <x v="0"/>
    <x v="6"/>
    <x v="12"/>
    <x v="2"/>
    <m/>
    <m/>
    <s v="ADMINISTRATIVO"/>
    <m/>
    <s v="CCK - Alem 351"/>
    <x v="259"/>
    <s v="DNI"/>
    <n v="6398055"/>
    <n v="27063980558"/>
    <d v="1950-08-15T00:00:00"/>
    <m/>
    <m/>
    <m/>
    <m/>
    <x v="0"/>
    <x v="0"/>
    <m/>
    <m/>
    <d v="2016-12-31T00:00:00"/>
    <x v="0"/>
    <s v="UNTREF"/>
    <m/>
    <n v="17000"/>
    <x v="50"/>
    <x v="3"/>
    <m/>
    <m/>
    <m/>
    <n v="1000"/>
    <x v="0"/>
    <x v="0"/>
    <x v="0"/>
  </r>
  <r>
    <x v="0"/>
    <x v="0"/>
    <x v="1"/>
    <x v="3"/>
    <x v="20"/>
    <x v="2"/>
    <m/>
    <m/>
    <m/>
    <s v="TECNÓPOLIS"/>
    <m/>
    <x v="260"/>
    <s v="DNI"/>
    <n v="36949353"/>
    <n v="20369493532"/>
    <m/>
    <m/>
    <m/>
    <m/>
    <m/>
    <x v="1"/>
    <x v="1"/>
    <d v="2013-05-01T00:00:00"/>
    <d v="2016-03-31T00:00:00"/>
    <d v="2016-12-31T00:00:00"/>
    <x v="8"/>
    <m/>
    <m/>
    <n v="12908.93"/>
    <x v="127"/>
    <x v="5"/>
    <s v="."/>
    <s v="."/>
    <s v="."/>
    <n v="1000"/>
    <x v="1"/>
    <x v="0"/>
    <x v="0"/>
  </r>
  <r>
    <x v="0"/>
    <x v="0"/>
    <x v="0"/>
    <x v="6"/>
    <x v="12"/>
    <x v="2"/>
    <m/>
    <m/>
    <s v="ADMINISTRATIVO"/>
    <m/>
    <s v="CCK - Alem 351"/>
    <x v="261"/>
    <s v="DNI"/>
    <n v="34434699"/>
    <s v="24344346999"/>
    <d v="1989-02-24T00:00:00"/>
    <m/>
    <m/>
    <m/>
    <m/>
    <x v="0"/>
    <x v="0"/>
    <d v="2016-01-01T00:00:00"/>
    <m/>
    <d v="2016-12-31T00:00:00"/>
    <x v="0"/>
    <s v="UNTREF"/>
    <m/>
    <n v="15000"/>
    <x v="110"/>
    <x v="9"/>
    <n v="15000"/>
    <s v="."/>
    <s v="."/>
    <n v="1000"/>
    <x v="0"/>
    <x v="0"/>
    <x v="0"/>
  </r>
  <r>
    <x v="0"/>
    <x v="0"/>
    <x v="1"/>
    <x v="1"/>
    <x v="10"/>
    <x v="2"/>
    <s v="(IGUALDAD CULTURAL)"/>
    <m/>
    <m/>
    <s v="CCK"/>
    <m/>
    <x v="262"/>
    <s v="DNI"/>
    <n v="26068613"/>
    <n v="27260686130"/>
    <m/>
    <m/>
    <m/>
    <m/>
    <m/>
    <x v="1"/>
    <x v="1"/>
    <d v="2011-10-10T00:00:00"/>
    <d v="2016-12-31T00:00:00"/>
    <d v="2016-12-31T00:00:00"/>
    <x v="6"/>
    <m/>
    <m/>
    <n v="24516"/>
    <x v="128"/>
    <x v="5"/>
    <s v="."/>
    <s v="."/>
    <s v="."/>
    <n v="1000"/>
    <x v="1"/>
    <x v="0"/>
    <x v="0"/>
  </r>
  <r>
    <x v="0"/>
    <x v="1"/>
    <x v="0"/>
    <x v="2"/>
    <x v="38"/>
    <x v="2"/>
    <m/>
    <s v="CONTENIDOS"/>
    <m/>
    <s v="CCK"/>
    <m/>
    <x v="263"/>
    <s v="DNI"/>
    <n v="94251427"/>
    <n v="20942514272"/>
    <m/>
    <m/>
    <m/>
    <m/>
    <m/>
    <x v="1"/>
    <x v="1"/>
    <d v="2012-12-01T00:00:00"/>
    <d v="2016-12-31T00:00:00"/>
    <d v="2016-12-31T00:00:00"/>
    <x v="11"/>
    <m/>
    <m/>
    <n v="21517"/>
    <x v="129"/>
    <x v="5"/>
    <s v="."/>
    <s v="."/>
    <s v="."/>
    <n v="1000"/>
    <x v="1"/>
    <x v="0"/>
    <x v="0"/>
  </r>
  <r>
    <x v="0"/>
    <x v="0"/>
    <x v="1"/>
    <x v="7"/>
    <x v="2"/>
    <x v="2"/>
    <m/>
    <s v="PRIVADA"/>
    <s v="ADMINISTRATIVO"/>
    <m/>
    <s v="CCK - Alem 351"/>
    <x v="264"/>
    <s v="DNI"/>
    <n v="22061547"/>
    <n v="27220615478"/>
    <d v="1971-04-05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19"/>
    <x v="2"/>
    <m/>
    <s v="RECEPCIONISTA"/>
    <s v="RECEPCION IBC"/>
    <s v="TECNÓPOLIS"/>
    <s v="TECNOPOLIS"/>
    <x v="265"/>
    <s v="DNI"/>
    <n v="28927088"/>
    <s v="23289270884"/>
    <d v="1981-06-24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10"/>
    <x v="10"/>
    <m/>
    <s v="Tecnica"/>
    <s v="ADMINISTRATIVA"/>
    <m/>
    <s v="CCK - Alem 351"/>
    <x v="266"/>
    <s v="DNI"/>
    <n v="25940510"/>
    <s v="20259405107"/>
    <d v="1977-03-19T00:00:00"/>
    <m/>
    <m/>
    <m/>
    <m/>
    <x v="0"/>
    <x v="0"/>
    <d v="2016-04-15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1"/>
    <x v="3"/>
    <x v="2"/>
    <x v="2"/>
    <m/>
    <s v="PRIVADA"/>
    <s v="ADMINISTRATIVO"/>
    <m/>
    <s v="TECNOPOLIS"/>
    <x v="267"/>
    <s v="DNI"/>
    <n v="26621498"/>
    <n v="27266214982"/>
    <d v="1978-06-09T00:00:00"/>
    <m/>
    <m/>
    <m/>
    <m/>
    <x v="0"/>
    <x v="0"/>
    <d v="2016-03-01T00:00:00"/>
    <m/>
    <d v="2016-12-31T00:00:00"/>
    <x v="0"/>
    <s v="UNTREF"/>
    <m/>
    <n v="20000"/>
    <x v="113"/>
    <x v="8"/>
    <n v="20000"/>
    <s v="."/>
    <s v="."/>
    <n v="1000"/>
    <x v="0"/>
    <x v="0"/>
    <x v="0"/>
  </r>
  <r>
    <x v="0"/>
    <x v="0"/>
    <x v="1"/>
    <x v="3"/>
    <x v="27"/>
    <x v="2"/>
    <m/>
    <m/>
    <s v="OPERACIÓN/MONTAJE/MANTENIMIENTO"/>
    <s v="TECNÓPOLIS"/>
    <s v="TECNOPOLIS"/>
    <x v="268"/>
    <s v="DNI"/>
    <n v="28916369"/>
    <s v="20289163698"/>
    <d v="1981-07-09T00:00:00"/>
    <m/>
    <m/>
    <m/>
    <m/>
    <x v="0"/>
    <x v="0"/>
    <d v="2015-01-01T00:00:00"/>
    <m/>
    <d v="2016-12-31T00:00:00"/>
    <x v="0"/>
    <s v="UNTREF"/>
    <s v="UNTREF"/>
    <n v="15000"/>
    <x v="110"/>
    <x v="5"/>
    <s v="."/>
    <s v="."/>
    <s v=".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269"/>
    <s v="DNI"/>
    <n v="5930366"/>
    <s v="27059303665"/>
    <d v="1948-09-05T00:00:00"/>
    <m/>
    <m/>
    <m/>
    <m/>
    <x v="0"/>
    <x v="0"/>
    <d v="2012-07-01T00:00:00"/>
    <m/>
    <d v="2016-12-31T00:00:00"/>
    <x v="0"/>
    <s v="UNTREF"/>
    <s v="UNTREF"/>
    <n v="9955.51"/>
    <x v="95"/>
    <x v="5"/>
    <s v="."/>
    <s v="."/>
    <s v="."/>
    <n v="1000"/>
    <x v="0"/>
    <x v="0"/>
    <x v="0"/>
  </r>
  <r>
    <x v="0"/>
    <x v="1"/>
    <x v="0"/>
    <x v="5"/>
    <x v="37"/>
    <x v="2"/>
    <m/>
    <s v="Analista"/>
    <s v="Asistente"/>
    <s v="CCK"/>
    <s v="CCK - Alem 351"/>
    <x v="270"/>
    <s v="DNI"/>
    <n v="31198044"/>
    <s v="27311980446"/>
    <d v="1984-09-06T00:00:00"/>
    <m/>
    <m/>
    <m/>
    <m/>
    <x v="0"/>
    <x v="0"/>
    <d v="2015-03-02T00:00:00"/>
    <m/>
    <d v="2016-12-31T00:00:00"/>
    <x v="0"/>
    <s v="UNTREF"/>
    <s v="UNSAM-MINPLAN"/>
    <n v="10000"/>
    <x v="30"/>
    <x v="18"/>
    <n v="16000"/>
    <n v="14000"/>
    <s v=".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271"/>
    <s v="DNI"/>
    <n v="26953105"/>
    <s v="20269531054"/>
    <d v="1978-08-15T00:00:00"/>
    <m/>
    <m/>
    <m/>
    <m/>
    <x v="0"/>
    <x v="0"/>
    <d v="2012-04-01T00:00:00"/>
    <m/>
    <d v="2016-12-31T00:00:00"/>
    <x v="0"/>
    <s v="UNTREF"/>
    <s v="UNSAM- LADA"/>
    <n v="19100"/>
    <x v="130"/>
    <x v="5"/>
    <s v="."/>
    <s v="."/>
    <s v="."/>
    <n v="1000"/>
    <x v="2"/>
    <x v="0"/>
    <x v="0"/>
  </r>
  <r>
    <x v="0"/>
    <x v="0"/>
    <x v="0"/>
    <x v="0"/>
    <x v="8"/>
    <x v="6"/>
    <m/>
    <s v="ACUA FEDERAL"/>
    <s v="ADMINISTRATIVO"/>
    <s v="CABILDO 65"/>
    <s v="CABILDO 65"/>
    <x v="272"/>
    <s v="DNI"/>
    <n v="30566485"/>
    <s v="20305664856"/>
    <d v="1985-01-12T00:00:00"/>
    <m/>
    <m/>
    <m/>
    <m/>
    <x v="0"/>
    <x v="0"/>
    <d v="2013-05-01T00:00:00"/>
    <m/>
    <d v="2016-12-31T00:00:00"/>
    <x v="0"/>
    <s v="UNTREF"/>
    <s v="UNSAM- LADA"/>
    <n v="29420"/>
    <x v="60"/>
    <x v="5"/>
    <s v="."/>
    <s v="."/>
    <s v="."/>
    <n v="1000"/>
    <x v="2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273"/>
    <s v="DNI"/>
    <n v="20375995"/>
    <n v="27203759954"/>
    <d v="1968-08-17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1"/>
    <x v="0"/>
    <x v="5"/>
    <x v="7"/>
    <x v="2"/>
    <m/>
    <m/>
    <s v="ADMINISTRATIVO"/>
    <m/>
    <s v="CCK - Alem 351"/>
    <x v="274"/>
    <s v="DNI"/>
    <n v="31413340"/>
    <n v="23314133404"/>
    <d v="1985-04-04T00:00:00"/>
    <m/>
    <m/>
    <m/>
    <m/>
    <x v="0"/>
    <x v="0"/>
    <d v="2016-07-12T00:00:00"/>
    <m/>
    <d v="2016-12-31T00:00:00"/>
    <x v="0"/>
    <s v="UNTREF"/>
    <m/>
    <m/>
    <x v="18"/>
    <x v="3"/>
    <m/>
    <m/>
    <m/>
    <s v=" ---"/>
    <x v="3"/>
    <x v="0"/>
    <x v="0"/>
  </r>
  <r>
    <x v="0"/>
    <x v="0"/>
    <x v="1"/>
    <x v="3"/>
    <x v="15"/>
    <x v="2"/>
    <m/>
    <m/>
    <s v="TRABAJO ADMINISTRATIVO/TRABAJO COSTURA A MAQUINA"/>
    <s v="TECNÓPOLIS"/>
    <s v="TECNOPOLIS"/>
    <x v="275"/>
    <s v="DNI"/>
    <n v="32036474"/>
    <s v="23320364744"/>
    <d v="1985-12-07T00:00:00"/>
    <m/>
    <m/>
    <m/>
    <m/>
    <x v="0"/>
    <x v="0"/>
    <d v="2014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1"/>
    <x v="5"/>
    <x v="14"/>
    <s v="LIMPIEZA (En comisión Tecnópolis)"/>
    <s v="Auxiliar"/>
    <s v="Auxiliar"/>
    <s v="CCK"/>
    <s v="CCK - Alem 351"/>
    <x v="276"/>
    <s v="DNI"/>
    <n v="37041079"/>
    <s v="20370410799"/>
    <d v="1992-06-03T00:00:00"/>
    <m/>
    <m/>
    <m/>
    <m/>
    <x v="0"/>
    <x v="0"/>
    <d v="2015-06-10T00:00:00"/>
    <m/>
    <d v="2016-12-31T00:00:00"/>
    <x v="0"/>
    <s v="UNTREF"/>
    <s v="UNTREF"/>
    <n v="8500"/>
    <x v="5"/>
    <x v="4"/>
    <n v="14000"/>
    <n v="12500"/>
    <s v="."/>
    <n v="1000"/>
    <x v="0"/>
    <x v="0"/>
    <x v="0"/>
  </r>
  <r>
    <x v="0"/>
    <x v="0"/>
    <x v="1"/>
    <x v="1"/>
    <x v="10"/>
    <x v="2"/>
    <m/>
    <m/>
    <s v="ADMINISTRATIVA"/>
    <m/>
    <s v="CCK - Alem 351"/>
    <x v="277"/>
    <s v="DNI"/>
    <n v="25997290"/>
    <s v="20259972907"/>
    <d v="1977-07-02T00:00:00"/>
    <m/>
    <m/>
    <m/>
    <m/>
    <x v="0"/>
    <x v="0"/>
    <d v="2016-04-01T00:00:00"/>
    <m/>
    <d v="2016-12-31T00:00:00"/>
    <x v="0"/>
    <s v="UNTREF"/>
    <m/>
    <n v="20000"/>
    <x v="18"/>
    <x v="3"/>
    <m/>
    <m/>
    <m/>
    <n v="1000"/>
    <x v="0"/>
    <x v="0"/>
    <x v="0"/>
  </r>
  <r>
    <x v="0"/>
    <x v="1"/>
    <x v="0"/>
    <x v="5"/>
    <x v="17"/>
    <x v="17"/>
    <m/>
    <s v="Coordinador"/>
    <s v="COORDINADOR"/>
    <s v="CCK"/>
    <s v="CCK - Alem 351"/>
    <x v="278"/>
    <s v="DNI"/>
    <n v="20350247"/>
    <n v="20203502479"/>
    <d v="1968-06-29T00:00:00"/>
    <m/>
    <m/>
    <m/>
    <m/>
    <x v="0"/>
    <x v="0"/>
    <d v="2015-06-01T00:00:00"/>
    <m/>
    <d v="2016-12-31T00:00:00"/>
    <x v="0"/>
    <s v="UNTREF"/>
    <s v="UNSAM-MINPLAN"/>
    <n v="27000"/>
    <x v="53"/>
    <x v="5"/>
    <s v="."/>
    <s v="."/>
    <s v="."/>
    <n v="1000"/>
    <x v="0"/>
    <x v="0"/>
    <x v="0"/>
  </r>
  <r>
    <x v="0"/>
    <x v="0"/>
    <x v="0"/>
    <x v="0"/>
    <x v="8"/>
    <x v="6"/>
    <m/>
    <s v="ACUA FEDERAL"/>
    <s v="ADMINISTRATIVO"/>
    <s v="CABILDO 65"/>
    <s v="CABILDO 65"/>
    <x v="279"/>
    <s v="DNI"/>
    <n v="30407450"/>
    <s v="27304074502"/>
    <d v="1983-07-16T00:00:00"/>
    <m/>
    <m/>
    <m/>
    <m/>
    <x v="0"/>
    <x v="0"/>
    <d v="2013-11-18T00:00:00"/>
    <m/>
    <d v="2016-12-31T00:00:00"/>
    <x v="0"/>
    <s v="UNTREF"/>
    <s v="UNSAM- LADA"/>
    <n v="29420"/>
    <x v="60"/>
    <x v="5"/>
    <s v="."/>
    <s v="."/>
    <s v="."/>
    <n v="1000"/>
    <x v="2"/>
    <x v="0"/>
    <x v="0"/>
  </r>
  <r>
    <x v="0"/>
    <x v="0"/>
    <x v="1"/>
    <x v="7"/>
    <x v="2"/>
    <x v="2"/>
    <m/>
    <s v="ADMINISTRACION"/>
    <s v="ASISTENTE"/>
    <s v="CCK"/>
    <s v="CCK - Alem 351"/>
    <x v="280"/>
    <s v="DNI"/>
    <n v="33300296"/>
    <s v="27333002960"/>
    <d v="1987-10-28T00:00:00"/>
    <m/>
    <m/>
    <m/>
    <m/>
    <x v="0"/>
    <x v="0"/>
    <d v="2013-07-22T00:00:00"/>
    <m/>
    <d v="2016-12-31T00:00:00"/>
    <x v="0"/>
    <s v="UNTREF"/>
    <s v="UNSAM"/>
    <n v="24294"/>
    <x v="131"/>
    <x v="27"/>
    <n v="24294"/>
    <s v="."/>
    <s v="."/>
    <n v="1000"/>
    <x v="0"/>
    <x v="0"/>
    <x v="0"/>
  </r>
  <r>
    <x v="0"/>
    <x v="1"/>
    <x v="0"/>
    <x v="5"/>
    <x v="30"/>
    <x v="2"/>
    <m/>
    <s v="Asistente"/>
    <m/>
    <s v="CCK"/>
    <m/>
    <x v="281"/>
    <s v="DNI"/>
    <n v="21801576"/>
    <n v="27218015765"/>
    <m/>
    <m/>
    <m/>
    <m/>
    <m/>
    <x v="1"/>
    <x v="1"/>
    <d v="2011-06-01T00:00:00"/>
    <d v="2016-12-31T00:00:00"/>
    <d v="2016-12-31T00:00:00"/>
    <x v="2"/>
    <m/>
    <m/>
    <n v="12500"/>
    <x v="5"/>
    <x v="5"/>
    <s v="."/>
    <s v="."/>
    <n v="13500"/>
    <n v="1000"/>
    <x v="1"/>
    <x v="0"/>
    <x v="0"/>
  </r>
  <r>
    <x v="0"/>
    <x v="0"/>
    <x v="1"/>
    <x v="3"/>
    <x v="3"/>
    <x v="2"/>
    <m/>
    <m/>
    <s v="PRODUCCION GRAL DE RECETAS, MANIPULACIÓN DE INGREDIENTES, DESPCACHO DE ALIMENTOS"/>
    <s v="TECNÓPOLIS"/>
    <s v="TECNOPOLIS"/>
    <x v="282"/>
    <s v="DNI"/>
    <n v="25906662"/>
    <s v="27259066625"/>
    <d v="1977-04-14T00:00:00"/>
    <m/>
    <m/>
    <m/>
    <m/>
    <x v="0"/>
    <x v="0"/>
    <d v="2015-05-01T00:00:00"/>
    <m/>
    <d v="2016-12-31T00:00:00"/>
    <x v="0"/>
    <s v="UNTREF"/>
    <s v="UNTREF"/>
    <n v="8035.31"/>
    <x v="94"/>
    <x v="5"/>
    <s v="."/>
    <s v="."/>
    <s v="."/>
    <n v="1000"/>
    <x v="0"/>
    <x v="0"/>
    <x v="0"/>
  </r>
  <r>
    <x v="0"/>
    <x v="0"/>
    <x v="1"/>
    <x v="1"/>
    <x v="16"/>
    <x v="2"/>
    <m/>
    <m/>
    <s v="asistente funcional"/>
    <m/>
    <s v="CCK - Alem 351"/>
    <x v="283"/>
    <s v="DNI"/>
    <n v="24962686"/>
    <n v="20249626865"/>
    <d v="1975-10-10T00:00:00"/>
    <m/>
    <m/>
    <m/>
    <m/>
    <x v="0"/>
    <x v="0"/>
    <d v="2016-06-15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10"/>
    <x v="2"/>
    <m/>
    <m/>
    <m/>
    <s v="TECNÓPOLIS"/>
    <m/>
    <x v="284"/>
    <s v="DNI"/>
    <n v="24837596"/>
    <n v="20248375966"/>
    <m/>
    <m/>
    <m/>
    <m/>
    <m/>
    <x v="1"/>
    <x v="1"/>
    <d v="2010-01-01T00:00:00"/>
    <d v="2016-12-31T00:00:00"/>
    <d v="2016-12-31T00:00:00"/>
    <x v="2"/>
    <m/>
    <m/>
    <n v="27488.85"/>
    <x v="132"/>
    <x v="5"/>
    <s v="."/>
    <s v="."/>
    <s v="."/>
    <n v="1000"/>
    <x v="1"/>
    <x v="0"/>
    <x v="0"/>
  </r>
  <r>
    <x v="0"/>
    <x v="0"/>
    <x v="1"/>
    <x v="1"/>
    <x v="5"/>
    <x v="14"/>
    <s v="LIMPIEZA (En comisión Tecnópolis)"/>
    <s v="Auxiliar"/>
    <s v="Auxiliar"/>
    <s v="CCK"/>
    <s v="CCK - Alem 351"/>
    <x v="285"/>
    <s v="DNI"/>
    <n v="25865315"/>
    <s v="20258653158"/>
    <d v="1977-06-02T00:00:00"/>
    <m/>
    <m/>
    <m/>
    <m/>
    <x v="0"/>
    <x v="0"/>
    <d v="2015-06-10T00:00:00"/>
    <m/>
    <d v="2016-12-31T00:00:00"/>
    <x v="0"/>
    <s v="UNTREF"/>
    <s v="UNTREF"/>
    <n v="10000"/>
    <x v="5"/>
    <x v="4"/>
    <n v="14000"/>
    <n v="12500"/>
    <s v="."/>
    <n v="1000"/>
    <x v="0"/>
    <x v="0"/>
    <x v="0"/>
  </r>
  <r>
    <x v="0"/>
    <x v="0"/>
    <x v="1"/>
    <x v="1"/>
    <x v="10"/>
    <x v="2"/>
    <m/>
    <m/>
    <s v="ADMINISTRATIVA"/>
    <m/>
    <s v="CCK - Alem 351"/>
    <x v="286"/>
    <s v="DNI"/>
    <n v="24963203"/>
    <s v="27249632037"/>
    <d v="1975-10-08T00:00:00"/>
    <m/>
    <m/>
    <m/>
    <m/>
    <x v="0"/>
    <x v="0"/>
    <d v="2016-05-01T00:00:00"/>
    <m/>
    <d v="2016-12-31T00:00:00"/>
    <x v="0"/>
    <s v="UNTREF"/>
    <m/>
    <s v="."/>
    <x v="14"/>
    <x v="3"/>
    <m/>
    <m/>
    <m/>
    <n v="1000"/>
    <x v="0"/>
    <x v="0"/>
    <x v="0"/>
  </r>
  <r>
    <x v="0"/>
    <x v="1"/>
    <x v="0"/>
    <x v="5"/>
    <x v="26"/>
    <x v="2"/>
    <m/>
    <s v="Asistente Técnico"/>
    <m/>
    <s v="CCK"/>
    <m/>
    <x v="287"/>
    <s v="DNI"/>
    <n v="27273858"/>
    <n v="20272738581"/>
    <m/>
    <m/>
    <m/>
    <m/>
    <m/>
    <x v="1"/>
    <x v="1"/>
    <d v="2005-02-01T00:00:00"/>
    <d v="2016-12-31T00:00:00"/>
    <d v="2016-12-31T00:00:00"/>
    <x v="11"/>
    <m/>
    <m/>
    <n v="19528"/>
    <x v="133"/>
    <x v="5"/>
    <s v="."/>
    <s v="."/>
    <s v="."/>
    <n v="1000"/>
    <x v="1"/>
    <x v="0"/>
    <x v="0"/>
  </r>
  <r>
    <x v="0"/>
    <x v="0"/>
    <x v="1"/>
    <x v="1"/>
    <x v="39"/>
    <x v="2"/>
    <m/>
    <m/>
    <m/>
    <m/>
    <m/>
    <x v="288"/>
    <s v="DNI"/>
    <n v="31009442"/>
    <n v="27310094426"/>
    <m/>
    <m/>
    <m/>
    <m/>
    <m/>
    <x v="1"/>
    <x v="1"/>
    <d v="2012-12-01T00:00:00"/>
    <d v="2016-12-31T00:00:00"/>
    <d v="2016-12-31T00:00:00"/>
    <x v="1"/>
    <m/>
    <m/>
    <n v="17107"/>
    <x v="104"/>
    <x v="0"/>
    <s v="---------"/>
    <s v="."/>
    <s v="---------"/>
    <n v="1000"/>
    <x v="1"/>
    <x v="0"/>
    <x v="0"/>
  </r>
  <r>
    <x v="0"/>
    <x v="0"/>
    <x v="1"/>
    <x v="1"/>
    <x v="10"/>
    <x v="2"/>
    <m/>
    <s v="Productor"/>
    <s v="ADMINISTRATIVA"/>
    <s v="CCK"/>
    <s v="CCK - Alem 351"/>
    <x v="289"/>
    <s v="DNI"/>
    <n v="24856633"/>
    <s v="27248566332"/>
    <d v="1975-10-24T00:00:00"/>
    <m/>
    <m/>
    <m/>
    <m/>
    <x v="0"/>
    <x v="0"/>
    <d v="2013-04-01T00:00:00"/>
    <m/>
    <d v="2016-12-31T00:00:00"/>
    <x v="0"/>
    <s v="UNTREF"/>
    <s v="UNSAM-TDA"/>
    <n v="21255"/>
    <x v="134"/>
    <x v="28"/>
    <n v="21255"/>
    <s v="."/>
    <s v="."/>
    <n v="1000"/>
    <x v="0"/>
    <x v="0"/>
    <x v="0"/>
  </r>
  <r>
    <x v="0"/>
    <x v="0"/>
    <x v="1"/>
    <x v="3"/>
    <x v="23"/>
    <x v="2"/>
    <m/>
    <m/>
    <m/>
    <s v="TECNÓPOLIS"/>
    <m/>
    <x v="290"/>
    <s v="DNI"/>
    <n v="20742183"/>
    <n v="27207421834"/>
    <m/>
    <m/>
    <m/>
    <m/>
    <m/>
    <x v="1"/>
    <x v="1"/>
    <d v="2012-12-01T00:00:00"/>
    <d v="2016-12-31T00:00:00"/>
    <d v="2016-12-31T00:00:00"/>
    <x v="10"/>
    <m/>
    <m/>
    <n v="25047.11"/>
    <x v="109"/>
    <x v="5"/>
    <s v="."/>
    <s v="."/>
    <s v="."/>
    <n v="1000"/>
    <x v="1"/>
    <x v="0"/>
    <x v="0"/>
  </r>
  <r>
    <x v="0"/>
    <x v="0"/>
    <x v="1"/>
    <x v="3"/>
    <x v="32"/>
    <x v="2"/>
    <m/>
    <m/>
    <s v="CONTROL DE DEPOSITOS/RELEVAMIENTOS"/>
    <s v="TECNÓPOLIS"/>
    <s v="TECNOPOLIS"/>
    <x v="291"/>
    <s v="DNI"/>
    <n v="18220453"/>
    <n v="20182204537"/>
    <d v="1976-11-06T00:00:00"/>
    <m/>
    <m/>
    <m/>
    <m/>
    <x v="0"/>
    <x v="0"/>
    <d v="2013-06-01T00:00:00"/>
    <m/>
    <d v="2016-12-31T00:00:00"/>
    <x v="0"/>
    <s v="UNTREF"/>
    <s v="UNTREF"/>
    <n v="12273.52"/>
    <x v="122"/>
    <x v="5"/>
    <s v="."/>
    <s v="."/>
    <s v="."/>
    <n v="1000"/>
    <x v="0"/>
    <x v="0"/>
    <x v="0"/>
  </r>
  <r>
    <x v="0"/>
    <x v="0"/>
    <x v="0"/>
    <x v="0"/>
    <x v="0"/>
    <x v="0"/>
    <m/>
    <s v="GESTION DE PROYECTOS"/>
    <s v="ANALISTA"/>
    <s v="PALPALÁ-JUJUY"/>
    <s v="PALPALÁ-JUJUY"/>
    <x v="292"/>
    <s v="DNI"/>
    <n v="31858106"/>
    <n v="20318581062"/>
    <d v="1985-09-01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0"/>
    <x v="0"/>
    <x v="0"/>
    <x v="8"/>
    <x v="6"/>
    <m/>
    <s v="PANORAMA ARGENTINO"/>
    <s v="ADMINISTRATIVO"/>
    <s v="CABILDO 65"/>
    <s v="CABILDO 65"/>
    <x v="293"/>
    <s v="DNI"/>
    <n v="20956958"/>
    <s v="20209569583"/>
    <d v="1969-08-28T00:00:00"/>
    <m/>
    <m/>
    <m/>
    <m/>
    <x v="0"/>
    <x v="0"/>
    <d v="2014-05-11T00:00:00"/>
    <m/>
    <d v="2016-12-31T00:00:00"/>
    <x v="0"/>
    <s v="UNTREF"/>
    <s v="UNSAM- LADA"/>
    <n v="20959"/>
    <x v="15"/>
    <x v="5"/>
    <s v="."/>
    <s v="."/>
    <s v="."/>
    <n v="1000"/>
    <x v="2"/>
    <x v="0"/>
    <x v="0"/>
  </r>
  <r>
    <x v="0"/>
    <x v="0"/>
    <x v="0"/>
    <x v="0"/>
    <x v="0"/>
    <x v="0"/>
    <m/>
    <s v="DISEÑO"/>
    <s v="ANALISTA"/>
    <s v="PALPALÁ-JUJUY"/>
    <s v="PALPALÁ-JUJUY"/>
    <x v="294"/>
    <s v="DNI"/>
    <n v="29942530"/>
    <n v="20299425305"/>
    <d v="1982-12-23T00:00:00"/>
    <m/>
    <m/>
    <m/>
    <m/>
    <x v="0"/>
    <x v="0"/>
    <d v="2015-09-01T00:00:00"/>
    <m/>
    <d v="2016-12-31T00:00:00"/>
    <x v="0"/>
    <s v="UNTREF"/>
    <s v="UNSAM"/>
    <n v="13000"/>
    <x v="90"/>
    <x v="0"/>
    <s v="---------"/>
    <s v="."/>
    <s v="---------"/>
    <n v="1000"/>
    <x v="0"/>
    <x v="0"/>
    <x v="0"/>
  </r>
  <r>
    <x v="0"/>
    <x v="0"/>
    <x v="1"/>
    <x v="1"/>
    <x v="16"/>
    <x v="2"/>
    <m/>
    <m/>
    <m/>
    <m/>
    <m/>
    <x v="295"/>
    <s v="DNI"/>
    <n v="30593086"/>
    <n v="20305930866"/>
    <m/>
    <m/>
    <m/>
    <m/>
    <m/>
    <x v="2"/>
    <x v="1"/>
    <d v="2005-08-01T00:00:00"/>
    <m/>
    <d v="2016-12-31T00:00:00"/>
    <x v="3"/>
    <m/>
    <m/>
    <m/>
    <x v="18"/>
    <x v="3"/>
    <m/>
    <m/>
    <m/>
    <m/>
    <x v="1"/>
    <x v="0"/>
    <x v="2"/>
  </r>
  <r>
    <x v="0"/>
    <x v="0"/>
    <x v="0"/>
    <x v="0"/>
    <x v="8"/>
    <x v="6"/>
    <m/>
    <s v="TÉCNICA Y TRANSMISIÓN"/>
    <s v="ADMINISTRATIVO"/>
    <s v="CABILDO 65"/>
    <s v="CABILDO 65"/>
    <x v="296"/>
    <s v="DNI"/>
    <n v="32188347"/>
    <s v="20321883479"/>
    <d v="1986-03-09T00:00:00"/>
    <m/>
    <m/>
    <m/>
    <m/>
    <x v="0"/>
    <x v="0"/>
    <d v="2015-07-01T00:00:00"/>
    <m/>
    <d v="2016-12-31T00:00:00"/>
    <x v="0"/>
    <s v="UNTREF"/>
    <s v="UNSAM- LADA"/>
    <n v="17849"/>
    <x v="83"/>
    <x v="5"/>
    <s v="."/>
    <s v="."/>
    <s v="."/>
    <n v="1000"/>
    <x v="2"/>
    <x v="0"/>
    <x v="0"/>
  </r>
  <r>
    <x v="0"/>
    <x v="1"/>
    <x v="0"/>
    <x v="5"/>
    <x v="30"/>
    <x v="2"/>
    <m/>
    <s v=""/>
    <s v="ADMINISTRATIVO"/>
    <m/>
    <s v="CCK - Alem 351"/>
    <x v="297"/>
    <s v="DNI"/>
    <n v="34207982"/>
    <s v="27342079828"/>
    <d v="1989-01-23T00:00:00"/>
    <m/>
    <m/>
    <m/>
    <m/>
    <x v="0"/>
    <x v="0"/>
    <d v="2015-03-01T00:00:00"/>
    <m/>
    <d v="2016-12-31T00:00:00"/>
    <x v="0"/>
    <s v="UNTREF"/>
    <s v="UNLAM -TDA"/>
    <n v="12231"/>
    <x v="30"/>
    <x v="5"/>
    <n v="13000"/>
    <n v="14000"/>
    <n v="17000"/>
    <n v="1000"/>
    <x v="0"/>
    <x v="0"/>
    <x v="0"/>
  </r>
  <r>
    <x v="0"/>
    <x v="0"/>
    <x v="1"/>
    <x v="1"/>
    <x v="10"/>
    <x v="2"/>
    <m/>
    <m/>
    <s v="ADMINISTRATIVA"/>
    <m/>
    <s v="CCK - Alem 351"/>
    <x v="298"/>
    <s v="DNI"/>
    <n v="17454322"/>
    <n v="20174543225"/>
    <d v="1965-10-19T00:00:00"/>
    <m/>
    <m/>
    <m/>
    <m/>
    <x v="0"/>
    <x v="0"/>
    <d v="2016-04-01T00:00:00"/>
    <m/>
    <d v="2016-12-31T00:00:00"/>
    <x v="0"/>
    <s v="UNTREF"/>
    <m/>
    <n v="26000"/>
    <x v="18"/>
    <x v="3"/>
    <m/>
    <m/>
    <m/>
    <n v="1000"/>
    <x v="0"/>
    <x v="0"/>
    <x v="0"/>
  </r>
  <r>
    <x v="0"/>
    <x v="0"/>
    <x v="0"/>
    <x v="0"/>
    <x v="8"/>
    <x v="6"/>
    <m/>
    <s v="PROMOCIONES"/>
    <s v="ADMINISTRATIVO"/>
    <s v="CABILDO 65"/>
    <s v="CABILDO 65"/>
    <x v="299"/>
    <s v="DNI"/>
    <n v="32783953"/>
    <s v="27327839530"/>
    <d v="1986-12-28T00:00:00"/>
    <m/>
    <m/>
    <m/>
    <m/>
    <x v="0"/>
    <x v="0"/>
    <d v="2015-07-01T00:00:00"/>
    <m/>
    <d v="2016-12-31T00:00:00"/>
    <x v="0"/>
    <s v="UNTREF"/>
    <s v="UNSAM- LADA"/>
    <n v="15234"/>
    <x v="22"/>
    <x v="5"/>
    <s v="."/>
    <s v="."/>
    <s v="."/>
    <n v="1000"/>
    <x v="2"/>
    <x v="0"/>
    <x v="0"/>
  </r>
  <r>
    <x v="0"/>
    <x v="0"/>
    <x v="0"/>
    <x v="8"/>
    <x v="1"/>
    <x v="2"/>
    <m/>
    <m/>
    <s v="ADMINISTRATIVO"/>
    <m/>
    <s v="CCK - Alem 351"/>
    <x v="300"/>
    <s v="DNI"/>
    <n v="24903622"/>
    <s v="27249036221"/>
    <d v="1976-03-10T00:00:00"/>
    <m/>
    <m/>
    <m/>
    <m/>
    <x v="0"/>
    <x v="0"/>
    <m/>
    <m/>
    <d v="2016-12-31T00:00:00"/>
    <x v="0"/>
    <s v="UNTREF"/>
    <m/>
    <n v="19000"/>
    <x v="135"/>
    <x v="3"/>
    <m/>
    <m/>
    <m/>
    <n v="1000"/>
    <x v="0"/>
    <x v="0"/>
    <x v="0"/>
  </r>
  <r>
    <x v="0"/>
    <x v="0"/>
    <x v="0"/>
    <x v="0"/>
    <x v="8"/>
    <x v="6"/>
    <s v="CCK"/>
    <s v="PROGRAMA POLOS AUDIOVISUALES TECNOLÓGICOS"/>
    <m/>
    <s v="CABILDO 65"/>
    <m/>
    <x v="301"/>
    <s v="DNI"/>
    <n v="12633838"/>
    <n v="23126338384"/>
    <m/>
    <m/>
    <m/>
    <m/>
    <m/>
    <x v="1"/>
    <x v="1"/>
    <d v="2014-10-01T00:00:00"/>
    <d v="2016-03-31T00:00:00"/>
    <d v="2016-12-31T00:00:00"/>
    <x v="9"/>
    <m/>
    <m/>
    <n v="17107"/>
    <x v="104"/>
    <x v="5"/>
    <s v="."/>
    <s v="."/>
    <s v="."/>
    <n v="1000"/>
    <x v="1"/>
    <x v="0"/>
    <x v="0"/>
  </r>
  <r>
    <x v="0"/>
    <x v="0"/>
    <x v="1"/>
    <x v="3"/>
    <x v="2"/>
    <x v="2"/>
    <m/>
    <s v="PRIVADA"/>
    <s v="ADMINISTRATIVO"/>
    <s v="TECNÓPOLIS"/>
    <s v="TECNOPOLIS"/>
    <x v="302"/>
    <s v="DNI"/>
    <n v="28233579"/>
    <s v="23282335794"/>
    <d v="1980-07-02T00:00:00"/>
    <m/>
    <m/>
    <m/>
    <m/>
    <x v="0"/>
    <x v="0"/>
    <d v="2016-01-01T00:00:00"/>
    <m/>
    <d v="2016-12-31T00:00:00"/>
    <x v="0"/>
    <s v="UNTREF"/>
    <s v="UNSAM"/>
    <n v="15159.27"/>
    <x v="136"/>
    <x v="29"/>
    <n v="15159.27"/>
    <s v="."/>
    <s v="."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303"/>
    <s v="DNI"/>
    <n v="23195541"/>
    <s v="20231955411"/>
    <d v="1973-02-19T00:00:00"/>
    <m/>
    <m/>
    <m/>
    <m/>
    <x v="0"/>
    <x v="0"/>
    <d v="2013-03-01T00:00:00"/>
    <m/>
    <d v="2016-12-31T00:00:00"/>
    <x v="0"/>
    <s v="UNTREF"/>
    <s v="UNSAM- LADA"/>
    <n v="22151"/>
    <x v="58"/>
    <x v="5"/>
    <s v="."/>
    <s v="."/>
    <s v="."/>
    <n v="1000"/>
    <x v="2"/>
    <x v="0"/>
    <x v="0"/>
  </r>
  <r>
    <x v="0"/>
    <x v="0"/>
    <x v="1"/>
    <x v="3"/>
    <x v="6"/>
    <x v="2"/>
    <m/>
    <m/>
    <s v="MANTENIMIENTO GRAL DEL PARQUE"/>
    <s v="TECNÓPOLIS"/>
    <s v="TECNOPOLIS"/>
    <x v="304"/>
    <s v="DNI"/>
    <n v="34363932"/>
    <s v="20343639326"/>
    <d v="1990-08-31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305"/>
    <s v="DNI"/>
    <n v="30861963"/>
    <s v="20308619630"/>
    <d v="1984-08-04T00:00:00"/>
    <m/>
    <m/>
    <m/>
    <m/>
    <x v="0"/>
    <x v="0"/>
    <d v="2014-06-23T00:00:00"/>
    <m/>
    <d v="2016-12-31T00:00:00"/>
    <x v="0"/>
    <s v="UNTREF"/>
    <m/>
    <n v="20959"/>
    <x v="15"/>
    <x v="3"/>
    <m/>
    <m/>
    <m/>
    <n v="1000"/>
    <x v="2"/>
    <x v="0"/>
    <x v="0"/>
  </r>
  <r>
    <x v="0"/>
    <x v="0"/>
    <x v="1"/>
    <x v="3"/>
    <x v="4"/>
    <x v="2"/>
    <m/>
    <s v="COCINA"/>
    <s v="ORGANIZACIÓN DE MERCADERÍA DE DEPÓSITOS/COMANDO DE ACTIVIDADES/PRODUCCIÓN GRAL DE RECETAS"/>
    <s v="TECNÓPOLIS"/>
    <s v="TECNOPOLIS"/>
    <x v="306"/>
    <s v="DNI"/>
    <n v="94512322"/>
    <s v="20945123223"/>
    <d v="1993-01-19T00:00:00"/>
    <m/>
    <m/>
    <m/>
    <m/>
    <x v="0"/>
    <x v="0"/>
    <d v="2012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15"/>
    <x v="2"/>
    <m/>
    <m/>
    <m/>
    <s v="TECNÓPOLIS"/>
    <m/>
    <x v="307"/>
    <s v="DNI"/>
    <n v="20718608"/>
    <n v="20207186083"/>
    <m/>
    <m/>
    <m/>
    <m/>
    <m/>
    <x v="1"/>
    <x v="1"/>
    <d v="2012-02-01T00:00:00"/>
    <d v="2016-12-31T00:00:00"/>
    <d v="2016-12-31T00:00:00"/>
    <x v="3"/>
    <m/>
    <m/>
    <n v="14667.81"/>
    <x v="137"/>
    <x v="5"/>
    <s v="."/>
    <s v="."/>
    <s v="."/>
    <n v="1000"/>
    <x v="1"/>
    <x v="0"/>
    <x v="0"/>
  </r>
  <r>
    <x v="0"/>
    <x v="0"/>
    <x v="0"/>
    <x v="9"/>
    <x v="2"/>
    <x v="2"/>
    <m/>
    <m/>
    <s v="ADMINISTRATIVO"/>
    <m/>
    <s v="CCK - Alem 351"/>
    <x v="308"/>
    <s v="DNI"/>
    <n v="23275418"/>
    <s v="23232754184"/>
    <d v="1973-06-28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35"/>
    <x v="2"/>
    <m/>
    <m/>
    <m/>
    <s v="TECNÓPOLIS"/>
    <m/>
    <x v="309"/>
    <s v="DNI"/>
    <n v="23109452"/>
    <n v="20231094521"/>
    <m/>
    <m/>
    <m/>
    <m/>
    <m/>
    <x v="1"/>
    <x v="1"/>
    <d v="2012-02-01T00:00:00"/>
    <d v="2016-12-31T00:00:00"/>
    <d v="2016-12-31T00:00:00"/>
    <x v="3"/>
    <m/>
    <m/>
    <n v="16544.11"/>
    <x v="138"/>
    <x v="5"/>
    <s v="."/>
    <s v="."/>
    <s v="."/>
    <n v="1000"/>
    <x v="1"/>
    <x v="0"/>
    <x v="0"/>
  </r>
  <r>
    <x v="0"/>
    <x v="0"/>
    <x v="0"/>
    <x v="8"/>
    <x v="1"/>
    <x v="2"/>
    <m/>
    <m/>
    <m/>
    <s v="CCK"/>
    <s v="CCK - Alem 351"/>
    <x v="310"/>
    <s v="DNI"/>
    <n v="28334271"/>
    <n v="23283242714"/>
    <m/>
    <m/>
    <m/>
    <m/>
    <m/>
    <x v="1"/>
    <x v="1"/>
    <d v="2012-04-01T00:00:00"/>
    <d v="2016-12-31T00:00:00"/>
    <d v="2016-12-31T00:00:00"/>
    <x v="3"/>
    <m/>
    <m/>
    <n v="15601"/>
    <x v="139"/>
    <x v="5"/>
    <s v="."/>
    <s v="."/>
    <s v="."/>
    <n v="1000"/>
    <x v="1"/>
    <x v="0"/>
    <x v="0"/>
  </r>
  <r>
    <x v="0"/>
    <x v="1"/>
    <x v="0"/>
    <x v="5"/>
    <x v="17"/>
    <x v="12"/>
    <s v="AUTOMOTORES"/>
    <s v="CHOFER"/>
    <m/>
    <s v="CCK"/>
    <m/>
    <x v="311"/>
    <s v="DNI"/>
    <n v="14890843"/>
    <n v="20148908436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2"/>
    <x v="2"/>
  </r>
  <r>
    <x v="0"/>
    <x v="0"/>
    <x v="0"/>
    <x v="0"/>
    <x v="8"/>
    <x v="6"/>
    <m/>
    <s v="BACUA"/>
    <s v="ADMINISTRATIVO"/>
    <s v="CABILDO 65"/>
    <s v="CABILDO 65"/>
    <x v="312"/>
    <s v="DNI"/>
    <n v="34529374"/>
    <s v="23345293744"/>
    <d v="1989-05-13T00:00:00"/>
    <m/>
    <m/>
    <m/>
    <m/>
    <x v="0"/>
    <x v="0"/>
    <d v="2012-12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31"/>
    <x v="2"/>
    <m/>
    <s v="ASESOR"/>
    <s v="ASESOR"/>
    <m/>
    <s v="CCK - Alem 351"/>
    <x v="313"/>
    <m/>
    <m/>
    <m/>
    <d v="1973-03-30T00:00:00"/>
    <m/>
    <m/>
    <m/>
    <m/>
    <x v="2"/>
    <x v="0"/>
    <d v="2016-07-01T00:00:00"/>
    <d v="2016-12-31T00:00:00"/>
    <d v="2016-12-31T00:00:00"/>
    <x v="0"/>
    <s v="UNTREF"/>
    <m/>
    <m/>
    <x v="18"/>
    <x v="3"/>
    <m/>
    <m/>
    <m/>
    <m/>
    <x v="1"/>
    <x v="0"/>
    <x v="2"/>
  </r>
  <r>
    <x v="0"/>
    <x v="1"/>
    <x v="0"/>
    <x v="5"/>
    <x v="18"/>
    <x v="2"/>
    <m/>
    <m/>
    <s v="Asistencia Juridica"/>
    <m/>
    <s v="CCK - Alem 351"/>
    <x v="314"/>
    <s v="DNI"/>
    <n v="38861032"/>
    <n v="20388610329"/>
    <d v="1995-02-26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39"/>
    <x v="2"/>
    <m/>
    <s v="Administrativo"/>
    <s v="ADMINISTRATIVO"/>
    <s v="CCK"/>
    <s v="CCK - Alem 351"/>
    <x v="315"/>
    <s v="DNI"/>
    <n v="27822762"/>
    <s v="27278227621"/>
    <d v="1980-02-04T00:00:00"/>
    <m/>
    <m/>
    <m/>
    <m/>
    <x v="0"/>
    <x v="0"/>
    <d v="2013-11-16T00:00:00"/>
    <m/>
    <d v="2016-12-31T00:00:00"/>
    <x v="0"/>
    <s v="UNTREF"/>
    <s v="CULTURA"/>
    <n v="16000"/>
    <x v="29"/>
    <x v="12"/>
    <n v="17000"/>
    <s v="."/>
    <n v="17000"/>
    <n v="1000"/>
    <x v="0"/>
    <x v="0"/>
    <x v="0"/>
  </r>
  <r>
    <x v="0"/>
    <x v="0"/>
    <x v="1"/>
    <x v="3"/>
    <x v="27"/>
    <x v="2"/>
    <m/>
    <m/>
    <m/>
    <s v="TECNÓPOLIS"/>
    <m/>
    <x v="316"/>
    <s v="DNI"/>
    <n v="29635339"/>
    <n v="20296353397"/>
    <m/>
    <m/>
    <m/>
    <m/>
    <m/>
    <x v="1"/>
    <x v="1"/>
    <d v="2010-04-01T00:00:00"/>
    <d v="2016-12-31T00:00:00"/>
    <d v="2016-12-31T00:00:00"/>
    <x v="2"/>
    <m/>
    <m/>
    <n v="31094"/>
    <x v="140"/>
    <x v="5"/>
    <s v="."/>
    <s v="."/>
    <s v="."/>
    <n v="1000"/>
    <x v="1"/>
    <x v="0"/>
    <x v="0"/>
  </r>
  <r>
    <x v="0"/>
    <x v="0"/>
    <x v="0"/>
    <x v="8"/>
    <x v="1"/>
    <x v="2"/>
    <m/>
    <m/>
    <s v="ADMINISTRATIVO"/>
    <m/>
    <s v="CCK - Alem 351"/>
    <x v="317"/>
    <s v="DNI"/>
    <n v="31559806"/>
    <n v="20315598061"/>
    <d v="1985-03-02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0"/>
    <x v="6"/>
    <x v="12"/>
    <x v="2"/>
    <m/>
    <m/>
    <s v="ADMINISTRATIVO"/>
    <m/>
    <s v="CCK - Alem 351"/>
    <x v="318"/>
    <s v="DNI"/>
    <n v="35368163"/>
    <n v="27353681635"/>
    <d v="1990-11-05T00:00:00"/>
    <m/>
    <m/>
    <m/>
    <m/>
    <x v="0"/>
    <x v="0"/>
    <m/>
    <m/>
    <d v="2016-12-31T00:00:00"/>
    <x v="0"/>
    <s v="UNTREF"/>
    <m/>
    <m/>
    <x v="90"/>
    <x v="3"/>
    <m/>
    <m/>
    <n v="13000"/>
    <n v="1000"/>
    <x v="0"/>
    <x v="0"/>
    <x v="0"/>
  </r>
  <r>
    <x v="0"/>
    <x v="0"/>
    <x v="1"/>
    <x v="3"/>
    <x v="27"/>
    <x v="2"/>
    <m/>
    <m/>
    <m/>
    <s v="TECNÓPOLIS"/>
    <m/>
    <x v="319"/>
    <s v="DNI"/>
    <n v="30135252"/>
    <n v="20301352523"/>
    <m/>
    <m/>
    <m/>
    <m/>
    <m/>
    <x v="1"/>
    <x v="1"/>
    <d v="2013-04-01T00:00:00"/>
    <d v="2016-03-31T00:00:00"/>
    <d v="2016-12-31T00:00:00"/>
    <x v="1"/>
    <m/>
    <m/>
    <n v="17672.34"/>
    <x v="141"/>
    <x v="5"/>
    <s v="."/>
    <s v="."/>
    <s v="."/>
    <n v="1000"/>
    <x v="1"/>
    <x v="0"/>
    <x v="0"/>
  </r>
  <r>
    <x v="0"/>
    <x v="0"/>
    <x v="1"/>
    <x v="1"/>
    <x v="5"/>
    <x v="2"/>
    <m/>
    <m/>
    <s v="Auxiliar"/>
    <m/>
    <s v="CCK - Alem 351"/>
    <x v="320"/>
    <s v="DNI"/>
    <n v="28746454"/>
    <n v="20287464542"/>
    <d v="1970-12-15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39"/>
    <x v="2"/>
    <m/>
    <m/>
    <s v="ADMINISTRATIVO"/>
    <s v="CCK"/>
    <s v="CCK - Alem 351"/>
    <x v="321"/>
    <s v="DNI"/>
    <n v="23782289"/>
    <s v="27237822892"/>
    <d v="1974-01-18T00:00:00"/>
    <m/>
    <m/>
    <m/>
    <m/>
    <x v="0"/>
    <x v="0"/>
    <d v="2015-01-12T00:00:00"/>
    <m/>
    <d v="2016-12-31T00:00:00"/>
    <x v="0"/>
    <s v="UNTREF"/>
    <s v="UNSAM"/>
    <n v="10188"/>
    <x v="5"/>
    <x v="4"/>
    <n v="14000"/>
    <n v="12500"/>
    <n v="14000"/>
    <n v="1000"/>
    <x v="0"/>
    <x v="0"/>
    <x v="0"/>
  </r>
  <r>
    <x v="0"/>
    <x v="0"/>
    <x v="1"/>
    <x v="3"/>
    <x v="24"/>
    <x v="2"/>
    <m/>
    <s v="Tareas Generales"/>
    <s v="MANTENIMIENTO DE ESPACIOS VERDES"/>
    <s v="TECNÓPOLIS"/>
    <m/>
    <x v="322"/>
    <s v="DNI"/>
    <n v="27888389"/>
    <n v="27278883898"/>
    <m/>
    <m/>
    <m/>
    <m/>
    <m/>
    <x v="0"/>
    <x v="2"/>
    <m/>
    <m/>
    <d v="2016-12-31T00:00:00"/>
    <x v="0"/>
    <s v="UNTREF"/>
    <s v="UNTREF"/>
    <n v="4700"/>
    <x v="142"/>
    <x v="5"/>
    <s v="."/>
    <s v="."/>
    <s v="."/>
    <n v="1000"/>
    <x v="0"/>
    <x v="0"/>
    <x v="0"/>
  </r>
  <r>
    <x v="0"/>
    <x v="0"/>
    <x v="1"/>
    <x v="3"/>
    <x v="2"/>
    <x v="2"/>
    <m/>
    <s v="PRIVADA"/>
    <s v="ADMINISTRATIVO"/>
    <m/>
    <s v="TECNOPOLIS"/>
    <x v="323"/>
    <s v="DNI"/>
    <n v="33423803"/>
    <n v="20334238035"/>
    <d v="1987-10-22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s v="CCK"/>
    <s v="FOMENTO"/>
    <s v="ADMINISTRATIVO"/>
    <s v="CABILDO 65"/>
    <s v="CABILDO 65"/>
    <x v="324"/>
    <s v="DNI"/>
    <n v="27926754"/>
    <s v="27279267546"/>
    <d v="1980-02-25T00:00:00"/>
    <m/>
    <m/>
    <m/>
    <m/>
    <x v="0"/>
    <x v="0"/>
    <d v="2013-02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16"/>
    <x v="11"/>
    <m/>
    <m/>
    <s v="VISITAS GUIADAS"/>
    <m/>
    <s v="CCK - Alem 351"/>
    <x v="325"/>
    <s v="DNI"/>
    <n v="34641137"/>
    <n v="20346411377"/>
    <d v="1989-06-19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PROMOCIONES"/>
    <s v="ADMINISTRATIVO"/>
    <s v="CABILDO 65"/>
    <s v="CABILDO 65"/>
    <x v="326"/>
    <s v="DNI"/>
    <n v="33498759"/>
    <s v="27334987596"/>
    <d v="1987-12-02T00:00:00"/>
    <m/>
    <m/>
    <m/>
    <m/>
    <x v="0"/>
    <x v="0"/>
    <d v="2009-11-19T00:00:00"/>
    <m/>
    <d v="2016-12-31T00:00:00"/>
    <x v="0"/>
    <s v="UNTREF"/>
    <s v="UNSAM- LADA"/>
    <n v="20545"/>
    <x v="143"/>
    <x v="5"/>
    <s v="."/>
    <s v="."/>
    <s v="."/>
    <n v="1000"/>
    <x v="2"/>
    <x v="0"/>
    <x v="0"/>
  </r>
  <r>
    <x v="0"/>
    <x v="1"/>
    <x v="0"/>
    <x v="5"/>
    <x v="26"/>
    <x v="2"/>
    <m/>
    <s v="Analista"/>
    <s v="Analista"/>
    <s v="CCK"/>
    <s v="CCK - Alem 351"/>
    <x v="327"/>
    <s v="DNI"/>
    <n v="35429157"/>
    <s v="20354291577"/>
    <d v="1993-02-09T00:00:00"/>
    <m/>
    <m/>
    <m/>
    <m/>
    <x v="0"/>
    <x v="0"/>
    <d v="2015-04-01T00:00:00"/>
    <m/>
    <d v="2016-12-31T00:00:00"/>
    <x v="0"/>
    <s v="UNTREF"/>
    <s v="UNLAM- INFO"/>
    <n v="9000"/>
    <x v="5"/>
    <x v="4"/>
    <n v="14000"/>
    <n v="12500"/>
    <n v="14000"/>
    <n v="1000"/>
    <x v="0"/>
    <x v="0"/>
    <x v="0"/>
  </r>
  <r>
    <x v="0"/>
    <x v="1"/>
    <x v="0"/>
    <x v="5"/>
    <x v="7"/>
    <x v="2"/>
    <m/>
    <m/>
    <m/>
    <m/>
    <m/>
    <x v="328"/>
    <s v="DNI"/>
    <n v="27311920"/>
    <n v="20273119206"/>
    <m/>
    <m/>
    <m/>
    <m/>
    <m/>
    <x v="1"/>
    <x v="1"/>
    <d v="2012-12-01T00:00:00"/>
    <d v="2016-12-31T00:00:00"/>
    <d v="2016-12-31T00:00:00"/>
    <x v="6"/>
    <m/>
    <m/>
    <n v="22812"/>
    <x v="124"/>
    <x v="5"/>
    <s v="."/>
    <s v="."/>
    <s v="."/>
    <n v="1000"/>
    <x v="1"/>
    <x v="2"/>
    <x v="2"/>
  </r>
  <r>
    <x v="0"/>
    <x v="0"/>
    <x v="1"/>
    <x v="3"/>
    <x v="6"/>
    <x v="2"/>
    <m/>
    <m/>
    <m/>
    <s v="TECNÓPOLIS"/>
    <m/>
    <x v="329"/>
    <s v="DNI"/>
    <n v="31135350"/>
    <m/>
    <m/>
    <m/>
    <m/>
    <m/>
    <m/>
    <x v="1"/>
    <x v="1"/>
    <d v="2011-06-01T00:00:00"/>
    <d v="2016-12-31T00:00:00"/>
    <d v="2016-12-31T00:00:00"/>
    <x v="3"/>
    <m/>
    <m/>
    <n v="13533.35"/>
    <x v="144"/>
    <x v="5"/>
    <s v="."/>
    <s v="."/>
    <s v="."/>
    <n v="1000"/>
    <x v="1"/>
    <x v="0"/>
    <x v="0"/>
  </r>
  <r>
    <x v="0"/>
    <x v="0"/>
    <x v="1"/>
    <x v="3"/>
    <x v="6"/>
    <x v="2"/>
    <m/>
    <m/>
    <s v="MANTENIMIENTO GRAL DEL PARQUE"/>
    <s v="TECNÓPOLIS"/>
    <s v="TECNOPOLIS"/>
    <x v="330"/>
    <s v="DNI"/>
    <n v="17928508"/>
    <s v="20179285089"/>
    <d v="1966-11-03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0"/>
    <x v="4"/>
    <x v="2"/>
    <x v="2"/>
    <m/>
    <s v="PRIVADA"/>
    <s v="ADMINISTRATIVO"/>
    <m/>
    <s v="CCK - Alem 351"/>
    <x v="331"/>
    <s v="DNI"/>
    <n v="25177118"/>
    <m/>
    <m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31"/>
    <x v="2"/>
    <m/>
    <s v="PRIVADA"/>
    <s v="ADMINISTRATIVO"/>
    <s v="CCK"/>
    <s v="CCK - Alem 351"/>
    <x v="332"/>
    <s v="DNI"/>
    <n v="39066240"/>
    <n v="27390662403"/>
    <d v="1995-07-21T00:00:00"/>
    <m/>
    <m/>
    <m/>
    <m/>
    <x v="0"/>
    <x v="0"/>
    <d v="2016-02-01T00:00:00"/>
    <m/>
    <d v="2016-12-31T00:00:00"/>
    <x v="0"/>
    <s v="UNTREF"/>
    <s v="UNSAM"/>
    <n v="28000"/>
    <x v="145"/>
    <x v="30"/>
    <n v="28000"/>
    <s v="."/>
    <s v="."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333"/>
    <s v="DNI"/>
    <n v="27946545"/>
    <s v="20279465459"/>
    <d v="1980-03-25T00:00:00"/>
    <m/>
    <m/>
    <m/>
    <m/>
    <x v="0"/>
    <x v="0"/>
    <d v="2013-04-01T00:00:00"/>
    <m/>
    <d v="2016-12-31T00:00:00"/>
    <x v="0"/>
    <s v="UNTREF"/>
    <m/>
    <n v="19353"/>
    <x v="36"/>
    <x v="3"/>
    <m/>
    <m/>
    <m/>
    <n v="1000"/>
    <x v="2"/>
    <x v="0"/>
    <x v="0"/>
  </r>
  <r>
    <x v="0"/>
    <x v="0"/>
    <x v="1"/>
    <x v="3"/>
    <x v="10"/>
    <x v="2"/>
    <m/>
    <m/>
    <m/>
    <s v="TECNÓPOLIS"/>
    <m/>
    <x v="334"/>
    <s v="DNI"/>
    <n v="30571636"/>
    <n v="27305716362"/>
    <m/>
    <m/>
    <m/>
    <m/>
    <m/>
    <x v="1"/>
    <x v="1"/>
    <d v="2012-10-30T00:00:00"/>
    <d v="2016-12-31T00:00:00"/>
    <d v="2016-12-31T00:00:00"/>
    <x v="3"/>
    <m/>
    <m/>
    <n v="27488.85"/>
    <x v="132"/>
    <x v="5"/>
    <s v="."/>
    <s v="."/>
    <s v="."/>
    <n v="1000"/>
    <x v="1"/>
    <x v="0"/>
    <x v="0"/>
  </r>
  <r>
    <x v="0"/>
    <x v="0"/>
    <x v="0"/>
    <x v="0"/>
    <x v="8"/>
    <x v="6"/>
    <m/>
    <s v=""/>
    <s v="ADMINISTRATIVO"/>
    <s v="CABILDO 65"/>
    <s v="CABILDO 65"/>
    <x v="335"/>
    <s v="DNI"/>
    <n v="31343615"/>
    <s v="27313436158"/>
    <d v="1984-11-23T00:00:00"/>
    <m/>
    <m/>
    <m/>
    <m/>
    <x v="0"/>
    <x v="0"/>
    <d v="2012-12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10"/>
    <x v="2"/>
    <m/>
    <m/>
    <s v="ADMINISTRATIVA"/>
    <m/>
    <s v="CCK - Alem 351"/>
    <x v="336"/>
    <s v="DNI"/>
    <n v="32236578"/>
    <s v="27322365786"/>
    <d v="1986-03-07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3"/>
    <x v="2"/>
    <m/>
    <m/>
    <s v="LIMPIEZA GENERAL DEL PARQUE"/>
    <s v="TECNÓPOLIS"/>
    <s v="TECNOPOLIS"/>
    <x v="337"/>
    <s v="DNI"/>
    <n v="16253797"/>
    <s v="27162537976"/>
    <d v="1964-08-15T00:00:00"/>
    <m/>
    <m/>
    <m/>
    <m/>
    <x v="0"/>
    <x v="0"/>
    <d v="2012-07-01T00:00:00"/>
    <m/>
    <d v="2016-12-31T00:00:00"/>
    <x v="0"/>
    <s v="UNTREF"/>
    <s v="UNTREF"/>
    <n v="9955.51"/>
    <x v="95"/>
    <x v="5"/>
    <s v="."/>
    <s v="."/>
    <s v="."/>
    <n v="1000"/>
    <x v="0"/>
    <x v="0"/>
    <x v="0"/>
  </r>
  <r>
    <x v="0"/>
    <x v="0"/>
    <x v="1"/>
    <x v="3"/>
    <x v="40"/>
    <x v="2"/>
    <m/>
    <m/>
    <m/>
    <s v="TECNÓPOLIS"/>
    <m/>
    <x v="338"/>
    <s v="DNI"/>
    <n v="20965399"/>
    <n v="27209653996"/>
    <m/>
    <m/>
    <m/>
    <m/>
    <m/>
    <x v="1"/>
    <x v="1"/>
    <d v="2010-01-01T00:00:00"/>
    <d v="2016-12-31T00:00:00"/>
    <d v="2016-12-31T00:00:00"/>
    <x v="2"/>
    <m/>
    <m/>
    <n v="17571.04"/>
    <x v="146"/>
    <x v="5"/>
    <s v="."/>
    <s v="."/>
    <s v="."/>
    <n v="1000"/>
    <x v="1"/>
    <x v="0"/>
    <x v="0"/>
  </r>
  <r>
    <x v="0"/>
    <x v="0"/>
    <x v="0"/>
    <x v="0"/>
    <x v="8"/>
    <x v="6"/>
    <m/>
    <s v="BACUA"/>
    <s v="ADMINISTRATIVO"/>
    <s v="CABILDO 65"/>
    <s v="CABILDO 65"/>
    <x v="339"/>
    <s v="DNI"/>
    <n v="27537306"/>
    <s v="20275373061"/>
    <s v="14/08/1979"/>
    <m/>
    <m/>
    <m/>
    <m/>
    <x v="0"/>
    <x v="0"/>
    <d v="2011-05-09T00:00:00"/>
    <m/>
    <d v="2016-12-31T00:00:00"/>
    <x v="0"/>
    <s v="UNTREF"/>
    <s v="UNSAM- LADA"/>
    <n v="32782"/>
    <x v="80"/>
    <x v="5"/>
    <s v="."/>
    <s v="."/>
    <s v="."/>
    <n v="1000"/>
    <x v="2"/>
    <x v="0"/>
    <x v="0"/>
  </r>
  <r>
    <x v="0"/>
    <x v="0"/>
    <x v="1"/>
    <x v="1"/>
    <x v="10"/>
    <x v="2"/>
    <m/>
    <m/>
    <s v="ADMINISTRATIVA"/>
    <m/>
    <s v="CCK - Alem 351"/>
    <x v="340"/>
    <s v="DNI"/>
    <n v="22825888"/>
    <s v="20228258882"/>
    <d v="1972-08-25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1"/>
    <x v="0"/>
    <x v="2"/>
    <x v="2"/>
    <x v="2"/>
    <m/>
    <s v="PRIVADA"/>
    <s v="ADMINISTRATIVO"/>
    <m/>
    <s v="CCK - Alem 351"/>
    <x v="341"/>
    <s v="DNI"/>
    <n v="37234433"/>
    <n v="23372344334"/>
    <d v="1973-07-05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342"/>
    <s v="DNI"/>
    <n v="34669940"/>
    <s v="27346699405"/>
    <d v="1988-10-09T00:00:00"/>
    <m/>
    <m/>
    <m/>
    <m/>
    <x v="0"/>
    <x v="0"/>
    <d v="2013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1"/>
    <x v="0"/>
    <x v="5"/>
    <x v="17"/>
    <x v="12"/>
    <s v="AUTOMOTORES"/>
    <s v="CHOFER"/>
    <m/>
    <s v="CCK"/>
    <m/>
    <x v="343"/>
    <s v="DNI"/>
    <n v="33928176"/>
    <n v="23339281769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0"/>
    <x v="0"/>
    <x v="8"/>
    <x v="6"/>
    <s v="CCK"/>
    <s v="PROGRAMA POLOS AUDIOVISUALES TECNOLÓGICOS"/>
    <m/>
    <s v="CABILDO 65"/>
    <m/>
    <x v="344"/>
    <s v="DNI"/>
    <n v="35561266"/>
    <n v="20355612660"/>
    <m/>
    <m/>
    <m/>
    <m/>
    <m/>
    <x v="1"/>
    <x v="1"/>
    <d v="2011-03-01T00:00:00"/>
    <d v="2016-12-31T00:00:00"/>
    <d v="2016-12-31T00:00:00"/>
    <x v="2"/>
    <m/>
    <m/>
    <n v="12000"/>
    <x v="7"/>
    <x v="5"/>
    <s v="."/>
    <s v="."/>
    <s v="."/>
    <n v="1000"/>
    <x v="1"/>
    <x v="0"/>
    <x v="0"/>
  </r>
  <r>
    <x v="0"/>
    <x v="0"/>
    <x v="0"/>
    <x v="8"/>
    <x v="1"/>
    <x v="2"/>
    <m/>
    <m/>
    <m/>
    <s v="CCK"/>
    <s v="CCK - Alem 351"/>
    <x v="345"/>
    <s v="DNI"/>
    <n v="23377687"/>
    <n v="20233776875"/>
    <m/>
    <m/>
    <m/>
    <m/>
    <m/>
    <x v="1"/>
    <x v="1"/>
    <d v="2012-11-30T00:00:00"/>
    <d v="2016-12-31T00:00:00"/>
    <d v="2016-12-31T00:00:00"/>
    <x v="9"/>
    <m/>
    <m/>
    <n v="19096"/>
    <x v="81"/>
    <x v="5"/>
    <s v="."/>
    <s v="."/>
    <s v="."/>
    <n v="1000"/>
    <x v="1"/>
    <x v="0"/>
    <x v="0"/>
  </r>
  <r>
    <x v="0"/>
    <x v="0"/>
    <x v="1"/>
    <x v="1"/>
    <x v="10"/>
    <x v="2"/>
    <m/>
    <m/>
    <s v="ADMINISTRATIVA"/>
    <m/>
    <s v="CCK - Alem 351"/>
    <x v="346"/>
    <s v="DNI"/>
    <n v="23602538"/>
    <n v="20236025382"/>
    <d v="1973-11-09T00:00:00"/>
    <m/>
    <m/>
    <m/>
    <m/>
    <x v="0"/>
    <x v="0"/>
    <d v="2016-05-01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1"/>
    <x v="1"/>
    <x v="16"/>
    <x v="11"/>
    <m/>
    <m/>
    <s v="VISITAS GUIADAS"/>
    <m/>
    <s v="CCK - Alem 351"/>
    <x v="347"/>
    <s v="DNI"/>
    <n v="25736011"/>
    <n v="27257360119"/>
    <d v="1977-02-11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4"/>
    <m/>
    <s v="CONTENIDOS DIGITALES ABIERTOS CDA"/>
    <s v="PRODUCTOR de EXTERIORES"/>
    <s v="CABILDO 65"/>
    <s v="CABILDO 65"/>
    <x v="348"/>
    <s v="DNI"/>
    <n v="31061385"/>
    <s v="20310613852"/>
    <d v="1984-07-08T00:00:00"/>
    <m/>
    <m/>
    <m/>
    <m/>
    <x v="0"/>
    <x v="0"/>
    <d v="2015-08-13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0"/>
    <x v="0"/>
    <x v="8"/>
    <x v="6"/>
    <m/>
    <s v="ADMINISTRACIÓN"/>
    <m/>
    <s v="CABILDO 65"/>
    <m/>
    <x v="349"/>
    <s v="DNI"/>
    <n v="27769740"/>
    <n v="27277697403"/>
    <m/>
    <m/>
    <m/>
    <m/>
    <m/>
    <x v="1"/>
    <x v="1"/>
    <d v="2015-03-01T00:00:00"/>
    <d v="2016-03-31T00:00:00"/>
    <d v="2016-12-31T00:00:00"/>
    <x v="1"/>
    <m/>
    <m/>
    <n v="10000"/>
    <x v="0"/>
    <x v="5"/>
    <s v="."/>
    <s v="."/>
    <s v="."/>
    <n v="1000"/>
    <x v="1"/>
    <x v="0"/>
    <x v="0"/>
  </r>
  <r>
    <x v="0"/>
    <x v="0"/>
    <x v="1"/>
    <x v="1"/>
    <x v="2"/>
    <x v="2"/>
    <m/>
    <s v="COORD GESTIÓN FEDERAL "/>
    <s v="ADMINISTRATIVO"/>
    <m/>
    <s v="CCK - Alem 351"/>
    <x v="350"/>
    <s v="DNI"/>
    <n v="13654259"/>
    <n v="20136542592"/>
    <d v="1959-12-24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6"/>
    <x v="2"/>
    <m/>
    <m/>
    <s v="MANTENIMIENTO GRAL DEL PARQUE"/>
    <s v="TECNÓPOLIS"/>
    <s v="TECNOPOLIS"/>
    <x v="351"/>
    <s v="DNI"/>
    <n v="20354090"/>
    <s v="20203540907"/>
    <d v="1968-06-07T00:00:00"/>
    <m/>
    <m/>
    <m/>
    <m/>
    <x v="0"/>
    <x v="0"/>
    <d v="2011-09-01T00:00:00"/>
    <m/>
    <d v="2016-12-31T00:00:00"/>
    <x v="0"/>
    <s v="UNTREF"/>
    <s v="UNTREF"/>
    <n v="16139.51"/>
    <x v="147"/>
    <x v="5"/>
    <s v="."/>
    <s v="."/>
    <s v="."/>
    <n v="1000"/>
    <x v="0"/>
    <x v="0"/>
    <x v="0"/>
  </r>
  <r>
    <x v="0"/>
    <x v="0"/>
    <x v="1"/>
    <x v="3"/>
    <x v="6"/>
    <x v="2"/>
    <m/>
    <m/>
    <m/>
    <s v="TECNÓPOLIS"/>
    <m/>
    <x v="352"/>
    <s v="DNI"/>
    <n v="23402784"/>
    <n v="20234027841"/>
    <m/>
    <m/>
    <m/>
    <m/>
    <m/>
    <x v="1"/>
    <x v="1"/>
    <d v="2012-10-31T00:00:00"/>
    <d v="2016-12-31T00:00:00"/>
    <d v="2016-12-31T00:00:00"/>
    <x v="3"/>
    <m/>
    <m/>
    <n v="25954"/>
    <x v="148"/>
    <x v="5"/>
    <s v="."/>
    <s v="."/>
    <s v="."/>
    <n v="1000"/>
    <x v="1"/>
    <x v="0"/>
    <x v="0"/>
  </r>
  <r>
    <x v="0"/>
    <x v="0"/>
    <x v="1"/>
    <x v="1"/>
    <x v="10"/>
    <x v="2"/>
    <m/>
    <m/>
    <s v="ADMINISTRATIVA"/>
    <m/>
    <s v="CCK - Alem 351"/>
    <x v="353"/>
    <s v="DNI"/>
    <n v="32267824"/>
    <s v="20322678240"/>
    <d v="1986-04-04T00:00:00"/>
    <m/>
    <m/>
    <m/>
    <m/>
    <x v="0"/>
    <x v="0"/>
    <d v="2016-05-01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1"/>
    <x v="1"/>
    <x v="27"/>
    <x v="2"/>
    <m/>
    <m/>
    <s v="OPERACIÓN/MONTAJE/MANTENIMIENTO"/>
    <m/>
    <s v="TECNOPOLIS"/>
    <x v="354"/>
    <s v="DNI"/>
    <n v="7961336"/>
    <n v="20079613364"/>
    <d v="1949-09-08T00:00:00"/>
    <m/>
    <m/>
    <m/>
    <m/>
    <x v="0"/>
    <x v="0"/>
    <d v="2016-05-01T00:00:00"/>
    <m/>
    <d v="2016-12-31T00:00:00"/>
    <x v="0"/>
    <s v="UNTREF"/>
    <m/>
    <n v="15000"/>
    <x v="110"/>
    <x v="3"/>
    <m/>
    <m/>
    <m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355"/>
    <s v="DNI"/>
    <n v="24881120"/>
    <s v="20248811200"/>
    <d v="1975-09-04T00:00:00"/>
    <m/>
    <m/>
    <m/>
    <m/>
    <x v="0"/>
    <x v="0"/>
    <d v="2012-09-01T00:00:00"/>
    <m/>
    <d v="2016-12-31T00:00:00"/>
    <x v="0"/>
    <s v="UNTREF"/>
    <s v="UNSAM- LADA"/>
    <n v="24741"/>
    <x v="149"/>
    <x v="5"/>
    <s v="."/>
    <s v="."/>
    <s v="."/>
    <n v="1000"/>
    <x v="2"/>
    <x v="0"/>
    <x v="0"/>
  </r>
  <r>
    <x v="0"/>
    <x v="0"/>
    <x v="1"/>
    <x v="1"/>
    <x v="10"/>
    <x v="2"/>
    <m/>
    <m/>
    <s v="ADMINISTRATIVA"/>
    <m/>
    <s v="CCK - Alem 351"/>
    <x v="356"/>
    <s v="DNI"/>
    <n v="21834189"/>
    <n v="27218341891"/>
    <d v="1970-11-14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357"/>
    <s v="DNI"/>
    <n v="24319998"/>
    <n v="20243199981"/>
    <d v="1967-12-30T00:00:00"/>
    <m/>
    <m/>
    <m/>
    <m/>
    <x v="0"/>
    <x v="2"/>
    <d v="2011-11-03T00:00:00"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3"/>
    <x v="6"/>
    <x v="2"/>
    <m/>
    <m/>
    <m/>
    <s v="TECNÓPOLIS"/>
    <m/>
    <x v="358"/>
    <s v="DNI"/>
    <n v="35151859"/>
    <n v="20351518597"/>
    <m/>
    <m/>
    <m/>
    <m/>
    <m/>
    <x v="1"/>
    <x v="1"/>
    <d v="2011-06-01T00:00:00"/>
    <d v="2016-12-31T00:00:00"/>
    <d v="2016-12-31T00:00:00"/>
    <x v="8"/>
    <m/>
    <m/>
    <n v="18324"/>
    <x v="150"/>
    <x v="5"/>
    <s v="."/>
    <s v="."/>
    <s v="."/>
    <n v="1000"/>
    <x v="1"/>
    <x v="0"/>
    <x v="0"/>
  </r>
  <r>
    <x v="0"/>
    <x v="0"/>
    <x v="1"/>
    <x v="3"/>
    <x v="20"/>
    <x v="2"/>
    <m/>
    <m/>
    <m/>
    <s v="TECNÓPOLIS"/>
    <m/>
    <x v="359"/>
    <s v="DNI"/>
    <n v="35253895"/>
    <n v="20352538958"/>
    <m/>
    <m/>
    <m/>
    <m/>
    <m/>
    <x v="1"/>
    <x v="1"/>
    <d v="2012-11-01T00:00:00"/>
    <d v="2016-12-31T00:00:00"/>
    <d v="2016-12-31T00:00:00"/>
    <x v="3"/>
    <m/>
    <m/>
    <n v="15043.07"/>
    <x v="107"/>
    <x v="5"/>
    <s v="."/>
    <s v="."/>
    <s v="."/>
    <n v="1000"/>
    <x v="1"/>
    <x v="0"/>
    <x v="0"/>
  </r>
  <r>
    <x v="0"/>
    <x v="1"/>
    <x v="0"/>
    <x v="5"/>
    <x v="30"/>
    <x v="2"/>
    <m/>
    <s v="Administrativo"/>
    <s v="ADMINISTRATIVO"/>
    <m/>
    <s v="CCK - Alem 351"/>
    <x v="360"/>
    <s v="DNI"/>
    <n v="38997666"/>
    <s v="EN TRAMITE"/>
    <d v="1995-05-18T00:00:00"/>
    <m/>
    <m/>
    <m/>
    <m/>
    <x v="0"/>
    <x v="0"/>
    <d v="2016-07-18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5"/>
    <x v="14"/>
    <m/>
    <m/>
    <s v="Auxiliar"/>
    <m/>
    <s v="CCK - Alem 351"/>
    <x v="361"/>
    <s v="DNI"/>
    <n v="35255476"/>
    <s v="20352554767"/>
    <d v="1990-07-05T00:00:00"/>
    <m/>
    <m/>
    <m/>
    <m/>
    <x v="0"/>
    <x v="0"/>
    <d v="2014-08-01T00:00:00"/>
    <m/>
    <d v="2016-12-31T00:00:00"/>
    <x v="0"/>
    <s v="UNTREF"/>
    <m/>
    <n v="9479"/>
    <x v="18"/>
    <x v="3"/>
    <m/>
    <m/>
    <m/>
    <n v="1000"/>
    <x v="0"/>
    <x v="0"/>
    <x v="0"/>
  </r>
  <r>
    <x v="0"/>
    <x v="0"/>
    <x v="0"/>
    <x v="6"/>
    <x v="12"/>
    <x v="2"/>
    <m/>
    <m/>
    <s v="Orientador de Sala"/>
    <m/>
    <m/>
    <x v="362"/>
    <s v="DNI"/>
    <n v="92436017"/>
    <n v="27924360173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1"/>
    <x v="0"/>
    <x v="5"/>
    <x v="17"/>
    <x v="17"/>
    <m/>
    <s v="Analista de RR.HH."/>
    <s v="ADMINISTRATIVO"/>
    <s v="CCK"/>
    <s v="CCK - Alem 351"/>
    <x v="363"/>
    <s v="DNI"/>
    <n v="26938300"/>
    <s v="20269383004"/>
    <d v="1978-12-07T00:00:00"/>
    <m/>
    <m/>
    <m/>
    <m/>
    <x v="0"/>
    <x v="0"/>
    <d v="2015-03-01T00:00:00"/>
    <m/>
    <d v="2016-12-31T00:00:00"/>
    <x v="0"/>
    <s v="UNTREF"/>
    <s v="UNSAM-MINPLAN"/>
    <n v="12000"/>
    <x v="30"/>
    <x v="7"/>
    <n v="14000"/>
    <n v="14000"/>
    <s v="."/>
    <n v="1000"/>
    <x v="0"/>
    <x v="0"/>
    <x v="0"/>
  </r>
  <r>
    <x v="0"/>
    <x v="0"/>
    <x v="1"/>
    <x v="1"/>
    <x v="5"/>
    <x v="13"/>
    <s v="ELECTRICIDAD"/>
    <s v="ASISTENTE"/>
    <s v="ASISTENTE"/>
    <s v="CCK"/>
    <s v="CCK - Alem 351"/>
    <x v="364"/>
    <s v="DNI"/>
    <n v="14972197"/>
    <s v="20149721976"/>
    <d v="1962-07-27T00:00:00"/>
    <m/>
    <m/>
    <m/>
    <m/>
    <x v="0"/>
    <x v="0"/>
    <d v="2015-06-01T00:00:00"/>
    <m/>
    <d v="2016-12-31T00:00:00"/>
    <x v="0"/>
    <s v="UNTREF"/>
    <s v="UNLAM- BICENTENARIO"/>
    <n v="11388"/>
    <x v="49"/>
    <x v="7"/>
    <n v="14000"/>
    <n v="13500"/>
    <n v="14000"/>
    <n v="1000"/>
    <x v="0"/>
    <x v="0"/>
    <x v="0"/>
  </r>
  <r>
    <x v="0"/>
    <x v="0"/>
    <x v="1"/>
    <x v="3"/>
    <x v="15"/>
    <x v="2"/>
    <m/>
    <m/>
    <m/>
    <s v="TECNÓPOLIS"/>
    <m/>
    <x v="365"/>
    <s v="DNI"/>
    <n v="26965728"/>
    <n v="20269657287"/>
    <m/>
    <m/>
    <m/>
    <m/>
    <m/>
    <x v="1"/>
    <x v="1"/>
    <d v="2012-04-01T00:00:00"/>
    <d v="2016-12-31T00:00:00"/>
    <d v="2016-12-31T00:00:00"/>
    <x v="3"/>
    <m/>
    <m/>
    <n v="20921.8"/>
    <x v="151"/>
    <x v="5"/>
    <s v="."/>
    <s v="."/>
    <s v="."/>
    <n v="1000"/>
    <x v="1"/>
    <x v="0"/>
    <x v="0"/>
  </r>
  <r>
    <x v="0"/>
    <x v="1"/>
    <x v="0"/>
    <x v="2"/>
    <x v="2"/>
    <x v="2"/>
    <m/>
    <s v="PRIVADA"/>
    <s v="ADMINISTRATIVO"/>
    <m/>
    <s v="CCK - Alem 351"/>
    <x v="366"/>
    <s v="DNI"/>
    <n v="35323287"/>
    <n v="27353232873"/>
    <d v="1990-06-02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0"/>
    <x v="6"/>
    <x v="12"/>
    <x v="2"/>
    <m/>
    <s v="ADMINISTRACION"/>
    <m/>
    <s v="CCK"/>
    <m/>
    <x v="367"/>
    <s v="DNI"/>
    <n v="25555134"/>
    <n v="27255551340"/>
    <m/>
    <m/>
    <m/>
    <m/>
    <m/>
    <x v="1"/>
    <x v="1"/>
    <d v="2013-12-01T00:00:00"/>
    <d v="2016-03-31T00:00:00"/>
    <d v="2016-12-31T00:00:00"/>
    <x v="12"/>
    <m/>
    <m/>
    <n v="30743"/>
    <x v="152"/>
    <x v="5"/>
    <s v="."/>
    <s v="."/>
    <s v="."/>
    <n v="1000"/>
    <x v="1"/>
    <x v="0"/>
    <x v="0"/>
  </r>
  <r>
    <x v="0"/>
    <x v="0"/>
    <x v="0"/>
    <x v="0"/>
    <x v="8"/>
    <x v="4"/>
    <m/>
    <s v="PRODUCCIÓN"/>
    <s v="PRODUCTOR de EXTERIORES"/>
    <s v="CABILDO 65"/>
    <s v="CABILDO 65"/>
    <x v="368"/>
    <s v="DNI"/>
    <n v="34146409"/>
    <s v="23341464099"/>
    <d v="1988-10-14T00:00:00"/>
    <m/>
    <m/>
    <m/>
    <m/>
    <x v="0"/>
    <x v="0"/>
    <d v="2013-12-01T00:00:00"/>
    <m/>
    <d v="2016-12-31T00:00:00"/>
    <x v="0"/>
    <s v="UNTREF"/>
    <m/>
    <n v="16465"/>
    <x v="17"/>
    <x v="3"/>
    <m/>
    <m/>
    <m/>
    <n v="1000"/>
    <x v="2"/>
    <x v="0"/>
    <x v="0"/>
  </r>
  <r>
    <x v="0"/>
    <x v="0"/>
    <x v="0"/>
    <x v="0"/>
    <x v="8"/>
    <x v="6"/>
    <m/>
    <s v="PRODUCCIÓN"/>
    <s v="PRODUCTOR de EXTERIORES"/>
    <s v="CABILDO 65"/>
    <s v="CABILDO 65"/>
    <x v="369"/>
    <s v="DNI"/>
    <n v="29548353"/>
    <s v="23295483539"/>
    <d v="1982-10-24T00:00:00"/>
    <m/>
    <m/>
    <m/>
    <m/>
    <x v="0"/>
    <x v="0"/>
    <d v="2015-11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5"/>
    <x v="14"/>
    <s v="CONTROL DE ACCESOS B"/>
    <s v="Asistente "/>
    <s v="Asistente "/>
    <s v="CCK"/>
    <s v="CCK - Alem 351"/>
    <x v="370"/>
    <s v="DNI"/>
    <n v="33426836"/>
    <s v="20334268366"/>
    <d v="1988-03-25T00:00:00"/>
    <m/>
    <m/>
    <m/>
    <m/>
    <x v="0"/>
    <x v="0"/>
    <d v="2015-08-01T00:00:00"/>
    <m/>
    <d v="2016-12-31T00:00:00"/>
    <x v="0"/>
    <s v="UNTREF"/>
    <s v="UNLAM- BICENTENARIO"/>
    <n v="10096"/>
    <x v="5"/>
    <x v="4"/>
    <n v="14000"/>
    <n v="12500"/>
    <s v="."/>
    <n v="1000"/>
    <x v="0"/>
    <x v="0"/>
    <x v="0"/>
  </r>
  <r>
    <x v="0"/>
    <x v="0"/>
    <x v="1"/>
    <x v="1"/>
    <x v="5"/>
    <x v="14"/>
    <s v="CONTROL DE ACCESOS A"/>
    <s v="Responsable"/>
    <s v="Auxiliar"/>
    <s v="CCK"/>
    <s v="CCK - Alem 351"/>
    <x v="371"/>
    <s v="DNI"/>
    <n v="35569349"/>
    <s v="20355693490"/>
    <d v="1990-10-27T00:00:00"/>
    <m/>
    <m/>
    <m/>
    <m/>
    <x v="0"/>
    <x v="0"/>
    <d v="2015-02-23T00:00:00"/>
    <m/>
    <d v="2016-12-31T00:00:00"/>
    <x v="0"/>
    <s v="UNTREF"/>
    <s v="UNLAM -TDA"/>
    <n v="11721"/>
    <x v="49"/>
    <x v="7"/>
    <n v="14000"/>
    <n v="13500"/>
    <n v="14000"/>
    <n v="1000"/>
    <x v="0"/>
    <x v="0"/>
    <x v="0"/>
  </r>
  <r>
    <x v="0"/>
    <x v="0"/>
    <x v="1"/>
    <x v="7"/>
    <x v="2"/>
    <x v="2"/>
    <m/>
    <s v="PRIVADA"/>
    <s v="ADMINISTRATIVO"/>
    <m/>
    <s v="CCK - Alem 351"/>
    <x v="372"/>
    <s v="DNI"/>
    <n v="31018424"/>
    <n v="27310184247"/>
    <d v="1984-07-14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6"/>
    <x v="2"/>
    <m/>
    <m/>
    <m/>
    <s v="TECNÓPOLIS"/>
    <m/>
    <x v="373"/>
    <s v="DNI"/>
    <n v="12728703"/>
    <n v="20127287032"/>
    <m/>
    <m/>
    <m/>
    <m/>
    <m/>
    <x v="1"/>
    <x v="1"/>
    <d v="2011-03-01T00:00:00"/>
    <d v="2016-12-31T00:00:00"/>
    <d v="2016-12-31T00:00:00"/>
    <x v="3"/>
    <m/>
    <m/>
    <n v="25915.89"/>
    <x v="153"/>
    <x v="5"/>
    <s v="."/>
    <s v="."/>
    <s v="."/>
    <n v="1000"/>
    <x v="1"/>
    <x v="0"/>
    <x v="0"/>
  </r>
  <r>
    <x v="0"/>
    <x v="0"/>
    <x v="1"/>
    <x v="1"/>
    <x v="10"/>
    <x v="2"/>
    <m/>
    <m/>
    <s v="ADMINISTRATIVO"/>
    <m/>
    <s v="CCK - Alem 351"/>
    <x v="374"/>
    <s v="DNI"/>
    <n v="16037424"/>
    <n v="27160374247"/>
    <d v="1962-03-23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41"/>
    <x v="22"/>
    <m/>
    <m/>
    <s v="MANTENIMIENTO DE ESPACIOS VERDES"/>
    <s v="TECNÓPOLIS"/>
    <s v="TECNOPOLIS"/>
    <x v="375"/>
    <s v="DNI"/>
    <n v="22351485"/>
    <n v="27223514850"/>
    <d v="1972-01-15T00:00:00"/>
    <m/>
    <m/>
    <m/>
    <m/>
    <x v="0"/>
    <x v="0"/>
    <d v="2011-07-01T00:00:00"/>
    <m/>
    <d v="2016-12-31T00:00:00"/>
    <x v="0"/>
    <s v="UNTREF"/>
    <s v="UNTREF"/>
    <n v="6000"/>
    <x v="154"/>
    <x v="5"/>
    <s v="."/>
    <s v="."/>
    <s v=".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376"/>
    <s v="DNI"/>
    <n v="17476516"/>
    <s v="27174765168"/>
    <d v="1965-07-25T00:00:00"/>
    <m/>
    <m/>
    <m/>
    <m/>
    <x v="0"/>
    <x v="0"/>
    <d v="2013-01-01T00:00:00"/>
    <m/>
    <d v="2016-12-31T00:00:00"/>
    <x v="0"/>
    <s v="UNTREF"/>
    <s v="UNTREF"/>
    <n v="11187.23"/>
    <x v="155"/>
    <x v="5"/>
    <s v="."/>
    <s v="."/>
    <s v="."/>
    <n v="1000"/>
    <x v="0"/>
    <x v="0"/>
    <x v="0"/>
  </r>
  <r>
    <x v="0"/>
    <x v="0"/>
    <x v="1"/>
    <x v="1"/>
    <x v="5"/>
    <x v="14"/>
    <s v="CONTROL DE ACCESO B"/>
    <s v="Responsable"/>
    <s v="Auxiliar"/>
    <s v="CCK"/>
    <s v="CCK - Alem 351"/>
    <x v="377"/>
    <s v="DNI"/>
    <n v="35111771"/>
    <s v="20351117711"/>
    <d v="1990-02-04T00:00:00"/>
    <m/>
    <m/>
    <m/>
    <m/>
    <x v="0"/>
    <x v="0"/>
    <d v="2015-08-01T00:00:00"/>
    <m/>
    <d v="2016-12-31T00:00:00"/>
    <x v="0"/>
    <s v="UNTREF"/>
    <s v="UNLAM- BICENTENARIO"/>
    <n v="10807"/>
    <x v="5"/>
    <x v="7"/>
    <n v="14000"/>
    <n v="12500"/>
    <n v="14000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378"/>
    <s v="DNI"/>
    <n v="26053585"/>
    <s v="20260535855"/>
    <d v="1977-10-18T00:00:00"/>
    <m/>
    <m/>
    <m/>
    <m/>
    <x v="0"/>
    <x v="0"/>
    <m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379"/>
    <s v="DNI"/>
    <n v="10795536"/>
    <s v="23107955364"/>
    <d v="1953-09-18T00:00:00"/>
    <m/>
    <m/>
    <m/>
    <m/>
    <x v="0"/>
    <x v="0"/>
    <d v="2016-01-01T00:00:00"/>
    <m/>
    <d v="2016-12-31T00:00:00"/>
    <x v="0"/>
    <s v="UNTREF"/>
    <s v="UNSAM"/>
    <n v="36529"/>
    <x v="156"/>
    <x v="31"/>
    <n v="36529"/>
    <s v="."/>
    <s v="."/>
    <n v="1000"/>
    <x v="0"/>
    <x v="0"/>
    <x v="0"/>
  </r>
  <r>
    <x v="0"/>
    <x v="0"/>
    <x v="0"/>
    <x v="8"/>
    <x v="1"/>
    <x v="2"/>
    <m/>
    <m/>
    <s v="ADMINISTRATIVO"/>
    <m/>
    <s v="CCK - Alem 351"/>
    <x v="380"/>
    <s v="DNI"/>
    <n v="31014183"/>
    <n v="20310141837"/>
    <d v="1984-09-10T00:00:00"/>
    <m/>
    <m/>
    <m/>
    <m/>
    <x v="0"/>
    <x v="0"/>
    <m/>
    <m/>
    <d v="2016-12-31T00:00:00"/>
    <x v="0"/>
    <s v="UNTREF"/>
    <m/>
    <n v="12000"/>
    <x v="7"/>
    <x v="3"/>
    <m/>
    <m/>
    <m/>
    <n v="1000"/>
    <x v="0"/>
    <x v="0"/>
    <x v="0"/>
  </r>
  <r>
    <x v="0"/>
    <x v="0"/>
    <x v="1"/>
    <x v="7"/>
    <x v="2"/>
    <x v="2"/>
    <m/>
    <s v="Asesor"/>
    <m/>
    <m/>
    <m/>
    <x v="381"/>
    <s v="DNI"/>
    <n v="31541032"/>
    <n v="20315410321"/>
    <m/>
    <m/>
    <m/>
    <m/>
    <m/>
    <x v="1"/>
    <x v="1"/>
    <d v="2010-07-01T00:00:00"/>
    <d v="2016-12-31T00:00:00"/>
    <d v="2016-12-31T00:00:00"/>
    <x v="2"/>
    <m/>
    <m/>
    <n v="13638.95"/>
    <x v="157"/>
    <x v="5"/>
    <s v="."/>
    <s v="."/>
    <n v="16000"/>
    <n v="1000"/>
    <x v="1"/>
    <x v="0"/>
    <x v="0"/>
  </r>
  <r>
    <x v="0"/>
    <x v="0"/>
    <x v="1"/>
    <x v="3"/>
    <x v="27"/>
    <x v="2"/>
    <m/>
    <m/>
    <m/>
    <s v="TECNÓPOLIS"/>
    <m/>
    <x v="382"/>
    <s v="DNI"/>
    <n v="29117820"/>
    <n v="24291178207"/>
    <m/>
    <m/>
    <m/>
    <m/>
    <m/>
    <x v="1"/>
    <x v="1"/>
    <d v="2011-03-01T00:00:00"/>
    <d v="2016-12-31T00:00:00"/>
    <d v="2016-12-31T00:00:00"/>
    <x v="3"/>
    <m/>
    <m/>
    <n v="29784"/>
    <x v="55"/>
    <x v="5"/>
    <s v="."/>
    <s v="."/>
    <s v="."/>
    <n v="1000"/>
    <x v="1"/>
    <x v="0"/>
    <x v="0"/>
  </r>
  <r>
    <x v="0"/>
    <x v="0"/>
    <x v="1"/>
    <x v="3"/>
    <x v="6"/>
    <x v="2"/>
    <m/>
    <m/>
    <m/>
    <s v="TECNÓPOLIS"/>
    <m/>
    <x v="383"/>
    <s v="DNI"/>
    <n v="34690282"/>
    <n v="20346902826"/>
    <m/>
    <m/>
    <m/>
    <m/>
    <m/>
    <x v="1"/>
    <x v="1"/>
    <d v="2013-07-01T00:00:00"/>
    <d v="2016-03-31T00:00:00"/>
    <d v="2016-12-31T00:00:00"/>
    <x v="8"/>
    <m/>
    <m/>
    <n v="18324"/>
    <x v="150"/>
    <x v="5"/>
    <s v="."/>
    <s v="."/>
    <s v="."/>
    <n v="1000"/>
    <x v="1"/>
    <x v="0"/>
    <x v="0"/>
  </r>
  <r>
    <x v="0"/>
    <x v="1"/>
    <x v="0"/>
    <x v="5"/>
    <x v="18"/>
    <x v="2"/>
    <s v="(IGUALDAD CULTURAL)"/>
    <s v="Analista"/>
    <m/>
    <s v="CCK"/>
    <m/>
    <x v="384"/>
    <s v="DNI"/>
    <n v="29894708"/>
    <n v="27298947086"/>
    <m/>
    <m/>
    <m/>
    <m/>
    <m/>
    <x v="1"/>
    <x v="1"/>
    <d v="2011-06-06T00:00:00"/>
    <d v="2016-12-31T00:00:00"/>
    <d v="2016-12-31T00:00:00"/>
    <x v="9"/>
    <m/>
    <m/>
    <n v="19096"/>
    <x v="81"/>
    <x v="5"/>
    <s v="."/>
    <s v="."/>
    <s v="."/>
    <n v="1000"/>
    <x v="1"/>
    <x v="0"/>
    <x v="0"/>
  </r>
  <r>
    <x v="0"/>
    <x v="0"/>
    <x v="0"/>
    <x v="0"/>
    <x v="8"/>
    <x v="6"/>
    <m/>
    <s v="PRENSA Y COMUNICACIÓN"/>
    <s v="ADMINISTRATIVO"/>
    <s v="CABILDO 65"/>
    <s v="CABILDO 65"/>
    <x v="385"/>
    <s v="DNI"/>
    <n v="38444374"/>
    <s v="20384443746"/>
    <d v="1994-08-09T00:00:00"/>
    <m/>
    <m/>
    <m/>
    <m/>
    <x v="0"/>
    <x v="0"/>
    <d v="2013-11-11T00:00:00"/>
    <m/>
    <d v="2016-12-31T00:00:00"/>
    <x v="0"/>
    <s v="UNTREF"/>
    <s v="UNSAM- LADA"/>
    <n v="10188"/>
    <x v="5"/>
    <x v="4"/>
    <n v="13000"/>
    <n v="12500"/>
    <n v="13000"/>
    <n v="1000"/>
    <x v="0"/>
    <x v="0"/>
    <x v="0"/>
  </r>
  <r>
    <x v="0"/>
    <x v="0"/>
    <x v="1"/>
    <x v="1"/>
    <x v="10"/>
    <x v="2"/>
    <m/>
    <s v="Analista"/>
    <s v="ADMINISTRATIVA"/>
    <s v="CCK"/>
    <s v="CCK - Alem 351"/>
    <x v="386"/>
    <s v="DNI"/>
    <n v="35728494"/>
    <s v="27357284940"/>
    <d v="1991-01-23T00:00:00"/>
    <m/>
    <m/>
    <m/>
    <m/>
    <x v="0"/>
    <x v="0"/>
    <d v="2015-05-04T00:00:00"/>
    <m/>
    <d v="2016-12-31T00:00:00"/>
    <x v="0"/>
    <s v="UNTREF"/>
    <s v="UNSAM-MINPLAN"/>
    <n v="12000"/>
    <x v="30"/>
    <x v="12"/>
    <n v="13000"/>
    <n v="14000"/>
    <n v="17000"/>
    <n v="1000"/>
    <x v="0"/>
    <x v="0"/>
    <x v="0"/>
  </r>
  <r>
    <x v="0"/>
    <x v="0"/>
    <x v="1"/>
    <x v="1"/>
    <x v="2"/>
    <x v="2"/>
    <m/>
    <s v="COORD GESTIÓN FEDERAL Z. NORTE"/>
    <s v="ADMINISTRATIVO"/>
    <m/>
    <s v="CCK - Alem 351"/>
    <x v="387"/>
    <s v="DNI"/>
    <n v="10424747"/>
    <n v="20104247475"/>
    <d v="1952-04-13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2"/>
    <x v="0"/>
    <x v="4"/>
    <x v="2"/>
    <x v="2"/>
    <m/>
    <s v="PRIVADA"/>
    <s v="ADMINISTRATIVO"/>
    <m/>
    <s v="CCK - Alem 351"/>
    <x v="388"/>
    <s v="DNI"/>
    <n v="20372601"/>
    <n v="27203726010"/>
    <d v="1968-06-07T00:00:00"/>
    <m/>
    <m/>
    <m/>
    <m/>
    <x v="0"/>
    <x v="0"/>
    <d v="2016-01-01T00:00:00"/>
    <m/>
    <d v="2016-12-31T00:00:00"/>
    <x v="0"/>
    <s v="UNTREF"/>
    <s v="UNSAM"/>
    <n v="27370"/>
    <x v="112"/>
    <x v="2"/>
    <n v="36000"/>
    <n v="36000"/>
    <s v="."/>
    <n v="1000"/>
    <x v="0"/>
    <x v="0"/>
    <x v="0"/>
  </r>
  <r>
    <x v="0"/>
    <x v="0"/>
    <x v="1"/>
    <x v="1"/>
    <x v="34"/>
    <x v="2"/>
    <m/>
    <s v="Asistente"/>
    <s v="Asistente"/>
    <s v="CCK"/>
    <s v="CCK - Alem 351"/>
    <x v="389"/>
    <s v="DNI"/>
    <n v="32438452"/>
    <s v="27324384524"/>
    <d v="1986-06-29T00:00:00"/>
    <m/>
    <m/>
    <m/>
    <m/>
    <x v="0"/>
    <x v="0"/>
    <d v="2016-02-01T00:00:00"/>
    <m/>
    <d v="2016-12-31T00:00:00"/>
    <x v="0"/>
    <s v="UNTREF"/>
    <s v="UNSAM"/>
    <n v="13000"/>
    <x v="113"/>
    <x v="8"/>
    <n v="20000"/>
    <n v="20000"/>
    <s v="."/>
    <n v="1000"/>
    <x v="0"/>
    <x v="0"/>
    <x v="0"/>
  </r>
  <r>
    <x v="0"/>
    <x v="0"/>
    <x v="0"/>
    <x v="6"/>
    <x v="12"/>
    <x v="2"/>
    <m/>
    <m/>
    <m/>
    <m/>
    <m/>
    <x v="390"/>
    <s v="DNI"/>
    <n v="18549052"/>
    <n v="20185490522"/>
    <m/>
    <m/>
    <m/>
    <m/>
    <m/>
    <x v="2"/>
    <x v="0"/>
    <d v="2016-08-01T00:00:00"/>
    <m/>
    <d v="2016-10-30T00:00:00"/>
    <x v="0"/>
    <s v="UNTREF"/>
    <m/>
    <m/>
    <x v="18"/>
    <x v="3"/>
    <m/>
    <m/>
    <m/>
    <m/>
    <x v="1"/>
    <x v="1"/>
    <x v="2"/>
  </r>
  <r>
    <x v="0"/>
    <x v="0"/>
    <x v="0"/>
    <x v="0"/>
    <x v="8"/>
    <x v="6"/>
    <m/>
    <s v="POSTPRODUCCIÓN"/>
    <s v="ADMINISTRATIVO"/>
    <s v="CABILDO 65"/>
    <s v="CABILDO 65"/>
    <x v="391"/>
    <s v="DNI"/>
    <n v="10476319"/>
    <s v="20104763198"/>
    <d v="1952-06-04T00:00:00"/>
    <m/>
    <m/>
    <m/>
    <m/>
    <x v="0"/>
    <x v="0"/>
    <d v="2012-11-01T00:00:00"/>
    <m/>
    <d v="2016-12-31T00:00:00"/>
    <x v="0"/>
    <s v="UNTREF"/>
    <s v="UNSAM- LADA"/>
    <n v="39000"/>
    <x v="158"/>
    <x v="5"/>
    <s v="."/>
    <s v="."/>
    <s v="."/>
    <n v="1000"/>
    <x v="2"/>
    <x v="0"/>
    <x v="0"/>
  </r>
  <r>
    <x v="0"/>
    <x v="1"/>
    <x v="0"/>
    <x v="10"/>
    <x v="2"/>
    <x v="2"/>
    <m/>
    <s v="ASISTENTE"/>
    <s v="Administrativo"/>
    <s v="CCK"/>
    <s v="CCK - Alem 351"/>
    <x v="392"/>
    <s v="DNI"/>
    <n v="33780682"/>
    <s v="20337806822"/>
    <d v="1988-08-26T00:00:00"/>
    <m/>
    <m/>
    <m/>
    <m/>
    <x v="0"/>
    <x v="0"/>
    <d v="2015-09-21T00:00:00"/>
    <m/>
    <d v="2016-12-31T00:00:00"/>
    <x v="0"/>
    <s v="UNTREF"/>
    <s v="UNSAM-MINPLAN"/>
    <n v="10000"/>
    <x v="5"/>
    <x v="4"/>
    <n v="13000"/>
    <n v="12500"/>
    <s v="."/>
    <n v="1000"/>
    <x v="0"/>
    <x v="0"/>
    <x v="0"/>
  </r>
  <r>
    <x v="0"/>
    <x v="0"/>
    <x v="0"/>
    <x v="0"/>
    <x v="8"/>
    <x v="6"/>
    <m/>
    <s v="ADMINISTRACIÓN"/>
    <m/>
    <s v="CABILDO 65"/>
    <m/>
    <x v="393"/>
    <s v="DNI"/>
    <n v="30035347"/>
    <n v="27300353474"/>
    <m/>
    <m/>
    <m/>
    <m/>
    <m/>
    <x v="1"/>
    <x v="1"/>
    <d v="2013-12-01T00:00:00"/>
    <d v="2016-03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1"/>
    <x v="16"/>
    <x v="11"/>
    <m/>
    <m/>
    <s v="VISITAS GUIADAS"/>
    <m/>
    <s v="CCK - Alem 351"/>
    <x v="394"/>
    <s v="DNI"/>
    <n v="35109083"/>
    <n v="23351090839"/>
    <d v="1990-06-19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14"/>
    <x v="2"/>
    <s v="(GESTIÓN OPERATIVA)"/>
    <m/>
    <s v="ADMINISTRATIVO"/>
    <s v="CCK"/>
    <s v="CCK - Alem 351"/>
    <x v="395"/>
    <s v="DNI"/>
    <n v="25936671"/>
    <s v="20259366713"/>
    <d v="1977-07-08T00:00:00"/>
    <m/>
    <m/>
    <m/>
    <m/>
    <x v="0"/>
    <x v="0"/>
    <d v="2013-05-01T00:00:00"/>
    <m/>
    <d v="2016-12-31T00:00:00"/>
    <x v="0"/>
    <s v="UNTREF"/>
    <s v="UNSAM"/>
    <n v="24333"/>
    <x v="159"/>
    <x v="11"/>
    <n v="25000"/>
    <s v="."/>
    <n v="25000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396"/>
    <s v="DNI"/>
    <n v="11958625"/>
    <s v="27119586254"/>
    <d v="1958-01-11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0"/>
    <x v="8"/>
    <x v="6"/>
    <s v="CCK"/>
    <s v="PROGRAMA POLOS AUDIOVISUALES TECNOLÓGICOS"/>
    <m/>
    <s v="CABILDO 65"/>
    <m/>
    <x v="397"/>
    <s v="DNI"/>
    <n v="29019894"/>
    <n v="27290198947"/>
    <m/>
    <m/>
    <m/>
    <m/>
    <m/>
    <x v="1"/>
    <x v="1"/>
    <d v="2012-12-01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3"/>
    <x v="15"/>
    <x v="2"/>
    <m/>
    <m/>
    <m/>
    <s v="TECNÓPOLIS"/>
    <m/>
    <x v="398"/>
    <s v="DNI"/>
    <n v="37339485"/>
    <n v="20373394859"/>
    <m/>
    <m/>
    <m/>
    <m/>
    <m/>
    <x v="1"/>
    <x v="1"/>
    <d v="2012-11-30T00:00:00"/>
    <d v="2016-12-31T00:00:00"/>
    <d v="2016-12-31T00:00:00"/>
    <x v="13"/>
    <m/>
    <m/>
    <n v="13135.25"/>
    <x v="160"/>
    <x v="5"/>
    <s v="."/>
    <s v="."/>
    <s v="."/>
    <n v="1000"/>
    <x v="1"/>
    <x v="0"/>
    <x v="0"/>
  </r>
  <r>
    <x v="0"/>
    <x v="0"/>
    <x v="0"/>
    <x v="0"/>
    <x v="8"/>
    <x v="6"/>
    <m/>
    <s v="TÉCNICA Y TRANSMISIÓN"/>
    <s v="ADMINISTRATIVO"/>
    <s v="CABILDO 65"/>
    <s v="CABILDO 65"/>
    <x v="399"/>
    <s v="DNI"/>
    <n v="16895479"/>
    <s v="20168954795"/>
    <d v="1964-06-16T00:00:00"/>
    <m/>
    <m/>
    <m/>
    <m/>
    <x v="0"/>
    <x v="0"/>
    <d v="2015-04-01T00:00:00"/>
    <m/>
    <d v="2016-12-31T00:00:00"/>
    <x v="0"/>
    <s v="UNTREF"/>
    <s v="UNSAM- LADA"/>
    <n v="20545"/>
    <x v="143"/>
    <x v="5"/>
    <s v="."/>
    <s v="."/>
    <s v="."/>
    <n v="1000"/>
    <x v="2"/>
    <x v="0"/>
    <x v="0"/>
  </r>
  <r>
    <x v="0"/>
    <x v="0"/>
    <x v="0"/>
    <x v="8"/>
    <x v="1"/>
    <x v="2"/>
    <m/>
    <m/>
    <s v="ADMINISTRATIVO"/>
    <m/>
    <s v="CCK - Alem 351"/>
    <x v="400"/>
    <s v="DNI"/>
    <n v="36904627"/>
    <n v="27369046271"/>
    <d v="1992-06-08T00:00:00"/>
    <m/>
    <m/>
    <m/>
    <m/>
    <x v="0"/>
    <x v="0"/>
    <d v="2016-06-2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31"/>
    <x v="2"/>
    <m/>
    <s v="PRIVADA"/>
    <s v="ADMINISTRATIVO"/>
    <s v="CCK"/>
    <s v="CCK - Alem 351"/>
    <x v="401"/>
    <s v="DNI"/>
    <n v="33768361"/>
    <n v="20337683615"/>
    <d v="1988-05-15T00:00:00"/>
    <m/>
    <m/>
    <m/>
    <m/>
    <x v="0"/>
    <x v="0"/>
    <d v="2016-02-01T00:00:00"/>
    <m/>
    <d v="2016-12-31T00:00:00"/>
    <x v="0"/>
    <s v="UNTREF"/>
    <s v="UNSAM"/>
    <n v="28000"/>
    <x v="145"/>
    <x v="30"/>
    <n v="28000"/>
    <s v="."/>
    <s v="."/>
    <n v="1000"/>
    <x v="0"/>
    <x v="0"/>
    <x v="0"/>
  </r>
  <r>
    <x v="0"/>
    <x v="1"/>
    <x v="0"/>
    <x v="5"/>
    <x v="26"/>
    <x v="2"/>
    <s v="operaciones"/>
    <s v="Analista"/>
    <s v="Analista"/>
    <s v="CCK"/>
    <s v="CCK - Alem 351"/>
    <x v="402"/>
    <s v="DNI"/>
    <n v="34771528"/>
    <s v="20347715280"/>
    <d v="1989-11-27T00:00:00"/>
    <m/>
    <m/>
    <m/>
    <m/>
    <x v="0"/>
    <x v="0"/>
    <d v="2014-03-21T00:00:00"/>
    <m/>
    <d v="2016-12-31T00:00:00"/>
    <x v="0"/>
    <s v="UNTREF"/>
    <s v="UNLAM- INFO"/>
    <n v="12246"/>
    <x v="30"/>
    <x v="7"/>
    <n v="14000"/>
    <n v="14000"/>
    <s v="."/>
    <n v="1000"/>
    <x v="0"/>
    <x v="0"/>
    <x v="0"/>
  </r>
  <r>
    <x v="0"/>
    <x v="0"/>
    <x v="1"/>
    <x v="3"/>
    <x v="20"/>
    <x v="2"/>
    <m/>
    <m/>
    <m/>
    <s v="TECNÓPOLIS"/>
    <m/>
    <x v="403"/>
    <s v="DNI"/>
    <n v="29753648"/>
    <n v="20297536487"/>
    <m/>
    <m/>
    <m/>
    <m/>
    <m/>
    <x v="1"/>
    <x v="1"/>
    <d v="2011-07-01T00:00:00"/>
    <d v="2016-12-31T00:00:00"/>
    <d v="2016-12-31T00:00:00"/>
    <x v="8"/>
    <m/>
    <m/>
    <n v="19334"/>
    <x v="161"/>
    <x v="5"/>
    <s v="."/>
    <s v="."/>
    <s v="."/>
    <n v="1000"/>
    <x v="1"/>
    <x v="0"/>
    <x v="0"/>
  </r>
  <r>
    <x v="0"/>
    <x v="1"/>
    <x v="0"/>
    <x v="5"/>
    <x v="30"/>
    <x v="2"/>
    <m/>
    <s v="Asistente"/>
    <m/>
    <s v="CCK"/>
    <m/>
    <x v="404"/>
    <s v="DNI"/>
    <n v="21111727"/>
    <n v="27211117279"/>
    <m/>
    <m/>
    <m/>
    <m/>
    <m/>
    <x v="1"/>
    <x v="1"/>
    <d v="2011-06-29T00:00:00"/>
    <d v="2016-12-31T00:00:00"/>
    <d v="2016-12-31T00:00:00"/>
    <x v="2"/>
    <m/>
    <m/>
    <n v="13500"/>
    <x v="49"/>
    <x v="5"/>
    <s v="."/>
    <s v="."/>
    <s v="."/>
    <n v="1000"/>
    <x v="1"/>
    <x v="0"/>
    <x v="0"/>
  </r>
  <r>
    <x v="0"/>
    <x v="0"/>
    <x v="1"/>
    <x v="1"/>
    <x v="5"/>
    <x v="2"/>
    <m/>
    <m/>
    <s v="ADMINISTRATIVO"/>
    <m/>
    <s v="CCK - Alem 351"/>
    <x v="405"/>
    <s v="DNI"/>
    <n v="22472515"/>
    <n v="23224725159"/>
    <d v="1972-12-02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s v="CCK"/>
    <s v="FOMENTO"/>
    <s v="ADMINISTRATIVO"/>
    <s v="CABILDO 65"/>
    <s v="CABILDO 65"/>
    <x v="406"/>
    <s v="DNI"/>
    <n v="26805036"/>
    <s v="27268050367"/>
    <d v="1978-07-20T00:00:00"/>
    <m/>
    <m/>
    <m/>
    <m/>
    <x v="0"/>
    <x v="0"/>
    <d v="2012-06-01T00:00:00"/>
    <m/>
    <d v="2016-12-31T00:00:00"/>
    <x v="0"/>
    <s v="UNTREF"/>
    <s v="UNSAM- LADA"/>
    <n v="21056"/>
    <x v="66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407"/>
    <s v="DNI"/>
    <n v="32224230"/>
    <s v="27322242307"/>
    <d v="1986-03-11T00:00:00"/>
    <m/>
    <m/>
    <m/>
    <m/>
    <x v="0"/>
    <x v="0"/>
    <d v="2011-09-22T00:00:00"/>
    <m/>
    <d v="2016-12-31T00:00:00"/>
    <x v="0"/>
    <s v="UNTREF"/>
    <s v="UNSAM- LADA"/>
    <n v="21056"/>
    <x v="66"/>
    <x v="5"/>
    <s v="."/>
    <s v="."/>
    <s v="."/>
    <n v="1000"/>
    <x v="2"/>
    <x v="0"/>
    <x v="0"/>
  </r>
  <r>
    <x v="0"/>
    <x v="0"/>
    <x v="1"/>
    <x v="3"/>
    <x v="23"/>
    <x v="2"/>
    <m/>
    <m/>
    <m/>
    <s v="TECNÓPOLIS"/>
    <m/>
    <x v="408"/>
    <s v="DNI"/>
    <n v="24515335"/>
    <n v="27245153355"/>
    <m/>
    <m/>
    <m/>
    <m/>
    <m/>
    <x v="1"/>
    <x v="1"/>
    <d v="2013-11-01T00:00:00"/>
    <d v="2016-03-31T00:00:00"/>
    <d v="2016-12-31T00:00:00"/>
    <x v="3"/>
    <m/>
    <m/>
    <n v="22829"/>
    <x v="162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409"/>
    <s v="DNI"/>
    <n v="34556569"/>
    <n v="27345565693"/>
    <d v="1989-12-15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1"/>
    <x v="16"/>
    <x v="20"/>
    <m/>
    <m/>
    <s v="Tecnico"/>
    <m/>
    <s v="CCK - Alem 351"/>
    <x v="410"/>
    <s v="DNI"/>
    <n v="13976769"/>
    <n v="20139767692"/>
    <d v="1960-01-13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TÉCNICA Y TRANSMISIÓN"/>
    <s v="ADMINISTRATIVO"/>
    <s v="CABILDO 65"/>
    <s v="CABILDO 65"/>
    <x v="411"/>
    <s v="DNI"/>
    <n v="17815852"/>
    <s v="20178158520"/>
    <d v="1966-06-16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0"/>
    <x v="0"/>
    <x v="8"/>
    <x v="6"/>
    <m/>
    <s v="BACUA"/>
    <s v="ADMINISTRATIVO"/>
    <s v="CABILDO 65"/>
    <s v="CABILDO 65"/>
    <x v="412"/>
    <s v="DNI"/>
    <n v="33700374"/>
    <s v="27337003740"/>
    <d v="1988-04-07T00:00:00"/>
    <m/>
    <m/>
    <m/>
    <m/>
    <x v="0"/>
    <x v="0"/>
    <d v="2013-03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3"/>
    <x v="3"/>
    <x v="2"/>
    <m/>
    <m/>
    <m/>
    <s v="TECNÓPOLIS"/>
    <m/>
    <x v="413"/>
    <s v="DNI"/>
    <n v="23551187"/>
    <n v="27235511873"/>
    <m/>
    <m/>
    <m/>
    <m/>
    <m/>
    <x v="1"/>
    <x v="1"/>
    <d v="2012-10-31T00:00:00"/>
    <d v="2016-12-31T00:00:00"/>
    <d v="2016-12-31T00:00:00"/>
    <x v="8"/>
    <m/>
    <m/>
    <n v="14242.4"/>
    <x v="163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TAREAS EN GENERAL PAÑOL"/>
    <s v="TECNÓPOLIS"/>
    <m/>
    <x v="414"/>
    <s v="DNI"/>
    <n v="28328515"/>
    <n v="23283285154"/>
    <m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1"/>
    <x v="5"/>
    <x v="14"/>
    <m/>
    <s v="Asistente"/>
    <s v="Asistente "/>
    <s v="CCK"/>
    <s v="CCK - Alem 351"/>
    <x v="415"/>
    <s v="DNI"/>
    <n v="36086487"/>
    <s v="20360864872"/>
    <d v="1991-10-30T00:00:00"/>
    <m/>
    <m/>
    <m/>
    <m/>
    <x v="0"/>
    <x v="0"/>
    <d v="2015-08-03T00:00:00"/>
    <m/>
    <d v="2016-12-31T00:00:00"/>
    <x v="0"/>
    <s v="UNTREF"/>
    <s v="UNLAM- BICENTENARIO"/>
    <n v="10096"/>
    <x v="5"/>
    <x v="4"/>
    <n v="13000"/>
    <n v="12500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416"/>
    <s v="DNI"/>
    <n v="38629669"/>
    <s v="20386296694"/>
    <d v="1994-04-06T00:00:00"/>
    <m/>
    <m/>
    <m/>
    <m/>
    <x v="0"/>
    <x v="0"/>
    <d v="2013-06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417"/>
    <s v="DNI"/>
    <n v="23356117"/>
    <s v="20233561178"/>
    <d v="1973-09-15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3"/>
    <x v="2"/>
    <m/>
    <m/>
    <m/>
    <s v="TECNÓPOLIS"/>
    <m/>
    <x v="418"/>
    <s v="DNI"/>
    <n v="20405235"/>
    <n v="27204052358"/>
    <m/>
    <m/>
    <m/>
    <m/>
    <m/>
    <x v="1"/>
    <x v="1"/>
    <d v="2011-08-01T00:00:00"/>
    <d v="2016-12-31T00:00:00"/>
    <d v="2016-12-31T00:00:00"/>
    <x v="13"/>
    <m/>
    <m/>
    <n v="23039"/>
    <x v="164"/>
    <x v="5"/>
    <s v="."/>
    <s v="."/>
    <s v="."/>
    <n v="1000"/>
    <x v="1"/>
    <x v="0"/>
    <x v="0"/>
  </r>
  <r>
    <x v="0"/>
    <x v="0"/>
    <x v="1"/>
    <x v="1"/>
    <x v="1"/>
    <x v="1"/>
    <m/>
    <m/>
    <s v="ADMINISTRATIVO"/>
    <m/>
    <s v="CCK - Alem 351"/>
    <x v="419"/>
    <s v="DNI"/>
    <n v="31114117"/>
    <n v="27311141177"/>
    <d v="1984-09-04T00:00:00"/>
    <m/>
    <m/>
    <m/>
    <m/>
    <x v="0"/>
    <x v="0"/>
    <d v="2016-05-15T00:00:00"/>
    <m/>
    <d v="2016-12-31T00:00:00"/>
    <x v="0"/>
    <s v="UNTREF"/>
    <m/>
    <n v="17000"/>
    <x v="50"/>
    <x v="3"/>
    <m/>
    <m/>
    <m/>
    <n v="1000"/>
    <x v="0"/>
    <x v="0"/>
    <x v="0"/>
  </r>
  <r>
    <x v="0"/>
    <x v="0"/>
    <x v="0"/>
    <x v="8"/>
    <x v="1"/>
    <x v="2"/>
    <m/>
    <m/>
    <s v="ADMINISTRATIVO"/>
    <m/>
    <s v="CCK - Alem 351"/>
    <x v="420"/>
    <s v="DNI"/>
    <n v="28080987"/>
    <n v="27280809875"/>
    <d v="1980-05-01T00:00:00"/>
    <m/>
    <m/>
    <m/>
    <m/>
    <x v="0"/>
    <x v="0"/>
    <d v="2016-06-2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5"/>
    <x v="13"/>
    <s v="LOGISTICA OPERATIVA"/>
    <s v="Técnico"/>
    <s v="Técnico"/>
    <s v="CCK"/>
    <s v="CCK - Alem 351"/>
    <x v="421"/>
    <s v="DNI"/>
    <n v="94929982"/>
    <s v="20949299822"/>
    <d v="1990-01-04T00:00:00"/>
    <m/>
    <m/>
    <m/>
    <m/>
    <x v="0"/>
    <x v="0"/>
    <m/>
    <m/>
    <d v="2016-12-31T00:00:00"/>
    <x v="0"/>
    <s v="UNTREF"/>
    <s v="UNSAM-MINPLAN"/>
    <n v="12500"/>
    <x v="30"/>
    <x v="7"/>
    <n v="14000"/>
    <n v="14000"/>
    <n v="14000"/>
    <n v="1000"/>
    <x v="0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422"/>
    <s v="DNI"/>
    <n v="31750830"/>
    <m/>
    <d v="1985-08-15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3"/>
    <x v="27"/>
    <x v="2"/>
    <m/>
    <m/>
    <m/>
    <s v="TECNÓPOLIS"/>
    <m/>
    <x v="423"/>
    <s v="DNI"/>
    <n v="24220906"/>
    <n v="20242209061"/>
    <m/>
    <m/>
    <m/>
    <m/>
    <m/>
    <x v="1"/>
    <x v="1"/>
    <d v="2012-01-01T00:00:00"/>
    <d v="2016-12-31T00:00:00"/>
    <d v="2016-12-31T00:00:00"/>
    <x v="3"/>
    <m/>
    <m/>
    <n v="27576"/>
    <x v="165"/>
    <x v="5"/>
    <s v="."/>
    <s v="."/>
    <s v="."/>
    <n v="1000"/>
    <x v="1"/>
    <x v="0"/>
    <x v="0"/>
  </r>
  <r>
    <x v="0"/>
    <x v="0"/>
    <x v="1"/>
    <x v="1"/>
    <x v="16"/>
    <x v="11"/>
    <m/>
    <m/>
    <s v="VISITAS GUIADAS"/>
    <m/>
    <s v="CCK - Alem 351"/>
    <x v="424"/>
    <s v="DNI"/>
    <n v="40747726"/>
    <n v="20407477260"/>
    <d v="1997-10-21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2"/>
    <x v="2"/>
    <m/>
    <s v="PRIVADA"/>
    <s v="ADMINISTRATIVO"/>
    <m/>
    <s v="TECNOPOLIS"/>
    <x v="425"/>
    <s v="DNI"/>
    <n v="31215701"/>
    <n v="20312157013"/>
    <d v="1985-02-07T00:00:00"/>
    <m/>
    <m/>
    <m/>
    <m/>
    <x v="0"/>
    <x v="0"/>
    <m/>
    <m/>
    <d v="2016-12-31T00:00:00"/>
    <x v="0"/>
    <s v="UNTREF"/>
    <m/>
    <n v="20000"/>
    <x v="113"/>
    <x v="8"/>
    <n v="20000"/>
    <s v=".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426"/>
    <s v="DNI"/>
    <n v="22825030"/>
    <s v="23228250309"/>
    <d v="1972-07-29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1"/>
    <x v="1"/>
    <x v="16"/>
    <x v="2"/>
    <m/>
    <s v="Asistente funcional"/>
    <s v="asistente funcional"/>
    <s v="CCK"/>
    <s v="CCK - Alem 351"/>
    <x v="427"/>
    <s v="DNI"/>
    <n v="13852028"/>
    <s v="20138520286"/>
    <d v="1960-04-11T00:00:00"/>
    <m/>
    <m/>
    <m/>
    <m/>
    <x v="0"/>
    <x v="0"/>
    <d v="2009-04-01T00:00:00"/>
    <m/>
    <d v="2016-12-31T00:00:00"/>
    <x v="0"/>
    <s v="UNTREF"/>
    <s v="UNLAM- BICENTENARIO"/>
    <n v="18500"/>
    <x v="166"/>
    <x v="32"/>
    <n v="18500"/>
    <s v="."/>
    <s v="."/>
    <n v="1000"/>
    <x v="0"/>
    <x v="0"/>
    <x v="0"/>
  </r>
  <r>
    <x v="0"/>
    <x v="0"/>
    <x v="1"/>
    <x v="3"/>
    <x v="3"/>
    <x v="2"/>
    <m/>
    <m/>
    <m/>
    <s v="TECNÓPOLIS"/>
    <m/>
    <x v="428"/>
    <s v="DNI"/>
    <n v="36251926"/>
    <n v="20362519269"/>
    <m/>
    <m/>
    <m/>
    <m/>
    <m/>
    <x v="1"/>
    <x v="1"/>
    <d v="2013-05-01T00:00:00"/>
    <d v="2016-03-31T00:00:00"/>
    <d v="2016-12-31T00:00:00"/>
    <x v="1"/>
    <m/>
    <m/>
    <n v="10731"/>
    <x v="167"/>
    <x v="5"/>
    <s v="."/>
    <s v="."/>
    <s v="."/>
    <n v="1000"/>
    <x v="1"/>
    <x v="0"/>
    <x v="0"/>
  </r>
  <r>
    <x v="0"/>
    <x v="0"/>
    <x v="0"/>
    <x v="0"/>
    <x v="8"/>
    <x v="6"/>
    <m/>
    <s v="BACUA"/>
    <s v="ADMINISTRATIVO"/>
    <s v="CABILDO 65"/>
    <s v="CABILDO 65"/>
    <x v="429"/>
    <s v="DNI"/>
    <n v="31292772"/>
    <s v="27312927727"/>
    <d v="1984-12-07T00:00:00"/>
    <m/>
    <m/>
    <m/>
    <m/>
    <x v="0"/>
    <x v="0"/>
    <d v="2013-08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3"/>
    <x v="3"/>
    <x v="2"/>
    <m/>
    <m/>
    <m/>
    <s v="TECNÓPOLIS"/>
    <m/>
    <x v="430"/>
    <s v="DNI"/>
    <n v="29624857"/>
    <n v="27296248571"/>
    <m/>
    <m/>
    <m/>
    <m/>
    <m/>
    <x v="1"/>
    <x v="1"/>
    <d v="2011-07-01T00:00:00"/>
    <d v="2016-12-31T00:00:00"/>
    <d v="2016-12-31T00:00:00"/>
    <x v="1"/>
    <m/>
    <m/>
    <n v="22640"/>
    <x v="168"/>
    <x v="5"/>
    <s v="."/>
    <s v="."/>
    <s v="."/>
    <n v="1000"/>
    <x v="1"/>
    <x v="0"/>
    <x v="0"/>
  </r>
  <r>
    <x v="0"/>
    <x v="0"/>
    <x v="1"/>
    <x v="1"/>
    <x v="5"/>
    <x v="3"/>
    <s v="LOGISTICA OPERATIVA"/>
    <s v="Técnico"/>
    <s v="OPERATIVA Y LOGISTICA"/>
    <s v="CCK"/>
    <s v="CCK - Alem 351"/>
    <x v="431"/>
    <s v="DNI"/>
    <n v="22609036"/>
    <s v="20226090364"/>
    <d v="1972-02-18T00:00:00"/>
    <m/>
    <m/>
    <m/>
    <m/>
    <x v="0"/>
    <x v="0"/>
    <d v="2015-06-10T00:00:00"/>
    <m/>
    <d v="2016-12-31T00:00:00"/>
    <x v="0"/>
    <s v="UNTREF"/>
    <s v="UNTREF"/>
    <n v="12500"/>
    <x v="30"/>
    <x v="33"/>
    <n v="13000"/>
    <n v="14000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432"/>
    <s v="DNI"/>
    <n v="34975868"/>
    <s v="20349758688"/>
    <d v="1989-11-21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0"/>
    <x v="1"/>
    <x v="1"/>
    <x v="10"/>
    <x v="2"/>
    <m/>
    <s v="PRIVADA"/>
    <s v="ADMINISTRATIVA"/>
    <s v="CCK"/>
    <s v="CCK - Alem 351"/>
    <x v="433"/>
    <s v="DNI"/>
    <n v="25495401"/>
    <s v="27254954018"/>
    <d v="1976-01-27T00:00:00"/>
    <m/>
    <m/>
    <m/>
    <m/>
    <x v="0"/>
    <x v="0"/>
    <d v="2016-02-01T00:00:00"/>
    <m/>
    <d v="2016-12-31T00:00:00"/>
    <x v="0"/>
    <s v="UNTREF"/>
    <s v="UNSAM"/>
    <n v="15000"/>
    <x v="57"/>
    <x v="14"/>
    <n v="18000"/>
    <n v="18000"/>
    <s v="."/>
    <n v="1000"/>
    <x v="0"/>
    <x v="0"/>
    <x v="0"/>
  </r>
  <r>
    <x v="0"/>
    <x v="1"/>
    <x v="0"/>
    <x v="5"/>
    <x v="37"/>
    <x v="2"/>
    <s v="SOPORTE ADMINISTRATIVO"/>
    <s v="SECRETARIA"/>
    <s v="Asistente"/>
    <s v="CCK"/>
    <s v="CCK - Alem 351"/>
    <x v="434"/>
    <s v="DNI"/>
    <n v="38399930"/>
    <s v="27383999303"/>
    <d v="1994-06-30T00:00:00"/>
    <m/>
    <m/>
    <m/>
    <m/>
    <x v="0"/>
    <x v="0"/>
    <d v="2015-09-01T00:00:00"/>
    <m/>
    <d v="2016-12-31T00:00:00"/>
    <x v="0"/>
    <s v="UNTREF"/>
    <s v="UNLAM- BICENTENARIO"/>
    <n v="10807"/>
    <x v="30"/>
    <x v="18"/>
    <n v="16000"/>
    <n v="14000"/>
    <s v="."/>
    <n v="1000"/>
    <x v="0"/>
    <x v="0"/>
    <x v="0"/>
  </r>
  <r>
    <x v="0"/>
    <x v="0"/>
    <x v="1"/>
    <x v="1"/>
    <x v="10"/>
    <x v="10"/>
    <m/>
    <m/>
    <s v="ADMINISTRATIVA"/>
    <m/>
    <s v="CCK - Alem 351"/>
    <x v="435"/>
    <s v="DNI"/>
    <n v="36596267"/>
    <n v="20365962678"/>
    <d v="1991-11-14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5"/>
    <x v="3"/>
    <s v="LIMPIEZA (En comisión Tecnópolis)"/>
    <s v="Auxiliar"/>
    <s v="OPERATIVA Y LOGISTICA"/>
    <s v="CCK"/>
    <s v="CCK - Alem 351"/>
    <x v="436"/>
    <s v="DNI"/>
    <n v="36660968"/>
    <s v="20366609688"/>
    <d v="1991-11-29T00:00:00"/>
    <m/>
    <m/>
    <m/>
    <m/>
    <x v="0"/>
    <x v="0"/>
    <d v="2015-06-10T00:00:00"/>
    <m/>
    <d v="2016-12-31T00:00:00"/>
    <x v="0"/>
    <s v="UNTREF"/>
    <s v="UNTREF"/>
    <n v="10495"/>
    <x v="5"/>
    <x v="4"/>
    <n v="13000"/>
    <n v="12500"/>
    <s v="."/>
    <n v="1000"/>
    <x v="0"/>
    <x v="0"/>
    <x v="0"/>
  </r>
  <r>
    <x v="0"/>
    <x v="0"/>
    <x v="1"/>
    <x v="3"/>
    <x v="20"/>
    <x v="2"/>
    <m/>
    <m/>
    <m/>
    <s v="TECNÓPOLIS"/>
    <m/>
    <x v="437"/>
    <s v="DNI"/>
    <n v="23672087"/>
    <n v="20236720870"/>
    <m/>
    <m/>
    <m/>
    <m/>
    <m/>
    <x v="1"/>
    <x v="1"/>
    <d v="2011-07-01T00:00:00"/>
    <d v="2016-12-31T00:00:00"/>
    <d v="2016-12-31T00:00:00"/>
    <x v="8"/>
    <m/>
    <m/>
    <n v="26690"/>
    <x v="169"/>
    <x v="5"/>
    <s v="."/>
    <s v="."/>
    <s v="."/>
    <n v="1000"/>
    <x v="1"/>
    <x v="0"/>
    <x v="0"/>
  </r>
  <r>
    <x v="0"/>
    <x v="0"/>
    <x v="1"/>
    <x v="3"/>
    <x v="42"/>
    <x v="2"/>
    <m/>
    <m/>
    <m/>
    <s v="TECNÓPOLIS"/>
    <m/>
    <x v="438"/>
    <s v="DNI"/>
    <n v="22503320"/>
    <n v="27225033205"/>
    <m/>
    <m/>
    <m/>
    <m/>
    <m/>
    <x v="1"/>
    <x v="1"/>
    <d v="2011-07-01T00:00:00"/>
    <d v="2016-12-31T00:00:00"/>
    <d v="2016-12-31T00:00:00"/>
    <x v="3"/>
    <m/>
    <m/>
    <n v="29747"/>
    <x v="117"/>
    <x v="5"/>
    <s v="."/>
    <s v="."/>
    <s v="."/>
    <n v="1000"/>
    <x v="1"/>
    <x v="0"/>
    <x v="0"/>
  </r>
  <r>
    <x v="0"/>
    <x v="0"/>
    <x v="1"/>
    <x v="3"/>
    <x v="6"/>
    <x v="2"/>
    <m/>
    <m/>
    <s v="MANTENIMIENTO GRAL DEL PARQUE"/>
    <s v="TECNÓPOLIS"/>
    <s v="TECNOPOLIS"/>
    <x v="439"/>
    <s v="DNI"/>
    <n v="23656609"/>
    <s v="23236566099"/>
    <d v="1973-08-08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0"/>
    <x v="2"/>
    <x v="2"/>
    <m/>
    <m/>
    <s v="ADMINISTRATIVO"/>
    <m/>
    <s v="CCK - Alem 351"/>
    <x v="440"/>
    <s v="DNI"/>
    <n v="20611734"/>
    <n v="2026117347"/>
    <d v="1969-03-08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5"/>
    <x v="14"/>
    <m/>
    <s v="Asistente"/>
    <s v="Asistente "/>
    <s v="CCK"/>
    <s v="CCK - Alem 351"/>
    <x v="441"/>
    <s v="DNI"/>
    <n v="33426846"/>
    <s v="27334268468"/>
    <d v="1988-05-02T00:00:00"/>
    <m/>
    <m/>
    <m/>
    <m/>
    <x v="0"/>
    <x v="0"/>
    <d v="2015-08-02T00:00:00"/>
    <m/>
    <d v="2016-12-31T00:00:00"/>
    <x v="0"/>
    <s v="UNTREF"/>
    <s v="UNLAM- BICENTENARIO"/>
    <n v="10096"/>
    <x v="5"/>
    <x v="4"/>
    <n v="13000"/>
    <n v="12500"/>
    <s v="."/>
    <n v="1000"/>
    <x v="0"/>
    <x v="0"/>
    <x v="0"/>
  </r>
  <r>
    <x v="0"/>
    <x v="0"/>
    <x v="1"/>
    <x v="3"/>
    <x v="9"/>
    <x v="2"/>
    <m/>
    <s v="ADMINISTRATIVO"/>
    <m/>
    <s v="TECNÓPOLIS"/>
    <m/>
    <x v="442"/>
    <s v="DNI"/>
    <n v="27457003"/>
    <n v="27274570046"/>
    <m/>
    <m/>
    <m/>
    <m/>
    <m/>
    <x v="1"/>
    <x v="1"/>
    <d v="2012-05-01T00:00:00"/>
    <d v="2016-12-31T00:00:00"/>
    <d v="2016-12-31T00:00:00"/>
    <x v="3"/>
    <m/>
    <m/>
    <n v="29747"/>
    <x v="117"/>
    <x v="5"/>
    <s v="."/>
    <s v="."/>
    <s v="."/>
    <n v="1000"/>
    <x v="1"/>
    <x v="0"/>
    <x v="0"/>
  </r>
  <r>
    <x v="0"/>
    <x v="0"/>
    <x v="1"/>
    <x v="7"/>
    <x v="2"/>
    <x v="2"/>
    <m/>
    <s v="PRIVADA"/>
    <s v="ADMINISTRATIVO"/>
    <m/>
    <s v="CCK - Alem 351"/>
    <x v="443"/>
    <s v="DNI"/>
    <n v="11735933"/>
    <s v="20117359337"/>
    <d v="1938-08-03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33"/>
    <x v="2"/>
    <m/>
    <s v="ADMINISTRATIVO"/>
    <m/>
    <s v="TECNÓPOLIS"/>
    <m/>
    <x v="444"/>
    <s v="DNI"/>
    <n v="16225344"/>
    <n v="27162253447"/>
    <m/>
    <m/>
    <m/>
    <m/>
    <m/>
    <x v="1"/>
    <x v="1"/>
    <d v="2013-07-01T00:00:00"/>
    <d v="2016-03-31T00:00:00"/>
    <d v="2016-12-31T00:00:00"/>
    <x v="2"/>
    <m/>
    <m/>
    <n v="27262"/>
    <x v="170"/>
    <x v="5"/>
    <s v="."/>
    <s v="."/>
    <s v="."/>
    <n v="1000"/>
    <x v="1"/>
    <x v="0"/>
    <x v="0"/>
  </r>
  <r>
    <x v="0"/>
    <x v="0"/>
    <x v="1"/>
    <x v="3"/>
    <x v="15"/>
    <x v="2"/>
    <m/>
    <m/>
    <m/>
    <s v="TECNÓPOLIS"/>
    <m/>
    <x v="445"/>
    <s v="DNI"/>
    <n v="14689931"/>
    <n v="20146899316"/>
    <m/>
    <m/>
    <m/>
    <m/>
    <m/>
    <x v="1"/>
    <x v="1"/>
    <d v="2012-10-31T00:00:00"/>
    <d v="2016-12-31T00:00:00"/>
    <d v="2016-12-31T00:00:00"/>
    <x v="3"/>
    <m/>
    <m/>
    <n v="27420"/>
    <x v="171"/>
    <x v="5"/>
    <s v="."/>
    <s v="."/>
    <s v="."/>
    <n v="1000"/>
    <x v="1"/>
    <x v="0"/>
    <x v="0"/>
  </r>
  <r>
    <x v="0"/>
    <x v="1"/>
    <x v="0"/>
    <x v="5"/>
    <x v="7"/>
    <x v="2"/>
    <m/>
    <m/>
    <m/>
    <s v="CCK"/>
    <m/>
    <x v="446"/>
    <s v="DNI"/>
    <n v="34712943"/>
    <n v="27347129432"/>
    <m/>
    <m/>
    <m/>
    <m/>
    <m/>
    <x v="1"/>
    <x v="1"/>
    <d v="2015-09-01T00:00:00"/>
    <d v="2016-03-31T00:00:00"/>
    <d v="2016-12-31T00:00:00"/>
    <x v="9"/>
    <m/>
    <m/>
    <n v="17107"/>
    <x v="104"/>
    <x v="5"/>
    <s v="."/>
    <s v="."/>
    <n v="22000"/>
    <n v="1000"/>
    <x v="1"/>
    <x v="0"/>
    <x v="0"/>
  </r>
  <r>
    <x v="0"/>
    <x v="0"/>
    <x v="1"/>
    <x v="1"/>
    <x v="10"/>
    <x v="10"/>
    <m/>
    <m/>
    <m/>
    <m/>
    <m/>
    <x v="447"/>
    <s v="DNI"/>
    <n v="24600825"/>
    <n v="20246008257"/>
    <m/>
    <m/>
    <m/>
    <m/>
    <m/>
    <x v="2"/>
    <x v="1"/>
    <d v="2012-12-01T00:00:00"/>
    <m/>
    <d v="2016-12-31T00:00:00"/>
    <x v="7"/>
    <m/>
    <m/>
    <m/>
    <x v="18"/>
    <x v="3"/>
    <m/>
    <m/>
    <m/>
    <m/>
    <x v="1"/>
    <x v="0"/>
    <x v="2"/>
  </r>
  <r>
    <x v="0"/>
    <x v="0"/>
    <x v="0"/>
    <x v="0"/>
    <x v="2"/>
    <x v="2"/>
    <m/>
    <s v="PRIVADA"/>
    <s v="ADMINISTRATIVO"/>
    <m/>
    <s v="CCK - Alem 351"/>
    <x v="448"/>
    <s v="DNI"/>
    <n v="22796345"/>
    <s v="20227963450"/>
    <d v="1972-09-27T00:00:00"/>
    <m/>
    <m/>
    <m/>
    <m/>
    <x v="0"/>
    <x v="0"/>
    <d v="2016-04-01T00:00:00"/>
    <m/>
    <d v="2016-12-31T00:00:00"/>
    <x v="0"/>
    <s v="UNTREF"/>
    <m/>
    <n v="22000"/>
    <x v="172"/>
    <x v="34"/>
    <n v="22000"/>
    <s v="."/>
    <s v="."/>
    <n v="1000"/>
    <x v="0"/>
    <x v="0"/>
    <x v="0"/>
  </r>
  <r>
    <x v="0"/>
    <x v="0"/>
    <x v="1"/>
    <x v="1"/>
    <x v="10"/>
    <x v="2"/>
    <m/>
    <s v="Analista"/>
    <s v="ADMINISTRATIVA"/>
    <s v="CCK"/>
    <s v="CCK - Alem 351"/>
    <x v="449"/>
    <s v="DNI"/>
    <n v="35320893"/>
    <s v="23353208934"/>
    <d v="1990-09-28T00:00:00"/>
    <m/>
    <m/>
    <m/>
    <m/>
    <x v="0"/>
    <x v="0"/>
    <d v="2015-05-15T00:00:00"/>
    <m/>
    <d v="2016-12-31T00:00:00"/>
    <x v="0"/>
    <s v="UNTREF"/>
    <s v="UNSAM-MINPLAN"/>
    <n v="12000"/>
    <x v="30"/>
    <x v="12"/>
    <n v="17000"/>
    <n v="14000"/>
    <n v="17000"/>
    <n v="1000"/>
    <x v="0"/>
    <x v="0"/>
    <x v="0"/>
  </r>
  <r>
    <x v="0"/>
    <x v="0"/>
    <x v="1"/>
    <x v="1"/>
    <x v="5"/>
    <x v="2"/>
    <m/>
    <m/>
    <s v="ADMINISTRATIVO"/>
    <m/>
    <s v="CCK - Alem 351"/>
    <x v="450"/>
    <s v="DNI"/>
    <n v="24222400"/>
    <n v="20242224001"/>
    <d v="1975-01-27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6"/>
    <x v="2"/>
    <m/>
    <m/>
    <s v="MANTENIMIENTO GRAL DEL PARQUE"/>
    <s v="TECNÓPOLIS"/>
    <s v="TECNOPOLIS"/>
    <x v="451"/>
    <s v="DNI"/>
    <n v="25838929"/>
    <s v="20258389299"/>
    <d v="1977-02-23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452"/>
    <s v="DNI"/>
    <n v="26819198"/>
    <s v="20268191985"/>
    <d v="1978-08-25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453"/>
    <s v="DNI"/>
    <n v="32595983"/>
    <s v="20325959836"/>
    <d v="1987-04-03T00:00:00"/>
    <m/>
    <m/>
    <m/>
    <m/>
    <x v="0"/>
    <x v="0"/>
    <d v="2013-06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454"/>
    <s v="DNI"/>
    <n v="14314816"/>
    <s v="20143148166"/>
    <d v="1961-07-10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0"/>
    <x v="1"/>
    <x v="1"/>
    <x v="5"/>
    <x v="23"/>
    <m/>
    <m/>
    <m/>
    <m/>
    <m/>
    <x v="455"/>
    <s v="DNI"/>
    <n v="35970957"/>
    <m/>
    <m/>
    <m/>
    <m/>
    <m/>
    <m/>
    <x v="2"/>
    <x v="1"/>
    <m/>
    <m/>
    <d v="2016-12-31T00:00:00"/>
    <x v="3"/>
    <m/>
    <m/>
    <m/>
    <x v="18"/>
    <x v="3"/>
    <m/>
    <m/>
    <m/>
    <n v="0"/>
    <x v="1"/>
    <x v="1"/>
    <x v="2"/>
  </r>
  <r>
    <x v="0"/>
    <x v="1"/>
    <x v="0"/>
    <x v="2"/>
    <x v="2"/>
    <x v="2"/>
    <m/>
    <s v="PRIVADA"/>
    <s v="ADMINISTRATIVO"/>
    <m/>
    <s v="CCK - Alem 351"/>
    <x v="456"/>
    <s v="DNI"/>
    <n v="24962533"/>
    <s v="20249625338"/>
    <d v="1975-09-24T00:00:00"/>
    <m/>
    <m/>
    <m/>
    <m/>
    <x v="0"/>
    <x v="0"/>
    <d v="2016-01-01T00:00:00"/>
    <m/>
    <d v="2016-12-31T00:00:00"/>
    <x v="0"/>
    <s v="UNTREF"/>
    <s v="UNSAM"/>
    <n v="12275"/>
    <x v="62"/>
    <x v="15"/>
    <n v="12275"/>
    <s v="."/>
    <s v="."/>
    <n v="1000"/>
    <x v="0"/>
    <x v="0"/>
    <x v="0"/>
  </r>
  <r>
    <x v="0"/>
    <x v="0"/>
    <x v="1"/>
    <x v="3"/>
    <x v="39"/>
    <x v="2"/>
    <m/>
    <s v="ADMINISTRATIVO"/>
    <m/>
    <s v="TECNÓPOLIS"/>
    <m/>
    <x v="457"/>
    <s v="DNI"/>
    <n v="25144136"/>
    <n v="27251441362"/>
    <m/>
    <m/>
    <m/>
    <m/>
    <m/>
    <x v="1"/>
    <x v="1"/>
    <d v="2010-03-01T00:00:00"/>
    <d v="2016-12-31T00:00:00"/>
    <d v="2016-12-31T00:00:00"/>
    <x v="2"/>
    <m/>
    <m/>
    <n v="31056"/>
    <x v="173"/>
    <x v="5"/>
    <s v="."/>
    <s v="."/>
    <s v="."/>
    <n v="1000"/>
    <x v="1"/>
    <x v="0"/>
    <x v="0"/>
  </r>
  <r>
    <x v="0"/>
    <x v="0"/>
    <x v="1"/>
    <x v="3"/>
    <x v="39"/>
    <x v="2"/>
    <m/>
    <s v="ADMINISTRATIVO"/>
    <m/>
    <s v="TECNÓPOLIS"/>
    <m/>
    <x v="458"/>
    <s v="DNI"/>
    <n v="26019114"/>
    <n v="23260191144"/>
    <m/>
    <m/>
    <m/>
    <m/>
    <m/>
    <x v="1"/>
    <x v="1"/>
    <d v="2010-04-01T00:00:00"/>
    <d v="2016-12-31T00:00:00"/>
    <d v="2016-12-31T00:00:00"/>
    <x v="4"/>
    <m/>
    <m/>
    <n v="20266.82"/>
    <x v="174"/>
    <x v="5"/>
    <s v="."/>
    <s v="."/>
    <s v="."/>
    <n v="1000"/>
    <x v="1"/>
    <x v="0"/>
    <x v="0"/>
  </r>
  <r>
    <x v="0"/>
    <x v="0"/>
    <x v="0"/>
    <x v="0"/>
    <x v="8"/>
    <x v="6"/>
    <m/>
    <m/>
    <s v="ADMINISTRATIVO"/>
    <s v="CABILDO 65"/>
    <s v="CABILDO 65"/>
    <x v="459"/>
    <s v="DNI"/>
    <n v="27027265"/>
    <s v="20270272658"/>
    <d v="1978-12-17T00:00:00"/>
    <m/>
    <m/>
    <m/>
    <m/>
    <x v="0"/>
    <x v="0"/>
    <d v="2010-04-01T00:00:00"/>
    <m/>
    <d v="2016-12-31T00:00:00"/>
    <x v="0"/>
    <s v="UNTREF"/>
    <s v="UNSAM- LADA"/>
    <n v="20545"/>
    <x v="143"/>
    <x v="5"/>
    <s v="."/>
    <s v="."/>
    <s v="."/>
    <n v="1000"/>
    <x v="2"/>
    <x v="0"/>
    <x v="0"/>
  </r>
  <r>
    <x v="0"/>
    <x v="0"/>
    <x v="0"/>
    <x v="0"/>
    <x v="2"/>
    <x v="2"/>
    <s v="(GESTIÓN OPERATIVA)"/>
    <m/>
    <m/>
    <s v="CCK"/>
    <m/>
    <x v="460"/>
    <s v="DNI"/>
    <n v="24159112"/>
    <n v="27241591129"/>
    <m/>
    <m/>
    <m/>
    <m/>
    <m/>
    <x v="1"/>
    <x v="1"/>
    <d v="2010-04-01T00:00:00"/>
    <d v="2016-12-31T00:00:00"/>
    <d v="2016-12-31T00:00:00"/>
    <x v="4"/>
    <m/>
    <m/>
    <n v="18277"/>
    <x v="88"/>
    <x v="5"/>
    <s v="."/>
    <s v="."/>
    <s v="."/>
    <n v="1000"/>
    <x v="1"/>
    <x v="0"/>
    <x v="0"/>
  </r>
  <r>
    <x v="0"/>
    <x v="0"/>
    <x v="0"/>
    <x v="0"/>
    <x v="43"/>
    <x v="2"/>
    <m/>
    <s v=""/>
    <m/>
    <s v="CCK"/>
    <m/>
    <x v="461"/>
    <s v="DNI"/>
    <n v="34681893"/>
    <n v="20346818930"/>
    <m/>
    <m/>
    <m/>
    <m/>
    <m/>
    <x v="1"/>
    <x v="1"/>
    <d v="2011-11-01T00:00:00"/>
    <d v="2016-12-31T00:00:00"/>
    <d v="2016-12-31T00:00:00"/>
    <x v="3"/>
    <m/>
    <m/>
    <n v="12274"/>
    <x v="23"/>
    <x v="5"/>
    <s v="."/>
    <s v="."/>
    <n v="17000"/>
    <n v="1000"/>
    <x v="1"/>
    <x v="0"/>
    <x v="0"/>
  </r>
  <r>
    <x v="0"/>
    <x v="1"/>
    <x v="0"/>
    <x v="5"/>
    <x v="30"/>
    <x v="2"/>
    <s v="CONTROL DE ACCESOS  B"/>
    <s v="Asistente"/>
    <s v="ADMINISTRATIVO"/>
    <s v="CCK"/>
    <s v="CCK - Alem 351"/>
    <x v="462"/>
    <s v="DNI"/>
    <n v="37023551"/>
    <s v="27370235517"/>
    <d v="1992-11-25T00:00:00"/>
    <m/>
    <m/>
    <m/>
    <m/>
    <x v="0"/>
    <x v="0"/>
    <m/>
    <m/>
    <d v="2016-12-31T00:00:00"/>
    <x v="0"/>
    <s v="UNTREF"/>
    <s v="UNLAM- BICENTENARIO"/>
    <n v="10096"/>
    <x v="5"/>
    <x v="4"/>
    <n v="13000"/>
    <n v="12500"/>
    <s v="."/>
    <n v="1000"/>
    <x v="0"/>
    <x v="0"/>
    <x v="0"/>
  </r>
  <r>
    <x v="0"/>
    <x v="0"/>
    <x v="1"/>
    <x v="1"/>
    <x v="5"/>
    <x v="14"/>
    <m/>
    <s v="Asistente"/>
    <s v="Asistente "/>
    <s v="CCK"/>
    <s v="CCK - Alem 351"/>
    <x v="463"/>
    <s v="DNI"/>
    <n v="37900697"/>
    <s v="27379006979"/>
    <d v="1994-06-15T00:00:00"/>
    <m/>
    <m/>
    <m/>
    <m/>
    <x v="0"/>
    <x v="0"/>
    <d v="2015-06-01T00:00:00"/>
    <m/>
    <d v="2016-12-31T00:00:00"/>
    <x v="0"/>
    <s v="UNTREF"/>
    <s v="UNLAM- BICENTENARIO"/>
    <n v="10807"/>
    <x v="5"/>
    <x v="4"/>
    <n v="13000"/>
    <n v="12500"/>
    <s v="."/>
    <n v="1000"/>
    <x v="0"/>
    <x v="0"/>
    <x v="0"/>
  </r>
  <r>
    <x v="0"/>
    <x v="1"/>
    <x v="0"/>
    <x v="5"/>
    <x v="17"/>
    <x v="15"/>
    <m/>
    <s v="Enfermera/o"/>
    <m/>
    <s v="CCK"/>
    <m/>
    <x v="464"/>
    <s v="DNI"/>
    <n v="28633654"/>
    <n v="27286336545"/>
    <m/>
    <m/>
    <m/>
    <m/>
    <m/>
    <x v="1"/>
    <x v="1"/>
    <d v="2015-06-01T00:00:00"/>
    <d v="2016-03-31T00:00:00"/>
    <d v="2016-12-31T00:00:00"/>
    <x v="3"/>
    <m/>
    <m/>
    <n v="11730"/>
    <x v="51"/>
    <x v="5"/>
    <s v="."/>
    <s v="."/>
    <s v="."/>
    <n v="1000"/>
    <x v="1"/>
    <x v="0"/>
    <x v="0"/>
  </r>
  <r>
    <x v="0"/>
    <x v="1"/>
    <x v="0"/>
    <x v="5"/>
    <x v="17"/>
    <x v="15"/>
    <m/>
    <s v="Enfermera/o"/>
    <m/>
    <s v="CCK"/>
    <m/>
    <x v="465"/>
    <s v="DNI"/>
    <n v="27493096"/>
    <n v="27274930964"/>
    <d v="1979-06-09T00:00:00"/>
    <m/>
    <m/>
    <m/>
    <m/>
    <x v="0"/>
    <x v="0"/>
    <d v="2016-08-02T00:00:00"/>
    <m/>
    <d v="2016-12-31T00:00:00"/>
    <x v="0"/>
    <m/>
    <m/>
    <m/>
    <x v="18"/>
    <x v="3"/>
    <m/>
    <m/>
    <m/>
    <m/>
    <x v="1"/>
    <x v="1"/>
    <x v="2"/>
  </r>
  <r>
    <x v="0"/>
    <x v="0"/>
    <x v="1"/>
    <x v="3"/>
    <x v="3"/>
    <x v="2"/>
    <m/>
    <m/>
    <m/>
    <s v="TECNÓPOLIS"/>
    <m/>
    <x v="466"/>
    <s v="DNI"/>
    <n v="28496920"/>
    <n v="27284969206"/>
    <m/>
    <m/>
    <m/>
    <m/>
    <m/>
    <x v="1"/>
    <x v="1"/>
    <d v="2012-10-31T00:00:00"/>
    <d v="2016-12-31T00:00:00"/>
    <d v="2016-12-31T00:00:00"/>
    <x v="13"/>
    <m/>
    <m/>
    <n v="13783.6"/>
    <x v="175"/>
    <x v="5"/>
    <s v="."/>
    <s v="."/>
    <s v="."/>
    <n v="1000"/>
    <x v="1"/>
    <x v="0"/>
    <x v="0"/>
  </r>
  <r>
    <x v="0"/>
    <x v="0"/>
    <x v="1"/>
    <x v="3"/>
    <x v="20"/>
    <x v="2"/>
    <m/>
    <m/>
    <m/>
    <s v="TECNÓPOLIS"/>
    <m/>
    <x v="467"/>
    <s v="DNI"/>
    <n v="30277829"/>
    <n v="23302778299"/>
    <m/>
    <m/>
    <m/>
    <m/>
    <m/>
    <x v="1"/>
    <x v="1"/>
    <d v="2012-10-31T00:00:00"/>
    <d v="2016-12-31T00:00:00"/>
    <d v="2016-12-31T00:00:00"/>
    <x v="3"/>
    <m/>
    <m/>
    <n v="29747"/>
    <x v="117"/>
    <x v="5"/>
    <s v="."/>
    <s v="."/>
    <s v="."/>
    <n v="1000"/>
    <x v="1"/>
    <x v="0"/>
    <x v="0"/>
  </r>
  <r>
    <x v="0"/>
    <x v="1"/>
    <x v="0"/>
    <x v="5"/>
    <x v="17"/>
    <x v="17"/>
    <s v="COMUNICACIÓN"/>
    <s v="COMUNICACIÓN"/>
    <m/>
    <m/>
    <m/>
    <x v="468"/>
    <s v="DNI"/>
    <n v="31641802"/>
    <n v="20316418024"/>
    <m/>
    <m/>
    <m/>
    <m/>
    <m/>
    <x v="1"/>
    <x v="1"/>
    <d v="2011-07-28T00:00:00"/>
    <d v="2016-12-31T00:00:00"/>
    <d v="2016-12-31T00:00:00"/>
    <x v="2"/>
    <m/>
    <m/>
    <n v="12003"/>
    <x v="59"/>
    <x v="5"/>
    <s v="."/>
    <s v="."/>
    <s v="."/>
    <n v="1000"/>
    <x v="1"/>
    <x v="0"/>
    <x v="0"/>
  </r>
  <r>
    <x v="0"/>
    <x v="1"/>
    <x v="0"/>
    <x v="5"/>
    <x v="30"/>
    <x v="2"/>
    <m/>
    <m/>
    <s v="ADMINISTRATIVO"/>
    <m/>
    <s v="CCK - Alem 351"/>
    <x v="469"/>
    <s v="DNI"/>
    <n v="14289145"/>
    <s v="20142891450"/>
    <d v="1960-11-16T00:00:00"/>
    <m/>
    <m/>
    <m/>
    <m/>
    <x v="0"/>
    <x v="0"/>
    <d v="2016-01-01T00:00:00"/>
    <m/>
    <d v="2016-12-31T00:00:00"/>
    <x v="0"/>
    <s v="UNTREF"/>
    <s v="UNSAM"/>
    <n v="27000"/>
    <x v="53"/>
    <x v="13"/>
    <n v="27000"/>
    <s v="."/>
    <s v="."/>
    <n v="1000"/>
    <x v="0"/>
    <x v="0"/>
    <x v="0"/>
  </r>
  <r>
    <x v="0"/>
    <x v="1"/>
    <x v="0"/>
    <x v="5"/>
    <x v="7"/>
    <x v="2"/>
    <m/>
    <m/>
    <s v="ADMINISTRATIVO"/>
    <m/>
    <s v="CCK - Alem 351"/>
    <x v="470"/>
    <s v="DNI"/>
    <n v="35569357"/>
    <s v="20355693571"/>
    <d v="1990-11-14T00:00:00"/>
    <m/>
    <m/>
    <m/>
    <m/>
    <x v="0"/>
    <x v="0"/>
    <m/>
    <m/>
    <d v="2016-12-31T00:00:00"/>
    <x v="0"/>
    <s v="UNTREF"/>
    <m/>
    <n v="12246"/>
    <x v="176"/>
    <x v="5"/>
    <s v="."/>
    <m/>
    <n v="14000"/>
    <n v="1000"/>
    <x v="0"/>
    <x v="0"/>
    <x v="0"/>
  </r>
  <r>
    <x v="0"/>
    <x v="0"/>
    <x v="1"/>
    <x v="1"/>
    <x v="5"/>
    <x v="13"/>
    <s v="LOGISTICA OPERATIVA"/>
    <s v="Auxiliar de Mantenimiento"/>
    <s v="Auxiliar de Mantenimiento"/>
    <s v="CCK"/>
    <s v="CCK - Alem 351"/>
    <x v="471"/>
    <s v="DNI"/>
    <n v="35897670"/>
    <s v="20358976701"/>
    <d v="1992-10-02T00:00:00"/>
    <m/>
    <m/>
    <m/>
    <m/>
    <x v="0"/>
    <x v="0"/>
    <d v="2015-06-01T00:00:00"/>
    <m/>
    <d v="2016-12-31T00:00:00"/>
    <x v="0"/>
    <s v="UNTREF"/>
    <s v="UNSAM-MINPLAN"/>
    <n v="10188"/>
    <x v="5"/>
    <x v="7"/>
    <n v="14000"/>
    <n v="12500"/>
    <n v="14000"/>
    <n v="1000"/>
    <x v="0"/>
    <x v="0"/>
    <x v="0"/>
  </r>
  <r>
    <x v="0"/>
    <x v="1"/>
    <x v="0"/>
    <x v="5"/>
    <x v="17"/>
    <x v="12"/>
    <s v="AUTOMOTORES"/>
    <s v="CHOFER"/>
    <m/>
    <s v="CCK"/>
    <m/>
    <x v="472"/>
    <s v="DNI"/>
    <n v="14619813"/>
    <n v="23146198139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1"/>
    <x v="0"/>
    <x v="5"/>
    <x v="17"/>
    <x v="17"/>
    <m/>
    <m/>
    <m/>
    <m/>
    <m/>
    <x v="473"/>
    <s v="DNI"/>
    <n v="30762932"/>
    <n v="27307629327"/>
    <m/>
    <m/>
    <m/>
    <m/>
    <m/>
    <x v="2"/>
    <x v="1"/>
    <d v="2008-10-01T00:00:00"/>
    <m/>
    <d v="2016-12-31T00:00:00"/>
    <x v="2"/>
    <m/>
    <m/>
    <m/>
    <x v="18"/>
    <x v="3"/>
    <m/>
    <m/>
    <m/>
    <n v="1000"/>
    <x v="1"/>
    <x v="0"/>
    <x v="0"/>
  </r>
  <r>
    <x v="0"/>
    <x v="1"/>
    <x v="0"/>
    <x v="5"/>
    <x v="30"/>
    <x v="2"/>
    <m/>
    <m/>
    <m/>
    <s v="CCK"/>
    <m/>
    <x v="474"/>
    <s v="DNI"/>
    <n v="18780444"/>
    <n v="20187804443"/>
    <m/>
    <m/>
    <m/>
    <m/>
    <m/>
    <x v="1"/>
    <x v="1"/>
    <d v="2007-01-01T00:00:00"/>
    <d v="2016-12-31T00:00:00"/>
    <d v="2016-12-31T00:00:00"/>
    <x v="14"/>
    <m/>
    <m/>
    <n v="32195"/>
    <x v="177"/>
    <x v="5"/>
    <s v="."/>
    <s v="."/>
    <s v="."/>
    <n v="1000"/>
    <x v="1"/>
    <x v="0"/>
    <x v="0"/>
  </r>
  <r>
    <x v="0"/>
    <x v="0"/>
    <x v="0"/>
    <x v="8"/>
    <x v="1"/>
    <x v="2"/>
    <m/>
    <m/>
    <s v="ADMINISTRATIVO"/>
    <m/>
    <s v="CCK - Alem 351"/>
    <x v="475"/>
    <s v="DNI"/>
    <n v="35962369"/>
    <n v="27359623696"/>
    <d v="1991-03-26T00:00:00"/>
    <m/>
    <m/>
    <m/>
    <m/>
    <x v="0"/>
    <x v="0"/>
    <d v="2016-07-04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6"/>
    <x v="2"/>
    <m/>
    <m/>
    <s v="MANTENIMIENTO GRAL DEL PARQUE"/>
    <s v="TECNÓPOLIS"/>
    <s v="TECNOPOLIS"/>
    <x v="476"/>
    <s v="DNI"/>
    <n v="35766149"/>
    <s v="20357661499"/>
    <d v="1989-07-13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0"/>
    <x v="8"/>
    <x v="4"/>
    <m/>
    <s v="POSTPRODUCCIÓN"/>
    <s v="ADMINISTRATIVO"/>
    <s v="CABILDO 65"/>
    <s v="CABILDO 65"/>
    <x v="477"/>
    <s v="DNI"/>
    <n v="27264874"/>
    <s v="27272648749"/>
    <d v="1979-07-27T00:00:00"/>
    <m/>
    <m/>
    <m/>
    <m/>
    <x v="0"/>
    <x v="0"/>
    <d v="2013-09-09T00:00:00"/>
    <m/>
    <d v="2016-12-31T00:00:00"/>
    <x v="0"/>
    <s v="UNTREF"/>
    <m/>
    <n v="25252"/>
    <x v="38"/>
    <x v="3"/>
    <m/>
    <m/>
    <m/>
    <n v="1000"/>
    <x v="2"/>
    <x v="0"/>
    <x v="0"/>
  </r>
  <r>
    <x v="0"/>
    <x v="0"/>
    <x v="1"/>
    <x v="1"/>
    <x v="31"/>
    <x v="2"/>
    <m/>
    <s v="Sub Director"/>
    <m/>
    <m/>
    <m/>
    <x v="478"/>
    <s v="DNI"/>
    <m/>
    <m/>
    <m/>
    <m/>
    <m/>
    <m/>
    <m/>
    <x v="2"/>
    <x v="3"/>
    <m/>
    <m/>
    <d v="2016-12-31T00:00:00"/>
    <x v="0"/>
    <m/>
    <m/>
    <s v="."/>
    <x v="14"/>
    <x v="5"/>
    <s v="."/>
    <s v="."/>
    <s v="."/>
    <s v="."/>
    <x v="1"/>
    <x v="3"/>
    <x v="1"/>
  </r>
  <r>
    <x v="0"/>
    <x v="0"/>
    <x v="0"/>
    <x v="6"/>
    <x v="12"/>
    <x v="2"/>
    <m/>
    <m/>
    <s v="ADMINISTRATIVO"/>
    <m/>
    <s v="CCK - Alem 351"/>
    <x v="479"/>
    <s v="DNI"/>
    <n v="28950634"/>
    <s v="23289506349"/>
    <d v="1981-08-14T00:00:00"/>
    <m/>
    <m/>
    <m/>
    <m/>
    <x v="0"/>
    <x v="0"/>
    <d v="2016-01-01T00:00:00"/>
    <m/>
    <d v="2016-12-31T00:00:00"/>
    <x v="0"/>
    <s v="UNTREF"/>
    <m/>
    <n v="17000"/>
    <x v="50"/>
    <x v="12"/>
    <n v="17000"/>
    <s v="."/>
    <s v="."/>
    <n v="1000"/>
    <x v="0"/>
    <x v="0"/>
    <x v="0"/>
  </r>
  <r>
    <x v="0"/>
    <x v="1"/>
    <x v="0"/>
    <x v="5"/>
    <x v="26"/>
    <x v="2"/>
    <m/>
    <s v="Técnico"/>
    <s v="Analista"/>
    <s v="CCK"/>
    <s v="CCK - Alem 351"/>
    <x v="480"/>
    <s v="DNI"/>
    <n v="26580826"/>
    <s v="20265808264"/>
    <d v="1977-12-26T00:00:00"/>
    <m/>
    <m/>
    <m/>
    <m/>
    <x v="0"/>
    <x v="0"/>
    <d v="2013-11-26T00:00:00"/>
    <m/>
    <d v="2016-12-31T00:00:00"/>
    <x v="0"/>
    <s v="UNTREF"/>
    <s v="UNLAM- INFO"/>
    <n v="13062"/>
    <x v="30"/>
    <x v="7"/>
    <n v="14000"/>
    <n v="14000"/>
    <s v="."/>
    <n v="1000"/>
    <x v="0"/>
    <x v="0"/>
    <x v="0"/>
  </r>
  <r>
    <x v="0"/>
    <x v="1"/>
    <x v="0"/>
    <x v="5"/>
    <x v="17"/>
    <x v="15"/>
    <m/>
    <s v="Enfermera/o"/>
    <m/>
    <s v="CCK"/>
    <m/>
    <x v="481"/>
    <s v="DNI"/>
    <n v="23120215"/>
    <n v="27231202159"/>
    <m/>
    <m/>
    <m/>
    <m/>
    <m/>
    <x v="1"/>
    <x v="1"/>
    <d v="2015-05-21T00:00:00"/>
    <d v="2016-03-31T00:00:00"/>
    <d v="2016-12-31T00:00:00"/>
    <x v="3"/>
    <m/>
    <m/>
    <n v="12000"/>
    <x v="7"/>
    <x v="5"/>
    <s v="."/>
    <s v="."/>
    <s v="."/>
    <n v="1000"/>
    <x v="1"/>
    <x v="0"/>
    <x v="0"/>
  </r>
  <r>
    <x v="0"/>
    <x v="0"/>
    <x v="1"/>
    <x v="1"/>
    <x v="16"/>
    <x v="11"/>
    <m/>
    <m/>
    <s v="VISITAS GUIADAS"/>
    <m/>
    <s v="CCK - Alem 351"/>
    <x v="482"/>
    <s v="DNI"/>
    <n v="39910014"/>
    <n v="20399100144"/>
    <d v="1996-08-16T00:00:00"/>
    <m/>
    <m/>
    <m/>
    <m/>
    <x v="0"/>
    <x v="0"/>
    <d v="2016-05-15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483"/>
    <s v="DNI"/>
    <n v="22228890"/>
    <n v="27222288903"/>
    <d v="1971-06-09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1"/>
    <x v="0"/>
    <x v="5"/>
    <x v="25"/>
    <x v="2"/>
    <m/>
    <s v="Asistente administrativo."/>
    <m/>
    <s v="CCK"/>
    <m/>
    <x v="484"/>
    <s v="DNI"/>
    <n v="33546747"/>
    <n v="20335467478"/>
    <m/>
    <m/>
    <m/>
    <m/>
    <m/>
    <x v="1"/>
    <x v="1"/>
    <d v="2013-01-02T00:00:00"/>
    <d v="2016-03-31T00:00:00"/>
    <d v="2016-12-31T00:00:00"/>
    <x v="1"/>
    <m/>
    <m/>
    <n v="10190"/>
    <x v="45"/>
    <x v="5"/>
    <s v="."/>
    <s v="."/>
    <n v="13000"/>
    <n v="1000"/>
    <x v="1"/>
    <x v="0"/>
    <x v="0"/>
  </r>
  <r>
    <x v="0"/>
    <x v="0"/>
    <x v="0"/>
    <x v="0"/>
    <x v="8"/>
    <x v="6"/>
    <m/>
    <s v="POSTPRODUCCIÓN"/>
    <s v="EDICION"/>
    <s v="CABILDO 65"/>
    <s v="CABILDO 65"/>
    <x v="485"/>
    <s v="DNI"/>
    <n v="24921752"/>
    <s v="20249217523"/>
    <d v="1975-10-12T00:00:00"/>
    <m/>
    <m/>
    <m/>
    <m/>
    <x v="0"/>
    <x v="0"/>
    <d v="2014-04-01T00:00:00"/>
    <m/>
    <d v="2016-12-31T00:00:00"/>
    <x v="0"/>
    <s v="UNTREF"/>
    <s v="UNSAM- LADA"/>
    <n v="24060"/>
    <x v="73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486"/>
    <s v="DNI"/>
    <n v="16237010"/>
    <s v="20162370104"/>
    <d v="1963-01-12T00:00:00"/>
    <m/>
    <m/>
    <m/>
    <m/>
    <x v="0"/>
    <x v="0"/>
    <d v="2013-06-01T00:00:00"/>
    <m/>
    <d v="2016-12-31T00:00:00"/>
    <x v="0"/>
    <s v="UNTREF"/>
    <m/>
    <n v="32782"/>
    <x v="80"/>
    <x v="3"/>
    <m/>
    <m/>
    <m/>
    <n v="1000"/>
    <x v="2"/>
    <x v="0"/>
    <x v="0"/>
  </r>
  <r>
    <x v="0"/>
    <x v="0"/>
    <x v="1"/>
    <x v="1"/>
    <x v="1"/>
    <x v="1"/>
    <m/>
    <m/>
    <s v="ADMINISTRATIVO"/>
    <m/>
    <s v="CCK - Alem 351"/>
    <x v="487"/>
    <s v="DNI"/>
    <n v="28778937"/>
    <n v="27287789373"/>
    <d v="1981-05-15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7"/>
    <x v="2"/>
    <x v="2"/>
    <m/>
    <s v="PRIVADA"/>
    <s v="ADMINISTRATIVO"/>
    <m/>
    <s v="CCK - Alem 351"/>
    <x v="488"/>
    <s v="DNI"/>
    <m/>
    <m/>
    <m/>
    <m/>
    <m/>
    <m/>
    <m/>
    <x v="2"/>
    <x v="0"/>
    <m/>
    <m/>
    <d v="2016-12-31T00:00:00"/>
    <x v="0"/>
    <s v="UNTREF"/>
    <m/>
    <m/>
    <x v="18"/>
    <x v="3"/>
    <m/>
    <m/>
    <m/>
    <m/>
    <x v="1"/>
    <x v="0"/>
    <x v="2"/>
  </r>
  <r>
    <x v="0"/>
    <x v="0"/>
    <x v="0"/>
    <x v="6"/>
    <x v="12"/>
    <x v="2"/>
    <m/>
    <m/>
    <s v="Orientador de Sala"/>
    <m/>
    <m/>
    <x v="489"/>
    <s v="DNI"/>
    <n v="26392514"/>
    <n v="27263925144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0"/>
    <x v="0"/>
    <x v="0"/>
    <x v="8"/>
    <x v="6"/>
    <m/>
    <s v="PANORAMA ARGENTINO"/>
    <s v="ADMINISTRATIVO"/>
    <s v="CABILDO 65"/>
    <s v="CABILDO 65"/>
    <x v="490"/>
    <s v="DNI"/>
    <n v="17964747"/>
    <s v="20179647479"/>
    <d v="1966-10-13T00:00:00"/>
    <m/>
    <m/>
    <m/>
    <m/>
    <x v="0"/>
    <x v="0"/>
    <d v="2012-03-01T00:00:00"/>
    <m/>
    <d v="2016-12-31T00:00:00"/>
    <x v="0"/>
    <s v="UNTREF"/>
    <s v="UNSAM- LADA"/>
    <n v="10829"/>
    <x v="178"/>
    <x v="4"/>
    <n v="13000"/>
    <s v="."/>
    <n v="13000"/>
    <n v="1000"/>
    <x v="0"/>
    <x v="0"/>
    <x v="0"/>
  </r>
  <r>
    <x v="0"/>
    <x v="0"/>
    <x v="1"/>
    <x v="3"/>
    <x v="13"/>
    <x v="2"/>
    <m/>
    <s v="Administrativo"/>
    <m/>
    <s v="TECNÓPOLIS"/>
    <m/>
    <x v="491"/>
    <s v="DNI"/>
    <n v="28814776"/>
    <n v="27288147766"/>
    <m/>
    <m/>
    <m/>
    <m/>
    <m/>
    <x v="1"/>
    <x v="1"/>
    <d v="2015-03-01T00:00:00"/>
    <d v="2016-03-31T00:00:00"/>
    <d v="2016-12-31T00:00:00"/>
    <x v="3"/>
    <m/>
    <m/>
    <n v="17065"/>
    <x v="179"/>
    <x v="5"/>
    <s v="."/>
    <s v="."/>
    <s v="."/>
    <n v="1000"/>
    <x v="1"/>
    <x v="0"/>
    <x v="0"/>
  </r>
  <r>
    <x v="0"/>
    <x v="1"/>
    <x v="0"/>
    <x v="5"/>
    <x v="30"/>
    <x v="2"/>
    <m/>
    <s v="Asistente"/>
    <m/>
    <s v="CCK"/>
    <m/>
    <x v="492"/>
    <s v="DNI"/>
    <n v="29192074"/>
    <n v="20291920749"/>
    <m/>
    <m/>
    <m/>
    <m/>
    <m/>
    <x v="1"/>
    <x v="1"/>
    <d v="2010-06-01T00:00:00"/>
    <d v="2016-12-31T00:00:00"/>
    <d v="2016-12-31T00:00:00"/>
    <x v="2"/>
    <m/>
    <m/>
    <n v="11730"/>
    <x v="51"/>
    <x v="5"/>
    <s v="."/>
    <s v="."/>
    <n v="13500"/>
    <n v="1000"/>
    <x v="1"/>
    <x v="0"/>
    <x v="0"/>
  </r>
  <r>
    <x v="0"/>
    <x v="0"/>
    <x v="0"/>
    <x v="0"/>
    <x v="8"/>
    <x v="6"/>
    <m/>
    <s v="PANORAMA ARGENTINO"/>
    <s v="PRODUCTOR de EXTERIORES"/>
    <s v="CABILDO 65"/>
    <s v="CABILDO 65"/>
    <x v="493"/>
    <s v="DNI"/>
    <n v="28080101"/>
    <s v="20280801012"/>
    <d v="1980-04-14T00:00:00"/>
    <m/>
    <m/>
    <m/>
    <m/>
    <x v="0"/>
    <x v="0"/>
    <d v="2015-04-15T00:00:00"/>
    <m/>
    <d v="2016-12-31T00:00:00"/>
    <x v="0"/>
    <s v="UNTREF"/>
    <s v="UNSAM- LADA"/>
    <n v="18795"/>
    <x v="37"/>
    <x v="5"/>
    <s v="."/>
    <s v="."/>
    <s v="."/>
    <n v="1000"/>
    <x v="2"/>
    <x v="0"/>
    <x v="0"/>
  </r>
  <r>
    <x v="0"/>
    <x v="0"/>
    <x v="1"/>
    <x v="1"/>
    <x v="16"/>
    <x v="2"/>
    <m/>
    <m/>
    <m/>
    <s v="CCK"/>
    <m/>
    <x v="494"/>
    <s v="DNI"/>
    <n v="16765329"/>
    <n v="24167653290"/>
    <m/>
    <m/>
    <m/>
    <m/>
    <m/>
    <x v="1"/>
    <x v="1"/>
    <d v="2010-06-01T00:00:00"/>
    <d v="2016-12-31T00:00:00"/>
    <d v="2016-12-31T00:00:00"/>
    <x v="3"/>
    <m/>
    <m/>
    <n v="12000"/>
    <x v="7"/>
    <x v="5"/>
    <s v="."/>
    <s v="."/>
    <s v="."/>
    <n v="1000"/>
    <x v="1"/>
    <x v="0"/>
    <x v="0"/>
  </r>
  <r>
    <x v="0"/>
    <x v="0"/>
    <x v="1"/>
    <x v="3"/>
    <x v="20"/>
    <x v="2"/>
    <m/>
    <m/>
    <s v="CONTROL DE ACCESOS/DIGITALIZACION VEHICULAR"/>
    <s v="TECNÓPOLIS"/>
    <s v="TECNOPOLIS"/>
    <x v="495"/>
    <s v="DNI"/>
    <n v="17802888"/>
    <s v="27178028885"/>
    <d v="1965-10-25T00:00:00"/>
    <m/>
    <m/>
    <m/>
    <m/>
    <x v="0"/>
    <x v="0"/>
    <d v="2013-07-01T00:00:00"/>
    <m/>
    <d v="2016-12-31T00:00:00"/>
    <x v="0"/>
    <s v="UNTREF"/>
    <s v="UNTREF"/>
    <n v="11289.69"/>
    <x v="180"/>
    <x v="5"/>
    <s v="."/>
    <s v="."/>
    <s v="."/>
    <n v="1000"/>
    <x v="0"/>
    <x v="0"/>
    <x v="0"/>
  </r>
  <r>
    <x v="0"/>
    <x v="0"/>
    <x v="1"/>
    <x v="1"/>
    <x v="27"/>
    <x v="2"/>
    <m/>
    <m/>
    <s v="OPERACIÓN/MONTAJE/MANTENIMIENTO"/>
    <m/>
    <s v="TECNOPOLIS"/>
    <x v="496"/>
    <s v="DNI"/>
    <n v="14596714"/>
    <n v="20145967148"/>
    <d v="1961-07-03T00:00:00"/>
    <m/>
    <m/>
    <m/>
    <m/>
    <x v="0"/>
    <x v="0"/>
    <d v="2016-05-01T00:00:00"/>
    <m/>
    <d v="2016-12-31T00:00:00"/>
    <x v="0"/>
    <s v="UNTREF"/>
    <m/>
    <n v="15000"/>
    <x v="110"/>
    <x v="3"/>
    <m/>
    <m/>
    <m/>
    <n v="1000"/>
    <x v="0"/>
    <x v="0"/>
    <x v="0"/>
  </r>
  <r>
    <x v="0"/>
    <x v="0"/>
    <x v="1"/>
    <x v="1"/>
    <x v="5"/>
    <x v="23"/>
    <m/>
    <m/>
    <m/>
    <m/>
    <m/>
    <x v="497"/>
    <s v="DNI"/>
    <n v="33194188"/>
    <m/>
    <m/>
    <m/>
    <m/>
    <m/>
    <m/>
    <x v="2"/>
    <x v="1"/>
    <m/>
    <m/>
    <d v="2016-12-31T00:00:00"/>
    <x v="2"/>
    <m/>
    <m/>
    <m/>
    <x v="18"/>
    <x v="3"/>
    <m/>
    <m/>
    <m/>
    <n v="1000"/>
    <x v="1"/>
    <x v="0"/>
    <x v="0"/>
  </r>
  <r>
    <x v="0"/>
    <x v="0"/>
    <x v="1"/>
    <x v="1"/>
    <x v="16"/>
    <x v="11"/>
    <m/>
    <m/>
    <s v="VISITAS GUIADAS"/>
    <m/>
    <s v="CCK - Alem 351"/>
    <x v="498"/>
    <s v="DNI"/>
    <n v="39624844"/>
    <n v="20396248442"/>
    <d v="1996-03-31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0"/>
    <x v="2"/>
    <x v="2"/>
    <m/>
    <s v="PRIVADA"/>
    <m/>
    <s v="CCK"/>
    <m/>
    <x v="499"/>
    <s v="DNI"/>
    <n v="38357064"/>
    <n v="20383570647"/>
    <m/>
    <m/>
    <m/>
    <m/>
    <m/>
    <x v="0"/>
    <x v="0"/>
    <m/>
    <m/>
    <m/>
    <x v="0"/>
    <m/>
    <m/>
    <m/>
    <x v="18"/>
    <x v="3"/>
    <m/>
    <m/>
    <m/>
    <m/>
    <x v="1"/>
    <x v="1"/>
    <x v="2"/>
  </r>
  <r>
    <x v="0"/>
    <x v="0"/>
    <x v="0"/>
    <x v="0"/>
    <x v="8"/>
    <x v="6"/>
    <m/>
    <s v="PANORAMA ARGENTINO"/>
    <s v="ADMINISTRATIVO"/>
    <s v="CABILDO 65"/>
    <s v="CABILDO 65"/>
    <x v="500"/>
    <s v="DNI"/>
    <n v="22478193"/>
    <s v="20224781939"/>
    <d v="1970-04-30T00:00:00"/>
    <m/>
    <m/>
    <m/>
    <m/>
    <x v="0"/>
    <x v="0"/>
    <d v="2011-06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0"/>
    <x v="0"/>
    <x v="8"/>
    <x v="6"/>
    <m/>
    <s v="PANORAMA ARGENTINO"/>
    <m/>
    <s v="CABILDO 65"/>
    <m/>
    <x v="501"/>
    <s v="DNI"/>
    <n v="32890956"/>
    <n v="27328909567"/>
    <m/>
    <m/>
    <m/>
    <m/>
    <m/>
    <x v="1"/>
    <x v="1"/>
    <d v="2011-05-01T00:00:00"/>
    <d v="2016-12-31T00:00:00"/>
    <d v="2016-12-31T00:00:00"/>
    <x v="2"/>
    <m/>
    <m/>
    <n v="12000"/>
    <x v="7"/>
    <x v="5"/>
    <s v="."/>
    <s v="."/>
    <s v="."/>
    <n v="1000"/>
    <x v="1"/>
    <x v="0"/>
    <x v="0"/>
  </r>
  <r>
    <x v="0"/>
    <x v="1"/>
    <x v="0"/>
    <x v="2"/>
    <x v="2"/>
    <x v="2"/>
    <m/>
    <s v="PRIVADA"/>
    <s v="ADMINISTRATIVO"/>
    <m/>
    <s v="CCK - Alem 351"/>
    <x v="502"/>
    <s v="DNI"/>
    <n v="21850394"/>
    <n v="27218503948"/>
    <d v="1970-10-17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18"/>
    <x v="2"/>
    <m/>
    <s v=""/>
    <s v="Asistencia Juridica"/>
    <m/>
    <s v="CCK - Alem 351"/>
    <x v="503"/>
    <s v="DNI"/>
    <n v="33839983"/>
    <s v="27338399834"/>
    <d v="1989-03-16T00:00:00"/>
    <m/>
    <m/>
    <m/>
    <m/>
    <x v="0"/>
    <x v="0"/>
    <d v="2015-09-01T00:00:00"/>
    <m/>
    <d v="2016-12-31T00:00:00"/>
    <x v="0"/>
    <s v="UNTREF"/>
    <s v="UNLAM -TDA"/>
    <n v="12063"/>
    <x v="30"/>
    <x v="7"/>
    <n v="14000"/>
    <n v="14000"/>
    <s v="."/>
    <n v="1000"/>
    <x v="0"/>
    <x v="0"/>
    <x v="0"/>
  </r>
  <r>
    <x v="0"/>
    <x v="0"/>
    <x v="1"/>
    <x v="1"/>
    <x v="16"/>
    <x v="11"/>
    <m/>
    <m/>
    <s v="VISITAS GUIADAS"/>
    <m/>
    <s v="CCK - Alem 351"/>
    <x v="504"/>
    <s v="DNI"/>
    <n v="40734118"/>
    <n v="27407341185"/>
    <d v="1997-11-13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16"/>
    <x v="11"/>
    <m/>
    <m/>
    <s v="VISITAS GUIADAS"/>
    <m/>
    <s v="CCK - Alem 351"/>
    <x v="505"/>
    <s v="DNI"/>
    <n v="39214117"/>
    <n v="20392141171"/>
    <d v="1995-09-14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1"/>
    <x v="2"/>
    <m/>
    <m/>
    <m/>
    <s v="CCK"/>
    <m/>
    <x v="506"/>
    <s v="DNI"/>
    <n v="27860764"/>
    <n v="20278607640"/>
    <m/>
    <m/>
    <m/>
    <m/>
    <m/>
    <x v="1"/>
    <x v="1"/>
    <d v="2011-11-01T00:00:00"/>
    <d v="2016-12-31T00:00:00"/>
    <d v="2016-12-31T00:00:00"/>
    <x v="9"/>
    <m/>
    <m/>
    <n v="17107"/>
    <x v="104"/>
    <x v="5"/>
    <s v="."/>
    <s v="."/>
    <s v="."/>
    <n v="1000"/>
    <x v="1"/>
    <x v="0"/>
    <x v="0"/>
  </r>
  <r>
    <x v="0"/>
    <x v="0"/>
    <x v="0"/>
    <x v="0"/>
    <x v="8"/>
    <x v="6"/>
    <s v="CCK"/>
    <s v="ADMINISTRACIÓN"/>
    <s v="ADMINISTRATIVO"/>
    <s v="CABILDO 65"/>
    <s v="CCK - Alem 351"/>
    <x v="507"/>
    <s v="DNI"/>
    <n v="26365492"/>
    <s v="20263654928"/>
    <d v="1978-02-26T00:00:00"/>
    <m/>
    <m/>
    <m/>
    <m/>
    <x v="0"/>
    <x v="0"/>
    <d v="2015-09-01T00:00:00"/>
    <m/>
    <d v="2016-12-31T00:00:00"/>
    <x v="0"/>
    <s v="UNTREF"/>
    <s v="UNSAM- LADA"/>
    <n v="10188"/>
    <x v="5"/>
    <x v="10"/>
    <n v="14000"/>
    <n v="12500"/>
    <n v="14000"/>
    <n v="1000"/>
    <x v="0"/>
    <x v="0"/>
    <x v="0"/>
  </r>
  <r>
    <x v="0"/>
    <x v="1"/>
    <x v="0"/>
    <x v="2"/>
    <x v="2"/>
    <x v="2"/>
    <m/>
    <s v="PRIVADA"/>
    <s v="ADMINISTRATIVO"/>
    <m/>
    <s v="CCK - Alem 351"/>
    <x v="508"/>
    <s v="DNI"/>
    <n v="18393076"/>
    <s v="20183930762"/>
    <d v="1967-11-16T00:00:00"/>
    <m/>
    <m/>
    <m/>
    <m/>
    <x v="0"/>
    <x v="0"/>
    <d v="2016-01-01T00:00:00"/>
    <m/>
    <d v="2016-12-31T00:00:00"/>
    <x v="0"/>
    <s v="UNTREF"/>
    <s v="UNSAM"/>
    <n v="19000"/>
    <x v="135"/>
    <x v="35"/>
    <n v="19000"/>
    <s v="."/>
    <s v="."/>
    <n v="1000"/>
    <x v="0"/>
    <x v="0"/>
    <x v="0"/>
  </r>
  <r>
    <x v="0"/>
    <x v="0"/>
    <x v="1"/>
    <x v="1"/>
    <x v="16"/>
    <x v="2"/>
    <m/>
    <m/>
    <s v="asistente funcional"/>
    <s v="CCK"/>
    <s v="CCK - Alem 351"/>
    <x v="509"/>
    <s v="DNI"/>
    <n v="25248374"/>
    <n v="27252483743"/>
    <d v="1976-07-03T00:00:00"/>
    <m/>
    <m/>
    <m/>
    <m/>
    <x v="0"/>
    <x v="0"/>
    <d v="2016-01-01T00:00:00"/>
    <m/>
    <d v="2016-12-31T00:00:00"/>
    <x v="0"/>
    <s v="UNTREF"/>
    <s v="UNSAM"/>
    <n v="19000"/>
    <x v="135"/>
    <x v="36"/>
    <n v="26000"/>
    <s v="."/>
    <n v="26000"/>
    <n v="1000"/>
    <x v="0"/>
    <x v="0"/>
    <x v="0"/>
  </r>
  <r>
    <x v="0"/>
    <x v="1"/>
    <x v="0"/>
    <x v="5"/>
    <x v="17"/>
    <x v="12"/>
    <s v="AUTOMOTORES"/>
    <s v="CHOFER"/>
    <m/>
    <s v="CCK"/>
    <m/>
    <x v="510"/>
    <s v="DNI"/>
    <n v="25974116"/>
    <n v="20259741166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0"/>
    <x v="0"/>
    <x v="8"/>
    <x v="6"/>
    <m/>
    <s v="ACUA MAYOR"/>
    <s v="ADMINISTRATIVO"/>
    <s v="CABILDO 65"/>
    <s v="CABILDO 65"/>
    <x v="511"/>
    <s v="DNI"/>
    <n v="23510339"/>
    <s v="20235103398"/>
    <d v="1973-08-15T00:00:00"/>
    <m/>
    <m/>
    <m/>
    <m/>
    <x v="0"/>
    <x v="0"/>
    <d v="2010-11-01T00:00:00"/>
    <m/>
    <d v="2016-12-31T00:00:00"/>
    <x v="0"/>
    <s v="UNTREF"/>
    <s v="UNSAM- LADA"/>
    <n v="28909"/>
    <x v="181"/>
    <x v="5"/>
    <s v="."/>
    <s v="."/>
    <s v="."/>
    <n v="1000"/>
    <x v="2"/>
    <x v="0"/>
    <x v="0"/>
  </r>
  <r>
    <x v="0"/>
    <x v="0"/>
    <x v="0"/>
    <x v="8"/>
    <x v="1"/>
    <x v="2"/>
    <m/>
    <m/>
    <s v="ADMINISTRATIVO"/>
    <m/>
    <s v="CCK - Alem 351"/>
    <x v="512"/>
    <s v="DNI"/>
    <n v="27680627"/>
    <n v="27276806276"/>
    <d v="1979-09-17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513"/>
    <s v="DNI"/>
    <n v="24261523"/>
    <s v="27242615234"/>
    <d v="1974-12-29T00:00:00"/>
    <m/>
    <m/>
    <m/>
    <m/>
    <x v="0"/>
    <x v="0"/>
    <d v="2015-04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1"/>
    <x v="0"/>
    <x v="5"/>
    <x v="17"/>
    <x v="12"/>
    <s v="AUTOMOTORES"/>
    <s v="CHOFER"/>
    <m/>
    <s v="CCK"/>
    <m/>
    <x v="514"/>
    <s v="DNI"/>
    <n v="17380002"/>
    <n v="23173800029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1"/>
    <x v="3"/>
    <x v="10"/>
    <x v="2"/>
    <m/>
    <m/>
    <m/>
    <s v="TECNÓPOLIS"/>
    <m/>
    <x v="515"/>
    <s v="DNI"/>
    <n v="21671582"/>
    <n v="23216715829"/>
    <m/>
    <m/>
    <m/>
    <m/>
    <m/>
    <x v="1"/>
    <x v="1"/>
    <d v="2011-07-01T00:00:00"/>
    <d v="2016-12-31T00:00:00"/>
    <d v="2016-12-31T00:00:00"/>
    <x v="3"/>
    <m/>
    <m/>
    <n v="29206.37"/>
    <x v="182"/>
    <x v="5"/>
    <s v="."/>
    <s v="."/>
    <s v="."/>
    <n v="1000"/>
    <x v="1"/>
    <x v="0"/>
    <x v="0"/>
  </r>
  <r>
    <x v="0"/>
    <x v="0"/>
    <x v="1"/>
    <x v="1"/>
    <x v="1"/>
    <x v="1"/>
    <m/>
    <m/>
    <s v="ADMINISTRATIVO"/>
    <m/>
    <s v="CCK - Alem 351"/>
    <x v="516"/>
    <s v="DNI"/>
    <n v="29591878"/>
    <n v="20295918781"/>
    <d v="1982-06-24T00:00:00"/>
    <m/>
    <m/>
    <m/>
    <m/>
    <x v="0"/>
    <x v="0"/>
    <d v="2016-06-01T00:00:00"/>
    <m/>
    <d v="2016-12-31T00:00:00"/>
    <x v="0"/>
    <s v="UNTREF"/>
    <m/>
    <n v="20000"/>
    <x v="113"/>
    <x v="3"/>
    <m/>
    <m/>
    <m/>
    <n v="1000"/>
    <x v="0"/>
    <x v="0"/>
    <x v="0"/>
  </r>
  <r>
    <x v="0"/>
    <x v="0"/>
    <x v="1"/>
    <x v="1"/>
    <x v="5"/>
    <x v="13"/>
    <m/>
    <m/>
    <s v="Auxiliar de Mantenimiento"/>
    <m/>
    <s v="CCK - Alem 351"/>
    <x v="517"/>
    <s v="DNI"/>
    <n v="37878033"/>
    <n v="20378780331"/>
    <d v="1993-07-12T00:00:00"/>
    <m/>
    <m/>
    <m/>
    <m/>
    <x v="0"/>
    <x v="0"/>
    <d v="2016-07-01T00:00:00"/>
    <m/>
    <d v="2016-12-31T00:00:00"/>
    <x v="0"/>
    <s v="UNTREF"/>
    <m/>
    <m/>
    <x v="18"/>
    <x v="3"/>
    <m/>
    <m/>
    <m/>
    <s v=" ---"/>
    <x v="3"/>
    <x v="0"/>
    <x v="0"/>
  </r>
  <r>
    <x v="0"/>
    <x v="0"/>
    <x v="0"/>
    <x v="4"/>
    <x v="2"/>
    <x v="2"/>
    <m/>
    <s v="PRIVADA"/>
    <s v="ADMINISTRATIVO"/>
    <m/>
    <s v="CCK - Alem 351"/>
    <x v="518"/>
    <s v="DNI"/>
    <n v="29353203"/>
    <n v="27293532031"/>
    <d v="1982-02-06T00:00:00"/>
    <m/>
    <m/>
    <m/>
    <m/>
    <x v="0"/>
    <x v="0"/>
    <d v="2016-01-01T00:00:00"/>
    <m/>
    <d v="2016-12-31T00:00:00"/>
    <x v="0"/>
    <s v="UNTREF"/>
    <s v="UNSAM"/>
    <n v="19000"/>
    <x v="135"/>
    <x v="35"/>
    <n v="19000"/>
    <s v="."/>
    <s v="."/>
    <n v="1000"/>
    <x v="0"/>
    <x v="0"/>
    <x v="0"/>
  </r>
  <r>
    <x v="0"/>
    <x v="0"/>
    <x v="0"/>
    <x v="0"/>
    <x v="8"/>
    <x v="6"/>
    <s v="CCK"/>
    <s v="PROGRAMA POLOS AUDIOVISUALES TECNOLÓGICOS"/>
    <m/>
    <s v="CABILDO 65"/>
    <m/>
    <x v="519"/>
    <s v="DNI"/>
    <n v="30060661"/>
    <n v="27300606615"/>
    <m/>
    <m/>
    <m/>
    <m/>
    <m/>
    <x v="1"/>
    <x v="1"/>
    <d v="2011-03-01T00:00:00"/>
    <d v="2016-12-31T00:00:00"/>
    <d v="2016-12-31T00:00:00"/>
    <x v="2"/>
    <m/>
    <m/>
    <n v="12547"/>
    <x v="9"/>
    <x v="5"/>
    <s v="."/>
    <s v="."/>
    <s v="."/>
    <n v="1000"/>
    <x v="1"/>
    <x v="0"/>
    <x v="0"/>
  </r>
  <r>
    <x v="0"/>
    <x v="1"/>
    <x v="0"/>
    <x v="5"/>
    <x v="7"/>
    <x v="2"/>
    <s v="REFERENTE"/>
    <m/>
    <m/>
    <s v="CCK"/>
    <m/>
    <x v="520"/>
    <s v="DNI"/>
    <n v="34253941"/>
    <n v="20342539417"/>
    <m/>
    <m/>
    <m/>
    <m/>
    <m/>
    <x v="1"/>
    <x v="1"/>
    <d v="2012-12-01T00:00:00"/>
    <d v="2016-12-31T00:00:00"/>
    <d v="2016-12-31T00:00:00"/>
    <x v="5"/>
    <m/>
    <m/>
    <n v="26237"/>
    <x v="183"/>
    <x v="5"/>
    <s v="."/>
    <s v="."/>
    <s v="."/>
    <n v="1000"/>
    <x v="1"/>
    <x v="0"/>
    <x v="0"/>
  </r>
  <r>
    <x v="0"/>
    <x v="1"/>
    <x v="0"/>
    <x v="5"/>
    <x v="7"/>
    <x v="2"/>
    <m/>
    <m/>
    <s v="ADMINISTRATIVO"/>
    <m/>
    <s v="CCK - Alem 351"/>
    <x v="521"/>
    <s v="DNI"/>
    <n v="35569382"/>
    <n v="20355693822"/>
    <d v="1990-12-19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0"/>
    <x v="8"/>
    <x v="1"/>
    <x v="2"/>
    <m/>
    <m/>
    <s v="ADMINISTRATIVO"/>
    <s v="CCK"/>
    <s v="CCK - Alem 351"/>
    <x v="522"/>
    <s v="DNI"/>
    <n v="32949122"/>
    <s v="24329491222"/>
    <d v="1987-02-05T00:00:00"/>
    <m/>
    <m/>
    <m/>
    <m/>
    <x v="0"/>
    <x v="0"/>
    <d v="2014-06-01T00:00:00"/>
    <m/>
    <d v="2016-12-31T00:00:00"/>
    <x v="0"/>
    <s v="UNTREF"/>
    <s v="UNTREF"/>
    <n v="13593.330000000002"/>
    <x v="184"/>
    <x v="5"/>
    <s v="."/>
    <s v="."/>
    <s v="."/>
    <n v="1000"/>
    <x v="0"/>
    <x v="0"/>
    <x v="0"/>
  </r>
  <r>
    <x v="0"/>
    <x v="0"/>
    <x v="0"/>
    <x v="0"/>
    <x v="8"/>
    <x v="6"/>
    <m/>
    <s v="BACUA"/>
    <s v="ADMINISTRATIVO"/>
    <s v="CABILDO 65"/>
    <s v="CABILDO 65"/>
    <x v="523"/>
    <s v="DNI"/>
    <n v="32603492"/>
    <s v="20326034925"/>
    <d v="1986-09-19T00:00:00"/>
    <m/>
    <m/>
    <m/>
    <m/>
    <x v="0"/>
    <x v="0"/>
    <d v="2013-02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3"/>
    <x v="23"/>
    <x v="2"/>
    <m/>
    <m/>
    <m/>
    <s v="TECNÓPOLIS"/>
    <m/>
    <x v="524"/>
    <s v="DNI"/>
    <n v="24646302"/>
    <n v="20246463027"/>
    <m/>
    <m/>
    <m/>
    <m/>
    <m/>
    <x v="1"/>
    <x v="1"/>
    <d v="2012-04-01T00:00:00"/>
    <d v="2016-12-31T00:00:00"/>
    <d v="2016-12-31T00:00:00"/>
    <x v="3"/>
    <m/>
    <m/>
    <n v="16242.17"/>
    <x v="185"/>
    <x v="5"/>
    <s v="."/>
    <s v="."/>
    <s v="."/>
    <n v="1000"/>
    <x v="1"/>
    <x v="0"/>
    <x v="0"/>
  </r>
  <r>
    <x v="0"/>
    <x v="0"/>
    <x v="0"/>
    <x v="4"/>
    <x v="2"/>
    <x v="2"/>
    <m/>
    <s v="PRIVADA"/>
    <s v="ADMINISTRATIVO"/>
    <m/>
    <s v="CCK - Alem 351"/>
    <x v="525"/>
    <s v="DNI"/>
    <n v="34653242"/>
    <n v="23346532424"/>
    <d v="1986-10-22T00:00:00"/>
    <m/>
    <m/>
    <m/>
    <m/>
    <x v="2"/>
    <x v="0"/>
    <m/>
    <m/>
    <d v="2016-12-31T00:00:00"/>
    <x v="0"/>
    <s v="UNTREF"/>
    <m/>
    <m/>
    <x v="18"/>
    <x v="3"/>
    <m/>
    <m/>
    <m/>
    <m/>
    <x v="1"/>
    <x v="0"/>
    <x v="2"/>
  </r>
  <r>
    <x v="0"/>
    <x v="0"/>
    <x v="0"/>
    <x v="4"/>
    <x v="2"/>
    <x v="2"/>
    <m/>
    <s v="PRIVADA"/>
    <s v="ADMINISTRATIVO"/>
    <m/>
    <s v="CCK - Alem 351"/>
    <x v="526"/>
    <s v="DNI"/>
    <n v="32677592"/>
    <n v="23326775924"/>
    <d v="1986-10-22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PANORAMA ARGENTINO"/>
    <s v="ADMINISTRATIVO"/>
    <s v="CABILDO 65"/>
    <s v="CABILDO 65"/>
    <x v="527"/>
    <s v="DNI"/>
    <n v="26338210"/>
    <s v="20263382103"/>
    <d v="1977-11-25T00:00:00"/>
    <m/>
    <m/>
    <m/>
    <m/>
    <x v="0"/>
    <x v="0"/>
    <d v="2013-03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1"/>
    <x v="0"/>
    <x v="5"/>
    <x v="7"/>
    <x v="2"/>
    <m/>
    <m/>
    <s v="ADMINISTRATIVO"/>
    <m/>
    <s v="CCK - Alem 351"/>
    <x v="528"/>
    <s v="DNI"/>
    <n v="35634548"/>
    <n v="20356345488"/>
    <d v="1990-08-31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17"/>
    <x v="15"/>
    <m/>
    <s v="Enfermera/o"/>
    <m/>
    <s v="CCK"/>
    <m/>
    <x v="529"/>
    <s v="DNI"/>
    <n v="27948229"/>
    <n v="27279482293"/>
    <m/>
    <m/>
    <m/>
    <m/>
    <m/>
    <x v="1"/>
    <x v="1"/>
    <d v="2015-06-01T00:00:00"/>
    <d v="2016-03-31T00:00:00"/>
    <d v="2016-12-31T00:00:00"/>
    <x v="9"/>
    <s v="U. LA MATANZA"/>
    <s v="LEY MARCO "/>
    <n v="19096"/>
    <x v="81"/>
    <x v="5"/>
    <s v="."/>
    <s v="."/>
    <s v="."/>
    <n v="1000"/>
    <x v="1"/>
    <x v="0"/>
    <x v="0"/>
  </r>
  <r>
    <x v="0"/>
    <x v="0"/>
    <x v="0"/>
    <x v="0"/>
    <x v="2"/>
    <x v="2"/>
    <m/>
    <m/>
    <s v="ADMINISTRATIVO"/>
    <m/>
    <s v="CCK - Alem 351"/>
    <x v="530"/>
    <s v="DNI"/>
    <n v="92485428"/>
    <n v="20924854287"/>
    <d v="1976-09-29T00:00:00"/>
    <m/>
    <m/>
    <m/>
    <m/>
    <x v="0"/>
    <x v="0"/>
    <m/>
    <m/>
    <d v="2016-12-31T00:00:00"/>
    <x v="0"/>
    <s v="UNTREF"/>
    <m/>
    <n v="32363"/>
    <x v="186"/>
    <x v="3"/>
    <m/>
    <m/>
    <m/>
    <n v="1000"/>
    <x v="0"/>
    <x v="0"/>
    <x v="0"/>
  </r>
  <r>
    <x v="0"/>
    <x v="0"/>
    <x v="0"/>
    <x v="4"/>
    <x v="11"/>
    <x v="7"/>
    <m/>
    <s v="PRIVADA"/>
    <s v="ADMINISTRATIVO"/>
    <m/>
    <s v="NO ENTREGAR"/>
    <x v="531"/>
    <s v="DNI"/>
    <n v="29998060"/>
    <n v="20299980605"/>
    <d v="1983-02-17T00:00:00"/>
    <m/>
    <m/>
    <m/>
    <m/>
    <x v="0"/>
    <x v="0"/>
    <d v="2016-03-15T00:00:00"/>
    <m/>
    <d v="2016-08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532"/>
    <s v="DNI"/>
    <n v="34482878"/>
    <s v="23344828784"/>
    <d v="1989-04-17T00:00:00"/>
    <m/>
    <m/>
    <m/>
    <m/>
    <x v="0"/>
    <x v="0"/>
    <d v="2015-06-01T00:00:00"/>
    <m/>
    <d v="2016-12-31T00:00:00"/>
    <x v="0"/>
    <s v="UNTREF"/>
    <s v="UNSAM- LADA"/>
    <n v="17564"/>
    <x v="187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533"/>
    <s v="DNI"/>
    <n v="31772426"/>
    <s v="20317724269"/>
    <d v="1985-02-25T00:00:00"/>
    <m/>
    <m/>
    <m/>
    <m/>
    <x v="0"/>
    <x v="0"/>
    <d v="2013-12-12T00:00:00"/>
    <m/>
    <d v="2016-12-31T00:00:00"/>
    <x v="0"/>
    <s v="UNTREF"/>
    <s v="UNSAM- LADA"/>
    <n v="24060"/>
    <x v="73"/>
    <x v="5"/>
    <s v="."/>
    <s v="."/>
    <s v="."/>
    <n v="1000"/>
    <x v="2"/>
    <x v="0"/>
    <x v="0"/>
  </r>
  <r>
    <x v="0"/>
    <x v="0"/>
    <x v="0"/>
    <x v="0"/>
    <x v="8"/>
    <x v="6"/>
    <m/>
    <s v="PRODUCCIÓN"/>
    <s v="PRODUCTOR de EXTERIORES"/>
    <s v="CABILDO 65"/>
    <s v="CABILDO 65"/>
    <x v="534"/>
    <s v="DNI"/>
    <n v="35269809"/>
    <s v="27352698097"/>
    <d v="1990-07-21T00:00:00"/>
    <m/>
    <m/>
    <m/>
    <m/>
    <x v="0"/>
    <x v="0"/>
    <d v="2015-05-04T00:00:00"/>
    <m/>
    <d v="2016-12-31T00:00:00"/>
    <x v="0"/>
    <s v="UNTREF"/>
    <s v="UNSAM- LADA"/>
    <n v="18795"/>
    <x v="37"/>
    <x v="5"/>
    <s v="."/>
    <s v="."/>
    <s v="."/>
    <n v="1000"/>
    <x v="2"/>
    <x v="0"/>
    <x v="0"/>
  </r>
  <r>
    <x v="0"/>
    <x v="0"/>
    <x v="1"/>
    <x v="3"/>
    <x v="2"/>
    <x v="2"/>
    <m/>
    <s v="PRIVADA"/>
    <s v="ADMINISTRATIVO"/>
    <m/>
    <s v="TECNOPOLIS"/>
    <x v="535"/>
    <s v="DNI"/>
    <n v="14957725"/>
    <n v="20149577255"/>
    <d v="1962-08-06T00:00:00"/>
    <m/>
    <m/>
    <m/>
    <m/>
    <x v="0"/>
    <x v="0"/>
    <d v="2016-03-01T00:00:00"/>
    <m/>
    <d v="2016-12-31T00:00:00"/>
    <x v="0"/>
    <s v="UNTREF"/>
    <m/>
    <n v="35000"/>
    <x v="76"/>
    <x v="19"/>
    <n v="35000"/>
    <s v="."/>
    <s v="."/>
    <n v="1000"/>
    <x v="0"/>
    <x v="0"/>
    <x v="0"/>
  </r>
  <r>
    <x v="0"/>
    <x v="0"/>
    <x v="1"/>
    <x v="7"/>
    <x v="2"/>
    <x v="2"/>
    <m/>
    <s v="PRIVADA"/>
    <s v="ADMINISTRATIVO"/>
    <m/>
    <s v="CCK - Alem 351"/>
    <x v="536"/>
    <s v="DNI"/>
    <n v="24524414"/>
    <s v="27245244148"/>
    <d v="1975-08-09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0"/>
    <x v="0"/>
    <m/>
    <s v="DESARROLLOS"/>
    <s v="ANALISTA"/>
    <s v="PALPALÁ-JUJUY"/>
    <s v="PALPALÁ-JUJUY"/>
    <x v="537"/>
    <s v="DNI"/>
    <n v="35931200"/>
    <n v="20359312009"/>
    <d v="1991-07-16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0"/>
    <x v="0"/>
    <x v="0"/>
    <x v="0"/>
    <m/>
    <s v="DISEÑO"/>
    <s v="ANALISTA"/>
    <s v="PALPALÁ-JUJUY"/>
    <s v="PALPALÁ-JUJUY"/>
    <x v="538"/>
    <s v="DNI"/>
    <n v="29419234"/>
    <n v="20294192345"/>
    <d v="1982-07-07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1"/>
    <x v="1"/>
    <x v="5"/>
    <x v="14"/>
    <s v="LIMPIEZA (En comisión Tecnópolis)"/>
    <s v="Auxiliar"/>
    <s v="Auxiliar"/>
    <s v="CCK"/>
    <s v="CCK - Alem 351"/>
    <x v="539"/>
    <s v="DNI"/>
    <n v="39000432"/>
    <s v="27390004325"/>
    <d v="1986-04-26T00:00:00"/>
    <m/>
    <m/>
    <m/>
    <m/>
    <x v="0"/>
    <x v="0"/>
    <d v="2015-06-10T00:00:00"/>
    <m/>
    <d v="2016-12-31T00:00:00"/>
    <x v="0"/>
    <s v="UNTREF"/>
    <s v="UNTREF"/>
    <n v="10495"/>
    <x v="5"/>
    <x v="4"/>
    <n v="13000"/>
    <n v="12500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540"/>
    <s v="DNI"/>
    <n v="92778623"/>
    <s v="20927786231"/>
    <d v="1982-11-22T00:00:00"/>
    <m/>
    <m/>
    <m/>
    <m/>
    <x v="0"/>
    <x v="0"/>
    <d v="2013-04-20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3"/>
    <x v="6"/>
    <x v="2"/>
    <m/>
    <m/>
    <m/>
    <s v="TECNÓPOLIS"/>
    <m/>
    <x v="541"/>
    <s v="DNI"/>
    <n v="39761602"/>
    <n v="23397616029"/>
    <m/>
    <m/>
    <m/>
    <m/>
    <m/>
    <x v="1"/>
    <x v="1"/>
    <d v="2011-07-01T00:00:00"/>
    <d v="2016-12-31T00:00:00"/>
    <d v="2016-12-31T00:00:00"/>
    <x v="1"/>
    <m/>
    <m/>
    <n v="13786"/>
    <x v="188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CARPINTERO"/>
    <s v="TECNÓPOLIS"/>
    <m/>
    <x v="542"/>
    <s v="DNI"/>
    <n v="36175840"/>
    <n v="20361758405"/>
    <m/>
    <m/>
    <m/>
    <m/>
    <m/>
    <x v="0"/>
    <x v="2"/>
    <m/>
    <m/>
    <d v="2016-12-31T00:00:00"/>
    <x v="0"/>
    <s v="UNTREF"/>
    <s v="UNTREF"/>
    <n v="4700"/>
    <x v="142"/>
    <x v="5"/>
    <s v="."/>
    <s v="."/>
    <s v="."/>
    <n v="1000"/>
    <x v="0"/>
    <x v="0"/>
    <x v="0"/>
  </r>
  <r>
    <x v="0"/>
    <x v="0"/>
    <x v="1"/>
    <x v="3"/>
    <x v="24"/>
    <x v="2"/>
    <m/>
    <s v="Tareas Generales"/>
    <s v="Tareas Generales"/>
    <s v="TECNÓPOLIS"/>
    <m/>
    <x v="543"/>
    <s v="DNI"/>
    <n v="23033997"/>
    <m/>
    <m/>
    <m/>
    <m/>
    <m/>
    <m/>
    <x v="0"/>
    <x v="2"/>
    <m/>
    <m/>
    <d v="2016-12-31T00:00:00"/>
    <x v="0"/>
    <s v="UNTREF"/>
    <s v="UNTREF"/>
    <n v="4700"/>
    <x v="142"/>
    <x v="5"/>
    <s v="."/>
    <s v="."/>
    <s v="."/>
    <n v="1000"/>
    <x v="0"/>
    <x v="0"/>
    <x v="0"/>
  </r>
  <r>
    <x v="0"/>
    <x v="0"/>
    <x v="1"/>
    <x v="1"/>
    <x v="2"/>
    <x v="2"/>
    <m/>
    <m/>
    <s v="asistente funcional"/>
    <s v="CCK"/>
    <s v="CCK - Alem 351"/>
    <x v="544"/>
    <s v="DNI"/>
    <n v="23447824"/>
    <s v="27234478244"/>
    <d v="1973-07-25T00:00:00"/>
    <m/>
    <m/>
    <m/>
    <m/>
    <x v="0"/>
    <x v="0"/>
    <d v="2013-09-02T00:00:00"/>
    <m/>
    <d v="2016-12-31T00:00:00"/>
    <x v="0"/>
    <s v="UNTREF"/>
    <s v="UNLAM -TDA"/>
    <n v="16292"/>
    <x v="189"/>
    <x v="37"/>
    <n v="16292"/>
    <s v="."/>
    <s v="."/>
    <n v="1000"/>
    <x v="0"/>
    <x v="0"/>
    <x v="0"/>
  </r>
  <r>
    <x v="0"/>
    <x v="0"/>
    <x v="1"/>
    <x v="1"/>
    <x v="14"/>
    <x v="2"/>
    <m/>
    <m/>
    <m/>
    <s v="CCK"/>
    <s v="CCK - Alem 351"/>
    <x v="545"/>
    <s v="DNI"/>
    <n v="29191202"/>
    <n v="20291912029"/>
    <m/>
    <m/>
    <m/>
    <m/>
    <m/>
    <x v="1"/>
    <x v="1"/>
    <d v="2012-07-01T00:00:00"/>
    <d v="2016-12-31T00:00:00"/>
    <d v="2016-12-31T00:00:00"/>
    <x v="3"/>
    <m/>
    <m/>
    <n v="25021.33"/>
    <x v="190"/>
    <x v="5"/>
    <s v="."/>
    <s v="."/>
    <s v="."/>
    <n v="1000"/>
    <x v="1"/>
    <x v="0"/>
    <x v="0"/>
  </r>
  <r>
    <x v="0"/>
    <x v="1"/>
    <x v="0"/>
    <x v="5"/>
    <x v="17"/>
    <x v="9"/>
    <m/>
    <s v="RECURSOS HUMANOS"/>
    <m/>
    <s v="CABILDO 65"/>
    <m/>
    <x v="546"/>
    <s v="DNI"/>
    <n v="27382228"/>
    <n v="27273822289"/>
    <m/>
    <m/>
    <m/>
    <m/>
    <m/>
    <x v="1"/>
    <x v="1"/>
    <d v="2010-04-01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0"/>
    <x v="0"/>
    <x v="8"/>
    <x v="4"/>
    <m/>
    <s v="PRODUCCIÓN"/>
    <s v="PRODUCTOR de EXTERIORES"/>
    <s v="CABILDO 65"/>
    <s v="CABILDO 65"/>
    <x v="547"/>
    <s v="DNI"/>
    <n v="31732531"/>
    <s v="20317325313"/>
    <d v="1985-06-05T00:00:00"/>
    <m/>
    <m/>
    <m/>
    <m/>
    <x v="0"/>
    <x v="0"/>
    <d v="2013-12-10T00:00:00"/>
    <m/>
    <d v="2016-12-31T00:00:00"/>
    <x v="0"/>
    <s v="UNTREF"/>
    <m/>
    <n v="18795"/>
    <x v="37"/>
    <x v="3"/>
    <m/>
    <m/>
    <m/>
    <n v="1000"/>
    <x v="2"/>
    <x v="0"/>
    <x v="0"/>
  </r>
  <r>
    <x v="0"/>
    <x v="1"/>
    <x v="0"/>
    <x v="5"/>
    <x v="18"/>
    <x v="2"/>
    <m/>
    <m/>
    <m/>
    <s v="CCK"/>
    <m/>
    <x v="548"/>
    <s v="DNI"/>
    <n v="32576720"/>
    <n v="20325767201"/>
    <m/>
    <m/>
    <m/>
    <m/>
    <m/>
    <x v="1"/>
    <x v="1"/>
    <d v="2013-01-01T00:00:00"/>
    <d v="2016-03-31T00:00:00"/>
    <d v="2016-12-31T00:00:00"/>
    <x v="9"/>
    <m/>
    <m/>
    <n v="17107"/>
    <x v="104"/>
    <x v="5"/>
    <s v="."/>
    <s v="."/>
    <s v="."/>
    <n v="1000"/>
    <x v="1"/>
    <x v="0"/>
    <x v="0"/>
  </r>
  <r>
    <x v="0"/>
    <x v="0"/>
    <x v="0"/>
    <x v="0"/>
    <x v="8"/>
    <x v="6"/>
    <m/>
    <s v="PROMOCIONES"/>
    <s v="ADMINISTRATIVO"/>
    <s v="CABILDO 65"/>
    <s v="CABILDO 65"/>
    <x v="549"/>
    <s v="DNI"/>
    <n v="29951587"/>
    <s v="27299515872"/>
    <d v="1982-12-03T00:00:00"/>
    <m/>
    <m/>
    <m/>
    <m/>
    <x v="0"/>
    <x v="0"/>
    <d v="2012-08-01T00:00:00"/>
    <m/>
    <d v="2016-12-31T00:00:00"/>
    <x v="0"/>
    <s v="UNTREF"/>
    <s v="UNSAM- LADA"/>
    <n v="20545"/>
    <x v="143"/>
    <x v="5"/>
    <s v="."/>
    <s v="."/>
    <s v="."/>
    <n v="1000"/>
    <x v="2"/>
    <x v="0"/>
    <x v="0"/>
  </r>
  <r>
    <x v="0"/>
    <x v="0"/>
    <x v="1"/>
    <x v="3"/>
    <x v="24"/>
    <x v="2"/>
    <m/>
    <s v="Tareas Generales"/>
    <s v="MANTENIMIENTO DE ESPACIOS VERDES"/>
    <s v="TECNÓPOLIS"/>
    <m/>
    <x v="550"/>
    <s v="DNI"/>
    <n v="14620292"/>
    <n v="27146202921"/>
    <m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551"/>
    <s v="DNI"/>
    <n v="34001226"/>
    <s v="27340012262"/>
    <d v="1988-07-29T00:00:00"/>
    <m/>
    <m/>
    <m/>
    <m/>
    <x v="0"/>
    <x v="0"/>
    <d v="2015-10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552"/>
    <s v="DNI"/>
    <n v="18205034"/>
    <s v="20182050343"/>
    <d v="1966-06-17T00:00:00"/>
    <m/>
    <m/>
    <m/>
    <m/>
    <x v="0"/>
    <x v="0"/>
    <d v="2012-05-08T00:00:00"/>
    <m/>
    <d v="2016-12-31T00:00:00"/>
    <x v="0"/>
    <s v="UNTREF"/>
    <s v="UNSAM- LADA"/>
    <n v="24060"/>
    <x v="73"/>
    <x v="5"/>
    <s v="."/>
    <s v="."/>
    <s v="."/>
    <n v="1000"/>
    <x v="2"/>
    <x v="0"/>
    <x v="0"/>
  </r>
  <r>
    <x v="0"/>
    <x v="0"/>
    <x v="1"/>
    <x v="1"/>
    <x v="5"/>
    <x v="5"/>
    <m/>
    <s v="SECRETARÍA"/>
    <m/>
    <s v="CCK"/>
    <m/>
    <x v="553"/>
    <s v="LC"/>
    <n v="27642766"/>
    <n v="27276427666"/>
    <m/>
    <m/>
    <m/>
    <m/>
    <m/>
    <x v="1"/>
    <x v="1"/>
    <d v="2006-04-01T00:00:00"/>
    <d v="2016-12-31T00:00:00"/>
    <d v="2016-12-31T00:00:00"/>
    <x v="7"/>
    <m/>
    <m/>
    <n v="20839"/>
    <x v="191"/>
    <x v="5"/>
    <s v="."/>
    <s v="."/>
    <s v="."/>
    <n v="1000"/>
    <x v="1"/>
    <x v="0"/>
    <x v="0"/>
  </r>
  <r>
    <x v="0"/>
    <x v="0"/>
    <x v="1"/>
    <x v="3"/>
    <x v="2"/>
    <x v="2"/>
    <m/>
    <s v="PRIVADA"/>
    <s v="ADMINISTRATIVO"/>
    <m/>
    <s v="TECNOPOLIS"/>
    <x v="554"/>
    <s v="DNI"/>
    <n v="22792210"/>
    <n v="27227922104"/>
    <d v="1972-08-02T00:00:00"/>
    <m/>
    <m/>
    <m/>
    <m/>
    <x v="0"/>
    <x v="0"/>
    <d v="2016-03-01T00:00:00"/>
    <m/>
    <d v="2016-12-31T00:00:00"/>
    <x v="0"/>
    <s v="UNTREF"/>
    <m/>
    <n v="20000"/>
    <x v="113"/>
    <x v="8"/>
    <n v="20000"/>
    <s v="."/>
    <s v="."/>
    <n v="1000"/>
    <x v="0"/>
    <x v="0"/>
    <x v="0"/>
  </r>
  <r>
    <x v="0"/>
    <x v="0"/>
    <x v="1"/>
    <x v="1"/>
    <x v="5"/>
    <x v="21"/>
    <m/>
    <s v="Ing Seguridad e Higiene"/>
    <s v="Ing Seguridad e Higiene"/>
    <s v="CCK"/>
    <s v="CCK - Alem 351"/>
    <x v="555"/>
    <s v="DNI"/>
    <n v="11387784"/>
    <n v="20113877848"/>
    <d v="1955-07-23T00:00:00"/>
    <m/>
    <m/>
    <m/>
    <m/>
    <x v="0"/>
    <x v="0"/>
    <d v="2015-05-02T00:00:00"/>
    <m/>
    <d v="2016-12-31T00:00:00"/>
    <x v="0"/>
    <s v="UNTREF"/>
    <s v="UNLAM- BICENTENARIO"/>
    <n v="27366"/>
    <x v="192"/>
    <x v="38"/>
    <n v="27366"/>
    <s v="."/>
    <s v="."/>
    <n v="1000"/>
    <x v="0"/>
    <x v="0"/>
    <x v="0"/>
  </r>
  <r>
    <x v="0"/>
    <x v="0"/>
    <x v="1"/>
    <x v="3"/>
    <x v="44"/>
    <x v="2"/>
    <m/>
    <m/>
    <m/>
    <s v="TECNÓPOLIS"/>
    <m/>
    <x v="556"/>
    <s v="DNI"/>
    <n v="27344679"/>
    <n v="20273446797"/>
    <m/>
    <m/>
    <m/>
    <m/>
    <m/>
    <x v="1"/>
    <x v="1"/>
    <d v="2011-03-01T00:00:00"/>
    <d v="2016-12-31T00:00:00"/>
    <d v="2016-12-31T00:00:00"/>
    <x v="3"/>
    <m/>
    <m/>
    <n v="20628.54"/>
    <x v="193"/>
    <x v="5"/>
    <s v="."/>
    <s v="."/>
    <s v="."/>
    <n v="1000"/>
    <x v="1"/>
    <x v="0"/>
    <x v="0"/>
  </r>
  <r>
    <x v="0"/>
    <x v="0"/>
    <x v="0"/>
    <x v="0"/>
    <x v="8"/>
    <x v="6"/>
    <m/>
    <s v="ADMINISTRACIÓN"/>
    <m/>
    <s v="CABILDO 65"/>
    <m/>
    <x v="557"/>
    <s v="DNI"/>
    <n v="31376447"/>
    <n v="20313764479"/>
    <m/>
    <m/>
    <m/>
    <m/>
    <m/>
    <x v="1"/>
    <x v="1"/>
    <d v="2011-03-01T00:00:00"/>
    <d v="2016-12-31T00:00:00"/>
    <d v="2016-12-31T00:00:00"/>
    <x v="8"/>
    <m/>
    <m/>
    <n v="10553"/>
    <x v="16"/>
    <x v="5"/>
    <s v="."/>
    <s v="."/>
    <s v="."/>
    <n v="1000"/>
    <x v="1"/>
    <x v="0"/>
    <x v="0"/>
  </r>
  <r>
    <x v="0"/>
    <x v="0"/>
    <x v="0"/>
    <x v="0"/>
    <x v="0"/>
    <x v="0"/>
    <m/>
    <s v="ANIMACION"/>
    <s v="ANALISTA"/>
    <s v="PALPALÁ-JUJUY"/>
    <s v="PALPALÁ-JUJUY"/>
    <x v="558"/>
    <s v="DNI"/>
    <n v="31961383"/>
    <n v="20319613839"/>
    <d v="1986-03-22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1"/>
    <x v="0"/>
    <x v="5"/>
    <x v="26"/>
    <x v="2"/>
    <m/>
    <m/>
    <m/>
    <s v="CCK"/>
    <s v="CCK - Alem 351"/>
    <x v="559"/>
    <s v="DNI"/>
    <n v="34489609"/>
    <n v="27344896092"/>
    <m/>
    <m/>
    <m/>
    <m/>
    <m/>
    <x v="1"/>
    <x v="1"/>
    <d v="2013-08-01T00:00:00"/>
    <d v="2016-03-31T00:00:00"/>
    <d v="2016-12-31T00:00:00"/>
    <x v="9"/>
    <m/>
    <m/>
    <n v="17107"/>
    <x v="104"/>
    <x v="5"/>
    <s v="."/>
    <s v="."/>
    <s v="."/>
    <n v="1000"/>
    <x v="1"/>
    <x v="0"/>
    <x v="0"/>
  </r>
  <r>
    <x v="0"/>
    <x v="0"/>
    <x v="0"/>
    <x v="0"/>
    <x v="8"/>
    <x v="4"/>
    <m/>
    <s v="POSTPRODUCCIÓN"/>
    <s v="ADMINISTRATIVO"/>
    <s v="CABILDO 65"/>
    <s v="CABILDO 65"/>
    <x v="560"/>
    <s v="DNI"/>
    <n v="28801969"/>
    <s v="20288019690"/>
    <d v="1981-04-18T00:00:00"/>
    <m/>
    <m/>
    <m/>
    <m/>
    <x v="0"/>
    <x v="0"/>
    <d v="2012-01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1"/>
    <x v="10"/>
    <x v="2"/>
    <m/>
    <m/>
    <s v="ADMINISTRATIVA"/>
    <m/>
    <s v="CCK - Alem 351"/>
    <x v="561"/>
    <s v="DNI"/>
    <n v="34411918"/>
    <n v="20344119180"/>
    <d v="1988-10-16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23"/>
    <x v="2"/>
    <m/>
    <m/>
    <s v="ARQUITECTO"/>
    <s v="TECNÓPOLIS"/>
    <s v="TECNOPOLIS"/>
    <x v="562"/>
    <s v="DNI"/>
    <n v="4607118"/>
    <s v="20046071183"/>
    <d v="1944-11-26T00:00:00"/>
    <m/>
    <m/>
    <m/>
    <m/>
    <x v="0"/>
    <x v="0"/>
    <d v="2012-04-01T00:00:00"/>
    <m/>
    <d v="2016-12-31T00:00:00"/>
    <x v="0"/>
    <s v="UNTREF"/>
    <s v="UNTREF"/>
    <n v="21963.653000000002"/>
    <x v="194"/>
    <x v="5"/>
    <s v="."/>
    <s v="."/>
    <s v="."/>
    <n v="1000"/>
    <x v="0"/>
    <x v="0"/>
    <x v="0"/>
  </r>
  <r>
    <x v="0"/>
    <x v="0"/>
    <x v="1"/>
    <x v="3"/>
    <x v="9"/>
    <x v="2"/>
    <m/>
    <s v="ADMINISTRATIVO"/>
    <m/>
    <s v="TECNÓPOLIS"/>
    <m/>
    <x v="563"/>
    <s v="DNI"/>
    <n v="36741755"/>
    <n v="27367417558"/>
    <m/>
    <m/>
    <m/>
    <m/>
    <m/>
    <x v="1"/>
    <x v="1"/>
    <d v="2011-11-01T00:00:00"/>
    <d v="2016-12-31T00:00:00"/>
    <d v="2016-12-31T00:00:00"/>
    <x v="3"/>
    <m/>
    <m/>
    <n v="23810"/>
    <x v="195"/>
    <x v="5"/>
    <s v="."/>
    <s v="."/>
    <s v="."/>
    <n v="1000"/>
    <x v="1"/>
    <x v="0"/>
    <x v="0"/>
  </r>
  <r>
    <x v="0"/>
    <x v="0"/>
    <x v="1"/>
    <x v="7"/>
    <x v="2"/>
    <x v="2"/>
    <m/>
    <s v="PRIVADA"/>
    <s v="ADMINISTRATIVO"/>
    <m/>
    <s v="CCK - Alem 351"/>
    <x v="564"/>
    <s v="DNI"/>
    <n v="29319713"/>
    <n v="27293197135"/>
    <d v="1981-02-13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ACUA FEDERAL"/>
    <s v="ADMINISTRATIVO"/>
    <s v="CABILDO 65"/>
    <s v="CABILDO 65"/>
    <x v="565"/>
    <s v="DNI"/>
    <n v="27576288"/>
    <s v="27275762887"/>
    <d v="1979-04-27T00:00:00"/>
    <m/>
    <m/>
    <m/>
    <m/>
    <x v="0"/>
    <x v="0"/>
    <d v="2013-10-01T00:00:00"/>
    <m/>
    <d v="2016-12-31T00:00:00"/>
    <x v="0"/>
    <s v="UNTREF"/>
    <s v="UNSAM- LADA"/>
    <n v="29420"/>
    <x v="60"/>
    <x v="5"/>
    <s v="."/>
    <s v="."/>
    <s v="."/>
    <n v="1000"/>
    <x v="2"/>
    <x v="0"/>
    <x v="0"/>
  </r>
  <r>
    <x v="0"/>
    <x v="0"/>
    <x v="0"/>
    <x v="6"/>
    <x v="12"/>
    <x v="2"/>
    <m/>
    <m/>
    <m/>
    <m/>
    <m/>
    <x v="566"/>
    <s v="DNI"/>
    <n v="12471569"/>
    <n v="20124715696"/>
    <m/>
    <m/>
    <m/>
    <m/>
    <m/>
    <x v="2"/>
    <x v="0"/>
    <d v="2016-07-01T00:00:00"/>
    <m/>
    <d v="2016-08-31T00:00:00"/>
    <x v="0"/>
    <s v="UNTREF"/>
    <m/>
    <m/>
    <x v="18"/>
    <x v="3"/>
    <m/>
    <m/>
    <m/>
    <m/>
    <x v="1"/>
    <x v="0"/>
    <x v="2"/>
  </r>
  <r>
    <x v="0"/>
    <x v="1"/>
    <x v="0"/>
    <x v="5"/>
    <x v="17"/>
    <x v="17"/>
    <m/>
    <m/>
    <m/>
    <m/>
    <m/>
    <x v="567"/>
    <s v="DNI"/>
    <n v="3243932"/>
    <n v="27324397324"/>
    <m/>
    <m/>
    <m/>
    <m/>
    <m/>
    <x v="2"/>
    <x v="1"/>
    <d v="2006-12-01T00:00:00"/>
    <m/>
    <d v="2016-12-31T00:00:00"/>
    <x v="15"/>
    <m/>
    <m/>
    <m/>
    <x v="18"/>
    <x v="3"/>
    <m/>
    <m/>
    <m/>
    <n v="1000"/>
    <x v="1"/>
    <x v="0"/>
    <x v="0"/>
  </r>
  <r>
    <x v="0"/>
    <x v="0"/>
    <x v="0"/>
    <x v="0"/>
    <x v="8"/>
    <x v="6"/>
    <m/>
    <s v="CONTENIDOS DIGITALES ABIERTOS CDA"/>
    <s v="ADMINISTRATIVO"/>
    <s v="CABILDO 65"/>
    <s v="CABILDO 65"/>
    <x v="568"/>
    <s v="DNI"/>
    <n v="30927415"/>
    <s v="27309274151"/>
    <d v="1984-04-29T00:00:00"/>
    <m/>
    <m/>
    <m/>
    <m/>
    <x v="0"/>
    <x v="0"/>
    <d v="2012-08-01T00:00:00"/>
    <m/>
    <d v="2016-12-31T00:00:00"/>
    <x v="0"/>
    <s v="UNTREF"/>
    <s v="UNSAM- LADA"/>
    <n v="25981"/>
    <x v="196"/>
    <x v="5"/>
    <s v="."/>
    <s v="."/>
    <s v="."/>
    <n v="1000"/>
    <x v="2"/>
    <x v="0"/>
    <x v="0"/>
  </r>
  <r>
    <x v="0"/>
    <x v="0"/>
    <x v="1"/>
    <x v="3"/>
    <x v="15"/>
    <x v="2"/>
    <m/>
    <m/>
    <m/>
    <s v="TECNÓPOLIS"/>
    <m/>
    <x v="569"/>
    <s v="DNI"/>
    <n v="94048478"/>
    <n v="20940484783"/>
    <m/>
    <m/>
    <m/>
    <m/>
    <m/>
    <x v="1"/>
    <x v="1"/>
    <d v="2012-05-01T00:00:00"/>
    <d v="2016-12-31T00:00:00"/>
    <d v="2016-12-31T00:00:00"/>
    <x v="1"/>
    <m/>
    <m/>
    <n v="10731"/>
    <x v="167"/>
    <x v="5"/>
    <s v="."/>
    <s v="."/>
    <s v="."/>
    <n v="1000"/>
    <x v="1"/>
    <x v="0"/>
    <x v="0"/>
  </r>
  <r>
    <x v="0"/>
    <x v="0"/>
    <x v="0"/>
    <x v="0"/>
    <x v="8"/>
    <x v="6"/>
    <m/>
    <s v="CONTENIDOS DIGITALES ABIERTOS CDA"/>
    <s v="ADMINISTRATIVO"/>
    <s v="CABILDO 65"/>
    <s v="CABILDO 65"/>
    <x v="570"/>
    <s v="DNI"/>
    <n v="38402296"/>
    <s v="20384022961"/>
    <d v="1994-11-08T00:00:00"/>
    <m/>
    <m/>
    <m/>
    <m/>
    <x v="0"/>
    <x v="0"/>
    <d v="2015-09-01T00:00:00"/>
    <m/>
    <d v="2016-12-31T00:00:00"/>
    <x v="0"/>
    <s v="UNTREF"/>
    <s v="UNSAM- LADA"/>
    <n v="15234"/>
    <x v="22"/>
    <x v="5"/>
    <s v="."/>
    <s v="."/>
    <s v="."/>
    <n v="1000"/>
    <x v="2"/>
    <x v="0"/>
    <x v="0"/>
  </r>
  <r>
    <x v="0"/>
    <x v="0"/>
    <x v="0"/>
    <x v="8"/>
    <x v="1"/>
    <x v="2"/>
    <m/>
    <m/>
    <m/>
    <s v="CCK"/>
    <s v="CCK - Alem 351"/>
    <x v="571"/>
    <s v="DNI"/>
    <n v="29040990"/>
    <n v="27290409905"/>
    <m/>
    <m/>
    <m/>
    <m/>
    <m/>
    <x v="1"/>
    <x v="1"/>
    <d v="2012-06-11T00:00:00"/>
    <d v="2016-12-31T00:00:00"/>
    <d v="2016-12-31T00:00:00"/>
    <x v="9"/>
    <m/>
    <m/>
    <n v="19096"/>
    <x v="81"/>
    <x v="5"/>
    <s v="."/>
    <s v="."/>
    <s v="."/>
    <n v="1000"/>
    <x v="1"/>
    <x v="0"/>
    <x v="0"/>
  </r>
  <r>
    <x v="0"/>
    <x v="0"/>
    <x v="1"/>
    <x v="3"/>
    <x v="15"/>
    <x v="2"/>
    <m/>
    <m/>
    <s v="HERRERO"/>
    <s v="TECNÓPOLIS"/>
    <s v="TECNOPOLIS"/>
    <x v="572"/>
    <s v="DNI"/>
    <n v="12803975"/>
    <s v="23128039759"/>
    <d v="1957-02-13T00:00:00"/>
    <m/>
    <m/>
    <m/>
    <m/>
    <x v="0"/>
    <x v="0"/>
    <d v="2014-06-01T00:00:00"/>
    <m/>
    <d v="2016-12-31T00:00:00"/>
    <x v="0"/>
    <s v="UNTREF"/>
    <s v="UNTREF"/>
    <n v="11289.69"/>
    <x v="180"/>
    <x v="5"/>
    <s v="."/>
    <s v="."/>
    <s v="."/>
    <n v="1000"/>
    <x v="0"/>
    <x v="0"/>
    <x v="0"/>
  </r>
  <r>
    <x v="0"/>
    <x v="0"/>
    <x v="1"/>
    <x v="1"/>
    <x v="5"/>
    <x v="3"/>
    <s v="LIMPIEZA (En comisión Tecnópolis)"/>
    <s v="Auxiliar"/>
    <s v="OPERATIVA Y LOGISTICA"/>
    <s v="CCK"/>
    <s v="CCK - Alem 351"/>
    <x v="573"/>
    <s v="DNI"/>
    <n v="16095673"/>
    <s v="23160956739"/>
    <d v="1963-01-15T00:00:00"/>
    <m/>
    <m/>
    <m/>
    <m/>
    <x v="0"/>
    <x v="0"/>
    <d v="2015-06-10T00:00:00"/>
    <m/>
    <d v="2016-12-31T00:00:00"/>
    <x v="0"/>
    <s v="UNTREF"/>
    <s v="UNTREF"/>
    <n v="10500"/>
    <x v="5"/>
    <x v="4"/>
    <n v="13000"/>
    <n v="12500"/>
    <s v="."/>
    <n v="1000"/>
    <x v="0"/>
    <x v="0"/>
    <x v="0"/>
  </r>
  <r>
    <x v="0"/>
    <x v="0"/>
    <x v="1"/>
    <x v="1"/>
    <x v="5"/>
    <x v="5"/>
    <s v="SOPORTE ADMINISTRATIVO"/>
    <s v="Administrativo"/>
    <s v="ADMINISTRATIVO"/>
    <s v="CCK"/>
    <s v="CCK - Alem 351"/>
    <x v="574"/>
    <s v="DNI"/>
    <n v="17332501"/>
    <s v="27173325016"/>
    <d v="1964-12-07T00:00:00"/>
    <m/>
    <m/>
    <m/>
    <m/>
    <x v="0"/>
    <x v="0"/>
    <d v="2015-07-01T00:00:00"/>
    <m/>
    <d v="2016-12-31T00:00:00"/>
    <x v="0"/>
    <s v="UNTREF"/>
    <s v="UNLAM- BICENTENARIO"/>
    <n v="15730"/>
    <x v="197"/>
    <x v="39"/>
    <n v="15730"/>
    <s v="."/>
    <s v="."/>
    <n v="1000"/>
    <x v="0"/>
    <x v="0"/>
    <x v="0"/>
  </r>
  <r>
    <x v="0"/>
    <x v="0"/>
    <x v="0"/>
    <x v="4"/>
    <x v="2"/>
    <x v="2"/>
    <m/>
    <s v="PRIVADA"/>
    <m/>
    <m/>
    <m/>
    <x v="575"/>
    <s v="DNI"/>
    <n v="26333383"/>
    <m/>
    <d v="1977-11-15T00:00:00"/>
    <m/>
    <m/>
    <m/>
    <m/>
    <x v="2"/>
    <x v="3"/>
    <d v="2016-01-01T00:00:00"/>
    <m/>
    <d v="2016-12-31T00:00:00"/>
    <x v="0"/>
    <s v="U. SAN MARTÍN"/>
    <s v="UNSAM"/>
    <n v="36000"/>
    <x v="112"/>
    <x v="22"/>
    <n v="36000"/>
    <s v="."/>
    <s v="."/>
    <n v="1000"/>
    <x v="0"/>
    <x v="3"/>
    <x v="1"/>
  </r>
  <r>
    <x v="0"/>
    <x v="1"/>
    <x v="0"/>
    <x v="5"/>
    <x v="7"/>
    <x v="2"/>
    <m/>
    <m/>
    <s v="ADMINISTRATIVO"/>
    <m/>
    <m/>
    <x v="576"/>
    <s v="DNI"/>
    <n v="33897153"/>
    <m/>
    <m/>
    <m/>
    <m/>
    <m/>
    <m/>
    <x v="1"/>
    <x v="1"/>
    <m/>
    <m/>
    <d v="2016-12-31T00:00:00"/>
    <x v="2"/>
    <m/>
    <m/>
    <m/>
    <x v="18"/>
    <x v="3"/>
    <m/>
    <m/>
    <m/>
    <m/>
    <x v="1"/>
    <x v="1"/>
    <x v="2"/>
  </r>
  <r>
    <x v="0"/>
    <x v="0"/>
    <x v="0"/>
    <x v="0"/>
    <x v="8"/>
    <x v="6"/>
    <m/>
    <s v="POSTPRODUCCIÓN"/>
    <s v="EDICION"/>
    <s v="CABILDO 65"/>
    <s v="CABILDO 65"/>
    <x v="577"/>
    <s v="DNI"/>
    <n v="29359743"/>
    <s v="20293597430"/>
    <d v="1982-03-26T00:00:00"/>
    <m/>
    <m/>
    <m/>
    <m/>
    <x v="0"/>
    <x v="0"/>
    <d v="2015-07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0"/>
    <x v="0"/>
    <x v="8"/>
    <x v="6"/>
    <m/>
    <s v="Responsable Radio Igualdad"/>
    <m/>
    <s v="CABILDO 65"/>
    <m/>
    <x v="578"/>
    <s v="DNI"/>
    <n v="23889942"/>
    <n v="20238899428"/>
    <m/>
    <m/>
    <m/>
    <m/>
    <m/>
    <x v="1"/>
    <x v="1"/>
    <d v="2015-01-01T00:00:00"/>
    <d v="2016-03-31T00:00:00"/>
    <d v="2016-12-31T00:00:00"/>
    <x v="5"/>
    <m/>
    <m/>
    <n v="29089"/>
    <x v="33"/>
    <x v="5"/>
    <s v="."/>
    <s v="."/>
    <s v="."/>
    <n v="1000"/>
    <x v="1"/>
    <x v="0"/>
    <x v="0"/>
  </r>
  <r>
    <x v="0"/>
    <x v="1"/>
    <x v="0"/>
    <x v="5"/>
    <x v="7"/>
    <x v="2"/>
    <m/>
    <m/>
    <s v="ADMINISTRATIVO"/>
    <m/>
    <s v="CCK - Alem 351"/>
    <x v="579"/>
    <s v="DNI"/>
    <n v="38551275"/>
    <s v="23385512759"/>
    <d v="1994-12-05T00:00:00"/>
    <m/>
    <m/>
    <m/>
    <m/>
    <x v="0"/>
    <x v="0"/>
    <m/>
    <m/>
    <d v="2016-12-31T00:00:00"/>
    <x v="0"/>
    <s v="UNTREF"/>
    <m/>
    <n v="12500"/>
    <x v="5"/>
    <x v="5"/>
    <s v="."/>
    <m/>
    <n v="14000"/>
    <n v="1000"/>
    <x v="0"/>
    <x v="0"/>
    <x v="0"/>
  </r>
  <r>
    <x v="0"/>
    <x v="1"/>
    <x v="0"/>
    <x v="5"/>
    <x v="30"/>
    <x v="2"/>
    <m/>
    <s v="Analista"/>
    <s v="ADMINISTRATIVO"/>
    <m/>
    <s v="CCK - Alem 351"/>
    <x v="580"/>
    <s v="DNI"/>
    <n v="32102678"/>
    <s v="27321026783"/>
    <d v="1987-01-22T00:00:00"/>
    <m/>
    <m/>
    <m/>
    <m/>
    <x v="0"/>
    <x v="0"/>
    <d v="2016-05-02T00:00:00"/>
    <m/>
    <d v="2016-12-31T00:00:00"/>
    <x v="0"/>
    <s v="UNTREF"/>
    <m/>
    <s v="."/>
    <x v="110"/>
    <x v="3"/>
    <m/>
    <s v="."/>
    <s v="."/>
    <n v="1000"/>
    <x v="0"/>
    <x v="0"/>
    <x v="0"/>
  </r>
  <r>
    <x v="0"/>
    <x v="0"/>
    <x v="1"/>
    <x v="1"/>
    <x v="39"/>
    <x v="2"/>
    <m/>
    <s v="Administrativo"/>
    <s v="ADMINISTRATIVO"/>
    <s v="CCK"/>
    <s v="CCK - Alem 351"/>
    <x v="581"/>
    <s v="DNI"/>
    <n v="28077190"/>
    <s v="27280771908"/>
    <d v="1980-03-25T00:00:00"/>
    <m/>
    <m/>
    <m/>
    <m/>
    <x v="0"/>
    <x v="0"/>
    <d v="2014-12-15T00:00:00"/>
    <m/>
    <d v="2016-12-31T00:00:00"/>
    <x v="0"/>
    <s v="UNTREF"/>
    <s v="CULTURA"/>
    <n v="14000"/>
    <x v="30"/>
    <x v="12"/>
    <n v="17000"/>
    <s v="."/>
    <n v="17000"/>
    <n v="1000"/>
    <x v="0"/>
    <x v="0"/>
    <x v="0"/>
  </r>
  <r>
    <x v="0"/>
    <x v="0"/>
    <x v="1"/>
    <x v="1"/>
    <x v="5"/>
    <x v="24"/>
    <m/>
    <s v="INVESTIGACION APLICADA"/>
    <s v="ADMINISTRATIVO"/>
    <s v="CCK"/>
    <s v="CCK - Alem 351"/>
    <x v="582"/>
    <s v="DNI"/>
    <n v="23179837"/>
    <s v="20231798375"/>
    <d v="1973-05-28T00:00:00"/>
    <m/>
    <m/>
    <m/>
    <m/>
    <x v="0"/>
    <x v="0"/>
    <m/>
    <m/>
    <d v="2016-12-31T00:00:00"/>
    <x v="0"/>
    <s v="UNTREF"/>
    <s v="UNSAM"/>
    <n v="30145"/>
    <x v="198"/>
    <x v="40"/>
    <n v="30145"/>
    <s v="."/>
    <n v="27000"/>
    <n v="1000"/>
    <x v="0"/>
    <x v="0"/>
    <x v="0"/>
  </r>
  <r>
    <x v="0"/>
    <x v="1"/>
    <x v="0"/>
    <x v="5"/>
    <x v="30"/>
    <x v="2"/>
    <m/>
    <s v="Administración"/>
    <s v="ADMINISTRATIVO"/>
    <s v="CCK"/>
    <s v="CCK - Alem 351"/>
    <x v="583"/>
    <s v="DNI"/>
    <n v="32478554"/>
    <s v="20324785540"/>
    <d v="1986-07-27T00:00:00"/>
    <m/>
    <m/>
    <m/>
    <m/>
    <x v="0"/>
    <x v="0"/>
    <d v="2015-04-20T00:00:00"/>
    <m/>
    <d v="2016-12-31T00:00:00"/>
    <x v="0"/>
    <s v="UNTREF"/>
    <s v="UNSAM"/>
    <n v="17102"/>
    <x v="1"/>
    <x v="5"/>
    <s v="."/>
    <s v="."/>
    <s v="."/>
    <n v="1000"/>
    <x v="0"/>
    <x v="0"/>
    <x v="0"/>
  </r>
  <r>
    <x v="0"/>
    <x v="0"/>
    <x v="1"/>
    <x v="3"/>
    <x v="22"/>
    <x v="2"/>
    <m/>
    <m/>
    <m/>
    <s v="TECNÓPOLIS"/>
    <m/>
    <x v="584"/>
    <s v="DNI"/>
    <n v="29014857"/>
    <n v="27290148575"/>
    <m/>
    <m/>
    <m/>
    <m/>
    <m/>
    <x v="1"/>
    <x v="1"/>
    <d v="2011-07-01T00:00:00"/>
    <d v="2016-12-31T00:00:00"/>
    <d v="2016-12-31T00:00:00"/>
    <x v="8"/>
    <m/>
    <m/>
    <n v="13106"/>
    <x v="199"/>
    <x v="5"/>
    <s v="."/>
    <s v="."/>
    <s v="."/>
    <n v="1000"/>
    <x v="1"/>
    <x v="0"/>
    <x v="0"/>
  </r>
  <r>
    <x v="0"/>
    <x v="0"/>
    <x v="0"/>
    <x v="0"/>
    <x v="8"/>
    <x v="6"/>
    <m/>
    <s v="POSTPRODUCCIÓN"/>
    <s v="EDICION"/>
    <s v="CABILDO 65"/>
    <s v="CABILDO 65"/>
    <x v="585"/>
    <s v="DNI"/>
    <n v="27113656"/>
    <s v="27271136566"/>
    <d v="1978-12-22T00:00:00"/>
    <m/>
    <m/>
    <m/>
    <m/>
    <x v="0"/>
    <x v="0"/>
    <d v="2012-08-01T00:00:00"/>
    <m/>
    <d v="2016-12-31T00:00:00"/>
    <x v="0"/>
    <s v="UNTREF"/>
    <m/>
    <n v="21640"/>
    <x v="200"/>
    <x v="3"/>
    <m/>
    <m/>
    <m/>
    <n v="1000"/>
    <x v="2"/>
    <x v="0"/>
    <x v="0"/>
  </r>
  <r>
    <x v="0"/>
    <x v="0"/>
    <x v="1"/>
    <x v="1"/>
    <x v="5"/>
    <x v="8"/>
    <m/>
    <s v="Asistente Técnico"/>
    <s v="ADMINISTRATIVO"/>
    <s v="CCK"/>
    <s v="CCK - Alem 351"/>
    <x v="586"/>
    <s v="DNI"/>
    <n v="33403626"/>
    <s v="20334036260"/>
    <d v="1987-11-21T00:00:00"/>
    <m/>
    <m/>
    <m/>
    <m/>
    <x v="0"/>
    <x v="0"/>
    <d v="2015-06-02T00:00:00"/>
    <m/>
    <d v="2016-12-31T00:00:00"/>
    <x v="0"/>
    <s v="UNTREF"/>
    <s v="UNLAM- BICENTENARIO"/>
    <n v="10807"/>
    <x v="5"/>
    <x v="9"/>
    <n v="15000"/>
    <n v="12500"/>
    <n v="15000"/>
    <n v="1000"/>
    <x v="0"/>
    <x v="0"/>
    <x v="0"/>
  </r>
  <r>
    <x v="0"/>
    <x v="1"/>
    <x v="0"/>
    <x v="5"/>
    <x v="26"/>
    <x v="2"/>
    <m/>
    <s v="Analista"/>
    <s v="Analista"/>
    <s v="CCK"/>
    <s v="CCK - Alem 351"/>
    <x v="587"/>
    <s v="DNI"/>
    <n v="37007907"/>
    <s v="20370079073"/>
    <d v="1992-06-23T00:00:00"/>
    <m/>
    <m/>
    <m/>
    <m/>
    <x v="0"/>
    <x v="0"/>
    <d v="2015-10-01T00:00:00"/>
    <m/>
    <d v="2016-12-31T00:00:00"/>
    <x v="0"/>
    <s v="UNTREF"/>
    <s v="UNLAM- INFO"/>
    <n v="7500"/>
    <x v="28"/>
    <x v="4"/>
    <n v="13000"/>
    <n v="11500"/>
    <n v="13000"/>
    <n v="1000"/>
    <x v="0"/>
    <x v="0"/>
    <x v="0"/>
  </r>
  <r>
    <x v="0"/>
    <x v="1"/>
    <x v="0"/>
    <x v="2"/>
    <x v="2"/>
    <x v="2"/>
    <m/>
    <s v="PRIVADA"/>
    <s v="ADMINISTRATIVO"/>
    <m/>
    <s v="CCK - Alem 351"/>
    <x v="588"/>
    <s v="DNI"/>
    <n v="24963883"/>
    <n v="27249638833"/>
    <d v="1975-11-02T00:00:00"/>
    <m/>
    <m/>
    <m/>
    <m/>
    <x v="0"/>
    <x v="0"/>
    <d v="2016-01-01T00:00:00"/>
    <m/>
    <d v="2016-12-31T00:00:00"/>
    <x v="0"/>
    <s v="UNTREF"/>
    <s v="UNSAM"/>
    <n v="12275"/>
    <x v="62"/>
    <x v="15"/>
    <n v="12275"/>
    <s v="."/>
    <s v="."/>
    <n v="1000"/>
    <x v="0"/>
    <x v="0"/>
    <x v="0"/>
  </r>
  <r>
    <x v="0"/>
    <x v="0"/>
    <x v="0"/>
    <x v="0"/>
    <x v="8"/>
    <x v="6"/>
    <m/>
    <s v="BACUA"/>
    <m/>
    <s v="CABILDO 65"/>
    <m/>
    <x v="589"/>
    <s v="DNI"/>
    <n v="29193974"/>
    <n v="27291939746"/>
    <m/>
    <m/>
    <m/>
    <m/>
    <m/>
    <x v="1"/>
    <x v="1"/>
    <d v="2013-12-01T00:00:00"/>
    <d v="2016-03-31T00:00:00"/>
    <d v="2016-12-31T00:00:00"/>
    <x v="5"/>
    <m/>
    <m/>
    <n v="29089"/>
    <x v="33"/>
    <x v="5"/>
    <s v="."/>
    <s v="."/>
    <s v="."/>
    <n v="1000"/>
    <x v="1"/>
    <x v="0"/>
    <x v="0"/>
  </r>
  <r>
    <x v="0"/>
    <x v="0"/>
    <x v="1"/>
    <x v="3"/>
    <x v="2"/>
    <x v="2"/>
    <m/>
    <m/>
    <s v="MANTENIMIENTO DE ESPACIOS VERDES"/>
    <m/>
    <s v="TECNOPOLIS"/>
    <x v="590"/>
    <s v="DNI"/>
    <n v="36492782"/>
    <s v="20364927828"/>
    <d v="1991-11-24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4"/>
    <x v="2"/>
    <m/>
    <s v="COCINA"/>
    <s v="CHEF EJECUTIVO"/>
    <m/>
    <s v="TECNOPOLIS"/>
    <x v="591"/>
    <s v="DNI"/>
    <n v="31764002"/>
    <n v="20317640022"/>
    <d v="1985-08-04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30"/>
    <x v="2"/>
    <m/>
    <m/>
    <s v="ADMINISTRATIVO"/>
    <m/>
    <s v="CCK - Alem 351"/>
    <x v="592"/>
    <s v="DNI"/>
    <n v="37755992"/>
    <s v="20377559925"/>
    <d v="1993-06-17T00:00:00"/>
    <m/>
    <m/>
    <m/>
    <m/>
    <x v="0"/>
    <x v="0"/>
    <m/>
    <m/>
    <d v="2016-12-31T00:00:00"/>
    <x v="0"/>
    <s v="UNTREF"/>
    <m/>
    <n v="10910"/>
    <x v="201"/>
    <x v="3"/>
    <m/>
    <m/>
    <m/>
    <n v="1000"/>
    <x v="0"/>
    <x v="0"/>
    <x v="0"/>
  </r>
  <r>
    <x v="0"/>
    <x v="0"/>
    <x v="1"/>
    <x v="1"/>
    <x v="16"/>
    <x v="11"/>
    <m/>
    <m/>
    <s v="VISITAS GUIADAS"/>
    <m/>
    <s v="CCK - Alem 351"/>
    <x v="593"/>
    <s v="DNI"/>
    <n v="37424425"/>
    <n v="27374244251"/>
    <d v="1993-04-28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CONTENIDOS DIGITALES ABIERTOS CDA"/>
    <s v="ADMINISTRATIVO"/>
    <s v="CABILDO 65"/>
    <s v="CABILDO 65"/>
    <x v="594"/>
    <s v="DNI"/>
    <n v="37806458"/>
    <s v="27378064584"/>
    <d v="1993-08-13T00:00:00"/>
    <m/>
    <m/>
    <m/>
    <m/>
    <x v="0"/>
    <x v="0"/>
    <d v="2012-10-01T00:00:00"/>
    <m/>
    <d v="2016-12-31T00:00:00"/>
    <x v="0"/>
    <s v="UNTREF"/>
    <s v="UNSAM- LADA"/>
    <n v="15234"/>
    <x v="22"/>
    <x v="5"/>
    <s v="."/>
    <s v="."/>
    <s v="."/>
    <n v="1000"/>
    <x v="2"/>
    <x v="0"/>
    <x v="0"/>
  </r>
  <r>
    <x v="0"/>
    <x v="1"/>
    <x v="0"/>
    <x v="5"/>
    <x v="7"/>
    <x v="25"/>
    <m/>
    <s v="Asistente"/>
    <s v="ADMINISTRATIVO"/>
    <s v="CCK"/>
    <s v="CCK - Alem 351"/>
    <x v="595"/>
    <s v="DNI"/>
    <n v="32969084"/>
    <s v="23329690849"/>
    <d v="1987-10-28T00:00:00"/>
    <m/>
    <m/>
    <m/>
    <m/>
    <x v="0"/>
    <x v="0"/>
    <d v="2014-12-10T00:00:00"/>
    <m/>
    <d v="2016-12-31T00:00:00"/>
    <x v="0"/>
    <s v="UNTREF"/>
    <s v="UNLAM- DGA"/>
    <n v="10187"/>
    <x v="5"/>
    <x v="10"/>
    <n v="13000"/>
    <n v="12500"/>
    <n v="14000"/>
    <n v="1000"/>
    <x v="0"/>
    <x v="0"/>
    <x v="0"/>
  </r>
  <r>
    <x v="0"/>
    <x v="0"/>
    <x v="1"/>
    <x v="1"/>
    <x v="5"/>
    <x v="3"/>
    <s v="LOGISTICA OPERATIVA"/>
    <s v="Asistente Técnico Operativo"/>
    <s v="OPERATIVA Y LOGISTICA"/>
    <s v="CCK"/>
    <s v="CCK - Alem 351"/>
    <x v="596"/>
    <s v="DNI"/>
    <n v="30920038"/>
    <s v="20309200382"/>
    <d v="1984-06-26T00:00:00"/>
    <m/>
    <m/>
    <m/>
    <m/>
    <x v="0"/>
    <x v="0"/>
    <d v="2015-07-13T00:00:00"/>
    <m/>
    <d v="2016-12-31T00:00:00"/>
    <x v="0"/>
    <s v="UNTREF"/>
    <s v="UNLAM- BICENTENARIO"/>
    <n v="10807"/>
    <x v="5"/>
    <x v="4"/>
    <n v="13000"/>
    <n v="12500"/>
    <s v="."/>
    <n v="1000"/>
    <x v="0"/>
    <x v="0"/>
    <x v="0"/>
  </r>
  <r>
    <x v="0"/>
    <x v="0"/>
    <x v="1"/>
    <x v="3"/>
    <x v="15"/>
    <x v="2"/>
    <m/>
    <m/>
    <m/>
    <s v="TECNÓPOLIS"/>
    <m/>
    <x v="597"/>
    <s v="DNI"/>
    <n v="23331504"/>
    <n v="20233315045"/>
    <m/>
    <m/>
    <m/>
    <m/>
    <m/>
    <x v="1"/>
    <x v="1"/>
    <d v="2013-05-01T00:00:00"/>
    <d v="2016-03-31T00:00:00"/>
    <d v="2016-12-31T00:00:00"/>
    <x v="3"/>
    <m/>
    <m/>
    <n v="20106.650000000001"/>
    <x v="202"/>
    <x v="5"/>
    <s v="."/>
    <s v="."/>
    <s v="."/>
    <n v="1000"/>
    <x v="1"/>
    <x v="0"/>
    <x v="0"/>
  </r>
  <r>
    <x v="0"/>
    <x v="0"/>
    <x v="0"/>
    <x v="0"/>
    <x v="8"/>
    <x v="6"/>
    <m/>
    <s v="BACUA"/>
    <m/>
    <s v="CABILDO 65"/>
    <m/>
    <x v="598"/>
    <s v="DNI"/>
    <n v="34152110"/>
    <n v="27341521101"/>
    <m/>
    <m/>
    <m/>
    <m/>
    <m/>
    <x v="1"/>
    <x v="1"/>
    <d v="2009-01-01T00:00:00"/>
    <d v="2016-12-31T00:00:00"/>
    <d v="2016-12-31T00:00:00"/>
    <x v="16"/>
    <m/>
    <m/>
    <n v="12960"/>
    <x v="203"/>
    <x v="5"/>
    <s v="."/>
    <s v="."/>
    <s v="."/>
    <n v="1000"/>
    <x v="1"/>
    <x v="0"/>
    <x v="0"/>
  </r>
  <r>
    <x v="0"/>
    <x v="0"/>
    <x v="0"/>
    <x v="4"/>
    <x v="2"/>
    <x v="2"/>
    <m/>
    <s v="PRIVADA"/>
    <s v="ADMINISTRATIVO"/>
    <m/>
    <s v="CCK - Alem 351"/>
    <x v="599"/>
    <s v="DNI"/>
    <n v="24230223"/>
    <n v="20242302231"/>
    <d v="1975-03-30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2"/>
    <x v="2"/>
    <m/>
    <m/>
    <s v="ADMINISTRATIVO"/>
    <m/>
    <s v="CCK - Alem 351"/>
    <x v="600"/>
    <s v="DNI"/>
    <n v="21731906"/>
    <n v="20217319065"/>
    <d v="1970-09-12T00:00:00"/>
    <m/>
    <m/>
    <m/>
    <m/>
    <x v="0"/>
    <x v="0"/>
    <d v="2016-04-01T00:00:00"/>
    <m/>
    <d v="2016-08-31T00:00:00"/>
    <x v="0"/>
    <s v="UNTREF"/>
    <m/>
    <m/>
    <x v="18"/>
    <x v="3"/>
    <m/>
    <m/>
    <m/>
    <n v="1000"/>
    <x v="0"/>
    <x v="0"/>
    <x v="0"/>
  </r>
  <r>
    <x v="0"/>
    <x v="0"/>
    <x v="1"/>
    <x v="7"/>
    <x v="2"/>
    <x v="2"/>
    <m/>
    <s v="PRIVADA"/>
    <s v="ADMINISTRATIVO"/>
    <m/>
    <s v="CCK - Alem 351"/>
    <x v="601"/>
    <s v="DNI"/>
    <n v="21167373"/>
    <s v="20211673738"/>
    <d v="1969-12-04T00:00:00"/>
    <m/>
    <m/>
    <m/>
    <m/>
    <x v="0"/>
    <x v="0"/>
    <d v="2016-01-01T00:00:00"/>
    <m/>
    <d v="2016-12-31T00:00:00"/>
    <x v="0"/>
    <s v="UNTREF"/>
    <s v="UNSAM"/>
    <n v="19000"/>
    <x v="135"/>
    <x v="35"/>
    <n v="19000"/>
    <s v="."/>
    <s v="."/>
    <n v="1000"/>
    <x v="0"/>
    <x v="0"/>
    <x v="0"/>
  </r>
  <r>
    <x v="0"/>
    <x v="0"/>
    <x v="1"/>
    <x v="1"/>
    <x v="10"/>
    <x v="2"/>
    <m/>
    <m/>
    <s v="ADMINISTRATIVA"/>
    <m/>
    <s v="CCK - Alem 351"/>
    <x v="602"/>
    <s v="DNI"/>
    <n v="16988106"/>
    <n v="20169881066"/>
    <d v="1963-02-03T00:00:00"/>
    <m/>
    <m/>
    <m/>
    <m/>
    <x v="0"/>
    <x v="0"/>
    <d v="2016-04-15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1"/>
    <x v="1"/>
    <x v="16"/>
    <x v="2"/>
    <m/>
    <m/>
    <m/>
    <s v="CCK"/>
    <m/>
    <x v="603"/>
    <s v="DNI"/>
    <n v="29946823"/>
    <n v="27292468933"/>
    <m/>
    <m/>
    <m/>
    <m/>
    <m/>
    <x v="1"/>
    <x v="1"/>
    <d v="2012-12-01T00:00:00"/>
    <d v="2016-12-31T00:00:00"/>
    <d v="2016-12-31T00:00:00"/>
    <x v="5"/>
    <m/>
    <m/>
    <n v="26237"/>
    <x v="183"/>
    <x v="5"/>
    <s v="."/>
    <s v="."/>
    <s v="."/>
    <n v="1000"/>
    <x v="1"/>
    <x v="0"/>
    <x v="0"/>
  </r>
  <r>
    <x v="0"/>
    <x v="0"/>
    <x v="1"/>
    <x v="3"/>
    <x v="21"/>
    <x v="2"/>
    <m/>
    <m/>
    <s v="MANTENIMIENTO DE ESPACIOS VERDES"/>
    <s v="TECNÓPOLIS"/>
    <s v="TECNOPOLIS"/>
    <x v="604"/>
    <s v="DNI"/>
    <n v="39706510"/>
    <s v="20397065104"/>
    <d v="1995-08-24T00:00:00"/>
    <m/>
    <m/>
    <m/>
    <m/>
    <x v="0"/>
    <x v="0"/>
    <d v="2014-06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5"/>
    <x v="18"/>
    <s v="REFERENTE"/>
    <s v="Coordinador de DTO"/>
    <s v="ADMINISTRATIVO"/>
    <s v="CCK"/>
    <s v="CCK - Alem 351"/>
    <x v="605"/>
    <s v="DNI"/>
    <n v="32944728"/>
    <s v="20329447287"/>
    <d v="1987-03-06T00:00:00"/>
    <m/>
    <m/>
    <m/>
    <m/>
    <x v="0"/>
    <x v="0"/>
    <d v="2015-02-01T00:00:00"/>
    <m/>
    <d v="2016-12-31T00:00:00"/>
    <x v="0"/>
    <s v="UNTREF"/>
    <s v="UNLAM- BICENTENARIO"/>
    <n v="24500"/>
    <x v="53"/>
    <x v="20"/>
    <n v="30000"/>
    <n v="27000"/>
    <s v="."/>
    <n v="1000"/>
    <x v="0"/>
    <x v="0"/>
    <x v="0"/>
  </r>
  <r>
    <x v="0"/>
    <x v="0"/>
    <x v="1"/>
    <x v="3"/>
    <x v="2"/>
    <x v="2"/>
    <m/>
    <s v="PRIVADA"/>
    <s v="ADMINISTRATIVO"/>
    <s v="TECNÓPOLIS"/>
    <s v="TECNOPOLIS"/>
    <x v="606"/>
    <s v="DNI"/>
    <n v="23415236"/>
    <n v="27234152365"/>
    <d v="1973-09-13T00:00:00"/>
    <m/>
    <m/>
    <m/>
    <m/>
    <x v="0"/>
    <x v="0"/>
    <d v="2016-01-01T00:00:00"/>
    <m/>
    <d v="2016-12-31T00:00:00"/>
    <x v="0"/>
    <s v="UNTREF"/>
    <s v="UNSAM"/>
    <n v="30000"/>
    <x v="93"/>
    <x v="20"/>
    <n v="30000"/>
    <s v="."/>
    <s v="."/>
    <n v="1000"/>
    <x v="0"/>
    <x v="0"/>
    <x v="0"/>
  </r>
  <r>
    <x v="0"/>
    <x v="0"/>
    <x v="1"/>
    <x v="3"/>
    <x v="4"/>
    <x v="2"/>
    <m/>
    <m/>
    <s v="ADMINISTRATIVO"/>
    <s v="TECNÓPOLIS"/>
    <m/>
    <x v="607"/>
    <s v="DNI"/>
    <n v="28972145"/>
    <n v="27289721458"/>
    <d v="1981-05-08T00:00:00"/>
    <m/>
    <m/>
    <m/>
    <m/>
    <x v="0"/>
    <x v="0"/>
    <m/>
    <m/>
    <m/>
    <x v="0"/>
    <m/>
    <m/>
    <m/>
    <x v="18"/>
    <x v="3"/>
    <m/>
    <m/>
    <m/>
    <m/>
    <x v="1"/>
    <x v="0"/>
    <x v="2"/>
  </r>
  <r>
    <x v="0"/>
    <x v="0"/>
    <x v="0"/>
    <x v="0"/>
    <x v="0"/>
    <x v="0"/>
    <m/>
    <s v="DESARROLLOS"/>
    <s v="ANALISTA"/>
    <s v="PALPALÁ-JUJUY"/>
    <s v="PALPALÁ-JUJUY"/>
    <x v="608"/>
    <s v="DNI"/>
    <n v="26451548"/>
    <n v="20264515484"/>
    <d v="1978-04-17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0"/>
    <x v="6"/>
    <x v="12"/>
    <x v="2"/>
    <m/>
    <m/>
    <s v="Orientador de Sala"/>
    <m/>
    <m/>
    <x v="609"/>
    <s v="DNI"/>
    <n v="94779981"/>
    <n v="27947799814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1"/>
    <x v="0"/>
    <x v="5"/>
    <x v="17"/>
    <x v="17"/>
    <m/>
    <m/>
    <m/>
    <m/>
    <m/>
    <x v="610"/>
    <s v="DNI"/>
    <n v="31985771"/>
    <n v="20319857711"/>
    <m/>
    <m/>
    <m/>
    <m/>
    <m/>
    <x v="1"/>
    <x v="1"/>
    <d v="2015-03-01T00:00:00"/>
    <m/>
    <d v="2016-12-31T00:00:00"/>
    <x v="4"/>
    <m/>
    <m/>
    <m/>
    <x v="18"/>
    <x v="3"/>
    <m/>
    <m/>
    <m/>
    <m/>
    <x v="1"/>
    <x v="1"/>
    <x v="2"/>
  </r>
  <r>
    <x v="0"/>
    <x v="0"/>
    <x v="1"/>
    <x v="1"/>
    <x v="39"/>
    <x v="2"/>
    <m/>
    <s v="Administrativo"/>
    <s v="ADMINISTRATIVO"/>
    <s v="CCK"/>
    <s v="CCK - Alem 351"/>
    <x v="611"/>
    <s v="DNI"/>
    <n v="27704110"/>
    <s v="20277041104"/>
    <d v="1979-12-12T00:00:00"/>
    <m/>
    <m/>
    <m/>
    <m/>
    <x v="0"/>
    <x v="0"/>
    <d v="2014-10-01T00:00:00"/>
    <m/>
    <d v="2016-12-31T00:00:00"/>
    <x v="0"/>
    <s v="UNTREF"/>
    <s v="CULTURA"/>
    <n v="20000"/>
    <x v="113"/>
    <x v="8"/>
    <n v="20000"/>
    <s v="."/>
    <s v="."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612"/>
    <s v="DNI"/>
    <n v="30278656"/>
    <s v="27302786564"/>
    <d v="1983-04-06T00:00:00"/>
    <m/>
    <m/>
    <m/>
    <m/>
    <x v="0"/>
    <x v="0"/>
    <d v="2015-03-16T00:00:00"/>
    <m/>
    <d v="2016-12-31T00:00:00"/>
    <x v="0"/>
    <s v="UNTREF"/>
    <s v="UNSAM- LADA"/>
    <n v="18795"/>
    <x v="37"/>
    <x v="5"/>
    <s v="."/>
    <s v="."/>
    <s v="."/>
    <n v="1000"/>
    <x v="2"/>
    <x v="0"/>
    <x v="0"/>
  </r>
  <r>
    <x v="0"/>
    <x v="1"/>
    <x v="0"/>
    <x v="5"/>
    <x v="17"/>
    <x v="17"/>
    <s v="COMUNICACIÓN"/>
    <s v="COMUNICACIÓN"/>
    <m/>
    <s v="CCK"/>
    <m/>
    <x v="613"/>
    <s v="DNI"/>
    <n v="28807853"/>
    <n v="27288078535"/>
    <m/>
    <m/>
    <m/>
    <m/>
    <m/>
    <x v="1"/>
    <x v="1"/>
    <d v="2013-12-01T00:00:00"/>
    <d v="2016-03-31T00:00:00"/>
    <d v="2016-12-31T00:00:00"/>
    <x v="4"/>
    <m/>
    <m/>
    <n v="20266"/>
    <x v="24"/>
    <x v="5"/>
    <s v="."/>
    <s v="."/>
    <s v="."/>
    <n v="1000"/>
    <x v="1"/>
    <x v="0"/>
    <x v="0"/>
  </r>
  <r>
    <x v="0"/>
    <x v="1"/>
    <x v="0"/>
    <x v="5"/>
    <x v="17"/>
    <x v="12"/>
    <s v="AUTOMOTORES"/>
    <s v="CHOFER"/>
    <m/>
    <s v="CCK"/>
    <m/>
    <x v="614"/>
    <s v="DNI"/>
    <n v="17513017"/>
    <n v="23175130179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0"/>
    <x v="0"/>
    <x v="8"/>
    <x v="6"/>
    <m/>
    <s v="POSTPRODUCCIÓN"/>
    <s v="EDICION"/>
    <s v="CABILDO 65"/>
    <s v="CABILDO 65"/>
    <x v="615"/>
    <s v="DNI"/>
    <n v="29414541"/>
    <s v="23294145419"/>
    <d v="1982-03-30T00:00:00"/>
    <m/>
    <m/>
    <m/>
    <m/>
    <x v="0"/>
    <x v="0"/>
    <d v="2015-11-01T00:00:00"/>
    <m/>
    <d v="2016-12-31T00:00:00"/>
    <x v="0"/>
    <s v="UNTREF"/>
    <m/>
    <n v="19353"/>
    <x v="36"/>
    <x v="3"/>
    <m/>
    <m/>
    <m/>
    <n v="1000"/>
    <x v="2"/>
    <x v="0"/>
    <x v="0"/>
  </r>
  <r>
    <x v="0"/>
    <x v="0"/>
    <x v="0"/>
    <x v="0"/>
    <x v="0"/>
    <x v="0"/>
    <m/>
    <s v="DESARROLLOS"/>
    <s v="ANALISTA"/>
    <s v="PALPALÁ-JUJUY"/>
    <s v="PALPALÁ-JUJUY"/>
    <x v="616"/>
    <s v="DNI"/>
    <n v="23053676"/>
    <n v="20230536768"/>
    <d v="1972-09-23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0"/>
    <x v="1"/>
    <x v="1"/>
    <x v="16"/>
    <x v="11"/>
    <m/>
    <m/>
    <s v="VISITAS GUIADAS"/>
    <m/>
    <s v="CCK - Alem 351"/>
    <x v="617"/>
    <s v="DNI"/>
    <n v="34304285"/>
    <n v="20343042850"/>
    <d v="1989-02-07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PROGRAMA POLOS AUDIOVISUALES TECNOLÓGICOS"/>
    <m/>
    <s v="CABILDO 65"/>
    <m/>
    <x v="618"/>
    <s v="DNI"/>
    <n v="16598752"/>
    <n v="20165987528"/>
    <m/>
    <m/>
    <m/>
    <m/>
    <m/>
    <x v="1"/>
    <x v="1"/>
    <d v="2013-12-01T00:00:00"/>
    <d v="2016-03-31T00:00:00"/>
    <d v="2016-12-31T00:00:00"/>
    <x v="4"/>
    <m/>
    <m/>
    <n v="18277"/>
    <x v="88"/>
    <x v="5"/>
    <s v="."/>
    <s v="."/>
    <s v="."/>
    <n v="1000"/>
    <x v="1"/>
    <x v="0"/>
    <x v="0"/>
  </r>
  <r>
    <x v="0"/>
    <x v="0"/>
    <x v="1"/>
    <x v="1"/>
    <x v="10"/>
    <x v="2"/>
    <m/>
    <m/>
    <s v="ADMINISTRATIVO"/>
    <m/>
    <s v="CCK - Alem 351"/>
    <x v="619"/>
    <s v="DNI"/>
    <n v="27113663"/>
    <n v="27271136639"/>
    <d v="1978-12-25T00:00:00"/>
    <m/>
    <m/>
    <m/>
    <m/>
    <x v="0"/>
    <x v="0"/>
    <d v="2016-05-15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6"/>
    <x v="12"/>
    <x v="2"/>
    <m/>
    <m/>
    <s v="Orientador de Sala"/>
    <m/>
    <m/>
    <x v="620"/>
    <s v="DNI"/>
    <n v="38865071"/>
    <n v="27388650716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0"/>
    <x v="1"/>
    <x v="1"/>
    <x v="5"/>
    <x v="3"/>
    <s v="LOGISTICA OPERATIVA"/>
    <s v="Asistente Técnico Operativo"/>
    <s v="OPERATIVA Y LOGISTICA"/>
    <s v="CCK"/>
    <s v="CCK - Alem 351"/>
    <x v="621"/>
    <s v="DNI"/>
    <n v="29704359"/>
    <s v="20297043596"/>
    <d v="1982-10-28T00:00:00"/>
    <m/>
    <m/>
    <m/>
    <m/>
    <x v="0"/>
    <x v="0"/>
    <d v="2015-07-01T00:00:00"/>
    <m/>
    <d v="2016-12-31T00:00:00"/>
    <x v="0"/>
    <s v="UNTREF"/>
    <s v="UNLAM- BICENTENARIO"/>
    <n v="10807"/>
    <x v="5"/>
    <x v="4"/>
    <n v="13000"/>
    <n v="12500"/>
    <s v="."/>
    <n v="1000"/>
    <x v="0"/>
    <x v="0"/>
    <x v="0"/>
  </r>
  <r>
    <x v="0"/>
    <x v="0"/>
    <x v="1"/>
    <x v="1"/>
    <x v="5"/>
    <x v="16"/>
    <m/>
    <m/>
    <m/>
    <m/>
    <m/>
    <x v="622"/>
    <s v="DNI"/>
    <n v="10776913"/>
    <m/>
    <m/>
    <m/>
    <m/>
    <m/>
    <m/>
    <x v="2"/>
    <x v="1"/>
    <m/>
    <m/>
    <d v="2016-12-31T00:00:00"/>
    <x v="7"/>
    <m/>
    <m/>
    <m/>
    <x v="18"/>
    <x v="3"/>
    <m/>
    <m/>
    <m/>
    <n v="1000"/>
    <x v="1"/>
    <x v="0"/>
    <x v="0"/>
  </r>
  <r>
    <x v="0"/>
    <x v="0"/>
    <x v="0"/>
    <x v="0"/>
    <x v="0"/>
    <x v="0"/>
    <m/>
    <s v="DESARROLLOS"/>
    <s v="ANALISTA"/>
    <s v="PALPALÁ-JUJUY"/>
    <s v="PALPALÁ-JUJUY"/>
    <x v="623"/>
    <s v="DNI"/>
    <n v="34524500"/>
    <s v="20345245007"/>
    <d v="1989-05-08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0"/>
    <x v="0"/>
    <x v="8"/>
    <x v="6"/>
    <m/>
    <s v="ACUA FEDERAL"/>
    <s v="ADMINISTRATIVO"/>
    <s v="CABILDO 65"/>
    <s v="CABILDO 65"/>
    <x v="624"/>
    <s v="DNI"/>
    <n v="31632162"/>
    <s v="27316321629"/>
    <d v="1985-06-11T00:00:00"/>
    <m/>
    <m/>
    <m/>
    <m/>
    <x v="0"/>
    <x v="0"/>
    <d v="2015-05-15T00:00:00"/>
    <m/>
    <d v="2016-12-31T00:00:00"/>
    <x v="0"/>
    <s v="UNTREF"/>
    <s v="UNSAM- LADA"/>
    <n v="17849"/>
    <x v="83"/>
    <x v="5"/>
    <s v="."/>
    <s v="."/>
    <s v="."/>
    <n v="1000"/>
    <x v="2"/>
    <x v="0"/>
    <x v="0"/>
  </r>
  <r>
    <x v="0"/>
    <x v="1"/>
    <x v="0"/>
    <x v="5"/>
    <x v="30"/>
    <x v="2"/>
    <m/>
    <s v="Administrativo"/>
    <m/>
    <s v="CCK"/>
    <m/>
    <x v="625"/>
    <s v="DNI"/>
    <n v="30652310"/>
    <n v="20306523105"/>
    <m/>
    <m/>
    <m/>
    <m/>
    <m/>
    <x v="1"/>
    <x v="1"/>
    <d v="2009-08-01T00:00:00"/>
    <d v="2016-12-31T00:00:00"/>
    <d v="2016-12-31T00:00:00"/>
    <x v="1"/>
    <m/>
    <m/>
    <n v="10190"/>
    <x v="45"/>
    <x v="5"/>
    <s v="."/>
    <s v="."/>
    <n v="12500"/>
    <n v="1000"/>
    <x v="1"/>
    <x v="0"/>
    <x v="0"/>
  </r>
  <r>
    <x v="0"/>
    <x v="0"/>
    <x v="0"/>
    <x v="8"/>
    <x v="1"/>
    <x v="2"/>
    <m/>
    <m/>
    <m/>
    <s v="CCK"/>
    <s v="CCK - Alem 351"/>
    <x v="626"/>
    <s v="DNI"/>
    <n v="33850467"/>
    <n v="27338504670"/>
    <m/>
    <m/>
    <m/>
    <m/>
    <m/>
    <x v="1"/>
    <x v="1"/>
    <d v="2012-07-01T00:00:00"/>
    <d v="2016-12-31T00:00:00"/>
    <d v="2016-12-31T00:00:00"/>
    <x v="3"/>
    <m/>
    <m/>
    <n v="16470.8"/>
    <x v="204"/>
    <x v="5"/>
    <s v="."/>
    <s v="."/>
    <s v="."/>
    <n v="1000"/>
    <x v="1"/>
    <x v="0"/>
    <x v="0"/>
  </r>
  <r>
    <x v="0"/>
    <x v="1"/>
    <x v="0"/>
    <x v="5"/>
    <x v="7"/>
    <x v="2"/>
    <m/>
    <m/>
    <s v="ADMINISTRATIVO"/>
    <m/>
    <s v="CCK - Alem 351"/>
    <x v="627"/>
    <s v="DNI"/>
    <n v="36735601"/>
    <n v="27367356019"/>
    <d v="1991-12-26T00:00:00"/>
    <m/>
    <m/>
    <m/>
    <m/>
    <x v="0"/>
    <x v="0"/>
    <d v="2016-07-01T00:00:00"/>
    <m/>
    <d v="2016-12-31T00:00:00"/>
    <x v="0"/>
    <s v="UNTREF"/>
    <m/>
    <m/>
    <x v="18"/>
    <x v="3"/>
    <m/>
    <m/>
    <m/>
    <s v=" ---"/>
    <x v="3"/>
    <x v="0"/>
    <x v="0"/>
  </r>
  <r>
    <x v="0"/>
    <x v="1"/>
    <x v="0"/>
    <x v="5"/>
    <x v="30"/>
    <x v="2"/>
    <m/>
    <s v="Administrativo"/>
    <m/>
    <s v="CCK"/>
    <m/>
    <x v="628"/>
    <s v="DNI"/>
    <n v="23587261"/>
    <n v="27235872612"/>
    <m/>
    <m/>
    <m/>
    <m/>
    <m/>
    <x v="1"/>
    <x v="1"/>
    <d v="2014-10-01T00:00:00"/>
    <d v="2016-03-31T00:00:00"/>
    <d v="2016-12-31T00:00:00"/>
    <x v="4"/>
    <m/>
    <m/>
    <n v="20266"/>
    <x v="24"/>
    <x v="5"/>
    <s v="."/>
    <s v="."/>
    <s v="."/>
    <n v="1000"/>
    <x v="1"/>
    <x v="0"/>
    <x v="0"/>
  </r>
  <r>
    <x v="0"/>
    <x v="1"/>
    <x v="0"/>
    <x v="5"/>
    <x v="30"/>
    <x v="2"/>
    <m/>
    <s v="Analista"/>
    <s v="ADMINISTRATIVO"/>
    <m/>
    <s v="CCK - Alem 351"/>
    <x v="629"/>
    <s v="DNI"/>
    <n v="27664255"/>
    <s v="27276642559"/>
    <d v="1979-10-13T00:00:00"/>
    <m/>
    <m/>
    <m/>
    <m/>
    <x v="0"/>
    <x v="0"/>
    <d v="2016-05-02T00:00:00"/>
    <m/>
    <d v="2016-12-31T00:00:00"/>
    <x v="0"/>
    <s v="UNTREF"/>
    <m/>
    <s v="."/>
    <x v="29"/>
    <x v="3"/>
    <m/>
    <s v="."/>
    <s v="."/>
    <n v="1000"/>
    <x v="0"/>
    <x v="0"/>
    <x v="0"/>
  </r>
  <r>
    <x v="0"/>
    <x v="0"/>
    <x v="0"/>
    <x v="0"/>
    <x v="0"/>
    <x v="0"/>
    <m/>
    <s v="DISEÑO"/>
    <s v="ANALISTA"/>
    <s v="PALPALÁ-JUJUY"/>
    <s v="PALPALÁ-JUJUY"/>
    <x v="630"/>
    <s v="DNI"/>
    <n v="28036334"/>
    <n v="20280363341"/>
    <d v="1980-04-30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1"/>
    <x v="3"/>
    <x v="2"/>
    <x v="2"/>
    <m/>
    <m/>
    <s v="SUPERVISORA DE LIMPIEZA"/>
    <m/>
    <s v="TECNOPOLIS"/>
    <x v="631"/>
    <s v="DNI"/>
    <n v="23037805"/>
    <s v="27230378059"/>
    <d v="1972-12-28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1"/>
    <x v="0"/>
    <x v="5"/>
    <x v="17"/>
    <x v="12"/>
    <s v="AUTOMOTORES"/>
    <s v="CHOFER"/>
    <m/>
    <s v="CCK"/>
    <m/>
    <x v="632"/>
    <s v="DNI"/>
    <n v="34738717"/>
    <n v="20347387178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1"/>
    <x v="3"/>
    <x v="20"/>
    <x v="2"/>
    <m/>
    <m/>
    <m/>
    <s v="TECNÓPOLIS"/>
    <m/>
    <x v="633"/>
    <s v="DNI"/>
    <n v="23313220"/>
    <n v="23233132209"/>
    <m/>
    <m/>
    <m/>
    <m/>
    <m/>
    <x v="1"/>
    <x v="1"/>
    <d v="2011-07-01T00:00:00"/>
    <d v="2016-12-31T00:00:00"/>
    <d v="2016-12-31T00:00:00"/>
    <x v="8"/>
    <m/>
    <m/>
    <n v="21576.62"/>
    <x v="205"/>
    <x v="5"/>
    <s v="."/>
    <s v="."/>
    <s v="."/>
    <n v="1000"/>
    <x v="1"/>
    <x v="0"/>
    <x v="0"/>
  </r>
  <r>
    <x v="0"/>
    <x v="0"/>
    <x v="1"/>
    <x v="3"/>
    <x v="15"/>
    <x v="2"/>
    <m/>
    <m/>
    <s v="MANEJO DE IMPRESORA DIGITAL PLOTTER MIMAKI DE MATERIALES DE GRAFICA PARA COLOCACIÓN. MANTENIMIENTO DÉPOSITO/CARTELERÍA"/>
    <s v="TECNÓPOLIS"/>
    <s v="TECNOPOLIS"/>
    <x v="634"/>
    <s v="DNI"/>
    <n v="35348638"/>
    <s v="20353486382"/>
    <d v="1990-06-10T00:00:00"/>
    <m/>
    <m/>
    <m/>
    <m/>
    <x v="0"/>
    <x v="0"/>
    <d v="2013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0"/>
    <x v="0"/>
    <x v="8"/>
    <x v="6"/>
    <m/>
    <s v="ACUA MAYOR"/>
    <s v="ADMINISTRATIVO"/>
    <s v="CABILDO 65"/>
    <s v="CABILDO 65"/>
    <x v="635"/>
    <s v="DNI"/>
    <n v="23326986"/>
    <s v="27233269862"/>
    <d v="1973-05-05T00:00:00"/>
    <m/>
    <m/>
    <m/>
    <m/>
    <x v="0"/>
    <x v="0"/>
    <d v="2011-04-01T00:00:00"/>
    <m/>
    <d v="2016-12-31T00:00:00"/>
    <x v="0"/>
    <s v="UNTREF"/>
    <s v="UNSAM- LADA"/>
    <n v="22151"/>
    <x v="58"/>
    <x v="5"/>
    <s v="."/>
    <s v="."/>
    <s v="."/>
    <n v="1000"/>
    <x v="2"/>
    <x v="0"/>
    <x v="0"/>
  </r>
  <r>
    <x v="0"/>
    <x v="0"/>
    <x v="0"/>
    <x v="0"/>
    <x v="8"/>
    <x v="6"/>
    <m/>
    <s v="CONTENIDOS DIGITALES ABIERTOS CDA"/>
    <s v="ADMINISTRATIVO"/>
    <s v="CABILDO 65"/>
    <s v="CABILDO 65"/>
    <x v="636"/>
    <s v="DNI"/>
    <n v="38995191"/>
    <s v="27389951914"/>
    <d v="1995-05-03T00:00:00"/>
    <m/>
    <m/>
    <m/>
    <m/>
    <x v="0"/>
    <x v="0"/>
    <d v="2015-08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7"/>
    <x v="2"/>
    <x v="2"/>
    <m/>
    <s v="PRIVADA"/>
    <s v="ADMINISTRATIVO"/>
    <m/>
    <s v="CCK - Alem 351"/>
    <x v="637"/>
    <s v="DNI"/>
    <n v="16161406"/>
    <n v="27161614063"/>
    <d v="1962-07-04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5"/>
    <x v="14"/>
    <s v="SOPORTE ADMINISTRATIVO"/>
    <s v="Responsable"/>
    <s v="Responsable"/>
    <s v="CCK"/>
    <s v="CCK - Alem 351"/>
    <x v="638"/>
    <s v="DNI"/>
    <n v="32422072"/>
    <s v="20324220721"/>
    <d v="1986-03-25T00:00:00"/>
    <m/>
    <m/>
    <m/>
    <m/>
    <x v="0"/>
    <x v="0"/>
    <d v="2011-07-01T00:00:00"/>
    <m/>
    <d v="2016-12-31T00:00:00"/>
    <x v="0"/>
    <s v="UNTREF"/>
    <s v="UNLAM -TDA"/>
    <n v="12246"/>
    <x v="135"/>
    <x v="35"/>
    <n v="19000"/>
    <n v="19000"/>
    <s v="."/>
    <n v="1000"/>
    <x v="0"/>
    <x v="0"/>
    <x v="0"/>
  </r>
  <r>
    <x v="0"/>
    <x v="0"/>
    <x v="0"/>
    <x v="4"/>
    <x v="2"/>
    <x v="2"/>
    <m/>
    <s v="PRIVADA"/>
    <s v="ADMINISTRATIVO"/>
    <s v="TECNÓPOLIS"/>
    <s v="CCK - Alem 351"/>
    <x v="639"/>
    <s v="DNI"/>
    <n v="12610450"/>
    <n v="27126104508"/>
    <d v="1958-05-22T00:00:00"/>
    <m/>
    <m/>
    <m/>
    <m/>
    <x v="0"/>
    <x v="0"/>
    <d v="2016-01-01T00:00:00"/>
    <m/>
    <d v="2016-12-31T00:00:00"/>
    <x v="0"/>
    <s v="UNTREF"/>
    <s v="UNSAM"/>
    <n v="10533"/>
    <x v="5"/>
    <x v="41"/>
    <n v="10533"/>
    <n v="12500"/>
    <n v="10533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640"/>
    <s v="DNI"/>
    <n v="37969951"/>
    <s v="20379699511"/>
    <d v="1993-03-13T00:00:00"/>
    <m/>
    <m/>
    <m/>
    <m/>
    <x v="0"/>
    <x v="0"/>
    <d v="2014-04-01T00:00:00"/>
    <m/>
    <d v="2016-12-31T00:00:00"/>
    <x v="0"/>
    <s v="UNTREF"/>
    <s v="UNTREF"/>
    <n v="10497.15"/>
    <x v="206"/>
    <x v="5"/>
    <s v="."/>
    <s v="."/>
    <s v="."/>
    <n v="1000"/>
    <x v="0"/>
    <x v="0"/>
    <x v="0"/>
  </r>
  <r>
    <x v="0"/>
    <x v="0"/>
    <x v="1"/>
    <x v="3"/>
    <x v="24"/>
    <x v="2"/>
    <m/>
    <s v="Tareas Generales"/>
    <s v="Tareas Generales"/>
    <s v="TECNÓPOLIS"/>
    <m/>
    <x v="641"/>
    <s v="DNI"/>
    <n v="25001961"/>
    <m/>
    <d v="1993-03-13T00:00:00"/>
    <m/>
    <m/>
    <m/>
    <m/>
    <x v="0"/>
    <x v="2"/>
    <m/>
    <m/>
    <d v="2016-12-31T00:00:00"/>
    <x v="0"/>
    <s v="UNTREF"/>
    <s v="UNTREF"/>
    <n v="4700"/>
    <x v="142"/>
    <x v="5"/>
    <s v="."/>
    <s v="."/>
    <s v="."/>
    <n v="1000"/>
    <x v="0"/>
    <x v="0"/>
    <x v="0"/>
  </r>
  <r>
    <x v="0"/>
    <x v="0"/>
    <x v="1"/>
    <x v="3"/>
    <x v="44"/>
    <x v="2"/>
    <m/>
    <m/>
    <m/>
    <s v="TECNÓPOLIS"/>
    <m/>
    <x v="642"/>
    <s v="DNI"/>
    <n v="29026896"/>
    <n v="20290268967"/>
    <m/>
    <m/>
    <m/>
    <m/>
    <m/>
    <x v="1"/>
    <x v="1"/>
    <d v="2012-10-31T00:00:00"/>
    <d v="2016-12-31T00:00:00"/>
    <d v="2016-12-31T00:00:00"/>
    <x v="3"/>
    <m/>
    <m/>
    <n v="13990"/>
    <x v="207"/>
    <x v="5"/>
    <s v="."/>
    <s v="."/>
    <s v="."/>
    <n v="1000"/>
    <x v="1"/>
    <x v="0"/>
    <x v="0"/>
  </r>
  <r>
    <x v="0"/>
    <x v="0"/>
    <x v="1"/>
    <x v="1"/>
    <x v="5"/>
    <x v="8"/>
    <m/>
    <s v="Asistente"/>
    <s v="ADMINISTRATIVO"/>
    <s v="CCK"/>
    <s v="CCK - Alem 351"/>
    <x v="643"/>
    <s v="DNI"/>
    <n v="25190198"/>
    <s v="27251901983"/>
    <d v="1976-03-02T00:00:00"/>
    <m/>
    <m/>
    <m/>
    <m/>
    <x v="0"/>
    <x v="0"/>
    <d v="2015-06-01T00:00:00"/>
    <m/>
    <d v="2016-12-31T00:00:00"/>
    <x v="0"/>
    <s v="UNTREF"/>
    <s v="UNLAM- BICENTENARIO"/>
    <n v="15732"/>
    <x v="126"/>
    <x v="26"/>
    <n v="15732"/>
    <s v="."/>
    <s v="."/>
    <n v="1000"/>
    <x v="0"/>
    <x v="0"/>
    <x v="0"/>
  </r>
  <r>
    <x v="0"/>
    <x v="0"/>
    <x v="0"/>
    <x v="4"/>
    <x v="2"/>
    <x v="2"/>
    <m/>
    <s v="PRIVADA"/>
    <s v="ADMINISTRATIVO"/>
    <m/>
    <s v="CCK - Alem 351"/>
    <x v="644"/>
    <s v="DNI"/>
    <n v="32956861"/>
    <n v="27329568615"/>
    <d v="1987-06-04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645"/>
    <s v="DNI"/>
    <n v="18847242"/>
    <s v="27188472422"/>
    <d v="1981-06-05T00:00:00"/>
    <m/>
    <m/>
    <m/>
    <m/>
    <x v="0"/>
    <x v="0"/>
    <d v="2013-04-01T00:00:00"/>
    <m/>
    <d v="2016-12-31T00:00:00"/>
    <x v="0"/>
    <s v="UNTREF"/>
    <s v="UNSAM- LADA"/>
    <n v="23386"/>
    <x v="208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646"/>
    <s v="DNI"/>
    <n v="32500963"/>
    <s v="20325009633"/>
    <d v="1986-12-10T00:00:00"/>
    <m/>
    <m/>
    <m/>
    <m/>
    <x v="0"/>
    <x v="0"/>
    <d v="2011-09-01T00:00:00"/>
    <m/>
    <d v="2016-12-31T00:00:00"/>
    <x v="0"/>
    <s v="UNTREF"/>
    <s v="UNSAM- LADA"/>
    <n v="25763"/>
    <x v="114"/>
    <x v="5"/>
    <s v="."/>
    <s v="."/>
    <s v="."/>
    <n v="1000"/>
    <x v="2"/>
    <x v="0"/>
    <x v="0"/>
  </r>
  <r>
    <x v="0"/>
    <x v="0"/>
    <x v="1"/>
    <x v="7"/>
    <x v="2"/>
    <x v="2"/>
    <m/>
    <s v="Asistente"/>
    <s v="Asistente"/>
    <s v="CCK"/>
    <s v="CCK - Alem 351"/>
    <x v="647"/>
    <s v="DNI"/>
    <n v="30516545"/>
    <s v="27305165455"/>
    <d v="1983-09-06T00:00:00"/>
    <m/>
    <m/>
    <m/>
    <m/>
    <x v="0"/>
    <x v="0"/>
    <d v="2013-07-01T00:00:00"/>
    <m/>
    <d v="2016-12-31T00:00:00"/>
    <x v="0"/>
    <s v="UNTREF"/>
    <s v="UNLAM -TDA"/>
    <n v="12740"/>
    <x v="30"/>
    <x v="18"/>
    <n v="16000"/>
    <n v="14000"/>
    <s v="."/>
    <n v="1000"/>
    <x v="0"/>
    <x v="0"/>
    <x v="0"/>
  </r>
  <r>
    <x v="0"/>
    <x v="0"/>
    <x v="1"/>
    <x v="3"/>
    <x v="27"/>
    <x v="2"/>
    <m/>
    <m/>
    <m/>
    <s v="TECNÓPOLIS"/>
    <m/>
    <x v="648"/>
    <s v="DNI"/>
    <n v="33188115"/>
    <n v="20331881156"/>
    <m/>
    <m/>
    <m/>
    <m/>
    <m/>
    <x v="1"/>
    <x v="1"/>
    <d v="2013-05-01T00:00:00"/>
    <d v="2016-03-31T00:00:00"/>
    <d v="2016-12-31T00:00:00"/>
    <x v="3"/>
    <m/>
    <m/>
    <n v="23901"/>
    <x v="209"/>
    <x v="5"/>
    <s v="."/>
    <s v="."/>
    <s v="."/>
    <n v="1000"/>
    <x v="1"/>
    <x v="0"/>
    <x v="0"/>
  </r>
  <r>
    <x v="0"/>
    <x v="1"/>
    <x v="0"/>
    <x v="5"/>
    <x v="30"/>
    <x v="2"/>
    <m/>
    <m/>
    <s v="ADMINISTRATIVO"/>
    <m/>
    <s v="CCK - Alem 351"/>
    <x v="649"/>
    <s v="DNI"/>
    <n v="32636605"/>
    <n v="20326366057"/>
    <d v="1986-10-05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17"/>
    <x v="17"/>
    <m/>
    <s v="Analista"/>
    <s v="ADMINISTRATIVO"/>
    <s v="CCK"/>
    <s v="CCK - Alem 351"/>
    <x v="650"/>
    <s v="DNI"/>
    <n v="33792938"/>
    <s v="23337929389"/>
    <d v="1988-10-05T00:00:00"/>
    <m/>
    <m/>
    <m/>
    <m/>
    <x v="0"/>
    <x v="0"/>
    <d v="2014-01-13T00:00:00"/>
    <m/>
    <d v="2016-12-31T00:00:00"/>
    <x v="0"/>
    <s v="UNTREF"/>
    <s v="UNSAM- LADA"/>
    <n v="10188"/>
    <x v="5"/>
    <x v="7"/>
    <n v="14000"/>
    <n v="12500"/>
    <n v="14000"/>
    <n v="1000"/>
    <x v="0"/>
    <x v="0"/>
    <x v="0"/>
  </r>
  <r>
    <x v="0"/>
    <x v="0"/>
    <x v="1"/>
    <x v="3"/>
    <x v="15"/>
    <x v="2"/>
    <m/>
    <m/>
    <m/>
    <s v="TECNÓPOLIS"/>
    <m/>
    <x v="651"/>
    <s v="DNI"/>
    <n v="10760860"/>
    <n v="20107608606"/>
    <m/>
    <m/>
    <m/>
    <m/>
    <m/>
    <x v="1"/>
    <x v="1"/>
    <d v="2012-11-30T00:00:00"/>
    <d v="2016-12-31T00:00:00"/>
    <d v="2016-12-31T00:00:00"/>
    <x v="13"/>
    <m/>
    <m/>
    <n v="13783.6"/>
    <x v="175"/>
    <x v="5"/>
    <s v="."/>
    <s v="."/>
    <s v="."/>
    <n v="1000"/>
    <x v="1"/>
    <x v="0"/>
    <x v="0"/>
  </r>
  <r>
    <x v="0"/>
    <x v="0"/>
    <x v="1"/>
    <x v="3"/>
    <x v="20"/>
    <x v="2"/>
    <m/>
    <m/>
    <s v="CONTROL DE ACCESOS/DEPOSITOS DEL PREDIO TURNO NOCHE"/>
    <s v="TECNÓPOLIS"/>
    <s v="TECNOPOLIS"/>
    <x v="652"/>
    <s v="DNI"/>
    <n v="33084823"/>
    <s v="20330848236"/>
    <d v="1987-05-17T00:00:00"/>
    <m/>
    <m/>
    <m/>
    <m/>
    <x v="0"/>
    <x v="0"/>
    <d v="2013-04-01T00:00:00"/>
    <m/>
    <d v="2016-12-31T00:00:00"/>
    <x v="0"/>
    <s v="UNTREF"/>
    <s v="UNTREF"/>
    <n v="11657.4"/>
    <x v="210"/>
    <x v="5"/>
    <s v="."/>
    <s v=".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653"/>
    <s v="DNI"/>
    <n v="36560622"/>
    <s v="20365606227"/>
    <d v="1991-12-29T00:00:00"/>
    <m/>
    <m/>
    <m/>
    <m/>
    <x v="0"/>
    <x v="0"/>
    <d v="2013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654"/>
    <s v="DNI"/>
    <n v="35713189"/>
    <s v="20357131899"/>
    <d v="1990-06-29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2"/>
    <x v="2"/>
    <m/>
    <s v="PRIVADA"/>
    <s v="ADMINISTRATIVO"/>
    <m/>
    <s v="TECNOPOLIS"/>
    <x v="655"/>
    <s v="DNI"/>
    <n v="92565540"/>
    <n v="27925655401"/>
    <d v="1981-11-05T00:00:00"/>
    <m/>
    <m/>
    <m/>
    <m/>
    <x v="0"/>
    <x v="0"/>
    <d v="2016-03-01T00:00:00"/>
    <m/>
    <d v="2016-12-31T00:00:00"/>
    <x v="0"/>
    <s v="UNTREF"/>
    <m/>
    <n v="15000"/>
    <x v="110"/>
    <x v="9"/>
    <n v="15000"/>
    <s v="."/>
    <s v="."/>
    <n v="1000"/>
    <x v="0"/>
    <x v="0"/>
    <x v="0"/>
  </r>
  <r>
    <x v="0"/>
    <x v="2"/>
    <x v="0"/>
    <x v="4"/>
    <x v="2"/>
    <x v="2"/>
    <m/>
    <m/>
    <s v="ADMINISTRATIVO"/>
    <m/>
    <s v="CCK - Alem 351"/>
    <x v="656"/>
    <s v="DNI"/>
    <n v="18752447"/>
    <n v="23187524474"/>
    <d v="1970-08-27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27"/>
    <x v="2"/>
    <m/>
    <m/>
    <s v="ADMINISTRATIVO"/>
    <m/>
    <s v="CCK - Alem 351"/>
    <x v="657"/>
    <s v="DNI"/>
    <n v="33017958"/>
    <n v="27330179584"/>
    <d v="1987-04-14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ACUA MAYOR"/>
    <s v="ADMINISTRATIVO"/>
    <s v="CABILDO 65"/>
    <s v="CABILDO 65"/>
    <x v="658"/>
    <s v="DNI"/>
    <n v="32359444"/>
    <s v="27323594444"/>
    <d v="1986-04-30T00:00:00"/>
    <m/>
    <m/>
    <m/>
    <m/>
    <x v="0"/>
    <x v="0"/>
    <d v="2012-04-23T00:00:00"/>
    <m/>
    <d v="2016-12-31T00:00:00"/>
    <x v="0"/>
    <s v="UNTREF"/>
    <s v="UNSAM- LADA"/>
    <n v="18168"/>
    <x v="211"/>
    <x v="5"/>
    <s v="."/>
    <s v="."/>
    <s v="."/>
    <n v="1000"/>
    <x v="2"/>
    <x v="0"/>
    <x v="0"/>
  </r>
  <r>
    <x v="0"/>
    <x v="0"/>
    <x v="1"/>
    <x v="1"/>
    <x v="16"/>
    <x v="11"/>
    <m/>
    <m/>
    <s v="VISITAS GUIADAS"/>
    <m/>
    <s v="CCK - Alem 351"/>
    <x v="659"/>
    <s v="DNI"/>
    <n v="39696295"/>
    <n v="27396962956"/>
    <d v="1996-07-19T00:00:00"/>
    <m/>
    <m/>
    <m/>
    <m/>
    <x v="0"/>
    <x v="0"/>
    <d v="2016-05-15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ACUA MAYOR"/>
    <s v="ADMINISTRATIVO"/>
    <s v="CABILDO 65"/>
    <s v="CABILDO 65"/>
    <x v="660"/>
    <s v="DNI"/>
    <n v="26580860"/>
    <s v="20265808604"/>
    <d v="1977-12-24T00:00:00"/>
    <m/>
    <m/>
    <m/>
    <m/>
    <x v="0"/>
    <x v="0"/>
    <d v="2010-10-01T00:00:00"/>
    <m/>
    <d v="2016-12-31T00:00:00"/>
    <x v="0"/>
    <s v="UNTREF"/>
    <s v="UNSAM- LADA"/>
    <n v="28909"/>
    <x v="181"/>
    <x v="5"/>
    <s v="."/>
    <s v="."/>
    <s v="."/>
    <n v="1000"/>
    <x v="2"/>
    <x v="0"/>
    <x v="0"/>
  </r>
  <r>
    <x v="0"/>
    <x v="0"/>
    <x v="1"/>
    <x v="1"/>
    <x v="2"/>
    <x v="2"/>
    <m/>
    <s v="ASISTENTE COORD SUR"/>
    <s v="ADMINISTRATIVO"/>
    <m/>
    <s v="CCK - Alem 351"/>
    <x v="661"/>
    <s v="DNI"/>
    <n v="13275295"/>
    <n v="27132752953"/>
    <d v="1957-05-10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0"/>
    <x v="0"/>
    <m/>
    <s v="ANIMACION"/>
    <s v="ANALISTA"/>
    <s v="PALPALÁ-JUJUY"/>
    <s v="PALPALÁ-JUJUY"/>
    <x v="662"/>
    <s v="DNI"/>
    <n v="32930419"/>
    <n v="27329304197"/>
    <d v="1987-02-12T00:00:00"/>
    <m/>
    <m/>
    <m/>
    <m/>
    <x v="0"/>
    <x v="0"/>
    <d v="2015-09-01T00:00:00"/>
    <m/>
    <d v="2016-12-31T00:00:00"/>
    <x v="0"/>
    <s v="UNTREF"/>
    <s v="UNSAM"/>
    <n v="8000"/>
    <x v="40"/>
    <x v="0"/>
    <s v="---------"/>
    <s v="."/>
    <s v="---------"/>
    <n v="1000"/>
    <x v="0"/>
    <x v="0"/>
    <x v="0"/>
  </r>
  <r>
    <x v="0"/>
    <x v="1"/>
    <x v="0"/>
    <x v="5"/>
    <x v="30"/>
    <x v="2"/>
    <m/>
    <s v="Analista"/>
    <s v="ADMINISTRATIVO"/>
    <m/>
    <s v="CCK - Alem 351"/>
    <x v="663"/>
    <s v="DNI"/>
    <n v="30277471"/>
    <s v="23302774714"/>
    <d v="1983-05-16T00:00:00"/>
    <m/>
    <m/>
    <m/>
    <m/>
    <x v="0"/>
    <x v="0"/>
    <d v="2016-05-02T00:00:00"/>
    <m/>
    <d v="2016-12-31T00:00:00"/>
    <x v="0"/>
    <s v="UNTREF"/>
    <m/>
    <s v="."/>
    <x v="57"/>
    <x v="3"/>
    <m/>
    <s v="."/>
    <s v="."/>
    <n v="1000"/>
    <x v="0"/>
    <x v="0"/>
    <x v="0"/>
  </r>
  <r>
    <x v="0"/>
    <x v="0"/>
    <x v="1"/>
    <x v="3"/>
    <x v="3"/>
    <x v="2"/>
    <m/>
    <m/>
    <s v="ENCARGADO DE LIMPIEZA"/>
    <s v="TECNÓPOLIS"/>
    <s v="TECNOPOLIS"/>
    <x v="664"/>
    <s v="DNI"/>
    <n v="94654784"/>
    <s v="27946547846"/>
    <d v="1979-09-17T00:00:00"/>
    <m/>
    <m/>
    <m/>
    <m/>
    <x v="0"/>
    <x v="0"/>
    <d v="2011-12-01T00:00:00"/>
    <m/>
    <d v="2016-12-31T00:00:00"/>
    <x v="0"/>
    <s v="UNTREF"/>
    <s v="UNTREF"/>
    <n v="13079.52"/>
    <x v="212"/>
    <x v="5"/>
    <s v="."/>
    <s v="."/>
    <s v="."/>
    <n v="1000"/>
    <x v="0"/>
    <x v="0"/>
    <x v="0"/>
  </r>
  <r>
    <x v="0"/>
    <x v="1"/>
    <x v="0"/>
    <x v="5"/>
    <x v="17"/>
    <x v="15"/>
    <m/>
    <s v="Enfermera/o"/>
    <s v="ADMINISTRATIVO"/>
    <m/>
    <s v="CCK - Alem 351"/>
    <x v="665"/>
    <s v="DNI"/>
    <n v="28618309"/>
    <m/>
    <d v="1981-01-20T00:00:00"/>
    <m/>
    <m/>
    <m/>
    <m/>
    <x v="0"/>
    <x v="0"/>
    <d v="2016-07-14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3"/>
    <x v="24"/>
    <x v="2"/>
    <m/>
    <s v="Tareas Generales"/>
    <s v="TAREAS EN GENERAL TALLER CARPINTERIA/HERRERÍA/TEXTIL"/>
    <s v="TECNÓPOLIS"/>
    <m/>
    <x v="666"/>
    <s v="DNI"/>
    <n v="32575288"/>
    <n v="27325752888"/>
    <d v="1986-09-24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0"/>
    <x v="0"/>
    <x v="8"/>
    <x v="4"/>
    <m/>
    <s v="POSTPRODUCCIÓN"/>
    <s v="ADMINISTRATIVO"/>
    <s v="CABILDO 65"/>
    <s v="CABILDO 65"/>
    <x v="667"/>
    <s v="DNI"/>
    <n v="29130054"/>
    <s v="27291300540"/>
    <d v="1982-01-13T00:00:00"/>
    <m/>
    <m/>
    <m/>
    <m/>
    <x v="0"/>
    <x v="0"/>
    <d v="2013-09-16T00:00:00"/>
    <m/>
    <d v="2016-12-31T00:00:00"/>
    <x v="0"/>
    <s v="UNTREF"/>
    <s v="UNSAM- LADA"/>
    <n v="24060"/>
    <x v="73"/>
    <x v="5"/>
    <s v="."/>
    <s v="."/>
    <s v="."/>
    <n v="1000"/>
    <x v="2"/>
    <x v="0"/>
    <x v="0"/>
  </r>
  <r>
    <x v="0"/>
    <x v="0"/>
    <x v="1"/>
    <x v="3"/>
    <x v="28"/>
    <x v="2"/>
    <m/>
    <m/>
    <m/>
    <s v="TECNÓPOLIS"/>
    <m/>
    <x v="668"/>
    <s v="DNI"/>
    <n v="35561238"/>
    <n v="20355612385"/>
    <m/>
    <m/>
    <m/>
    <m/>
    <m/>
    <x v="1"/>
    <x v="1"/>
    <d v="2013-04-01T00:00:00"/>
    <d v="2016-03-31T00:00:00"/>
    <d v="2016-12-31T00:00:00"/>
    <x v="3"/>
    <m/>
    <m/>
    <n v="17074"/>
    <x v="43"/>
    <x v="5"/>
    <s v="."/>
    <s v="."/>
    <s v="."/>
    <n v="1000"/>
    <x v="1"/>
    <x v="0"/>
    <x v="0"/>
  </r>
  <r>
    <x v="0"/>
    <x v="0"/>
    <x v="1"/>
    <x v="3"/>
    <x v="42"/>
    <x v="2"/>
    <m/>
    <m/>
    <m/>
    <s v="TECNÓPOLIS"/>
    <m/>
    <x v="669"/>
    <s v="DNI"/>
    <n v="33258936"/>
    <n v="23332589369"/>
    <m/>
    <m/>
    <m/>
    <m/>
    <m/>
    <x v="1"/>
    <x v="1"/>
    <d v="2012-07-01T00:00:00"/>
    <d v="2016-12-31T00:00:00"/>
    <d v="2016-12-31T00:00:00"/>
    <x v="8"/>
    <m/>
    <m/>
    <n v="16053"/>
    <x v="213"/>
    <x v="5"/>
    <s v="."/>
    <s v="."/>
    <s v="."/>
    <n v="1000"/>
    <x v="1"/>
    <x v="0"/>
    <x v="0"/>
  </r>
  <r>
    <x v="0"/>
    <x v="0"/>
    <x v="1"/>
    <x v="1"/>
    <x v="10"/>
    <x v="10"/>
    <m/>
    <s v="Analista"/>
    <m/>
    <s v="CCK"/>
    <m/>
    <x v="670"/>
    <s v="DNI"/>
    <n v="29393244"/>
    <n v="27293932447"/>
    <m/>
    <m/>
    <m/>
    <m/>
    <m/>
    <x v="1"/>
    <x v="1"/>
    <d v="2015-06-01T00:00:00"/>
    <d v="2016-03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3"/>
    <x v="3"/>
    <x v="2"/>
    <m/>
    <m/>
    <s v="LIMPIEZA GENERAL DEL PARQUE"/>
    <s v="TECNÓPOLIS"/>
    <s v="TECNOPOLIS"/>
    <x v="671"/>
    <s v="DNI"/>
    <n v="32842913"/>
    <s v="20328429137"/>
    <d v="1987-01-22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672"/>
    <s v="DNI"/>
    <n v="28628292"/>
    <s v="27286282925"/>
    <d v="1981-02-18T00:00:00"/>
    <m/>
    <m/>
    <m/>
    <m/>
    <x v="0"/>
    <x v="0"/>
    <d v="2014-10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31"/>
    <x v="2"/>
    <m/>
    <s v="Director"/>
    <m/>
    <m/>
    <m/>
    <x v="673"/>
    <s v="DNI"/>
    <m/>
    <m/>
    <m/>
    <m/>
    <m/>
    <m/>
    <m/>
    <x v="2"/>
    <x v="3"/>
    <m/>
    <m/>
    <d v="2016-12-31T00:00:00"/>
    <x v="0"/>
    <m/>
    <m/>
    <s v="."/>
    <x v="14"/>
    <x v="5"/>
    <s v="."/>
    <s v="."/>
    <s v="."/>
    <s v="."/>
    <x v="1"/>
    <x v="3"/>
    <x v="1"/>
  </r>
  <r>
    <x v="0"/>
    <x v="0"/>
    <x v="1"/>
    <x v="1"/>
    <x v="2"/>
    <x v="2"/>
    <m/>
    <s v="ASISTENTE COORD NORTE"/>
    <s v="ADMINISTRATIVO"/>
    <m/>
    <s v="CCK - Alem 351"/>
    <x v="674"/>
    <s v="DNI"/>
    <n v="6410816"/>
    <n v="27064108161"/>
    <d v="1950-11-16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14"/>
    <x v="2"/>
    <m/>
    <m/>
    <s v="ADMINISTRATIVO"/>
    <m/>
    <s v="CCK - Alem 351"/>
    <x v="675"/>
    <s v="DNI"/>
    <n v="24569258"/>
    <n v="20245692588"/>
    <d v="1975-06-26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10"/>
    <x v="2"/>
    <m/>
    <m/>
    <s v="ADMINISTRATIVA"/>
    <m/>
    <s v="CCK - Alem 351"/>
    <x v="676"/>
    <s v="DNI"/>
    <n v="20294419"/>
    <s v="20202944192"/>
    <d v="1968-11-06T00:00:00"/>
    <m/>
    <m/>
    <m/>
    <m/>
    <x v="0"/>
    <x v="0"/>
    <d v="2016-04-01T00:00:00"/>
    <m/>
    <d v="2016-12-31T00:00:00"/>
    <x v="0"/>
    <s v="UNTREF"/>
    <m/>
    <n v="20000"/>
    <x v="18"/>
    <x v="3"/>
    <m/>
    <m/>
    <m/>
    <n v="1000"/>
    <x v="0"/>
    <x v="0"/>
    <x v="0"/>
  </r>
  <r>
    <x v="0"/>
    <x v="1"/>
    <x v="0"/>
    <x v="10"/>
    <x v="2"/>
    <x v="2"/>
    <m/>
    <m/>
    <m/>
    <m/>
    <m/>
    <x v="677"/>
    <s v="DNI"/>
    <n v="24170797"/>
    <n v="20241707971"/>
    <d v="1974-09-24T00:00:00"/>
    <m/>
    <m/>
    <m/>
    <m/>
    <x v="0"/>
    <x v="0"/>
    <d v="2016-08-01T00:00:00"/>
    <m/>
    <d v="2016-12-31T00:00:00"/>
    <x v="0"/>
    <m/>
    <m/>
    <m/>
    <x v="18"/>
    <x v="3"/>
    <m/>
    <m/>
    <m/>
    <m/>
    <x v="1"/>
    <x v="0"/>
    <x v="2"/>
  </r>
  <r>
    <x v="0"/>
    <x v="1"/>
    <x v="0"/>
    <x v="10"/>
    <x v="2"/>
    <x v="2"/>
    <m/>
    <m/>
    <m/>
    <m/>
    <m/>
    <x v="678"/>
    <s v="DNI"/>
    <n v="36791184"/>
    <n v="20367911847"/>
    <d v="1992-01-09T00:00:00"/>
    <m/>
    <m/>
    <m/>
    <m/>
    <x v="0"/>
    <x v="0"/>
    <d v="2016-08-01T00:00:00"/>
    <m/>
    <d v="2016-12-31T00:00:00"/>
    <x v="0"/>
    <m/>
    <m/>
    <m/>
    <x v="18"/>
    <x v="3"/>
    <m/>
    <m/>
    <m/>
    <m/>
    <x v="1"/>
    <x v="0"/>
    <x v="2"/>
  </r>
  <r>
    <x v="0"/>
    <x v="1"/>
    <x v="0"/>
    <x v="10"/>
    <x v="2"/>
    <x v="2"/>
    <m/>
    <m/>
    <m/>
    <m/>
    <m/>
    <x v="679"/>
    <s v="DNI"/>
    <n v="8557802"/>
    <n v="20085578023"/>
    <d v="1951-03-11T00:00:00"/>
    <m/>
    <m/>
    <m/>
    <m/>
    <x v="0"/>
    <x v="0"/>
    <d v="2016-08-01T00:00:00"/>
    <m/>
    <d v="2016-09-30T00:00:00"/>
    <x v="0"/>
    <m/>
    <m/>
    <m/>
    <x v="18"/>
    <x v="3"/>
    <m/>
    <m/>
    <m/>
    <m/>
    <x v="1"/>
    <x v="1"/>
    <x v="2"/>
  </r>
  <r>
    <x v="0"/>
    <x v="1"/>
    <x v="0"/>
    <x v="10"/>
    <x v="2"/>
    <x v="2"/>
    <m/>
    <m/>
    <m/>
    <m/>
    <m/>
    <x v="680"/>
    <s v="DNI"/>
    <n v="29497455"/>
    <n v="27294974550"/>
    <d v="1982-06-14T00:00:00"/>
    <m/>
    <m/>
    <m/>
    <m/>
    <x v="0"/>
    <x v="0"/>
    <d v="2016-08-01T00:00:00"/>
    <m/>
    <d v="2016-12-31T00:00:00"/>
    <x v="0"/>
    <m/>
    <m/>
    <m/>
    <x v="18"/>
    <x v="3"/>
    <m/>
    <m/>
    <m/>
    <m/>
    <x v="1"/>
    <x v="0"/>
    <x v="2"/>
  </r>
  <r>
    <x v="0"/>
    <x v="1"/>
    <x v="0"/>
    <x v="10"/>
    <x v="2"/>
    <x v="2"/>
    <m/>
    <m/>
    <m/>
    <m/>
    <m/>
    <x v="681"/>
    <s v="DNI"/>
    <n v="16345393"/>
    <n v="27163453938"/>
    <d v="1963-01-14T00:00:00"/>
    <m/>
    <m/>
    <m/>
    <m/>
    <x v="0"/>
    <x v="0"/>
    <d v="2016-08-01T00:00:00"/>
    <m/>
    <d v="2016-12-30T00:00:00"/>
    <x v="0"/>
    <m/>
    <m/>
    <m/>
    <x v="18"/>
    <x v="3"/>
    <m/>
    <m/>
    <m/>
    <m/>
    <x v="1"/>
    <x v="0"/>
    <x v="2"/>
  </r>
  <r>
    <x v="0"/>
    <x v="0"/>
    <x v="0"/>
    <x v="8"/>
    <x v="1"/>
    <x v="2"/>
    <m/>
    <s v="DIRECTOR"/>
    <s v="ADMINISTRATIVO"/>
    <m/>
    <s v="CCK - Alem 351"/>
    <x v="682"/>
    <s v="DNI"/>
    <n v="29040298"/>
    <s v="20290402981"/>
    <d v="1981-09-01T00:00:00"/>
    <m/>
    <m/>
    <m/>
    <m/>
    <x v="0"/>
    <x v="0"/>
    <d v="2016-01-01T00:00:00"/>
    <m/>
    <d v="2016-12-31T00:00:00"/>
    <x v="0"/>
    <s v="UNTREF"/>
    <s v="UNSAM"/>
    <n v="36000"/>
    <x v="112"/>
    <x v="22"/>
    <n v="36000"/>
    <s v="."/>
    <s v="."/>
    <n v="1000"/>
    <x v="0"/>
    <x v="0"/>
    <x v="0"/>
  </r>
  <r>
    <x v="0"/>
    <x v="0"/>
    <x v="0"/>
    <x v="0"/>
    <x v="8"/>
    <x v="6"/>
    <m/>
    <s v="PRODUCCIÓN"/>
    <s v="PAÑOL"/>
    <s v="CABILDO 65"/>
    <s v="CABILDO 65"/>
    <x v="683"/>
    <s v="DNI"/>
    <n v="30411280"/>
    <s v="20304112809"/>
    <d v="1983-07-16T00:00:00"/>
    <m/>
    <m/>
    <m/>
    <m/>
    <x v="0"/>
    <x v="0"/>
    <d v="2015-02-02T00:00:00"/>
    <m/>
    <d v="2016-12-31T00:00:00"/>
    <x v="0"/>
    <s v="UNTREF"/>
    <s v="UNSAM- LADA"/>
    <n v="15234"/>
    <x v="22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684"/>
    <s v="DNI"/>
    <n v="28644032"/>
    <s v="20286440321"/>
    <d v="1980-12-03T00:00:00"/>
    <m/>
    <m/>
    <m/>
    <m/>
    <x v="0"/>
    <x v="0"/>
    <d v="2013-03-01T00:00:00"/>
    <m/>
    <d v="2016-12-31T00:00:00"/>
    <x v="0"/>
    <s v="UNTREF"/>
    <m/>
    <n v="20959"/>
    <x v="15"/>
    <x v="3"/>
    <m/>
    <m/>
    <m/>
    <n v="1000"/>
    <x v="2"/>
    <x v="0"/>
    <x v="0"/>
  </r>
  <r>
    <x v="0"/>
    <x v="0"/>
    <x v="0"/>
    <x v="0"/>
    <x v="8"/>
    <x v="6"/>
    <m/>
    <s v="TÉCNICA Y TRANSMISIÓN"/>
    <s v="PRODUCTOR de EXTERIORES"/>
    <s v="CABILDO 65"/>
    <s v="CABILDO 65"/>
    <x v="685"/>
    <s v="DNI"/>
    <n v="23426521"/>
    <s v="20234265211"/>
    <d v="1973-11-12T00:00:00"/>
    <m/>
    <m/>
    <m/>
    <m/>
    <x v="0"/>
    <x v="0"/>
    <d v="2010-04-20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7"/>
    <x v="2"/>
    <x v="2"/>
    <m/>
    <s v="PRIVADA"/>
    <s v="ADMINISTRATIVO"/>
    <m/>
    <s v="CCK - Alem 351"/>
    <x v="686"/>
    <s v="DNI"/>
    <n v="34203786"/>
    <n v="27342037866"/>
    <d v="1988-12-26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7"/>
    <x v="2"/>
    <x v="2"/>
    <m/>
    <s v="PRIVADA"/>
    <s v="ADMINISTRATIVO"/>
    <m/>
    <s v="CCK - Alem 351"/>
    <x v="687"/>
    <s v="DNI"/>
    <n v="14156490"/>
    <n v="20141564901"/>
    <d v="1960-02-11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0"/>
    <x v="0"/>
    <x v="8"/>
    <x v="6"/>
    <m/>
    <s v="ACUA FEDERAL"/>
    <s v="ADMINISTRATIVO"/>
    <s v="CABILDO 65"/>
    <s v="CABILDO 65"/>
    <x v="688"/>
    <s v="DNI"/>
    <n v="31425968"/>
    <s v="27314259683"/>
    <d v="1985-03-14T00:00:00"/>
    <m/>
    <m/>
    <m/>
    <m/>
    <x v="0"/>
    <x v="0"/>
    <d v="2012-05-01T00:00:00"/>
    <m/>
    <d v="2016-12-31T00:00:00"/>
    <x v="0"/>
    <s v="UNTREF"/>
    <s v="UNSAM- LADA"/>
    <n v="7680"/>
    <x v="214"/>
    <x v="5"/>
    <s v="."/>
    <s v="."/>
    <s v="."/>
    <n v="1000"/>
    <x v="0"/>
    <x v="0"/>
    <x v="0"/>
  </r>
  <r>
    <x v="0"/>
    <x v="0"/>
    <x v="1"/>
    <x v="3"/>
    <x v="4"/>
    <x v="2"/>
    <m/>
    <s v="COCINA"/>
    <s v="SUPERVISIÓN DEL ESTADO DE MODULOS GASTRONOMICOS INTERIOR Y EXTERIOR"/>
    <s v="TECNÓPOLIS"/>
    <s v="TECNOPOLIS"/>
    <x v="689"/>
    <s v="DNI"/>
    <n v="31725315"/>
    <n v="20317253150"/>
    <d v="1985-07-04T00:00:00"/>
    <m/>
    <m/>
    <m/>
    <m/>
    <x v="0"/>
    <x v="0"/>
    <d v="2015-05-01T00:00:00"/>
    <m/>
    <d v="2016-12-31T00:00:00"/>
    <x v="0"/>
    <s v="UNTREF"/>
    <s v="UNTREF"/>
    <n v="18000"/>
    <x v="57"/>
    <x v="5"/>
    <s v="."/>
    <s v="."/>
    <s v="."/>
    <n v="1000"/>
    <x v="0"/>
    <x v="0"/>
    <x v="0"/>
  </r>
  <r>
    <x v="0"/>
    <x v="0"/>
    <x v="1"/>
    <x v="1"/>
    <x v="16"/>
    <x v="2"/>
    <m/>
    <m/>
    <s v="ADMINISTRATIVO"/>
    <m/>
    <s v="CCK - Alem 351"/>
    <x v="690"/>
    <s v="DNI"/>
    <n v="14106221"/>
    <s v="27141062218"/>
    <d v="1960-06-03T00:00:00"/>
    <m/>
    <m/>
    <m/>
    <m/>
    <x v="0"/>
    <x v="0"/>
    <m/>
    <m/>
    <d v="2016-12-31T00:00:00"/>
    <x v="0"/>
    <s v="UNTREF"/>
    <m/>
    <n v="15000"/>
    <x v="110"/>
    <x v="3"/>
    <m/>
    <m/>
    <m/>
    <n v="1000"/>
    <x v="0"/>
    <x v="0"/>
    <x v="0"/>
  </r>
  <r>
    <x v="0"/>
    <x v="1"/>
    <x v="0"/>
    <x v="2"/>
    <x v="2"/>
    <x v="2"/>
    <m/>
    <s v="PRIVADA"/>
    <s v="ADMINISTRATIVO"/>
    <m/>
    <s v="CCK - Alem 351"/>
    <x v="691"/>
    <s v="DNI"/>
    <n v="30742365"/>
    <n v="27307423656"/>
    <d v="1983-12-30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692"/>
    <s v="DNI"/>
    <n v="26844495"/>
    <s v="20268444956"/>
    <d v="1978-10-10T00:00:00"/>
    <m/>
    <m/>
    <m/>
    <m/>
    <x v="0"/>
    <x v="0"/>
    <d v="2011-08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7"/>
    <x v="2"/>
    <x v="2"/>
    <m/>
    <s v="PRIVADA"/>
    <s v="ADMINISTRATIVO"/>
    <m/>
    <s v="CCK - Alem 351"/>
    <x v="693"/>
    <s v="DNI"/>
    <n v="23764787"/>
    <n v="23237647874"/>
    <d v="1974-12-02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694"/>
    <s v="DNI"/>
    <n v="17972399"/>
    <s v="27179723994"/>
    <d v="1966-03-11T00:00:00"/>
    <m/>
    <m/>
    <m/>
    <m/>
    <x v="0"/>
    <x v="0"/>
    <d v="2013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7"/>
    <x v="2"/>
    <x v="2"/>
    <m/>
    <s v="Secretaria"/>
    <s v="Secretaria"/>
    <s v="CCK"/>
    <s v="CCK - Alem 351"/>
    <x v="695"/>
    <s v="DNI"/>
    <n v="38464250"/>
    <s v="27384642506"/>
    <d v="1994-08-02T00:00:00"/>
    <m/>
    <m/>
    <m/>
    <m/>
    <x v="0"/>
    <x v="0"/>
    <d v="2015-08-01T00:00:00"/>
    <m/>
    <d v="2016-12-31T00:00:00"/>
    <x v="0"/>
    <s v="UNTREF"/>
    <s v="UNLAM- BICENTENARIO"/>
    <n v="10096"/>
    <x v="30"/>
    <x v="18"/>
    <n v="16000"/>
    <n v="14000"/>
    <s v="."/>
    <n v="1000"/>
    <x v="0"/>
    <x v="0"/>
    <x v="0"/>
  </r>
  <r>
    <x v="0"/>
    <x v="0"/>
    <x v="1"/>
    <x v="1"/>
    <x v="16"/>
    <x v="2"/>
    <m/>
    <s v="Asistente funcional"/>
    <s v="asistente funcional"/>
    <s v="CCK"/>
    <s v="CCK - Alem 351"/>
    <x v="696"/>
    <s v="DNI"/>
    <n v="38176579"/>
    <s v="20381765793"/>
    <d v="1994-06-07T00:00:00"/>
    <m/>
    <m/>
    <m/>
    <m/>
    <x v="0"/>
    <x v="0"/>
    <d v="2014-03-01T00:00:00"/>
    <m/>
    <d v="2016-12-31T00:00:00"/>
    <x v="0"/>
    <s v="UNTREF"/>
    <s v="UNLAM- FUSION"/>
    <n v="10614"/>
    <x v="5"/>
    <x v="9"/>
    <n v="15000"/>
    <n v="12500"/>
    <n v="15000"/>
    <n v="1000"/>
    <x v="0"/>
    <x v="0"/>
    <x v="0"/>
  </r>
  <r>
    <x v="0"/>
    <x v="1"/>
    <x v="0"/>
    <x v="5"/>
    <x v="7"/>
    <x v="2"/>
    <m/>
    <s v="Analista"/>
    <m/>
    <m/>
    <m/>
    <x v="697"/>
    <s v="DNI"/>
    <n v="30724860"/>
    <n v="20307249600"/>
    <m/>
    <m/>
    <m/>
    <m/>
    <m/>
    <x v="1"/>
    <x v="1"/>
    <d v="2013-12-01T00:00:00"/>
    <m/>
    <d v="2016-12-31T00:00:00"/>
    <x v="4"/>
    <m/>
    <m/>
    <m/>
    <x v="18"/>
    <x v="3"/>
    <m/>
    <m/>
    <m/>
    <m/>
    <x v="1"/>
    <x v="0"/>
    <x v="2"/>
  </r>
  <r>
    <x v="0"/>
    <x v="0"/>
    <x v="1"/>
    <x v="1"/>
    <x v="5"/>
    <x v="19"/>
    <m/>
    <s v="ASISTENTE"/>
    <s v="ASISTENTE"/>
    <s v="CCK"/>
    <s v="CCK - Alem 351"/>
    <x v="698"/>
    <s v="DNI"/>
    <n v="16965144"/>
    <s v="20169651443"/>
    <d v="1964-07-26T00:00:00"/>
    <m/>
    <m/>
    <m/>
    <m/>
    <x v="0"/>
    <x v="0"/>
    <d v="2015-08-01T00:00:00"/>
    <m/>
    <d v="2016-12-31T00:00:00"/>
    <x v="0"/>
    <s v="UNTREF"/>
    <s v="UNLAM- BICENTENARIO"/>
    <n v="10900"/>
    <x v="5"/>
    <x v="4"/>
    <n v="13000"/>
    <n v="12500"/>
    <s v="."/>
    <n v="1000"/>
    <x v="0"/>
    <x v="0"/>
    <x v="0"/>
  </r>
  <r>
    <x v="0"/>
    <x v="0"/>
    <x v="1"/>
    <x v="3"/>
    <x v="3"/>
    <x v="2"/>
    <m/>
    <m/>
    <m/>
    <s v="TECNÓPOLIS"/>
    <m/>
    <x v="699"/>
    <s v="DNI"/>
    <n v="32911473"/>
    <n v="27329114738"/>
    <m/>
    <m/>
    <m/>
    <m/>
    <m/>
    <x v="1"/>
    <x v="1"/>
    <d v="2011-07-01T00:00:00"/>
    <d v="2016-12-31T00:00:00"/>
    <d v="2016-12-31T00:00:00"/>
    <x v="1"/>
    <m/>
    <m/>
    <n v="15679.55"/>
    <x v="215"/>
    <x v="5"/>
    <s v="."/>
    <s v="."/>
    <s v="."/>
    <n v="1000"/>
    <x v="1"/>
    <x v="0"/>
    <x v="0"/>
  </r>
  <r>
    <x v="0"/>
    <x v="0"/>
    <x v="0"/>
    <x v="0"/>
    <x v="8"/>
    <x v="6"/>
    <m/>
    <m/>
    <s v="PRODUCTOR de EXTERIORES"/>
    <s v="CABILDO 65"/>
    <s v="CABILDO 65"/>
    <x v="700"/>
    <s v="DNI"/>
    <n v="39372456"/>
    <n v="20393724561"/>
    <d v="1996-01-09T00:00:00"/>
    <m/>
    <m/>
    <m/>
    <m/>
    <x v="0"/>
    <x v="0"/>
    <d v="2015-08-01T00:00:00"/>
    <m/>
    <d v="2016-12-31T00:00:00"/>
    <x v="0"/>
    <s v="UNTREF"/>
    <s v="UNSAM- LADA"/>
    <n v="14027"/>
    <x v="216"/>
    <x v="5"/>
    <s v="."/>
    <s v="."/>
    <s v="."/>
    <n v="1000"/>
    <x v="2"/>
    <x v="0"/>
    <x v="0"/>
  </r>
  <r>
    <x v="0"/>
    <x v="0"/>
    <x v="0"/>
    <x v="0"/>
    <x v="8"/>
    <x v="6"/>
    <m/>
    <s v="PRODUCCIÓN"/>
    <s v="PRODUCTOR de EXTERIORES"/>
    <s v="CABILDO 65"/>
    <s v="CABILDO 65"/>
    <x v="701"/>
    <s v="DNI"/>
    <n v="33486041"/>
    <s v="20334860419"/>
    <d v="1987-12-09T00:00:00"/>
    <m/>
    <m/>
    <m/>
    <m/>
    <x v="0"/>
    <x v="0"/>
    <d v="2013-06-13T00:00:00"/>
    <m/>
    <d v="2016-12-31T00:00:00"/>
    <x v="0"/>
    <s v="UNTREF"/>
    <m/>
    <n v="18795"/>
    <x v="37"/>
    <x v="3"/>
    <m/>
    <m/>
    <m/>
    <n v="1000"/>
    <x v="2"/>
    <x v="0"/>
    <x v="0"/>
  </r>
  <r>
    <x v="0"/>
    <x v="0"/>
    <x v="1"/>
    <x v="7"/>
    <x v="2"/>
    <x v="2"/>
    <m/>
    <s v="PRIVADA"/>
    <s v="ADMINISTRATIVO"/>
    <m/>
    <s v="CCK - Alem 351"/>
    <x v="702"/>
    <s v="DNI"/>
    <n v="30335285"/>
    <n v="20303352857"/>
    <d v="1983-06-12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2"/>
    <x v="2"/>
    <m/>
    <m/>
    <s v="ADMINISTRATIVO"/>
    <m/>
    <s v="CCK - Alem 351"/>
    <x v="703"/>
    <s v="DNI"/>
    <n v="31041736"/>
    <s v="20310417360"/>
    <d v="1984-06-28T00:00:00"/>
    <m/>
    <m/>
    <m/>
    <m/>
    <x v="0"/>
    <x v="0"/>
    <d v="2016-01-01T00:00:00"/>
    <m/>
    <d v="2016-12-31T00:00:00"/>
    <x v="0"/>
    <s v="UNTREF"/>
    <s v="UNSAM"/>
    <n v="36000"/>
    <x v="112"/>
    <x v="22"/>
    <n v="36000"/>
    <s v="."/>
    <s v=".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704"/>
    <s v="DNI"/>
    <n v="32823856"/>
    <s v="20328238560"/>
    <d v="1987-01-28T00:00:00"/>
    <m/>
    <m/>
    <m/>
    <m/>
    <x v="0"/>
    <x v="0"/>
    <d v="2011-07-01T00:00:00"/>
    <m/>
    <d v="2016-12-31T00:00:00"/>
    <x v="0"/>
    <s v="UNTREF"/>
    <s v="UNSAM- LADA"/>
    <n v="21683"/>
    <x v="217"/>
    <x v="5"/>
    <s v="."/>
    <s v="."/>
    <s v="."/>
    <n v="1000"/>
    <x v="2"/>
    <x v="0"/>
    <x v="0"/>
  </r>
  <r>
    <x v="0"/>
    <x v="1"/>
    <x v="0"/>
    <x v="5"/>
    <x v="25"/>
    <x v="2"/>
    <m/>
    <s v="Responsable"/>
    <s v="Administrativo"/>
    <s v="CCK"/>
    <s v="CCK - Alem 351"/>
    <x v="705"/>
    <s v="DNI"/>
    <n v="24756319"/>
    <s v="23247563199"/>
    <d v="1976-01-14T00:00:00"/>
    <m/>
    <m/>
    <m/>
    <m/>
    <x v="0"/>
    <x v="0"/>
    <d v="2015-07-12T00:00:00"/>
    <m/>
    <d v="2016-12-31T00:00:00"/>
    <x v="0"/>
    <s v="UNTREF"/>
    <s v="UNLAM -TDA"/>
    <n v="17098"/>
    <x v="53"/>
    <x v="36"/>
    <n v="26000"/>
    <n v="27000"/>
    <s v="."/>
    <n v="1000"/>
    <x v="0"/>
    <x v="0"/>
    <x v="0"/>
  </r>
  <r>
    <x v="0"/>
    <x v="0"/>
    <x v="0"/>
    <x v="8"/>
    <x v="1"/>
    <x v="2"/>
    <m/>
    <m/>
    <s v="ADMINISTRATIVO"/>
    <m/>
    <s v="CCK - Alem 351"/>
    <x v="706"/>
    <s v="DNI"/>
    <n v="36931486"/>
    <n v="20369314867"/>
    <d v="1992-08-17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2"/>
    <x v="2"/>
    <m/>
    <s v="PRIVADA"/>
    <s v="ADMINISTRATIVO"/>
    <m/>
    <s v="TECNOPOLIS"/>
    <x v="707"/>
    <s v="DNI"/>
    <n v="33672652"/>
    <n v="20336726523"/>
    <d v="1998-03-29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5"/>
    <x v="14"/>
    <m/>
    <m/>
    <s v="Asistente"/>
    <m/>
    <s v="CCK - Alem 351"/>
    <x v="708"/>
    <s v="DNI"/>
    <n v="34417823"/>
    <s v="27344178238"/>
    <d v="1989-12-30T00:00:00"/>
    <m/>
    <m/>
    <m/>
    <m/>
    <x v="0"/>
    <x v="0"/>
    <d v="2013-11-01T00:00:00"/>
    <m/>
    <d v="2016-12-31T00:00:00"/>
    <x v="0"/>
    <s v="UNTREF"/>
    <m/>
    <n v="9479"/>
    <x v="18"/>
    <x v="3"/>
    <m/>
    <m/>
    <m/>
    <n v="1000"/>
    <x v="0"/>
    <x v="0"/>
    <x v="0"/>
  </r>
  <r>
    <x v="0"/>
    <x v="0"/>
    <x v="1"/>
    <x v="3"/>
    <x v="10"/>
    <x v="2"/>
    <m/>
    <m/>
    <m/>
    <s v="TECNÓPOLIS"/>
    <m/>
    <x v="709"/>
    <s v="DNI"/>
    <n v="33507251"/>
    <n v="20335072511"/>
    <m/>
    <m/>
    <m/>
    <m/>
    <m/>
    <x v="1"/>
    <x v="1"/>
    <d v="2010-03-01T00:00:00"/>
    <d v="2016-12-31T00:00:00"/>
    <d v="2016-12-31T00:00:00"/>
    <x v="2"/>
    <m/>
    <m/>
    <n v="18118.63"/>
    <x v="218"/>
    <x v="5"/>
    <s v="."/>
    <s v="."/>
    <s v="."/>
    <n v="1000"/>
    <x v="1"/>
    <x v="0"/>
    <x v="0"/>
  </r>
  <r>
    <x v="0"/>
    <x v="0"/>
    <x v="1"/>
    <x v="3"/>
    <x v="4"/>
    <x v="2"/>
    <m/>
    <s v="PRIVADA"/>
    <s v="Coordinador"/>
    <m/>
    <s v="TECNOPOLIS"/>
    <x v="710"/>
    <s v="DNI"/>
    <n v="27641729"/>
    <n v="27276417296"/>
    <d v="1979-03-01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23"/>
    <x v="2"/>
    <m/>
    <m/>
    <m/>
    <s v="TECNÓPOLIS"/>
    <m/>
    <x v="711"/>
    <s v="DNI"/>
    <n v="11078343"/>
    <n v="20110783435"/>
    <m/>
    <m/>
    <m/>
    <m/>
    <m/>
    <x v="1"/>
    <x v="1"/>
    <d v="2012-12-01T00:00:00"/>
    <d v="2016-12-31T00:00:00"/>
    <d v="2016-12-31T00:00:00"/>
    <x v="3"/>
    <m/>
    <m/>
    <n v="24716"/>
    <x v="219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712"/>
    <s v="DNI"/>
    <n v="22232165"/>
    <n v="20222321655"/>
    <d v="1971-07-21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713"/>
    <s v="DNI"/>
    <n v="30979332"/>
    <s v="20309793324"/>
    <d v="1984-05-10T00:00:00"/>
    <m/>
    <m/>
    <m/>
    <m/>
    <x v="0"/>
    <x v="0"/>
    <d v="2012-08-01T00:00:00"/>
    <m/>
    <d v="2016-12-31T00:00:00"/>
    <x v="0"/>
    <s v="UNTREF"/>
    <m/>
    <n v="21683"/>
    <x v="217"/>
    <x v="3"/>
    <m/>
    <m/>
    <m/>
    <n v="1000"/>
    <x v="2"/>
    <x v="0"/>
    <x v="0"/>
  </r>
  <r>
    <x v="0"/>
    <x v="0"/>
    <x v="1"/>
    <x v="3"/>
    <x v="15"/>
    <x v="2"/>
    <m/>
    <m/>
    <s v="COORDINADOR DE TALLER"/>
    <s v="TECNÓPOLIS"/>
    <s v="TECNOPOLIS"/>
    <x v="714"/>
    <s v="DNI"/>
    <n v="20477882"/>
    <s v="20204778826"/>
    <d v="1968-10-15T00:00:00"/>
    <m/>
    <m/>
    <m/>
    <m/>
    <x v="0"/>
    <x v="0"/>
    <d v="2014-04-01T00:00:00"/>
    <m/>
    <d v="2016-12-31T00:00:00"/>
    <x v="0"/>
    <s v="UNTREF"/>
    <s v="UNTREF"/>
    <n v="17567.86"/>
    <x v="220"/>
    <x v="5"/>
    <s v="."/>
    <s v="."/>
    <s v="."/>
    <n v="1000"/>
    <x v="0"/>
    <x v="0"/>
    <x v="0"/>
  </r>
  <r>
    <x v="0"/>
    <x v="0"/>
    <x v="1"/>
    <x v="3"/>
    <x v="15"/>
    <x v="2"/>
    <m/>
    <m/>
    <s v="MANTENIMIENTO GRAL DE GRÁFICA/CONFECCIÓN DE ESTRUCTURAS/COLOCACIÓN VINILO/REPARACIÓN DE ESTRUCTURAS"/>
    <s v="TECNÓPOLIS"/>
    <s v="TECNOPOLIS"/>
    <x v="715"/>
    <s v="DNI"/>
    <n v="29018545"/>
    <s v="23290185459"/>
    <d v="1981-07-04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5"/>
    <x v="14"/>
    <m/>
    <s v="control acceso"/>
    <s v="Auxiliar"/>
    <s v="CCK"/>
    <s v="CCK - Alem 351"/>
    <x v="716"/>
    <s v="DNI"/>
    <n v="37233955"/>
    <s v="20372339552"/>
    <d v="1993-06-07T00:00:00"/>
    <m/>
    <m/>
    <m/>
    <m/>
    <x v="0"/>
    <x v="0"/>
    <d v="2015-08-01T00:00:00"/>
    <m/>
    <d v="2016-12-31T00:00:00"/>
    <x v="0"/>
    <s v="UNTREF"/>
    <s v="UNLAM- BICENTENARIO"/>
    <n v="10096"/>
    <x v="5"/>
    <x v="4"/>
    <n v="13000"/>
    <n v="12500"/>
    <s v="."/>
    <n v="1000"/>
    <x v="0"/>
    <x v="0"/>
    <x v="0"/>
  </r>
  <r>
    <x v="0"/>
    <x v="2"/>
    <x v="0"/>
    <x v="4"/>
    <x v="2"/>
    <x v="2"/>
    <m/>
    <m/>
    <s v="ADMINISTRATIVO"/>
    <m/>
    <s v="CCK - Alem 351"/>
    <x v="717"/>
    <s v="DNI"/>
    <n v="23118409"/>
    <m/>
    <d v="1972-12-10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0"/>
    <x v="4"/>
    <x v="11"/>
    <x v="2"/>
    <m/>
    <s v="PRIVADA"/>
    <s v="ADMINISTRATIVO"/>
    <m/>
    <s v="CCK - Alem 351"/>
    <x v="718"/>
    <s v="DNI"/>
    <n v="20117208"/>
    <n v="27201172085"/>
    <d v="1968-03-02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9"/>
    <x v="2"/>
    <m/>
    <s v="ADMINISTRATIVO"/>
    <s v="COORDINADORA PERSONAL TEMPORARIO"/>
    <s v="TECNÓPOLIS"/>
    <s v="TECNOPOLIS"/>
    <x v="719"/>
    <s v="DNI"/>
    <n v="6237441"/>
    <s v="27062374417"/>
    <d v="1949-12-26T00:00:00"/>
    <m/>
    <m/>
    <m/>
    <m/>
    <x v="0"/>
    <x v="0"/>
    <d v="2013-06-01T00:00:00"/>
    <m/>
    <d v="2016-12-31T00:00:00"/>
    <x v="0"/>
    <s v="UNTREF"/>
    <s v="UNTREF"/>
    <n v="21340.27"/>
    <x v="221"/>
    <x v="42"/>
    <n v="21340"/>
    <s v="."/>
    <n v="21340"/>
    <n v="1000"/>
    <x v="0"/>
    <x v="0"/>
    <x v="0"/>
  </r>
  <r>
    <x v="0"/>
    <x v="0"/>
    <x v="1"/>
    <x v="1"/>
    <x v="16"/>
    <x v="2"/>
    <m/>
    <s v="Analista"/>
    <m/>
    <s v="CCK"/>
    <m/>
    <x v="720"/>
    <s v="DNI"/>
    <n v="25065302"/>
    <n v="27250653021"/>
    <m/>
    <m/>
    <m/>
    <m/>
    <m/>
    <x v="1"/>
    <x v="1"/>
    <d v="2011-02-01T00:00:00"/>
    <d v="2016-12-31T00:00:00"/>
    <d v="2016-12-31T00:00:00"/>
    <x v="7"/>
    <m/>
    <m/>
    <n v="22828"/>
    <x v="222"/>
    <x v="5"/>
    <s v="."/>
    <s v="."/>
    <s v="."/>
    <n v="1000"/>
    <x v="1"/>
    <x v="0"/>
    <x v="0"/>
  </r>
  <r>
    <x v="0"/>
    <x v="0"/>
    <x v="0"/>
    <x v="8"/>
    <x v="1"/>
    <x v="2"/>
    <m/>
    <m/>
    <s v="ADMINISTRATIVO"/>
    <m/>
    <s v="CCK - Alem 351"/>
    <x v="721"/>
    <s v="DNI"/>
    <n v="29986135"/>
    <s v="27299861355"/>
    <d v="1982-12-30T00:00:00"/>
    <m/>
    <m/>
    <m/>
    <m/>
    <x v="0"/>
    <x v="0"/>
    <d v="2016-01-01T00:00:00"/>
    <m/>
    <d v="2016-12-31T00:00:00"/>
    <x v="0"/>
    <s v="UNTREF"/>
    <m/>
    <n v="15000"/>
    <x v="110"/>
    <x v="9"/>
    <n v="15000"/>
    <s v="."/>
    <s v="."/>
    <n v="1000"/>
    <x v="0"/>
    <x v="0"/>
    <x v="0"/>
  </r>
  <r>
    <x v="0"/>
    <x v="1"/>
    <x v="0"/>
    <x v="5"/>
    <x v="17"/>
    <x v="15"/>
    <m/>
    <s v="DOCTOR"/>
    <s v="ADMINISTRATIVO"/>
    <m/>
    <s v="CCK - Alem 351"/>
    <x v="722"/>
    <s v="DNI"/>
    <n v="33435429"/>
    <n v="27334354291"/>
    <d v="1988-02-24T00:00:00"/>
    <m/>
    <m/>
    <m/>
    <m/>
    <x v="0"/>
    <x v="0"/>
    <d v="2016-07-14T00:00:00"/>
    <m/>
    <d v="2016-12-31T00:00:00"/>
    <x v="0"/>
    <s v="UNTREF"/>
    <m/>
    <m/>
    <x v="18"/>
    <x v="3"/>
    <m/>
    <m/>
    <m/>
    <m/>
    <x v="1"/>
    <x v="0"/>
    <x v="2"/>
  </r>
  <r>
    <x v="0"/>
    <x v="0"/>
    <x v="0"/>
    <x v="0"/>
    <x v="8"/>
    <x v="6"/>
    <m/>
    <s v="BACUA"/>
    <s v="ADMINISTRATIVO"/>
    <s v="CABILDO 65"/>
    <s v="CABILDO 65"/>
    <x v="723"/>
    <s v="DNI"/>
    <n v="32262741"/>
    <s v="27322627411"/>
    <d v="1986-04-20T00:00:00"/>
    <m/>
    <m/>
    <m/>
    <m/>
    <x v="0"/>
    <x v="0"/>
    <d v="2012-12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0"/>
    <x v="0"/>
    <x v="8"/>
    <x v="6"/>
    <m/>
    <s v="PANORAMA ARGENTINO"/>
    <s v="ADMINISTRATIVO"/>
    <s v="CABILDO 65"/>
    <s v="CABILDO 65"/>
    <x v="724"/>
    <s v="DNI"/>
    <n v="20552687"/>
    <s v="20205526871"/>
    <d v="1968-11-01T00:00:00"/>
    <m/>
    <m/>
    <m/>
    <m/>
    <x v="0"/>
    <x v="0"/>
    <d v="2012-04-23T00:00:00"/>
    <m/>
    <d v="2016-12-31T00:00:00"/>
    <x v="0"/>
    <s v="UNTREF"/>
    <s v="UNSAM- LADA"/>
    <n v="23386"/>
    <x v="208"/>
    <x v="5"/>
    <s v="."/>
    <s v="."/>
    <s v="."/>
    <n v="1000"/>
    <x v="2"/>
    <x v="0"/>
    <x v="0"/>
  </r>
  <r>
    <x v="0"/>
    <x v="0"/>
    <x v="1"/>
    <x v="7"/>
    <x v="2"/>
    <x v="2"/>
    <m/>
    <s v="ASISTENTE"/>
    <m/>
    <s v="CCK"/>
    <m/>
    <x v="725"/>
    <s v="DNI"/>
    <n v="30800939"/>
    <n v="23308009394"/>
    <m/>
    <m/>
    <m/>
    <m/>
    <m/>
    <x v="1"/>
    <x v="1"/>
    <d v="2013-12-01T00:00:00"/>
    <d v="2016-03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3"/>
    <x v="3"/>
    <x v="2"/>
    <m/>
    <m/>
    <s v="LIMPIEZA GENERAL DEL PARQUE"/>
    <s v="TECNÓPOLIS"/>
    <s v="TECNOPOLIS"/>
    <x v="726"/>
    <s v="DNI"/>
    <n v="29871046"/>
    <s v="27298710469"/>
    <d v="1982-06-02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0"/>
    <x v="8"/>
    <x v="6"/>
    <m/>
    <s v="PROMOCIONES"/>
    <s v="ADMINISTRATIVO"/>
    <s v="CABILDO 65"/>
    <s v="CABILDO 65"/>
    <x v="727"/>
    <s v="DNI"/>
    <n v="25554128"/>
    <s v="27255541280"/>
    <d v="1976-10-10T00:00:00"/>
    <m/>
    <m/>
    <m/>
    <m/>
    <x v="0"/>
    <x v="0"/>
    <d v="2012-05-03T00:00:00"/>
    <m/>
    <d v="2016-12-31T00:00:00"/>
    <x v="0"/>
    <s v="UNTREF"/>
    <s v="UNSAM- LADA"/>
    <n v="19552"/>
    <x v="223"/>
    <x v="5"/>
    <s v="."/>
    <s v="."/>
    <s v="."/>
    <n v="1000"/>
    <x v="2"/>
    <x v="0"/>
    <x v="0"/>
  </r>
  <r>
    <x v="0"/>
    <x v="0"/>
    <x v="0"/>
    <x v="4"/>
    <x v="2"/>
    <x v="2"/>
    <m/>
    <s v="PRIVADA"/>
    <s v="ADMINISTRATIVO"/>
    <m/>
    <s v="CCK - Alem 351"/>
    <x v="728"/>
    <s v="DNI"/>
    <n v="6717338"/>
    <n v="23067173384"/>
    <d v="1951-04-24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1"/>
    <x v="0"/>
    <x v="5"/>
    <x v="7"/>
    <x v="2"/>
    <m/>
    <m/>
    <s v="ADMINISTRATIVO"/>
    <m/>
    <s v="CCK - Alem 351"/>
    <x v="729"/>
    <s v="DNI"/>
    <n v="34103577"/>
    <s v="27341035770"/>
    <d v="1989-01-29T00:00:00"/>
    <m/>
    <m/>
    <m/>
    <m/>
    <x v="0"/>
    <x v="0"/>
    <d v="2016-06-01T00:00:00"/>
    <m/>
    <d v="2016-12-31T00:00:00"/>
    <x v="0"/>
    <s v="UNTREF"/>
    <m/>
    <n v="14000"/>
    <x v="18"/>
    <x v="3"/>
    <m/>
    <m/>
    <m/>
    <m/>
    <x v="0"/>
    <x v="0"/>
    <x v="2"/>
  </r>
  <r>
    <x v="0"/>
    <x v="0"/>
    <x v="1"/>
    <x v="3"/>
    <x v="15"/>
    <x v="2"/>
    <m/>
    <m/>
    <m/>
    <s v="TECNÓPOLIS"/>
    <m/>
    <x v="730"/>
    <s v="DNI"/>
    <n v="35360516"/>
    <n v="20353605160"/>
    <m/>
    <m/>
    <m/>
    <m/>
    <m/>
    <x v="1"/>
    <x v="1"/>
    <d v="2014-07-01T00:00:00"/>
    <d v="2016-03-31T00:00:00"/>
    <d v="2016-12-31T00:00:00"/>
    <x v="8"/>
    <m/>
    <m/>
    <n v="19499.72"/>
    <x v="224"/>
    <x v="5"/>
    <s v="."/>
    <s v="."/>
    <s v="."/>
    <n v="1000"/>
    <x v="1"/>
    <x v="0"/>
    <x v="0"/>
  </r>
  <r>
    <x v="0"/>
    <x v="0"/>
    <x v="1"/>
    <x v="3"/>
    <x v="15"/>
    <x v="2"/>
    <m/>
    <m/>
    <m/>
    <s v="TECNÓPOLIS"/>
    <m/>
    <x v="731"/>
    <s v="DNI"/>
    <n v="36426532"/>
    <n v="20364265329"/>
    <m/>
    <m/>
    <m/>
    <m/>
    <m/>
    <x v="1"/>
    <x v="1"/>
    <d v="2012-08-01T00:00:00"/>
    <d v="2016-12-31T00:00:00"/>
    <d v="2016-12-31T00:00:00"/>
    <x v="1"/>
    <m/>
    <m/>
    <n v="9991"/>
    <x v="225"/>
    <x v="5"/>
    <s v="."/>
    <s v="."/>
    <s v="."/>
    <n v="1000"/>
    <x v="1"/>
    <x v="0"/>
    <x v="0"/>
  </r>
  <r>
    <x v="0"/>
    <x v="0"/>
    <x v="1"/>
    <x v="3"/>
    <x v="4"/>
    <x v="2"/>
    <m/>
    <s v="COCINA"/>
    <s v="PRODUCCION GRAL DE RECETAS, MANIPULACIÓN DE INGREDIENTES, DESPCAHO DE ALIMENTOS"/>
    <s v="TECNÓPOLIS"/>
    <s v="TECNOPOLIS"/>
    <x v="732"/>
    <s v="DNI"/>
    <n v="39562840"/>
    <s v="20395628403"/>
    <d v="1996-03-22T00:00:00"/>
    <m/>
    <m/>
    <m/>
    <m/>
    <x v="0"/>
    <x v="0"/>
    <d v="2014-04-01T00:00:00"/>
    <m/>
    <d v="2016-12-31T00:00:00"/>
    <x v="0"/>
    <s v="UNTREF"/>
    <s v="UNTREF"/>
    <n v="10408.549999999999"/>
    <x v="13"/>
    <x v="5"/>
    <s v="."/>
    <s v="."/>
    <s v="."/>
    <n v="1000"/>
    <x v="0"/>
    <x v="0"/>
    <x v="0"/>
  </r>
  <r>
    <x v="0"/>
    <x v="0"/>
    <x v="1"/>
    <x v="3"/>
    <x v="44"/>
    <x v="2"/>
    <m/>
    <m/>
    <m/>
    <s v="TECNÓPOLIS"/>
    <m/>
    <x v="733"/>
    <s v="DNI"/>
    <n v="16965096"/>
    <n v="23169650969"/>
    <m/>
    <m/>
    <m/>
    <m/>
    <m/>
    <x v="1"/>
    <x v="1"/>
    <d v="2012-10-31T00:00:00"/>
    <d v="2016-12-31T00:00:00"/>
    <d v="2016-12-31T00:00:00"/>
    <x v="3"/>
    <m/>
    <m/>
    <n v="29724.25"/>
    <x v="226"/>
    <x v="5"/>
    <s v="."/>
    <s v="."/>
    <s v="."/>
    <n v="1000"/>
    <x v="1"/>
    <x v="0"/>
    <x v="0"/>
  </r>
  <r>
    <x v="0"/>
    <x v="0"/>
    <x v="1"/>
    <x v="3"/>
    <x v="3"/>
    <x v="2"/>
    <m/>
    <m/>
    <s v="ENCARGADO DE LIMPIEZA"/>
    <s v="TECNÓPOLIS"/>
    <s v="TECNOPOLIS"/>
    <x v="734"/>
    <s v="DNI"/>
    <n v="18221165"/>
    <s v="27182211651"/>
    <d v="1966-11-25T00:00:00"/>
    <m/>
    <m/>
    <m/>
    <m/>
    <x v="0"/>
    <x v="0"/>
    <d v="2012-07-01T00:00:00"/>
    <m/>
    <d v="2016-12-31T00:00:00"/>
    <x v="0"/>
    <s v="UNTREF"/>
    <s v="UNTREF"/>
    <n v="13450"/>
    <x v="87"/>
    <x v="5"/>
    <s v="."/>
    <s v="."/>
    <s v="."/>
    <n v="1000"/>
    <x v="0"/>
    <x v="0"/>
    <x v="0"/>
  </r>
  <r>
    <x v="0"/>
    <x v="0"/>
    <x v="1"/>
    <x v="3"/>
    <x v="6"/>
    <x v="2"/>
    <m/>
    <m/>
    <s v="TRASLADOS/CARGA Y DESCARGA"/>
    <s v="TECNÓPOLIS"/>
    <s v="TECNOPOLIS"/>
    <x v="735"/>
    <s v="DNI"/>
    <n v="32525350"/>
    <s v="23325253509"/>
    <d v="1986-09-24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1"/>
    <x v="16"/>
    <x v="11"/>
    <m/>
    <m/>
    <s v="VISITAS GUIADAS"/>
    <m/>
    <s v="CCK - Alem 351"/>
    <x v="736"/>
    <s v="DNI"/>
    <n v="37143089"/>
    <n v="27371443895"/>
    <d v="1992-10-16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2"/>
    <x v="0"/>
    <x v="4"/>
    <x v="2"/>
    <x v="2"/>
    <m/>
    <s v="PRIVADA"/>
    <s v="ADMINISTRATIVO"/>
    <m/>
    <s v="CCK - Alem 351"/>
    <x v="737"/>
    <s v="DNI"/>
    <n v="20405368"/>
    <s v="20204053686"/>
    <d v="1968-07-25T00:00:00"/>
    <m/>
    <m/>
    <m/>
    <m/>
    <x v="0"/>
    <x v="0"/>
    <d v="2016-01-01T00:00:00"/>
    <m/>
    <d v="2016-12-31T00:00:00"/>
    <x v="0"/>
    <s v="UNTREF"/>
    <s v="UNSAM"/>
    <n v="27370"/>
    <x v="112"/>
    <x v="2"/>
    <n v="36000"/>
    <n v="36000"/>
    <s v="."/>
    <n v="1000"/>
    <x v="0"/>
    <x v="0"/>
    <x v="0"/>
  </r>
  <r>
    <x v="0"/>
    <x v="0"/>
    <x v="1"/>
    <x v="3"/>
    <x v="10"/>
    <x v="2"/>
    <m/>
    <m/>
    <m/>
    <s v="TECNÓPOLIS"/>
    <m/>
    <x v="738"/>
    <s v="DNI"/>
    <n v="23877871"/>
    <n v="23238778719"/>
    <m/>
    <m/>
    <m/>
    <m/>
    <m/>
    <x v="1"/>
    <x v="1"/>
    <d v="2012-10-31T00:00:00"/>
    <d v="2016-12-31T00:00:00"/>
    <d v="2016-12-31T00:00:00"/>
    <x v="3"/>
    <m/>
    <m/>
    <n v="29784"/>
    <x v="55"/>
    <x v="5"/>
    <s v="."/>
    <s v="."/>
    <s v="."/>
    <n v="1000"/>
    <x v="1"/>
    <x v="0"/>
    <x v="0"/>
  </r>
  <r>
    <x v="0"/>
    <x v="0"/>
    <x v="0"/>
    <x v="0"/>
    <x v="8"/>
    <x v="6"/>
    <m/>
    <s v="TÉCNICA Y TRANSMISIÓN"/>
    <s v="ADMINISTRATIVO"/>
    <s v="CABILDO 65"/>
    <s v="CABILDO 65"/>
    <x v="739"/>
    <s v="DNI"/>
    <n v="38357112"/>
    <s v="27383571125"/>
    <d v="1994-06-05T00:00:00"/>
    <m/>
    <m/>
    <m/>
    <m/>
    <x v="0"/>
    <x v="0"/>
    <d v="2015-02-02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5"/>
    <x v="21"/>
    <m/>
    <s v="Asistente"/>
    <m/>
    <s v="CCK"/>
    <m/>
    <x v="740"/>
    <s v="DNI"/>
    <n v="34294750"/>
    <n v="27342947501"/>
    <m/>
    <m/>
    <m/>
    <m/>
    <m/>
    <x v="1"/>
    <x v="1"/>
    <d v="2011-06-18T00:00:00"/>
    <d v="2016-12-31T00:00:00"/>
    <d v="2016-12-31T00:00:00"/>
    <x v="3"/>
    <m/>
    <m/>
    <n v="11456"/>
    <x v="227"/>
    <x v="5"/>
    <s v="."/>
    <s v="."/>
    <n v="14000"/>
    <n v="1000"/>
    <x v="1"/>
    <x v="0"/>
    <x v="0"/>
  </r>
  <r>
    <x v="0"/>
    <x v="1"/>
    <x v="0"/>
    <x v="2"/>
    <x v="2"/>
    <x v="2"/>
    <m/>
    <s v="PRIVADA"/>
    <s v="ADMINISTRATIVO"/>
    <m/>
    <s v="CCK - Alem 351"/>
    <x v="741"/>
    <s v="DNI"/>
    <n v="4522026"/>
    <n v="20045220266"/>
    <d v="1945-02-20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3"/>
    <x v="2"/>
    <m/>
    <m/>
    <m/>
    <s v="TECNÓPOLIS"/>
    <m/>
    <x v="742"/>
    <s v="DNI"/>
    <n v="13780199"/>
    <n v="27137801995"/>
    <m/>
    <m/>
    <m/>
    <m/>
    <m/>
    <x v="1"/>
    <x v="1"/>
    <d v="2011-12-01T00:00:00"/>
    <d v="2016-12-31T00:00:00"/>
    <d v="2016-12-31T00:00:00"/>
    <x v="1"/>
    <m/>
    <m/>
    <n v="23404"/>
    <x v="228"/>
    <x v="5"/>
    <s v="."/>
    <s v="."/>
    <s v="."/>
    <n v="1000"/>
    <x v="1"/>
    <x v="0"/>
    <x v="0"/>
  </r>
  <r>
    <x v="0"/>
    <x v="0"/>
    <x v="1"/>
    <x v="3"/>
    <x v="10"/>
    <x v="2"/>
    <m/>
    <m/>
    <m/>
    <s v="TECNÓPOLIS"/>
    <m/>
    <x v="743"/>
    <s v="DNI"/>
    <n v="23222525"/>
    <n v="20232225255"/>
    <m/>
    <m/>
    <m/>
    <m/>
    <m/>
    <x v="1"/>
    <x v="1"/>
    <d v="2012-10-31T00:00:00"/>
    <d v="2016-12-31T00:00:00"/>
    <d v="2016-12-31T00:00:00"/>
    <x v="3"/>
    <m/>
    <m/>
    <n v="29078"/>
    <x v="55"/>
    <x v="5"/>
    <s v="."/>
    <s v="."/>
    <s v="."/>
    <n v="1000"/>
    <x v="1"/>
    <x v="0"/>
    <x v="0"/>
  </r>
  <r>
    <x v="0"/>
    <x v="0"/>
    <x v="0"/>
    <x v="4"/>
    <x v="2"/>
    <x v="2"/>
    <m/>
    <s v="PRIVADA"/>
    <s v="ADMINISTRATIVO"/>
    <m/>
    <s v="CCK - Alem 351"/>
    <x v="744"/>
    <s v="DNI"/>
    <n v="20964558"/>
    <n v="20209645581"/>
    <d v="1969-06-03T00:00:00"/>
    <m/>
    <m/>
    <m/>
    <m/>
    <x v="0"/>
    <x v="0"/>
    <m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14"/>
    <x v="2"/>
    <m/>
    <m/>
    <s v="ADMINISTRATIVO"/>
    <m/>
    <s v="CCK - Alem 351"/>
    <x v="745"/>
    <s v="DNI"/>
    <n v="18780914"/>
    <s v="20187809143"/>
    <d v="1966-01-22T00:00:00"/>
    <m/>
    <m/>
    <m/>
    <m/>
    <x v="0"/>
    <x v="0"/>
    <d v="2011-03-03T00:00:00"/>
    <m/>
    <d v="2016-12-31T00:00:00"/>
    <x v="0"/>
    <s v="UNTREF"/>
    <s v="UNTREF"/>
    <n v="13531.11"/>
    <x v="229"/>
    <x v="5"/>
    <s v="."/>
    <s v="."/>
    <s v="."/>
    <n v="1000"/>
    <x v="0"/>
    <x v="0"/>
    <x v="0"/>
  </r>
  <r>
    <x v="0"/>
    <x v="0"/>
    <x v="1"/>
    <x v="3"/>
    <x v="15"/>
    <x v="2"/>
    <m/>
    <m/>
    <s v="CONTROL DE STOCK Y EVOLUCIÓN DE HERRAMIENTAS"/>
    <s v="TECNÓPOLIS"/>
    <s v="TECNOPOLIS"/>
    <x v="746"/>
    <s v="DNI"/>
    <n v="23496931"/>
    <s v="20234969316"/>
    <d v="1974-03-08T00:00:00"/>
    <m/>
    <m/>
    <m/>
    <m/>
    <x v="0"/>
    <x v="0"/>
    <d v="2014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7"/>
    <x v="2"/>
    <x v="2"/>
    <m/>
    <s v="PRIVADA"/>
    <s v="ADMINISTRATIVO"/>
    <m/>
    <s v="CCK - Alem 351"/>
    <x v="747"/>
    <s v="DNI"/>
    <n v="6082291"/>
    <m/>
    <d v="1949-03-09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0"/>
    <x v="0"/>
    <x v="8"/>
    <x v="6"/>
    <m/>
    <s v="PRENSA Y COMUNICACIÓN"/>
    <m/>
    <s v="CABILDO 65"/>
    <m/>
    <x v="748"/>
    <s v="DNI"/>
    <n v="25639689"/>
    <n v="20256396891"/>
    <m/>
    <m/>
    <m/>
    <m/>
    <m/>
    <x v="1"/>
    <x v="1"/>
    <d v="2015-03-01T00:00:00"/>
    <d v="2016-03-31T00:00:00"/>
    <d v="2016-12-31T00:00:00"/>
    <x v="9"/>
    <m/>
    <m/>
    <n v="19096"/>
    <x v="81"/>
    <x v="5"/>
    <s v="."/>
    <s v="."/>
    <s v="."/>
    <n v="1000"/>
    <x v="1"/>
    <x v="0"/>
    <x v="0"/>
  </r>
  <r>
    <x v="0"/>
    <x v="0"/>
    <x v="1"/>
    <x v="3"/>
    <x v="6"/>
    <x v="2"/>
    <m/>
    <m/>
    <s v="MANTENIMIENTO GRAL DEL PARQUE"/>
    <s v="TECNÓPOLIS"/>
    <s v="TECNOPOLIS"/>
    <x v="749"/>
    <s v="DNI"/>
    <n v="26949673"/>
    <s v="20269496739"/>
    <d v="1979-02-05T00:00:00"/>
    <m/>
    <m/>
    <m/>
    <m/>
    <x v="0"/>
    <x v="0"/>
    <d v="2014-06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4"/>
    <x v="2"/>
    <x v="2"/>
    <m/>
    <s v="PRIVADA"/>
    <s v="ADMINISTRATIVO"/>
    <m/>
    <s v="CCK - Alem 351"/>
    <x v="750"/>
    <s v="DNI"/>
    <n v="31614943"/>
    <n v="20316149430"/>
    <d v="1985-05-24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16"/>
    <x v="2"/>
    <m/>
    <s v="Analista"/>
    <m/>
    <s v="CCK"/>
    <m/>
    <x v="751"/>
    <s v="DNI"/>
    <n v="25730787"/>
    <n v="20257307876"/>
    <m/>
    <m/>
    <m/>
    <m/>
    <m/>
    <x v="1"/>
    <x v="1"/>
    <d v="2007-11-05T00:00:00"/>
    <d v="2016-12-31T00:00:00"/>
    <d v="2016-12-31T00:00:00"/>
    <x v="11"/>
    <m/>
    <m/>
    <n v="19528"/>
    <x v="133"/>
    <x v="5"/>
    <s v="."/>
    <s v="."/>
    <s v="."/>
    <n v="1000"/>
    <x v="1"/>
    <x v="0"/>
    <x v="0"/>
  </r>
  <r>
    <x v="0"/>
    <x v="0"/>
    <x v="0"/>
    <x v="0"/>
    <x v="8"/>
    <x v="6"/>
    <m/>
    <s v="PRENSA Y COMUNICACIÓN"/>
    <m/>
    <s v="CABILDO 65"/>
    <m/>
    <x v="752"/>
    <s v="LE"/>
    <n v="26183522"/>
    <n v="27261835229"/>
    <m/>
    <m/>
    <m/>
    <m/>
    <m/>
    <x v="1"/>
    <x v="1"/>
    <d v="2013-12-01T00:00:00"/>
    <d v="2016-03-31T00:00:00"/>
    <d v="2016-12-31T00:00:00"/>
    <x v="4"/>
    <m/>
    <m/>
    <n v="18277"/>
    <x v="88"/>
    <x v="5"/>
    <s v="."/>
    <s v="."/>
    <s v="."/>
    <n v="1000"/>
    <x v="1"/>
    <x v="0"/>
    <x v="0"/>
  </r>
  <r>
    <x v="0"/>
    <x v="0"/>
    <x v="1"/>
    <x v="3"/>
    <x v="2"/>
    <x v="2"/>
    <m/>
    <s v="PRIVADA"/>
    <s v="ADMINISTRATIVO"/>
    <s v="TECNÓPOLIS"/>
    <s v="TECNOPOLIS"/>
    <x v="753"/>
    <s v="DNI"/>
    <n v="18303910"/>
    <s v="20183039106"/>
    <d v="1967-08-09T00:00:00"/>
    <m/>
    <m/>
    <m/>
    <m/>
    <x v="0"/>
    <x v="0"/>
    <d v="2016-01-01T00:00:00"/>
    <m/>
    <d v="2016-12-31T00:00:00"/>
    <x v="0"/>
    <s v="UNTREF"/>
    <s v="UNSAM"/>
    <n v="21928.32"/>
    <x v="230"/>
    <x v="43"/>
    <n v="21928.32"/>
    <s v="."/>
    <s v="."/>
    <n v="1000"/>
    <x v="0"/>
    <x v="0"/>
    <x v="0"/>
  </r>
  <r>
    <x v="0"/>
    <x v="0"/>
    <x v="0"/>
    <x v="6"/>
    <x v="12"/>
    <x v="2"/>
    <m/>
    <m/>
    <m/>
    <m/>
    <m/>
    <x v="754"/>
    <s v="DNI"/>
    <n v="17547110"/>
    <n v="20175471104"/>
    <m/>
    <m/>
    <m/>
    <m/>
    <m/>
    <x v="2"/>
    <x v="0"/>
    <d v="2016-07-01T00:00:00"/>
    <m/>
    <d v="2016-09-30T00:00:00"/>
    <x v="0"/>
    <s v="UNTREF"/>
    <m/>
    <m/>
    <x v="18"/>
    <x v="3"/>
    <m/>
    <m/>
    <m/>
    <m/>
    <x v="1"/>
    <x v="0"/>
    <x v="2"/>
  </r>
  <r>
    <x v="0"/>
    <x v="0"/>
    <x v="0"/>
    <x v="6"/>
    <x v="12"/>
    <x v="2"/>
    <m/>
    <m/>
    <m/>
    <m/>
    <m/>
    <x v="755"/>
    <s v="DNI"/>
    <n v="22846642"/>
    <n v="20228466426"/>
    <m/>
    <m/>
    <m/>
    <m/>
    <m/>
    <x v="2"/>
    <x v="0"/>
    <d v="2016-07-01T00:00:00"/>
    <m/>
    <d v="2016-07-31T00:00:00"/>
    <x v="0"/>
    <s v="UNTREF"/>
    <m/>
    <m/>
    <x v="18"/>
    <x v="3"/>
    <m/>
    <m/>
    <m/>
    <m/>
    <x v="1"/>
    <x v="0"/>
    <x v="3"/>
  </r>
  <r>
    <x v="0"/>
    <x v="0"/>
    <x v="0"/>
    <x v="0"/>
    <x v="8"/>
    <x v="4"/>
    <m/>
    <s v="PRODUCCIÓN"/>
    <s v="PRODUCTOR de EXTERIORES"/>
    <s v="CABILDO 65"/>
    <s v="CABILDO 65"/>
    <x v="756"/>
    <s v="DNI"/>
    <n v="24462764"/>
    <n v="20244627642"/>
    <d v="1975-04-06T00:00:00"/>
    <m/>
    <m/>
    <m/>
    <m/>
    <x v="0"/>
    <x v="0"/>
    <d v="2012-03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7"/>
    <x v="2"/>
    <x v="2"/>
    <m/>
    <s v="PRIVADA"/>
    <s v="ADMINISTRATIVO"/>
    <m/>
    <s v="CCK - Alem 351"/>
    <x v="757"/>
    <s v="DNI"/>
    <n v="33174786"/>
    <n v="20331747867"/>
    <d v="1987-07-15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5"/>
    <x v="8"/>
    <m/>
    <s v="Asistente"/>
    <s v="ADMINISTRATIVO"/>
    <s v="CCK"/>
    <s v="CCK - Alem 351"/>
    <x v="758"/>
    <s v="DNI"/>
    <n v="31851944"/>
    <s v="20318519448"/>
    <d v="1979-07-31T00:00:00"/>
    <m/>
    <m/>
    <m/>
    <m/>
    <x v="0"/>
    <x v="0"/>
    <d v="2015-06-02T00:00:00"/>
    <m/>
    <d v="2016-12-31T00:00:00"/>
    <x v="0"/>
    <s v="UNTREF"/>
    <s v="UNLAM- BICENTENARIO"/>
    <n v="10807"/>
    <x v="5"/>
    <x v="9"/>
    <n v="15000"/>
    <n v="12500"/>
    <n v="15000"/>
    <n v="1000"/>
    <x v="0"/>
    <x v="0"/>
    <x v="0"/>
  </r>
  <r>
    <x v="0"/>
    <x v="0"/>
    <x v="1"/>
    <x v="7"/>
    <x v="2"/>
    <x v="2"/>
    <m/>
    <s v="PRIVADA"/>
    <s v="ADMINISTRATIVO"/>
    <m/>
    <s v="CCK - Alem 351"/>
    <x v="759"/>
    <s v="DNI"/>
    <n v="38614565"/>
    <m/>
    <d v="1994-11-15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0"/>
    <x v="0"/>
    <x v="8"/>
    <x v="6"/>
    <m/>
    <s v="PANORAMA ARGENTINO"/>
    <s v="PRODUCTOR de EXTERIORES"/>
    <s v="CABILDO 65"/>
    <s v="CABILDO 65"/>
    <x v="760"/>
    <s v="DNI"/>
    <n v="31023100"/>
    <s v="27310231008"/>
    <d v="1985-09-08T00:00:00"/>
    <m/>
    <m/>
    <m/>
    <m/>
    <x v="0"/>
    <x v="0"/>
    <d v="2010-10-01T00:00:00"/>
    <m/>
    <d v="2016-12-31T00:00:00"/>
    <x v="0"/>
    <s v="UNTREF"/>
    <s v="UNSAM- LADA"/>
    <n v="22875"/>
    <x v="231"/>
    <x v="5"/>
    <s v="."/>
    <s v="."/>
    <s v="."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761"/>
    <s v="DNI"/>
    <n v="31953814"/>
    <s v="27319538149"/>
    <d v="1985-11-29T00:00:00"/>
    <m/>
    <m/>
    <m/>
    <m/>
    <x v="0"/>
    <x v="0"/>
    <d v="2014-05-05T00:00:00"/>
    <m/>
    <d v="2016-12-31T00:00:00"/>
    <x v="0"/>
    <s v="UNTREF"/>
    <m/>
    <n v="22151"/>
    <x v="58"/>
    <x v="3"/>
    <m/>
    <m/>
    <m/>
    <n v="1000"/>
    <x v="2"/>
    <x v="0"/>
    <x v="0"/>
  </r>
  <r>
    <x v="0"/>
    <x v="0"/>
    <x v="0"/>
    <x v="0"/>
    <x v="8"/>
    <x v="6"/>
    <m/>
    <s v="POSTPRODUCCIÓN"/>
    <s v="EDICION"/>
    <s v="CABILDO 65"/>
    <s v="CABILDO 65"/>
    <x v="762"/>
    <s v="DNI"/>
    <n v="92566818"/>
    <s v="20925668185"/>
    <d v="1960-03-24T00:00:00"/>
    <m/>
    <m/>
    <m/>
    <m/>
    <x v="0"/>
    <x v="0"/>
    <d v="2013-04-13T00:00:00"/>
    <m/>
    <d v="2016-12-31T00:00:00"/>
    <x v="0"/>
    <s v="UNTREF"/>
    <s v="UNSAM- LADA"/>
    <n v="24060"/>
    <x v="73"/>
    <x v="5"/>
    <s v="."/>
    <s v="."/>
    <s v="."/>
    <n v="1000"/>
    <x v="2"/>
    <x v="0"/>
    <x v="0"/>
  </r>
  <r>
    <x v="0"/>
    <x v="0"/>
    <x v="0"/>
    <x v="9"/>
    <x v="2"/>
    <x v="2"/>
    <m/>
    <s v="PRIVADA"/>
    <s v="ADMINISTRATIVO"/>
    <m/>
    <s v="CCK - Alem 351"/>
    <x v="763"/>
    <s v="DNI"/>
    <n v="93959605"/>
    <s v="20939596055"/>
    <d v="1983-04-13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764"/>
    <s v="DNI"/>
    <n v="31039670"/>
    <s v="20310396703"/>
    <d v="1984-10-10T00:00:00"/>
    <m/>
    <m/>
    <m/>
    <m/>
    <x v="0"/>
    <x v="0"/>
    <d v="2013-05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1"/>
    <x v="16"/>
    <x v="11"/>
    <m/>
    <m/>
    <s v="VISITAS GUIADAS"/>
    <m/>
    <s v="CCK - Alem 351"/>
    <x v="765"/>
    <s v="DNI"/>
    <n v="35402655"/>
    <n v="20354026555"/>
    <d v="1990-07-27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1"/>
    <x v="0"/>
    <x v="2"/>
    <x v="2"/>
    <x v="2"/>
    <m/>
    <s v="PRIVADA"/>
    <s v="ADMINISTRATIVO"/>
    <m/>
    <s v="CCK - Alem 351"/>
    <x v="766"/>
    <s v="DNI"/>
    <n v="23608875"/>
    <s v="27236088753"/>
    <d v="1974-03-02T00:00:00"/>
    <m/>
    <m/>
    <m/>
    <m/>
    <x v="0"/>
    <x v="0"/>
    <d v="2016-01-01T00:00:00"/>
    <m/>
    <d v="2016-12-31T00:00:00"/>
    <x v="0"/>
    <s v="UNTREF"/>
    <s v="UNSAM"/>
    <n v="27000"/>
    <x v="53"/>
    <x v="13"/>
    <n v="27000"/>
    <s v="."/>
    <s v="."/>
    <n v="1000"/>
    <x v="0"/>
    <x v="0"/>
    <x v="0"/>
  </r>
  <r>
    <x v="0"/>
    <x v="0"/>
    <x v="1"/>
    <x v="3"/>
    <x v="21"/>
    <x v="2"/>
    <m/>
    <m/>
    <m/>
    <s v="TECNÓPOLIS"/>
    <m/>
    <x v="767"/>
    <s v="DNI"/>
    <n v="92521410"/>
    <n v="20925214109"/>
    <m/>
    <m/>
    <m/>
    <m/>
    <m/>
    <x v="1"/>
    <x v="1"/>
    <d v="2012-10-01T00:00:00"/>
    <d v="2016-12-31T00:00:00"/>
    <d v="2016-12-31T00:00:00"/>
    <x v="3"/>
    <m/>
    <m/>
    <n v="29781"/>
    <x v="12"/>
    <x v="5"/>
    <s v="."/>
    <s v="."/>
    <s v="."/>
    <n v="1000"/>
    <x v="1"/>
    <x v="0"/>
    <x v="0"/>
  </r>
  <r>
    <x v="0"/>
    <x v="0"/>
    <x v="0"/>
    <x v="0"/>
    <x v="8"/>
    <x v="6"/>
    <m/>
    <s v="ACUA MAYOR"/>
    <m/>
    <s v="CABILDO 65"/>
    <m/>
    <x v="768"/>
    <s v="DNI"/>
    <n v="30885489"/>
    <n v="27308854898"/>
    <m/>
    <m/>
    <m/>
    <m/>
    <m/>
    <x v="1"/>
    <x v="1"/>
    <d v="2012-12-01T00:00:00"/>
    <d v="2016-12-31T00:00:00"/>
    <d v="2016-12-31T00:00:00"/>
    <x v="4"/>
    <m/>
    <m/>
    <n v="18000"/>
    <x v="57"/>
    <x v="5"/>
    <s v="."/>
    <s v="."/>
    <s v="."/>
    <n v="1000"/>
    <x v="1"/>
    <x v="0"/>
    <x v="0"/>
  </r>
  <r>
    <x v="0"/>
    <x v="0"/>
    <x v="0"/>
    <x v="0"/>
    <x v="8"/>
    <x v="6"/>
    <m/>
    <s v="PROGRAMA POLOS AUDIOVISUALES TECNOLÓGICOS"/>
    <m/>
    <s v="CABILDO 65"/>
    <m/>
    <x v="769"/>
    <s v="DNI"/>
    <n v="16977688"/>
    <n v="27169776887"/>
    <m/>
    <m/>
    <m/>
    <m/>
    <m/>
    <x v="1"/>
    <x v="1"/>
    <d v="2014-10-01T00:00:00"/>
    <d v="2016-03-31T00:00:00"/>
    <d v="2016-12-31T00:00:00"/>
    <x v="3"/>
    <m/>
    <m/>
    <n v="11730"/>
    <x v="51"/>
    <x v="5"/>
    <s v="."/>
    <s v="."/>
    <s v="."/>
    <n v="1000"/>
    <x v="1"/>
    <x v="0"/>
    <x v="0"/>
  </r>
  <r>
    <x v="0"/>
    <x v="0"/>
    <x v="1"/>
    <x v="3"/>
    <x v="20"/>
    <x v="2"/>
    <m/>
    <m/>
    <m/>
    <s v="TECNÓPOLIS"/>
    <m/>
    <x v="770"/>
    <s v="DNI"/>
    <n v="17083297"/>
    <n v="20170832974"/>
    <m/>
    <m/>
    <m/>
    <m/>
    <m/>
    <x v="1"/>
    <x v="1"/>
    <d v="2012-10-31T00:00:00"/>
    <d v="2016-12-31T00:00:00"/>
    <d v="2016-12-31T00:00:00"/>
    <x v="3"/>
    <m/>
    <m/>
    <n v="21121.22"/>
    <x v="232"/>
    <x v="5"/>
    <s v="."/>
    <s v="."/>
    <s v="."/>
    <n v="1000"/>
    <x v="1"/>
    <x v="0"/>
    <x v="0"/>
  </r>
  <r>
    <x v="0"/>
    <x v="0"/>
    <x v="1"/>
    <x v="3"/>
    <x v="9"/>
    <x v="2"/>
    <m/>
    <s v="ADMINISTRATIVO"/>
    <m/>
    <s v="TECNÓPOLIS"/>
    <m/>
    <x v="771"/>
    <s v="DNI"/>
    <n v="37162434"/>
    <n v="20371624342"/>
    <m/>
    <m/>
    <m/>
    <m/>
    <m/>
    <x v="1"/>
    <x v="1"/>
    <d v="2012-11-30T00:00:00"/>
    <d v="2016-12-31T00:00:00"/>
    <d v="2016-12-31T00:00:00"/>
    <x v="1"/>
    <m/>
    <m/>
    <n v="26079"/>
    <x v="233"/>
    <x v="5"/>
    <s v="."/>
    <s v="."/>
    <s v="."/>
    <n v="1000"/>
    <x v="1"/>
    <x v="0"/>
    <x v="0"/>
  </r>
  <r>
    <x v="0"/>
    <x v="0"/>
    <x v="1"/>
    <x v="1"/>
    <x v="1"/>
    <x v="1"/>
    <m/>
    <m/>
    <s v="ADMINISTRATIVO"/>
    <s v="CCK"/>
    <s v="CCK - Alem 351"/>
    <x v="772"/>
    <s v="DNI"/>
    <n v="25121660"/>
    <s v="27251216601"/>
    <d v="1976-01-13T00:00:00"/>
    <m/>
    <m/>
    <m/>
    <m/>
    <x v="0"/>
    <x v="0"/>
    <d v="2016-02-01T00:00:00"/>
    <m/>
    <d v="2016-12-31T00:00:00"/>
    <x v="0"/>
    <s v="UNTREF"/>
    <s v="UNSAM"/>
    <n v="15000"/>
    <x v="110"/>
    <x v="12"/>
    <n v="17000"/>
    <s v="."/>
    <n v="17000"/>
    <n v="1000"/>
    <x v="0"/>
    <x v="0"/>
    <x v="0"/>
  </r>
  <r>
    <x v="0"/>
    <x v="0"/>
    <x v="1"/>
    <x v="3"/>
    <x v="20"/>
    <x v="2"/>
    <m/>
    <m/>
    <m/>
    <s v="TECNÓPOLIS"/>
    <m/>
    <x v="773"/>
    <s v="DNI"/>
    <n v="32456433"/>
    <n v="20324564331"/>
    <m/>
    <m/>
    <m/>
    <m/>
    <m/>
    <x v="1"/>
    <x v="1"/>
    <d v="2012-07-01T00:00:00"/>
    <d v="2016-12-31T00:00:00"/>
    <d v="2016-12-31T00:00:00"/>
    <x v="1"/>
    <m/>
    <m/>
    <n v="15839.72"/>
    <x v="234"/>
    <x v="5"/>
    <s v="."/>
    <s v="."/>
    <s v="."/>
    <n v="1000"/>
    <x v="1"/>
    <x v="0"/>
    <x v="0"/>
  </r>
  <r>
    <x v="0"/>
    <x v="0"/>
    <x v="1"/>
    <x v="1"/>
    <x v="16"/>
    <x v="10"/>
    <m/>
    <m/>
    <s v="asistente funcional"/>
    <m/>
    <s v="CCK - Alem 351"/>
    <x v="774"/>
    <s v="DNI"/>
    <n v="29718936"/>
    <n v="27297189366"/>
    <d v="1982-10-31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15"/>
    <x v="2"/>
    <m/>
    <m/>
    <s v="CARPINTERO"/>
    <s v="TECNÓPOLIS"/>
    <s v="TECNOPOLIS"/>
    <x v="775"/>
    <s v="DNI"/>
    <n v="28713736"/>
    <s v="20287137363"/>
    <d v="1981-04-22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1"/>
    <x v="0"/>
    <x v="5"/>
    <x v="17"/>
    <x v="12"/>
    <s v="AUTOMOTORES"/>
    <s v="CHOFER"/>
    <m/>
    <s v="CCK"/>
    <m/>
    <x v="776"/>
    <s v="DNI"/>
    <n v="13072833"/>
    <n v="20130728333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0"/>
    <x v="0"/>
    <x v="0"/>
    <x v="8"/>
    <x v="6"/>
    <m/>
    <s v="CONTENIDOS DIGITALES ABIERTOS CDA"/>
    <s v="ADMINISTRATIVO"/>
    <s v="CABILDO 65"/>
    <s v="CABILDO 65"/>
    <x v="777"/>
    <s v="DNI"/>
    <n v="25216896"/>
    <s v="27252168961"/>
    <d v="1976-02-26T00:00:00"/>
    <m/>
    <m/>
    <m/>
    <m/>
    <x v="0"/>
    <x v="0"/>
    <d v="2012-01-01T00:00:00"/>
    <m/>
    <d v="2016-12-31T00:00:00"/>
    <x v="0"/>
    <s v="UNTREF"/>
    <s v="UNSAM- LADA"/>
    <n v="17849"/>
    <x v="83"/>
    <x v="5"/>
    <s v="."/>
    <s v="."/>
    <s v="."/>
    <n v="1000"/>
    <x v="2"/>
    <x v="0"/>
    <x v="0"/>
  </r>
  <r>
    <x v="0"/>
    <x v="0"/>
    <x v="1"/>
    <x v="1"/>
    <x v="16"/>
    <x v="2"/>
    <m/>
    <m/>
    <m/>
    <m/>
    <m/>
    <x v="778"/>
    <s v="DNI"/>
    <n v="27329367"/>
    <n v="20273293672"/>
    <m/>
    <m/>
    <m/>
    <m/>
    <m/>
    <x v="1"/>
    <x v="1"/>
    <d v="2013-12-01T00:00:00"/>
    <d v="2016-03-31T00:00:00"/>
    <d v="2016-12-31T00:00:00"/>
    <x v="16"/>
    <m/>
    <m/>
    <n v="12142"/>
    <x v="235"/>
    <x v="5"/>
    <s v="."/>
    <s v="."/>
    <s v="."/>
    <n v="1000"/>
    <x v="1"/>
    <x v="0"/>
    <x v="0"/>
  </r>
  <r>
    <x v="0"/>
    <x v="0"/>
    <x v="0"/>
    <x v="8"/>
    <x v="1"/>
    <x v="2"/>
    <m/>
    <m/>
    <m/>
    <s v="CCK"/>
    <s v="CCK - Alem 351"/>
    <x v="779"/>
    <s v="DNI"/>
    <n v="21833580"/>
    <n v="27218335808"/>
    <m/>
    <m/>
    <m/>
    <m/>
    <m/>
    <x v="1"/>
    <x v="1"/>
    <d v="2012-11-30T00:00:00"/>
    <d v="2016-12-31T00:00:00"/>
    <d v="2016-12-31T00:00:00"/>
    <x v="3"/>
    <m/>
    <m/>
    <n v="29800.97"/>
    <x v="236"/>
    <x v="5"/>
    <s v="."/>
    <s v="."/>
    <s v="."/>
    <n v="1000"/>
    <x v="1"/>
    <x v="0"/>
    <x v="0"/>
  </r>
  <r>
    <x v="0"/>
    <x v="0"/>
    <x v="1"/>
    <x v="3"/>
    <x v="2"/>
    <x v="2"/>
    <m/>
    <s v="PRIVADA"/>
    <s v="ADMINISTRATIVO"/>
    <m/>
    <s v="TECNOPOLIS"/>
    <x v="780"/>
    <s v="DNI"/>
    <n v="32805681"/>
    <n v="27328056815"/>
    <d v="1987-10-15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1"/>
    <x v="5"/>
    <x v="9"/>
    <m/>
    <s v="ciara"/>
    <m/>
    <m/>
    <m/>
    <x v="781"/>
    <s v="DNI"/>
    <n v="18528740"/>
    <n v="20185287409"/>
    <m/>
    <m/>
    <m/>
    <m/>
    <m/>
    <x v="2"/>
    <x v="1"/>
    <d v="2013-12-01T00:00:00"/>
    <m/>
    <d v="2016-12-31T00:00:00"/>
    <x v="1"/>
    <m/>
    <m/>
    <m/>
    <x v="18"/>
    <x v="3"/>
    <m/>
    <m/>
    <m/>
    <m/>
    <x v="1"/>
    <x v="0"/>
    <x v="2"/>
  </r>
  <r>
    <x v="0"/>
    <x v="1"/>
    <x v="0"/>
    <x v="5"/>
    <x v="26"/>
    <x v="2"/>
    <m/>
    <s v="Analista"/>
    <s v="Analista"/>
    <s v="CCK"/>
    <s v="CCK - Alem 351"/>
    <x v="782"/>
    <s v="DNI"/>
    <n v="36547045"/>
    <s v="20365470457"/>
    <d v="1991-09-26T00:00:00"/>
    <m/>
    <m/>
    <m/>
    <m/>
    <x v="0"/>
    <x v="0"/>
    <d v="2014-06-23T00:00:00"/>
    <m/>
    <d v="2016-12-31T00:00:00"/>
    <x v="0"/>
    <s v="UNTREF"/>
    <s v="UNLAM- INFO"/>
    <n v="8981"/>
    <x v="28"/>
    <x v="4"/>
    <n v="13000"/>
    <n v="11500"/>
    <n v="13000"/>
    <n v="1000"/>
    <x v="0"/>
    <x v="0"/>
    <x v="0"/>
  </r>
  <r>
    <x v="0"/>
    <x v="0"/>
    <x v="1"/>
    <x v="3"/>
    <x v="1"/>
    <x v="2"/>
    <m/>
    <s v="ADMINISTRATIVO"/>
    <m/>
    <s v="TECNÓPOLIS"/>
    <m/>
    <x v="783"/>
    <s v="DNI"/>
    <n v="36482574"/>
    <n v="27364825744"/>
    <m/>
    <m/>
    <m/>
    <m/>
    <m/>
    <x v="1"/>
    <x v="1"/>
    <d v="2013-07-01T00:00:00"/>
    <d v="2016-03-31T00:00:00"/>
    <d v="2016-12-31T00:00:00"/>
    <x v="3"/>
    <m/>
    <m/>
    <n v="13084.78"/>
    <x v="32"/>
    <x v="5"/>
    <s v="."/>
    <s v="."/>
    <s v="."/>
    <n v="1000"/>
    <x v="1"/>
    <x v="0"/>
    <x v="0"/>
  </r>
  <r>
    <x v="0"/>
    <x v="0"/>
    <x v="1"/>
    <x v="3"/>
    <x v="21"/>
    <x v="2"/>
    <m/>
    <m/>
    <m/>
    <s v="TECNÓPOLIS"/>
    <m/>
    <x v="784"/>
    <s v="DNI"/>
    <n v="93978389"/>
    <n v="27939783895"/>
    <m/>
    <m/>
    <m/>
    <m/>
    <m/>
    <x v="1"/>
    <x v="1"/>
    <d v="2012-06-01T00:00:00"/>
    <d v="2016-12-31T00:00:00"/>
    <d v="2016-12-31T00:00:00"/>
    <x v="3"/>
    <m/>
    <m/>
    <n v="13084"/>
    <x v="237"/>
    <x v="5"/>
    <s v="."/>
    <s v="."/>
    <s v="."/>
    <n v="1000"/>
    <x v="1"/>
    <x v="0"/>
    <x v="0"/>
  </r>
  <r>
    <x v="0"/>
    <x v="0"/>
    <x v="1"/>
    <x v="3"/>
    <x v="32"/>
    <x v="2"/>
    <m/>
    <m/>
    <s v="MANTENIMIENTO"/>
    <s v="TECNÓPOLIS"/>
    <s v="TECNOPOLIS"/>
    <x v="785"/>
    <s v="DNI"/>
    <n v="34738374"/>
    <s v="24347383747"/>
    <d v="1989-08-19T00:00:00"/>
    <m/>
    <m/>
    <m/>
    <m/>
    <x v="0"/>
    <x v="0"/>
    <d v="2013-06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1"/>
    <x v="2"/>
    <x v="2"/>
    <m/>
    <m/>
    <s v="ADMINISTRATIVO"/>
    <m/>
    <s v="CCK - Alem 351"/>
    <x v="786"/>
    <s v="DNI"/>
    <n v="11530452"/>
    <n v="20115304527"/>
    <d v="1955-02-03T00:00:00"/>
    <m/>
    <m/>
    <m/>
    <m/>
    <x v="0"/>
    <x v="0"/>
    <d v="2016-04-01T00:00:00"/>
    <m/>
    <d v="2016-12-31T00:00:00"/>
    <x v="0"/>
    <s v="UNTREF"/>
    <m/>
    <m/>
    <x v="18"/>
    <x v="3"/>
    <m/>
    <m/>
    <m/>
    <n v="1000"/>
    <x v="0"/>
    <x v="0"/>
    <x v="0"/>
  </r>
  <r>
    <x v="0"/>
    <x v="1"/>
    <x v="0"/>
    <x v="5"/>
    <x v="7"/>
    <x v="2"/>
    <m/>
    <m/>
    <s v="ADMINISTRATIVO"/>
    <m/>
    <s v="CCK - Alem 351"/>
    <x v="787"/>
    <s v="DNI"/>
    <n v="30643205"/>
    <n v="27306432058"/>
    <d v="1985-05-01T00:00:00"/>
    <m/>
    <m/>
    <m/>
    <m/>
    <x v="0"/>
    <x v="0"/>
    <d v="2016-06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39"/>
    <x v="2"/>
    <m/>
    <s v="ADMINISTRATIVO"/>
    <m/>
    <s v="TECNÓPOLIS"/>
    <m/>
    <x v="788"/>
    <s v="DNI"/>
    <n v="35532252"/>
    <n v="20355322522"/>
    <m/>
    <m/>
    <m/>
    <m/>
    <m/>
    <x v="1"/>
    <x v="1"/>
    <d v="2014-05-01T00:00:00"/>
    <d v="2016-03-31T00:00:00"/>
    <d v="2016-12-31T00:00:00"/>
    <x v="8"/>
    <m/>
    <m/>
    <n v="14558"/>
    <x v="238"/>
    <x v="5"/>
    <s v="."/>
    <s v="."/>
    <s v="."/>
    <n v="1000"/>
    <x v="1"/>
    <x v="0"/>
    <x v="0"/>
  </r>
  <r>
    <x v="0"/>
    <x v="0"/>
    <x v="1"/>
    <x v="3"/>
    <x v="2"/>
    <x v="2"/>
    <m/>
    <s v="PRIVADA"/>
    <s v="ADMINISTRATIVO"/>
    <s v="TECNÓPOLIS"/>
    <s v="TECNOPOLIS"/>
    <x v="789"/>
    <s v="DNI"/>
    <n v="25824447"/>
    <s v="20258244479"/>
    <d v="1977-05-09T00:00:00"/>
    <m/>
    <m/>
    <m/>
    <m/>
    <x v="0"/>
    <x v="0"/>
    <d v="2016-01-01T00:00:00"/>
    <m/>
    <d v="2016-12-31T00:00:00"/>
    <x v="0"/>
    <s v="UNTREF"/>
    <s v="UNSAM"/>
    <n v="10000"/>
    <x v="0"/>
    <x v="44"/>
    <n v="10000"/>
    <s v="."/>
    <s v="."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790"/>
    <s v="DNI"/>
    <n v="33443159"/>
    <s v="27334431598"/>
    <d v="1987-11-18T00:00:00"/>
    <m/>
    <m/>
    <m/>
    <m/>
    <x v="0"/>
    <x v="0"/>
    <d v="2012-06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1"/>
    <x v="3"/>
    <x v="24"/>
    <x v="2"/>
    <m/>
    <s v="Tareas Generales"/>
    <s v="MANTENIMIENTO DE ESPACIOS VERDES"/>
    <s v="TECNÓPOLIS"/>
    <m/>
    <x v="791"/>
    <s v="DNI"/>
    <n v="20854162"/>
    <n v="27208541620"/>
    <m/>
    <m/>
    <m/>
    <m/>
    <m/>
    <x v="0"/>
    <x v="2"/>
    <m/>
    <m/>
    <d v="2016-12-31T00:00:00"/>
    <x v="0"/>
    <s v="UNTREF"/>
    <s v="UNTREF"/>
    <n v="4700"/>
    <x v="142"/>
    <x v="5"/>
    <s v="."/>
    <s v="."/>
    <s v="."/>
    <n v="1000"/>
    <x v="0"/>
    <x v="0"/>
    <x v="0"/>
  </r>
  <r>
    <x v="0"/>
    <x v="0"/>
    <x v="1"/>
    <x v="3"/>
    <x v="21"/>
    <x v="2"/>
    <m/>
    <m/>
    <s v="MANTENIMIENTO DE ESPACIOS VERDES"/>
    <s v="TECNÓPOLIS"/>
    <s v="TECNOPOLIS"/>
    <x v="792"/>
    <s v="DNI"/>
    <n v="25204241"/>
    <s v="20252042416"/>
    <d v="1976-06-16T00:00:00"/>
    <m/>
    <m/>
    <m/>
    <m/>
    <x v="0"/>
    <x v="0"/>
    <d v="2014-10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1"/>
    <x v="0"/>
    <x v="5"/>
    <x v="17"/>
    <x v="12"/>
    <s v="AUTOMOTORES"/>
    <s v="CHOFER"/>
    <m/>
    <s v="CCK"/>
    <m/>
    <x v="793"/>
    <s v="DNI"/>
    <n v="29477026"/>
    <n v="20294770268"/>
    <m/>
    <m/>
    <m/>
    <m/>
    <m/>
    <x v="1"/>
    <x v="1"/>
    <d v="2014-12-01T00:00:00"/>
    <d v="2016-03-31T00:00:00"/>
    <d v="2016-12-31T00:00:00"/>
    <x v="1"/>
    <m/>
    <m/>
    <n v="18000"/>
    <x v="57"/>
    <x v="5"/>
    <s v="."/>
    <s v="."/>
    <s v="."/>
    <n v="1000"/>
    <x v="1"/>
    <x v="0"/>
    <x v="0"/>
  </r>
  <r>
    <x v="0"/>
    <x v="1"/>
    <x v="0"/>
    <x v="5"/>
    <x v="30"/>
    <x v="2"/>
    <m/>
    <s v="Analista"/>
    <s v="ADMINISTRATIVO"/>
    <m/>
    <s v="CCK - Alem 351"/>
    <x v="794"/>
    <s v="DNI"/>
    <n v="45735293"/>
    <s v="27457352935"/>
    <d v="1995-06-28T00:00:00"/>
    <m/>
    <m/>
    <m/>
    <m/>
    <x v="0"/>
    <x v="0"/>
    <d v="2016-05-02T00:00:00"/>
    <m/>
    <d v="2016-12-31T00:00:00"/>
    <x v="0"/>
    <s v="UNTREF"/>
    <m/>
    <s v="."/>
    <x v="0"/>
    <x v="3"/>
    <m/>
    <s v="."/>
    <n v="12000"/>
    <n v="1000"/>
    <x v="0"/>
    <x v="0"/>
    <x v="0"/>
  </r>
  <r>
    <x v="0"/>
    <x v="0"/>
    <x v="0"/>
    <x v="0"/>
    <x v="0"/>
    <x v="0"/>
    <m/>
    <s v="DESARROLLOS"/>
    <s v="ANALISTA"/>
    <s v="PALPALÁ-JUJUY"/>
    <s v="PALPALÁ-JUJUY"/>
    <x v="795"/>
    <s v="DNI"/>
    <n v="31442888"/>
    <n v="23314428889"/>
    <d v="1985-02-22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0"/>
    <x v="0"/>
    <x v="0"/>
    <x v="8"/>
    <x v="4"/>
    <m/>
    <s v="POSTPRODUCCIÓN"/>
    <s v="ADMINISTRATIVO"/>
    <s v="CABILDO 65"/>
    <s v="CABILDO 65"/>
    <x v="796"/>
    <s v="DNI"/>
    <n v="26621205"/>
    <s v="20266212055"/>
    <d v="1978-06-19T00:00:00"/>
    <m/>
    <m/>
    <m/>
    <m/>
    <x v="0"/>
    <x v="0"/>
    <d v="2015-04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3"/>
    <x v="6"/>
    <x v="2"/>
    <m/>
    <m/>
    <s v="MANTENIMIENTO GRAL DEL PARQUE"/>
    <s v="TECNÓPOLIS"/>
    <s v="TECNOPOLIS"/>
    <x v="797"/>
    <s v="DNI"/>
    <n v="92820166"/>
    <s v="20928201660"/>
    <d v="1977-03-22T00:00:00"/>
    <m/>
    <m/>
    <m/>
    <m/>
    <x v="0"/>
    <x v="0"/>
    <d v="2011-07-01T00:00:00"/>
    <m/>
    <d v="2016-12-31T00:00:00"/>
    <x v="0"/>
    <s v="UNTREF"/>
    <s v="UNTREF"/>
    <n v="11499.3"/>
    <x v="239"/>
    <x v="5"/>
    <s v="."/>
    <s v=".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798"/>
    <s v="DNI"/>
    <n v="31009104"/>
    <s v="23310091049"/>
    <d v="1984-01-05T00:00:00"/>
    <m/>
    <m/>
    <m/>
    <m/>
    <x v="0"/>
    <x v="0"/>
    <d v="2011-03-01T00:00:00"/>
    <m/>
    <d v="2016-12-31T00:00:00"/>
    <x v="0"/>
    <s v="UNTREF"/>
    <m/>
    <n v="19353"/>
    <x v="36"/>
    <x v="3"/>
    <m/>
    <m/>
    <m/>
    <n v="1000"/>
    <x v="2"/>
    <x v="0"/>
    <x v="0"/>
  </r>
  <r>
    <x v="0"/>
    <x v="1"/>
    <x v="0"/>
    <x v="5"/>
    <x v="26"/>
    <x v="2"/>
    <m/>
    <s v="Analista"/>
    <m/>
    <s v="CCK"/>
    <m/>
    <x v="799"/>
    <s v="DNI"/>
    <n v="27738544"/>
    <n v="23277385449"/>
    <m/>
    <m/>
    <m/>
    <m/>
    <m/>
    <x v="1"/>
    <x v="1"/>
    <d v="2013-09-01T00:00:00"/>
    <d v="2016-03-31T00:00:00"/>
    <d v="2016-12-31T00:00:00"/>
    <x v="3"/>
    <m/>
    <m/>
    <n v="11730"/>
    <x v="51"/>
    <x v="5"/>
    <s v="."/>
    <s v="."/>
    <n v="14000"/>
    <n v="1000"/>
    <x v="1"/>
    <x v="0"/>
    <x v="0"/>
  </r>
  <r>
    <x v="0"/>
    <x v="0"/>
    <x v="1"/>
    <x v="1"/>
    <x v="5"/>
    <x v="24"/>
    <m/>
    <s v="INVESTIGACION APLICADA"/>
    <s v="ADMINISTRATIVO"/>
    <s v="CCK"/>
    <s v="CCK - Alem 351"/>
    <x v="800"/>
    <s v="DNI"/>
    <n v="24946722"/>
    <s v="20249467228"/>
    <d v="1975-12-03T00:00:00"/>
    <m/>
    <m/>
    <m/>
    <m/>
    <x v="0"/>
    <x v="0"/>
    <d v="2015-06-01T00:00:00"/>
    <m/>
    <d v="2016-12-31T00:00:00"/>
    <x v="0"/>
    <s v="UNTREF"/>
    <s v="UNSAM"/>
    <n v="30145"/>
    <x v="198"/>
    <x v="40"/>
    <n v="30145"/>
    <s v="."/>
    <n v="27000"/>
    <n v="1000"/>
    <x v="0"/>
    <x v="0"/>
    <x v="0"/>
  </r>
  <r>
    <x v="0"/>
    <x v="0"/>
    <x v="0"/>
    <x v="4"/>
    <x v="11"/>
    <x v="2"/>
    <m/>
    <s v="PRIVADA"/>
    <s v="ADMINISTRATIVO"/>
    <m/>
    <s v="CCK - Alem 351"/>
    <x v="801"/>
    <s v="DNI"/>
    <n v="33275553"/>
    <s v="27332755531"/>
    <d v="1987-07-25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15"/>
    <x v="2"/>
    <m/>
    <m/>
    <s v="MANTENIMIENTO GRAL DEL PARQUE"/>
    <s v="TECNÓPOLIS"/>
    <s v="TECNOPOLIS"/>
    <x v="802"/>
    <s v="DNI"/>
    <n v="29975332"/>
    <s v="20299753329"/>
    <d v="1983-01-16T00:00:00"/>
    <m/>
    <m/>
    <m/>
    <m/>
    <x v="0"/>
    <x v="0"/>
    <d v="2014-06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16"/>
    <x v="11"/>
    <m/>
    <m/>
    <s v="VISITAS GUIADAS"/>
    <m/>
    <s v="CCK - Alem 351"/>
    <x v="803"/>
    <s v="DNI"/>
    <n v="37805084"/>
    <n v="20378050848"/>
    <d v="1993-07-21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16"/>
    <x v="11"/>
    <m/>
    <m/>
    <s v="VISITAS GUIADAS"/>
    <m/>
    <s v="CCK - Alem 351"/>
    <x v="804"/>
    <s v="DNI"/>
    <n v="40946532"/>
    <m/>
    <d v="1998-05-15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39"/>
    <x v="2"/>
    <m/>
    <s v="Analista"/>
    <m/>
    <s v="CCK"/>
    <m/>
    <x v="805"/>
    <s v="DNI"/>
    <n v="23126327"/>
    <n v="20231263277"/>
    <m/>
    <m/>
    <m/>
    <m/>
    <m/>
    <x v="1"/>
    <x v="1"/>
    <d v="2010-07-19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1"/>
    <x v="10"/>
    <x v="2"/>
    <m/>
    <m/>
    <s v="ADMINISTRATIVA"/>
    <m/>
    <s v="CCK - Alem 351"/>
    <x v="806"/>
    <s v="DNI"/>
    <n v="30530974"/>
    <s v="20305309746"/>
    <d v="1984-05-05T00:00:00"/>
    <m/>
    <m/>
    <m/>
    <m/>
    <x v="0"/>
    <x v="0"/>
    <d v="2016-04-01T00:00:00"/>
    <m/>
    <d v="2016-12-31T00:00:00"/>
    <x v="0"/>
    <s v="UNTREF"/>
    <m/>
    <n v="20000"/>
    <x v="18"/>
    <x v="3"/>
    <m/>
    <m/>
    <m/>
    <n v="1000"/>
    <x v="0"/>
    <x v="0"/>
    <x v="0"/>
  </r>
  <r>
    <x v="0"/>
    <x v="0"/>
    <x v="1"/>
    <x v="1"/>
    <x v="5"/>
    <x v="19"/>
    <s v="LOGISTICA OPERATIVA"/>
    <s v="Responsable"/>
    <s v="Asistente Técnico Seguridad"/>
    <s v="CCK"/>
    <s v="CCK - Alem 351"/>
    <x v="807"/>
    <s v="DNI"/>
    <n v="27257335"/>
    <s v="20272573353"/>
    <d v="1979-05-24T00:00:00"/>
    <m/>
    <m/>
    <m/>
    <m/>
    <x v="0"/>
    <x v="0"/>
    <d v="2015-03-20T00:00:00"/>
    <m/>
    <d v="2016-12-31T00:00:00"/>
    <x v="0"/>
    <s v="UNTREF"/>
    <s v="UNLAM- DGA"/>
    <n v="15732"/>
    <x v="126"/>
    <x v="4"/>
    <n v="13000"/>
    <s v="."/>
    <s v="."/>
    <n v="1000"/>
    <x v="0"/>
    <x v="0"/>
    <x v="0"/>
  </r>
  <r>
    <x v="0"/>
    <x v="1"/>
    <x v="0"/>
    <x v="5"/>
    <x v="7"/>
    <x v="2"/>
    <m/>
    <s v="ADMINISTRACIÓN"/>
    <m/>
    <s v="CCK"/>
    <m/>
    <x v="808"/>
    <s v="DNI"/>
    <n v="31464052"/>
    <n v="20314640528"/>
    <m/>
    <m/>
    <m/>
    <m/>
    <m/>
    <x v="1"/>
    <x v="1"/>
    <d v="2015-03-01T00:00:00"/>
    <d v="2016-03-31T00:00:00"/>
    <d v="2016-12-31T00:00:00"/>
    <x v="6"/>
    <m/>
    <m/>
    <n v="27374"/>
    <x v="31"/>
    <x v="5"/>
    <s v="."/>
    <s v="."/>
    <s v="."/>
    <n v="1000"/>
    <x v="1"/>
    <x v="0"/>
    <x v="0"/>
  </r>
  <r>
    <x v="0"/>
    <x v="1"/>
    <x v="0"/>
    <x v="5"/>
    <x v="7"/>
    <x v="2"/>
    <m/>
    <s v="ADMINISTRACIÓN"/>
    <s v="ADMINISTRATIVO"/>
    <m/>
    <s v="CCK - Alem 351"/>
    <x v="809"/>
    <s v="DNI"/>
    <n v="35317218"/>
    <s v="20353172183"/>
    <d v="1990-08-07T00:00:00"/>
    <m/>
    <m/>
    <m/>
    <m/>
    <x v="0"/>
    <x v="0"/>
    <m/>
    <m/>
    <d v="2016-12-31T00:00:00"/>
    <x v="0"/>
    <s v="UNTREF"/>
    <m/>
    <n v="17101"/>
    <x v="240"/>
    <x v="45"/>
    <s v="."/>
    <s v=".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810"/>
    <s v="DNI"/>
    <n v="25296801"/>
    <s v="20252968017"/>
    <d v="1976-05-01T00:00:00"/>
    <m/>
    <m/>
    <m/>
    <m/>
    <x v="0"/>
    <x v="0"/>
    <d v="2010-12-13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3"/>
    <x v="44"/>
    <x v="2"/>
    <m/>
    <m/>
    <m/>
    <s v="TECNÓPOLIS"/>
    <m/>
    <x v="811"/>
    <s v="DNI"/>
    <n v="29107451"/>
    <n v="20291074511"/>
    <m/>
    <m/>
    <m/>
    <m/>
    <m/>
    <x v="1"/>
    <x v="1"/>
    <d v="2012-11-30T00:00:00"/>
    <d v="2016-12-31T00:00:00"/>
    <d v="2016-12-31T00:00:00"/>
    <x v="13"/>
    <m/>
    <m/>
    <n v="12172"/>
    <x v="241"/>
    <x v="5"/>
    <s v="."/>
    <s v="."/>
    <s v="."/>
    <n v="1000"/>
    <x v="1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812"/>
    <s v="DNI"/>
    <n v="35561305"/>
    <n v="23355613054"/>
    <d v="1990-11-26T00:00:00"/>
    <m/>
    <m/>
    <m/>
    <m/>
    <x v="0"/>
    <x v="2"/>
    <d v="2014-07-01T00:00:00"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813"/>
    <s v="DNI"/>
    <n v="17038143"/>
    <n v="20170381433"/>
    <d v="1965-01-20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1"/>
    <x v="0"/>
    <x v="5"/>
    <x v="26"/>
    <x v="2"/>
    <m/>
    <s v="Analista"/>
    <s v="Analista"/>
    <s v="CCK"/>
    <s v="CCK - Alem 351"/>
    <x v="814"/>
    <s v="DNI"/>
    <n v="22777432"/>
    <s v="20227774321"/>
    <d v="1972-08-29T00:00:00"/>
    <m/>
    <m/>
    <m/>
    <m/>
    <x v="0"/>
    <x v="0"/>
    <d v="2015-05-21T00:00:00"/>
    <m/>
    <d v="2016-12-31T00:00:00"/>
    <x v="0"/>
    <s v="UNTREF"/>
    <s v="UNLAM- INFO"/>
    <n v="7700"/>
    <x v="28"/>
    <x v="4"/>
    <n v="13000"/>
    <n v="11500"/>
    <n v="13000"/>
    <n v="1000"/>
    <x v="0"/>
    <x v="0"/>
    <x v="0"/>
  </r>
  <r>
    <x v="0"/>
    <x v="0"/>
    <x v="1"/>
    <x v="1"/>
    <x v="16"/>
    <x v="11"/>
    <m/>
    <m/>
    <s v="VISITAS GUIADAS"/>
    <m/>
    <s v="CCK - Alem 351"/>
    <x v="815"/>
    <s v="DNI"/>
    <n v="38625956"/>
    <n v="27386259564"/>
    <d v="1995-01-03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27"/>
    <x v="2"/>
    <m/>
    <m/>
    <m/>
    <s v="TECNÓPOLIS"/>
    <m/>
    <x v="816"/>
    <s v="DNI"/>
    <n v="28165475"/>
    <n v="27281654751"/>
    <m/>
    <m/>
    <m/>
    <m/>
    <m/>
    <x v="1"/>
    <x v="1"/>
    <d v="2013-05-01T00:00:00"/>
    <d v="2016-03-31T00:00:00"/>
    <d v="2016-12-31T00:00:00"/>
    <x v="3"/>
    <m/>
    <m/>
    <n v="29784"/>
    <x v="55"/>
    <x v="5"/>
    <s v="."/>
    <s v="."/>
    <s v="."/>
    <n v="1000"/>
    <x v="1"/>
    <x v="0"/>
    <x v="0"/>
  </r>
  <r>
    <x v="0"/>
    <x v="0"/>
    <x v="0"/>
    <x v="0"/>
    <x v="8"/>
    <x v="6"/>
    <m/>
    <s v="CTO"/>
    <s v="MANTENIMIENTO"/>
    <s v="CABILDO 65"/>
    <s v="CABILDO 65"/>
    <x v="817"/>
    <s v="DNI"/>
    <n v="36944732"/>
    <s v="20369447328"/>
    <d v="1992-12-07T00:00:00"/>
    <m/>
    <m/>
    <m/>
    <m/>
    <x v="0"/>
    <x v="0"/>
    <d v="2013-07-01T00:00:00"/>
    <m/>
    <d v="2016-12-31T00:00:00"/>
    <x v="0"/>
    <s v="UNTREF"/>
    <s v="UNSAM- LADA"/>
    <n v="11466"/>
    <x v="49"/>
    <x v="46"/>
    <n v="13500"/>
    <n v="13500"/>
    <s v="."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818"/>
    <s v="DNI"/>
    <n v="35084320"/>
    <s v="20350843206"/>
    <d v="1990-04-27T00:00:00"/>
    <m/>
    <m/>
    <m/>
    <m/>
    <x v="0"/>
    <x v="0"/>
    <d v="2013-03-01T00:00:00"/>
    <m/>
    <d v="2016-12-31T00:00:00"/>
    <x v="0"/>
    <s v="UNTREF"/>
    <s v="UNSAM- LADA"/>
    <n v="22890"/>
    <x v="242"/>
    <x v="5"/>
    <s v="."/>
    <s v="."/>
    <s v="."/>
    <n v="1000"/>
    <x v="2"/>
    <x v="0"/>
    <x v="0"/>
  </r>
  <r>
    <x v="0"/>
    <x v="0"/>
    <x v="0"/>
    <x v="4"/>
    <x v="2"/>
    <x v="2"/>
    <m/>
    <s v="PRIVADA"/>
    <s v="ADMINISTRATIVO"/>
    <m/>
    <s v="CCK - Alem 351"/>
    <x v="819"/>
    <s v="DNI"/>
    <n v="30860376"/>
    <n v="27308603763"/>
    <d v="1984-03-02T00:00:00"/>
    <m/>
    <m/>
    <m/>
    <m/>
    <x v="0"/>
    <x v="0"/>
    <d v="2016-04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15"/>
    <x v="2"/>
    <m/>
    <m/>
    <s v="COLOCACIÓN DE CARTELERIA/DESARME DE ESTRUCTURAS/MANTENIMIENTO"/>
    <s v="TECNÓPOLIS"/>
    <s v="TECNOPOLIS"/>
    <x v="820"/>
    <s v="DNI"/>
    <n v="34782221"/>
    <s v="20347822214"/>
    <d v="1989-02-23T00:00:00"/>
    <m/>
    <m/>
    <m/>
    <m/>
    <x v="0"/>
    <x v="0"/>
    <d v="2011-06-06T00:00:00"/>
    <m/>
    <d v="2016-12-31T00:00:00"/>
    <x v="0"/>
    <s v="UNTREF"/>
    <s v="UNTREF"/>
    <n v="12000"/>
    <x v="7"/>
    <x v="5"/>
    <s v="."/>
    <s v="."/>
    <s v="."/>
    <n v="1000"/>
    <x v="0"/>
    <x v="0"/>
    <x v="0"/>
  </r>
  <r>
    <x v="0"/>
    <x v="0"/>
    <x v="0"/>
    <x v="0"/>
    <x v="8"/>
    <x v="6"/>
    <m/>
    <s v="PANORAMA ARGENTINO"/>
    <m/>
    <s v="CABILDO 65"/>
    <m/>
    <x v="821"/>
    <s v="DNI"/>
    <n v="30886045"/>
    <n v="20308860451"/>
    <m/>
    <m/>
    <m/>
    <m/>
    <m/>
    <x v="1"/>
    <x v="1"/>
    <d v="2013-12-01T00:00:00"/>
    <d v="2016-03-31T00:00:00"/>
    <d v="2016-12-31T00:00:00"/>
    <x v="9"/>
    <m/>
    <m/>
    <n v="17505"/>
    <x v="68"/>
    <x v="5"/>
    <s v="."/>
    <s v="."/>
    <s v="."/>
    <n v="1000"/>
    <x v="1"/>
    <x v="0"/>
    <x v="0"/>
  </r>
  <r>
    <x v="0"/>
    <x v="1"/>
    <x v="0"/>
    <x v="5"/>
    <x v="7"/>
    <x v="2"/>
    <m/>
    <m/>
    <m/>
    <m/>
    <m/>
    <x v="822"/>
    <s v="DNI"/>
    <n v="28591140"/>
    <m/>
    <m/>
    <m/>
    <m/>
    <m/>
    <m/>
    <x v="1"/>
    <x v="1"/>
    <m/>
    <m/>
    <d v="2016-12-31T00:00:00"/>
    <x v="4"/>
    <m/>
    <m/>
    <m/>
    <x v="18"/>
    <x v="3"/>
    <m/>
    <m/>
    <m/>
    <m/>
    <x v="1"/>
    <x v="1"/>
    <x v="2"/>
  </r>
  <r>
    <x v="0"/>
    <x v="0"/>
    <x v="1"/>
    <x v="3"/>
    <x v="6"/>
    <x v="2"/>
    <m/>
    <m/>
    <s v="MANTENIMIENTO GRAL DEL PARQUE"/>
    <s v="TECNÓPOLIS"/>
    <s v="TECNOPOLIS"/>
    <x v="823"/>
    <s v="DNI"/>
    <n v="40843063"/>
    <s v="20408430632"/>
    <d v="1987-09-02T00:00:00"/>
    <m/>
    <m/>
    <m/>
    <m/>
    <x v="0"/>
    <x v="0"/>
    <d v="2014-12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0"/>
    <x v="4"/>
    <x v="2"/>
    <x v="2"/>
    <m/>
    <s v="SECRETARIA"/>
    <s v="Secretaria"/>
    <s v="CCK"/>
    <s v="CCK - Alem 351"/>
    <x v="824"/>
    <s v="DNI"/>
    <n v="34265208"/>
    <s v="27342652080"/>
    <d v="1989-02-09T00:00:00"/>
    <m/>
    <m/>
    <m/>
    <m/>
    <x v="0"/>
    <x v="0"/>
    <d v="2015-08-01T00:00:00"/>
    <m/>
    <d v="2016-12-31T00:00:00"/>
    <x v="0"/>
    <s v="UNTREF"/>
    <s v="UNLAM -TDA"/>
    <n v="9555"/>
    <x v="30"/>
    <x v="18"/>
    <n v="16000"/>
    <n v="14000"/>
    <s v="."/>
    <n v="1000"/>
    <x v="0"/>
    <x v="0"/>
    <x v="0"/>
  </r>
  <r>
    <x v="0"/>
    <x v="0"/>
    <x v="1"/>
    <x v="1"/>
    <x v="10"/>
    <x v="2"/>
    <m/>
    <m/>
    <s v="ADMINISTRATIVA"/>
    <m/>
    <s v="CCK - Alem 351"/>
    <x v="825"/>
    <s v="DNI"/>
    <n v="21618345"/>
    <s v="20216183453"/>
    <d v="1970-05-30T00:00:00"/>
    <m/>
    <m/>
    <m/>
    <m/>
    <x v="0"/>
    <x v="0"/>
    <d v="2016-04-01T00:00:00"/>
    <m/>
    <d v="2016-12-31T00:00:00"/>
    <x v="0"/>
    <s v="UNTREF"/>
    <m/>
    <n v="20000"/>
    <x v="18"/>
    <x v="3"/>
    <m/>
    <m/>
    <m/>
    <n v="1000"/>
    <x v="0"/>
    <x v="0"/>
    <x v="0"/>
  </r>
  <r>
    <x v="0"/>
    <x v="0"/>
    <x v="0"/>
    <x v="4"/>
    <x v="2"/>
    <x v="2"/>
    <m/>
    <s v="PRIVADA"/>
    <s v="ADMINISTRATIVO"/>
    <m/>
    <s v="CCK - Alem 351"/>
    <x v="825"/>
    <s v="DNI"/>
    <n v="11222820"/>
    <n v="23112228209"/>
    <d v="1954-01-29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TÉCNICA Y TRANSMISIÓN"/>
    <s v="ADMINISTRATIVO"/>
    <s v="CABILDO 65"/>
    <s v="CABILDO 65"/>
    <x v="826"/>
    <s v="DNI"/>
    <n v="18383611"/>
    <s v="20183836111"/>
    <d v="1967-07-27T00:00:00"/>
    <m/>
    <m/>
    <m/>
    <m/>
    <x v="0"/>
    <x v="0"/>
    <d v="2014-05-11T00:00:00"/>
    <m/>
    <d v="2016-12-31T00:00:00"/>
    <x v="0"/>
    <s v="UNTREF"/>
    <s v="UNSAM- LADA"/>
    <n v="20959"/>
    <x v="15"/>
    <x v="5"/>
    <s v="."/>
    <s v="."/>
    <s v="."/>
    <n v="1000"/>
    <x v="2"/>
    <x v="0"/>
    <x v="0"/>
  </r>
  <r>
    <x v="0"/>
    <x v="0"/>
    <x v="1"/>
    <x v="1"/>
    <x v="5"/>
    <x v="19"/>
    <m/>
    <s v="Asistente Técnico Seguridad"/>
    <s v="Asistente Técnico Seguridad"/>
    <s v="CCK"/>
    <s v="CCK - Alem 351"/>
    <x v="827"/>
    <s v="DNI"/>
    <n v="20640391"/>
    <s v="27206403913"/>
    <d v="1968-12-27T00:00:00"/>
    <m/>
    <m/>
    <m/>
    <m/>
    <x v="0"/>
    <x v="0"/>
    <d v="2015-07-01T00:00:00"/>
    <m/>
    <d v="2016-12-31T00:00:00"/>
    <x v="0"/>
    <s v="UNTREF"/>
    <s v="UNLAM- BICENTENARIO"/>
    <n v="10860"/>
    <x v="5"/>
    <x v="4"/>
    <n v="13000"/>
    <n v="12500"/>
    <s v="."/>
    <n v="1000"/>
    <x v="0"/>
    <x v="0"/>
    <x v="0"/>
  </r>
  <r>
    <x v="0"/>
    <x v="1"/>
    <x v="0"/>
    <x v="5"/>
    <x v="26"/>
    <x v="2"/>
    <m/>
    <s v="Analista"/>
    <s v="Analista"/>
    <s v="CCK"/>
    <s v="CCK - Alem 351"/>
    <x v="828"/>
    <s v="DNI"/>
    <n v="38522594"/>
    <s v="20385225947"/>
    <d v="1994-09-24T00:00:00"/>
    <m/>
    <m/>
    <m/>
    <m/>
    <x v="0"/>
    <x v="0"/>
    <d v="2015-01-26T00:00:00"/>
    <m/>
    <d v="2016-12-31T00:00:00"/>
    <x v="0"/>
    <s v="UNTREF"/>
    <s v="UNLAM- INFO"/>
    <n v="10829"/>
    <x v="5"/>
    <x v="7"/>
    <n v="14000"/>
    <n v="12500"/>
    <n v="14000"/>
    <n v="1000"/>
    <x v="0"/>
    <x v="0"/>
    <x v="0"/>
  </r>
  <r>
    <x v="0"/>
    <x v="0"/>
    <x v="1"/>
    <x v="3"/>
    <x v="13"/>
    <x v="2"/>
    <m/>
    <s v="Administrativo"/>
    <m/>
    <s v="TECNÓPOLIS"/>
    <m/>
    <x v="829"/>
    <s v="DNI"/>
    <n v="22645586"/>
    <n v="27226455863"/>
    <m/>
    <m/>
    <m/>
    <m/>
    <m/>
    <x v="1"/>
    <x v="1"/>
    <d v="2011-05-01T00:00:00"/>
    <d v="2016-12-31T00:00:00"/>
    <d v="2016-12-31T00:00:00"/>
    <x v="9"/>
    <m/>
    <m/>
    <n v="16757"/>
    <x v="243"/>
    <x v="5"/>
    <s v="."/>
    <s v="."/>
    <s v="."/>
    <n v="1000"/>
    <x v="1"/>
    <x v="0"/>
    <x v="0"/>
  </r>
  <r>
    <x v="0"/>
    <x v="0"/>
    <x v="1"/>
    <x v="1"/>
    <x v="31"/>
    <x v="2"/>
    <m/>
    <s v="Secretaria"/>
    <m/>
    <s v="CCK"/>
    <m/>
    <x v="830"/>
    <s v="DNI"/>
    <n v="35216524"/>
    <n v="27352165242"/>
    <m/>
    <m/>
    <m/>
    <m/>
    <m/>
    <x v="1"/>
    <x v="1"/>
    <d v="2009-04-01T00:00:00"/>
    <d v="2016-12-31T00:00:00"/>
    <d v="2016-12-31T00:00:00"/>
    <x v="4"/>
    <m/>
    <m/>
    <n v="18277"/>
    <x v="88"/>
    <x v="5"/>
    <s v="."/>
    <s v="."/>
    <s v="."/>
    <n v="1000"/>
    <x v="1"/>
    <x v="0"/>
    <x v="0"/>
  </r>
  <r>
    <x v="0"/>
    <x v="0"/>
    <x v="1"/>
    <x v="3"/>
    <x v="6"/>
    <x v="2"/>
    <m/>
    <m/>
    <s v="MANTENIMIENTO GRAL DEL PARQUE"/>
    <s v="TECNÓPOLIS"/>
    <s v="TECNOPOLIS"/>
    <x v="831"/>
    <s v="DNI"/>
    <n v="30276696"/>
    <s v="20302766968"/>
    <d v="1983-04-30T00:00:00"/>
    <m/>
    <m/>
    <m/>
    <m/>
    <x v="0"/>
    <x v="0"/>
    <d v="2013-07-01T00:00:00"/>
    <m/>
    <d v="2016-12-31T00:00:00"/>
    <x v="0"/>
    <s v="UNTREF"/>
    <s v="UNTREF"/>
    <n v="11499.3"/>
    <x v="239"/>
    <x v="5"/>
    <s v="."/>
    <s v=".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832"/>
    <s v="DNI"/>
    <n v="36526530"/>
    <s v="27365265300"/>
    <d v="1991-04-21T00:00:00"/>
    <m/>
    <m/>
    <m/>
    <m/>
    <x v="0"/>
    <x v="0"/>
    <d v="2016-01-01T00:00:00"/>
    <m/>
    <d v="2016-12-31T00:00:00"/>
    <x v="0"/>
    <s v="UNTREF"/>
    <m/>
    <n v="15000"/>
    <x v="110"/>
    <x v="9"/>
    <n v="15000"/>
    <s v="."/>
    <s v="."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833"/>
    <s v="DNI"/>
    <n v="22048883"/>
    <s v="20220488838"/>
    <d v="1971-02-04T00:00:00"/>
    <m/>
    <m/>
    <m/>
    <m/>
    <x v="0"/>
    <x v="0"/>
    <d v="2012-08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1"/>
    <x v="3"/>
    <x v="3"/>
    <x v="2"/>
    <m/>
    <m/>
    <s v="LIMPIEZA GENERAL DEL PARQUE"/>
    <s v="TECNÓPOLIS"/>
    <s v="TECNOPOLIS"/>
    <x v="834"/>
    <s v="DNI"/>
    <n v="16639040"/>
    <s v="20166390401"/>
    <d v="1963-12-11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3"/>
    <x v="2"/>
    <m/>
    <m/>
    <s v="LIMPIEZA GENERAL DEL PARQUE"/>
    <s v="TECNÓPOLIS"/>
    <s v="TECNOPOLIS"/>
    <x v="835"/>
    <s v="DNI"/>
    <n v="37350780"/>
    <s v="20373507807"/>
    <d v="1993-09-28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0"/>
    <x v="6"/>
    <x v="12"/>
    <x v="2"/>
    <m/>
    <m/>
    <s v="ADMINISTRATIVO"/>
    <m/>
    <s v="CCK - Alem 351"/>
    <x v="836"/>
    <s v="DNI"/>
    <n v="34602138"/>
    <m/>
    <d v="1989-07-02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1"/>
    <x v="0"/>
    <x v="2"/>
    <x v="2"/>
    <x v="2"/>
    <m/>
    <s v="PRIVADA"/>
    <s v="ADMINISTRATIVO"/>
    <m/>
    <s v="CCK - Alem 351"/>
    <x v="837"/>
    <s v="DNI"/>
    <n v="6715531"/>
    <s v="27067155314"/>
    <d v="1947-05-05T00:00:00"/>
    <m/>
    <m/>
    <m/>
    <m/>
    <x v="0"/>
    <x v="0"/>
    <d v="2016-01-01T00:00:00"/>
    <m/>
    <d v="2016-12-31T00:00:00"/>
    <x v="0"/>
    <s v="UNTREF"/>
    <s v="UNSAM"/>
    <n v="12275"/>
    <x v="62"/>
    <x v="15"/>
    <n v="12275"/>
    <s v="."/>
    <s v="."/>
    <n v="1000"/>
    <x v="0"/>
    <x v="0"/>
    <x v="0"/>
  </r>
  <r>
    <x v="0"/>
    <x v="2"/>
    <x v="0"/>
    <x v="4"/>
    <x v="2"/>
    <x v="2"/>
    <m/>
    <m/>
    <s v="ADMINISTRATIVO"/>
    <m/>
    <s v="CCK - Alem 351"/>
    <x v="838"/>
    <s v="DNI"/>
    <n v="27203478"/>
    <m/>
    <d v="1979-02-17T00:00:00"/>
    <m/>
    <m/>
    <m/>
    <m/>
    <x v="0"/>
    <x v="0"/>
    <d v="2016-07-01T00:00:00"/>
    <m/>
    <d v="2016-08-31T00:00:00"/>
    <x v="0"/>
    <s v="UNTREF"/>
    <m/>
    <m/>
    <x v="18"/>
    <x v="3"/>
    <m/>
    <m/>
    <m/>
    <m/>
    <x v="1"/>
    <x v="0"/>
    <x v="2"/>
  </r>
  <r>
    <x v="0"/>
    <x v="0"/>
    <x v="0"/>
    <x v="0"/>
    <x v="8"/>
    <x v="6"/>
    <m/>
    <s v="PRODUCCIÓN"/>
    <s v="PRODUCTOR de EXTERIORES"/>
    <s v="CABILDO 65"/>
    <s v="CABILDO 65"/>
    <x v="839"/>
    <s v="DNI"/>
    <n v="16305311"/>
    <s v="20163053110"/>
    <d v="1963-03-17T00:00:00"/>
    <m/>
    <m/>
    <m/>
    <m/>
    <x v="0"/>
    <x v="0"/>
    <d v="2015-03-02T00:00:00"/>
    <m/>
    <d v="2016-12-31T00:00:00"/>
    <x v="0"/>
    <s v="UNTREF"/>
    <m/>
    <n v="18795"/>
    <x v="37"/>
    <x v="3"/>
    <m/>
    <m/>
    <m/>
    <n v="1000"/>
    <x v="2"/>
    <x v="0"/>
    <x v="0"/>
  </r>
  <r>
    <x v="0"/>
    <x v="0"/>
    <x v="0"/>
    <x v="0"/>
    <x v="8"/>
    <x v="6"/>
    <m/>
    <s v="PRODUCCIÓN"/>
    <s v="PRODUCTOR de EXTERIORES"/>
    <s v="CABILDO 65"/>
    <s v="CABILDO 65"/>
    <x v="840"/>
    <s v="DNI"/>
    <n v="28863215"/>
    <s v="23288632154"/>
    <d v="1981-04-24T00:00:00"/>
    <m/>
    <m/>
    <m/>
    <m/>
    <x v="0"/>
    <x v="0"/>
    <d v="2015-04-01T00:00:00"/>
    <m/>
    <d v="2016-12-31T00:00:00"/>
    <x v="0"/>
    <s v="UNTREF"/>
    <s v="UNSAM- LADA"/>
    <n v="18795"/>
    <x v="37"/>
    <x v="5"/>
    <s v="."/>
    <s v="."/>
    <s v="."/>
    <n v="1000"/>
    <x v="2"/>
    <x v="0"/>
    <x v="0"/>
  </r>
  <r>
    <x v="0"/>
    <x v="0"/>
    <x v="1"/>
    <x v="1"/>
    <x v="10"/>
    <x v="2"/>
    <m/>
    <s v="Asistente Técnico"/>
    <s v="ADMINISTRATIVA"/>
    <s v="CCK"/>
    <s v="CCK - Alem 351"/>
    <x v="841"/>
    <s v="DNI"/>
    <n v="25330208"/>
    <s v="23253302089"/>
    <d v="1976-05-10T00:00:00"/>
    <m/>
    <m/>
    <m/>
    <m/>
    <x v="0"/>
    <x v="0"/>
    <d v="2014-02-10T00:00:00"/>
    <m/>
    <d v="2016-12-31T00:00:00"/>
    <x v="0"/>
    <s v="UNTREF"/>
    <s v="UNSAM"/>
    <n v="13062"/>
    <x v="30"/>
    <x v="8"/>
    <n v="20000"/>
    <n v="14000"/>
    <n v="20000"/>
    <n v="1000"/>
    <x v="0"/>
    <x v="0"/>
    <x v="0"/>
  </r>
  <r>
    <x v="0"/>
    <x v="0"/>
    <x v="1"/>
    <x v="3"/>
    <x v="20"/>
    <x v="2"/>
    <m/>
    <m/>
    <m/>
    <s v="TECNÓPOLIS"/>
    <m/>
    <x v="842"/>
    <s v="DNI"/>
    <n v="27217962"/>
    <n v="20272179620"/>
    <m/>
    <m/>
    <m/>
    <m/>
    <m/>
    <x v="1"/>
    <x v="1"/>
    <d v="2011-07-01T00:00:00"/>
    <d v="2016-12-31T00:00:00"/>
    <d v="2016-12-31T00:00:00"/>
    <x v="3"/>
    <m/>
    <m/>
    <n v="19930"/>
    <x v="244"/>
    <x v="5"/>
    <s v="."/>
    <s v="."/>
    <s v="."/>
    <n v="1000"/>
    <x v="1"/>
    <x v="0"/>
    <x v="0"/>
  </r>
  <r>
    <x v="0"/>
    <x v="0"/>
    <x v="0"/>
    <x v="6"/>
    <x v="12"/>
    <x v="2"/>
    <m/>
    <m/>
    <m/>
    <m/>
    <m/>
    <x v="843"/>
    <s v="DNI"/>
    <n v="24206132"/>
    <n v="20242061323"/>
    <m/>
    <m/>
    <m/>
    <m/>
    <m/>
    <x v="2"/>
    <x v="0"/>
    <d v="2016-08-01T00:00:00"/>
    <m/>
    <d v="2016-10-30T00:00:00"/>
    <x v="0"/>
    <s v="UNTREF"/>
    <m/>
    <m/>
    <x v="18"/>
    <x v="3"/>
    <m/>
    <m/>
    <m/>
    <m/>
    <x v="1"/>
    <x v="1"/>
    <x v="2"/>
  </r>
  <r>
    <x v="0"/>
    <x v="1"/>
    <x v="0"/>
    <x v="5"/>
    <x v="2"/>
    <x v="2"/>
    <m/>
    <m/>
    <s v="ADMINISTRATIVO"/>
    <m/>
    <s v="CCK - Alem 351"/>
    <x v="844"/>
    <s v="DNI"/>
    <n v="37753501"/>
    <s v="23377535014"/>
    <d v="1993-06-22T00:00:00"/>
    <m/>
    <m/>
    <m/>
    <m/>
    <x v="0"/>
    <x v="0"/>
    <d v="2014-11-01T00:00:00"/>
    <m/>
    <d v="2016-12-31T00:00:00"/>
    <x v="0"/>
    <s v="UNTREF"/>
    <m/>
    <n v="10189"/>
    <x v="18"/>
    <x v="3"/>
    <m/>
    <m/>
    <m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845"/>
    <s v="DNI"/>
    <n v="36761265"/>
    <s v="20367612658"/>
    <d v="1992-06-02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0"/>
    <x v="0"/>
    <x v="0"/>
    <x v="0"/>
    <m/>
    <s v="GESTION DE PROYECTOS"/>
    <s v="ANALISTA"/>
    <s v="PALPALÁ-JUJUY"/>
    <s v="PALPALÁ-JUJUY"/>
    <x v="846"/>
    <s v="DNI"/>
    <n v="32877206"/>
    <n v="20328772060"/>
    <d v="1987-09-10T00:00:00"/>
    <m/>
    <m/>
    <m/>
    <m/>
    <x v="0"/>
    <x v="0"/>
    <d v="2015-09-01T00:00:00"/>
    <m/>
    <d v="2016-12-31T00:00:00"/>
    <x v="0"/>
    <s v="UNTREF"/>
    <s v="UNSAM"/>
    <n v="14500"/>
    <x v="245"/>
    <x v="0"/>
    <s v="---------"/>
    <s v="."/>
    <s v="---------"/>
    <n v="1000"/>
    <x v="0"/>
    <x v="0"/>
    <x v="0"/>
  </r>
  <r>
    <x v="0"/>
    <x v="0"/>
    <x v="1"/>
    <x v="1"/>
    <x v="10"/>
    <x v="2"/>
    <m/>
    <m/>
    <s v="ADMINISTRATIVA"/>
    <m/>
    <s v="CCK - Alem 351"/>
    <x v="847"/>
    <s v="DNI"/>
    <n v="26047568"/>
    <s v="20260475682"/>
    <d v="1977-06-06T00:00:00"/>
    <m/>
    <m/>
    <m/>
    <m/>
    <x v="0"/>
    <x v="0"/>
    <d v="2016-05-01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1"/>
    <x v="1"/>
    <x v="39"/>
    <x v="2"/>
    <m/>
    <m/>
    <s v="CADETE"/>
    <s v="CCK"/>
    <s v="CCK - Alem 351"/>
    <x v="848"/>
    <s v="DNI"/>
    <n v="26246918"/>
    <s v="20262469183"/>
    <d v="1978-02-03T00:00:00"/>
    <m/>
    <m/>
    <m/>
    <m/>
    <x v="0"/>
    <x v="0"/>
    <d v="2015-03-03T00:00:00"/>
    <m/>
    <d v="2016-12-31T00:00:00"/>
    <x v="0"/>
    <s v="UNTREF"/>
    <s v="UNSAM-MINPLAN"/>
    <n v="12500"/>
    <x v="30"/>
    <x v="46"/>
    <n v="14000"/>
    <n v="14000"/>
    <n v="14000"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849"/>
    <s v="DNI"/>
    <n v="12425437"/>
    <s v="20124254370"/>
    <d v="1958-06-01T00:00:00"/>
    <m/>
    <m/>
    <m/>
    <m/>
    <x v="0"/>
    <x v="0"/>
    <d v="2013-01-01T00:00:00"/>
    <m/>
    <d v="2016-12-31T00:00:00"/>
    <x v="0"/>
    <s v="UNTREF"/>
    <s v="UNSAM- LADA"/>
    <n v="34485"/>
    <x v="121"/>
    <x v="5"/>
    <s v="."/>
    <s v="."/>
    <s v="."/>
    <n v="1000"/>
    <x v="2"/>
    <x v="0"/>
    <x v="0"/>
  </r>
  <r>
    <x v="0"/>
    <x v="0"/>
    <x v="1"/>
    <x v="3"/>
    <x v="27"/>
    <x v="2"/>
    <m/>
    <m/>
    <s v="OPERACIÓN/MONTAJE/MANTENIMIENTO"/>
    <s v="TECNÓPOLIS"/>
    <s v="TECNOPOLIS"/>
    <x v="850"/>
    <s v="DNI"/>
    <n v="34114414"/>
    <s v="20341144141"/>
    <d v="1988-11-07T00:00:00"/>
    <m/>
    <m/>
    <m/>
    <m/>
    <x v="0"/>
    <x v="0"/>
    <d v="2013-04-01T00:00:00"/>
    <m/>
    <d v="2016-12-31T00:00:00"/>
    <x v="0"/>
    <s v="UNTREF"/>
    <s v="UNTREF"/>
    <n v="20817.09"/>
    <x v="246"/>
    <x v="5"/>
    <s v="."/>
    <s v="."/>
    <s v="."/>
    <n v="1000"/>
    <x v="0"/>
    <x v="0"/>
    <x v="0"/>
  </r>
  <r>
    <x v="0"/>
    <x v="0"/>
    <x v="1"/>
    <x v="1"/>
    <x v="16"/>
    <x v="11"/>
    <m/>
    <m/>
    <s v="VISITAS GUIADAS"/>
    <m/>
    <s v="CCK - Alem 351"/>
    <x v="851"/>
    <s v="DNI"/>
    <n v="34511518"/>
    <n v="27345115183"/>
    <d v="1989-05-29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852"/>
    <s v="DNI"/>
    <n v="38842536"/>
    <s v="23388425369"/>
    <d v="1993-02-02T00:00:00"/>
    <m/>
    <m/>
    <m/>
    <m/>
    <x v="0"/>
    <x v="0"/>
    <d v="2015-08-17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0"/>
    <x v="0"/>
    <x v="8"/>
    <x v="6"/>
    <m/>
    <s v="TÉCNICA Y TRANSMISIÓN"/>
    <s v="ADMINISTRATIVO"/>
    <s v="CABILDO 65"/>
    <s v="CABILDO 65"/>
    <x v="853"/>
    <s v="DNI"/>
    <n v="27263724"/>
    <s v="20272637246"/>
    <d v="1979-05-30T00:00:00"/>
    <m/>
    <m/>
    <m/>
    <m/>
    <x v="0"/>
    <x v="0"/>
    <d v="2015-10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3"/>
    <x v="4"/>
    <x v="2"/>
    <m/>
    <s v="COCINA"/>
    <m/>
    <s v="TECNÓPOLIS"/>
    <m/>
    <x v="854"/>
    <s v="DNI"/>
    <n v="37200106"/>
    <n v="27372001068"/>
    <m/>
    <m/>
    <m/>
    <m/>
    <m/>
    <x v="1"/>
    <x v="1"/>
    <d v="2013-07-01T00:00:00"/>
    <d v="2016-03-31T00:00:00"/>
    <d v="2016-12-31T00:00:00"/>
    <x v="3"/>
    <m/>
    <m/>
    <n v="13084.78"/>
    <x v="32"/>
    <x v="5"/>
    <s v="."/>
    <s v="."/>
    <s v="."/>
    <n v="1000"/>
    <x v="1"/>
    <x v="0"/>
    <x v="0"/>
  </r>
  <r>
    <x v="0"/>
    <x v="0"/>
    <x v="1"/>
    <x v="1"/>
    <x v="5"/>
    <x v="13"/>
    <m/>
    <s v=""/>
    <s v="Auxiliar de Mantenimiento"/>
    <s v="CCK"/>
    <s v="CCK - Alem 351"/>
    <x v="855"/>
    <s v="DNI"/>
    <n v="23426675"/>
    <s v="20234266757"/>
    <d v="1973-08-22T00:00:00"/>
    <m/>
    <m/>
    <m/>
    <m/>
    <x v="0"/>
    <x v="0"/>
    <d v="2015-05-15T00:00:00"/>
    <m/>
    <d v="2016-12-31T00:00:00"/>
    <x v="0"/>
    <s v="UNTREF"/>
    <s v="UNSAM"/>
    <n v="20000"/>
    <x v="113"/>
    <x v="47"/>
    <n v="23000"/>
    <s v="."/>
    <n v="23000"/>
    <n v="1000"/>
    <x v="0"/>
    <x v="0"/>
    <x v="0"/>
  </r>
  <r>
    <x v="0"/>
    <x v="0"/>
    <x v="1"/>
    <x v="3"/>
    <x v="45"/>
    <x v="2"/>
    <m/>
    <s v="PRIVADA"/>
    <s v="ASISTENTE"/>
    <m/>
    <s v="TECNOPOLIS"/>
    <x v="856"/>
    <s v="DNI"/>
    <n v="29303530"/>
    <n v="20293035300"/>
    <d v="1982-03-30T00:00:00"/>
    <m/>
    <m/>
    <m/>
    <m/>
    <x v="0"/>
    <x v="0"/>
    <d v="2016-05-1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857"/>
    <s v="DNI"/>
    <n v="38682779"/>
    <s v="27386827791"/>
    <d v="1984-11-24T00:00:00"/>
    <m/>
    <m/>
    <m/>
    <m/>
    <x v="0"/>
    <x v="0"/>
    <d v="2015-10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0"/>
    <x v="1"/>
    <x v="1"/>
    <x v="1"/>
    <x v="1"/>
    <m/>
    <s v="Diseñadora gráfica"/>
    <m/>
    <s v="CCK"/>
    <m/>
    <x v="858"/>
    <s v="DNI"/>
    <n v="21471551"/>
    <n v="27214715517"/>
    <m/>
    <m/>
    <m/>
    <m/>
    <m/>
    <x v="1"/>
    <x v="1"/>
    <d v="2011-05-02T00:00:00"/>
    <d v="2016-12-31T00:00:00"/>
    <d v="2016-12-31T00:00:00"/>
    <x v="4"/>
    <m/>
    <m/>
    <n v="20266"/>
    <x v="24"/>
    <x v="5"/>
    <s v="."/>
    <s v="."/>
    <s v="."/>
    <n v="1000"/>
    <x v="0"/>
    <x v="0"/>
    <x v="0"/>
  </r>
  <r>
    <x v="0"/>
    <x v="1"/>
    <x v="0"/>
    <x v="5"/>
    <x v="17"/>
    <x v="17"/>
    <m/>
    <s v="RECURSOS HUMANOS"/>
    <m/>
    <s v="CABILDO 65"/>
    <m/>
    <x v="859"/>
    <s v="DNI"/>
    <n v="26522544"/>
    <n v="27265225441"/>
    <m/>
    <m/>
    <m/>
    <m/>
    <m/>
    <x v="1"/>
    <x v="1"/>
    <d v="2012-12-01T00:00:00"/>
    <d v="2016-12-31T00:00:00"/>
    <d v="2016-12-31T00:00:00"/>
    <x v="9"/>
    <m/>
    <m/>
    <n v="17505"/>
    <x v="68"/>
    <x v="5"/>
    <s v="."/>
    <s v="."/>
    <s v="."/>
    <n v="1000"/>
    <x v="1"/>
    <x v="0"/>
    <x v="0"/>
  </r>
  <r>
    <x v="0"/>
    <x v="0"/>
    <x v="0"/>
    <x v="0"/>
    <x v="8"/>
    <x v="6"/>
    <m/>
    <s v="POSTPRODUCCIÓN"/>
    <s v="EDICION"/>
    <s v="CABILDO 65"/>
    <s v="CABILDO 65"/>
    <x v="860"/>
    <s v="DNI"/>
    <n v="30448923"/>
    <s v="20304489236"/>
    <d v="1983-08-08T00:00:00"/>
    <m/>
    <m/>
    <m/>
    <m/>
    <x v="0"/>
    <x v="0"/>
    <d v="2011-08-01T00:00:00"/>
    <m/>
    <d v="2016-12-31T00:00:00"/>
    <x v="0"/>
    <s v="UNTREF"/>
    <m/>
    <n v="20545"/>
    <x v="143"/>
    <x v="3"/>
    <m/>
    <m/>
    <m/>
    <n v="1000"/>
    <x v="2"/>
    <x v="0"/>
    <x v="0"/>
  </r>
  <r>
    <x v="0"/>
    <x v="2"/>
    <x v="0"/>
    <x v="4"/>
    <x v="2"/>
    <x v="2"/>
    <m/>
    <m/>
    <s v="ADMINISTRATIVO"/>
    <m/>
    <s v="CCK - Alem 351"/>
    <x v="861"/>
    <s v="DNI"/>
    <n v="11045200"/>
    <m/>
    <d v="1954-03-30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1"/>
    <x v="0"/>
    <x v="2"/>
    <x v="2"/>
    <x v="2"/>
    <m/>
    <s v="PRIVADA"/>
    <s v="ADMINISTRATIVO"/>
    <m/>
    <s v="CCK - Alem 351"/>
    <x v="862"/>
    <s v="DNI"/>
    <n v="26397949"/>
    <s v="23263979494"/>
    <d v="1977-12-12T00:00:00"/>
    <m/>
    <m/>
    <m/>
    <m/>
    <x v="0"/>
    <x v="0"/>
    <d v="2016-01-01T00:00:00"/>
    <m/>
    <d v="2016-12-31T00:00:00"/>
    <x v="0"/>
    <s v="UNTREF"/>
    <s v="UNSAM"/>
    <n v="12742"/>
    <x v="247"/>
    <x v="48"/>
    <n v="12742"/>
    <s v="."/>
    <s v="."/>
    <n v="1000"/>
    <x v="0"/>
    <x v="0"/>
    <x v="0"/>
  </r>
  <r>
    <x v="0"/>
    <x v="1"/>
    <x v="0"/>
    <x v="5"/>
    <x v="25"/>
    <x v="2"/>
    <m/>
    <m/>
    <s v="Administrativo"/>
    <m/>
    <s v="CCK - Alem 351"/>
    <x v="863"/>
    <s v="DNI"/>
    <n v="18889124"/>
    <n v="20188891242"/>
    <d v="1993-04-11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1"/>
    <x v="7"/>
    <x v="2"/>
    <x v="2"/>
    <m/>
    <s v="PRIVADA"/>
    <s v="ADMINISTRATIVO"/>
    <m/>
    <s v="CCK - Alem 351"/>
    <x v="864"/>
    <s v="DNI"/>
    <n v="11231408"/>
    <n v="27112314089"/>
    <d v="1954-04-25T00:00:00"/>
    <m/>
    <m/>
    <m/>
    <m/>
    <x v="0"/>
    <x v="0"/>
    <d v="2016-01-01T00:00:00"/>
    <m/>
    <d v="2016-12-31T00:00:00"/>
    <x v="0"/>
    <s v="UNTREF"/>
    <s v="UNSAM"/>
    <n v="15000"/>
    <x v="110"/>
    <x v="9"/>
    <n v="15000"/>
    <s v="."/>
    <s v="."/>
    <n v="1000"/>
    <x v="0"/>
    <x v="0"/>
    <x v="0"/>
  </r>
  <r>
    <x v="0"/>
    <x v="0"/>
    <x v="1"/>
    <x v="1"/>
    <x v="5"/>
    <x v="24"/>
    <m/>
    <m/>
    <s v="ADMINISTRATIVO"/>
    <s v="CCK"/>
    <s v="CCK - Alem 351"/>
    <x v="865"/>
    <s v="DNI"/>
    <n v="22278247"/>
    <s v="27222782479"/>
    <d v="1971-08-16T00:00:00"/>
    <m/>
    <m/>
    <m/>
    <m/>
    <x v="0"/>
    <x v="0"/>
    <m/>
    <m/>
    <d v="2016-12-31T00:00:00"/>
    <x v="0"/>
    <s v="UNTREF"/>
    <s v="UNSAM"/>
    <n v="30145"/>
    <x v="198"/>
    <x v="40"/>
    <n v="30145"/>
    <s v="."/>
    <n v="27000"/>
    <n v="1000"/>
    <x v="0"/>
    <x v="0"/>
    <x v="0"/>
  </r>
  <r>
    <x v="0"/>
    <x v="0"/>
    <x v="0"/>
    <x v="0"/>
    <x v="8"/>
    <x v="6"/>
    <m/>
    <s v="ADMINISTRACIÓN"/>
    <s v="ADMINISTRATIVO"/>
    <s v="CABILDO 65"/>
    <s v="CABILDO 65"/>
    <x v="866"/>
    <s v="DNI"/>
    <n v="33154729"/>
    <s v="20331547299"/>
    <d v="1986-11-18T00:00:00"/>
    <m/>
    <m/>
    <m/>
    <m/>
    <x v="0"/>
    <x v="0"/>
    <d v="2014-06-01T00:00:00"/>
    <m/>
    <d v="2016-12-31T00:00:00"/>
    <x v="0"/>
    <s v="UNTREF"/>
    <s v="UNSAM- LADA"/>
    <n v="12246"/>
    <x v="30"/>
    <x v="5"/>
    <s v="."/>
    <n v="14000"/>
    <s v="."/>
    <n v="1000"/>
    <x v="0"/>
    <x v="0"/>
    <x v="0"/>
  </r>
  <r>
    <x v="0"/>
    <x v="0"/>
    <x v="0"/>
    <x v="4"/>
    <x v="2"/>
    <x v="2"/>
    <s v="RENDICION DE CUENTAS"/>
    <s v="Analista"/>
    <m/>
    <s v="CCK"/>
    <m/>
    <x v="867"/>
    <s v="DNI"/>
    <n v="36403671"/>
    <n v="20364036710"/>
    <m/>
    <m/>
    <m/>
    <m/>
    <m/>
    <x v="1"/>
    <x v="1"/>
    <d v="2012-05-01T00:00:00"/>
    <d v="2016-12-31T00:00:00"/>
    <d v="2016-12-31T00:00:00"/>
    <x v="2"/>
    <m/>
    <m/>
    <n v="12274"/>
    <x v="23"/>
    <x v="5"/>
    <s v="."/>
    <s v="."/>
    <n v="14000"/>
    <n v="1000"/>
    <x v="1"/>
    <x v="0"/>
    <x v="0"/>
  </r>
  <r>
    <x v="0"/>
    <x v="0"/>
    <x v="0"/>
    <x v="4"/>
    <x v="2"/>
    <x v="2"/>
    <m/>
    <s v="PRIVADA"/>
    <s v="ADMINISTRATIVO"/>
    <m/>
    <s v="CCK - Alem 351"/>
    <x v="868"/>
    <s v="DNI"/>
    <n v="29246854"/>
    <n v="20292468548"/>
    <d v="1981-12-01T00:00:00"/>
    <m/>
    <m/>
    <m/>
    <m/>
    <x v="0"/>
    <x v="0"/>
    <d v="2016-07-01T00:00:00"/>
    <m/>
    <d v="2016-12-31T00:00:00"/>
    <x v="0"/>
    <s v="UNTREF"/>
    <m/>
    <m/>
    <x v="18"/>
    <x v="3"/>
    <m/>
    <m/>
    <m/>
    <m/>
    <x v="1"/>
    <x v="0"/>
    <x v="2"/>
  </r>
  <r>
    <x v="0"/>
    <x v="1"/>
    <x v="0"/>
    <x v="2"/>
    <x v="2"/>
    <x v="2"/>
    <m/>
    <s v="PRIVADA"/>
    <s v="ADMINISTRATIVO"/>
    <m/>
    <s v="CCK - Alem 351"/>
    <x v="869"/>
    <s v="DNI"/>
    <n v="7823142"/>
    <s v="20078231425"/>
    <d v="1949-08-30T00:00:00"/>
    <m/>
    <m/>
    <m/>
    <m/>
    <x v="0"/>
    <x v="0"/>
    <d v="2016-01-01T00:00:00"/>
    <m/>
    <d v="2016-12-31T00:00:00"/>
    <x v="0"/>
    <s v="UNTREF"/>
    <s v="UNSAM"/>
    <n v="19000"/>
    <x v="135"/>
    <x v="35"/>
    <n v="19000"/>
    <s v="."/>
    <s v="."/>
    <n v="1000"/>
    <x v="0"/>
    <x v="0"/>
    <x v="0"/>
  </r>
  <r>
    <x v="0"/>
    <x v="0"/>
    <x v="1"/>
    <x v="3"/>
    <x v="15"/>
    <x v="2"/>
    <m/>
    <m/>
    <s v="CONTROL DE STOCK/CONTROL DE COMBUSTIBLE"/>
    <s v="TECNÓPOLIS"/>
    <s v="TECNOPOLIS"/>
    <x v="870"/>
    <s v="DNI"/>
    <n v="25924310"/>
    <s v="20259243107"/>
    <d v="1977-08-03T00:00:00"/>
    <m/>
    <m/>
    <m/>
    <m/>
    <x v="0"/>
    <x v="0"/>
    <d v="2013-06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1"/>
    <x v="5"/>
    <x v="5"/>
    <m/>
    <s v="Asistente Técnico"/>
    <s v="ADMINISTRATIVO"/>
    <s v="CCK"/>
    <s v="CCK - Alem 351"/>
    <x v="871"/>
    <s v="DNI"/>
    <n v="34492812"/>
    <s v="27344928121"/>
    <d v="1989-03-14T00:00:00"/>
    <m/>
    <m/>
    <m/>
    <m/>
    <x v="0"/>
    <x v="0"/>
    <d v="2015-08-05T00:00:00"/>
    <m/>
    <d v="2016-12-31T00:00:00"/>
    <x v="0"/>
    <s v="UNTREF"/>
    <s v="UNLAM- BICENTENARIO"/>
    <n v="10800"/>
    <x v="5"/>
    <x v="4"/>
    <n v="13000"/>
    <n v="12500"/>
    <s v="."/>
    <n v="1000"/>
    <x v="0"/>
    <x v="0"/>
    <x v="0"/>
  </r>
  <r>
    <x v="0"/>
    <x v="0"/>
    <x v="1"/>
    <x v="7"/>
    <x v="2"/>
    <x v="2"/>
    <m/>
    <s v="ASESORA"/>
    <m/>
    <s v="CCK"/>
    <m/>
    <x v="872"/>
    <s v="DNI"/>
    <n v="27144391"/>
    <n v="27271443914"/>
    <m/>
    <m/>
    <m/>
    <m/>
    <m/>
    <x v="1"/>
    <x v="1"/>
    <d v="2011-01-01T00:00:00"/>
    <d v="2016-12-31T00:00:00"/>
    <d v="2016-12-31T00:00:00"/>
    <x v="6"/>
    <m/>
    <m/>
    <n v="27374"/>
    <x v="31"/>
    <x v="5"/>
    <s v="."/>
    <s v="."/>
    <s v="."/>
    <n v="1000"/>
    <x v="1"/>
    <x v="0"/>
    <x v="0"/>
  </r>
  <r>
    <x v="0"/>
    <x v="1"/>
    <x v="0"/>
    <x v="5"/>
    <x v="17"/>
    <x v="15"/>
    <m/>
    <s v="Enfermera/o"/>
    <m/>
    <s v="CCK"/>
    <m/>
    <x v="873"/>
    <s v="DNI"/>
    <n v="14569996"/>
    <n v="20145699968"/>
    <m/>
    <m/>
    <m/>
    <m/>
    <m/>
    <x v="1"/>
    <x v="1"/>
    <d v="2015-08-01T00:00:00"/>
    <d v="2016-03-31T00:00:00"/>
    <d v="2016-12-31T00:00:00"/>
    <x v="3"/>
    <m/>
    <m/>
    <n v="11730"/>
    <x v="51"/>
    <x v="5"/>
    <s v="."/>
    <s v="."/>
    <s v="."/>
    <n v="1000"/>
    <x v="1"/>
    <x v="0"/>
    <x v="0"/>
  </r>
  <r>
    <x v="0"/>
    <x v="0"/>
    <x v="0"/>
    <x v="0"/>
    <x v="8"/>
    <x v="6"/>
    <s v="CCK"/>
    <s v="FOMENTO"/>
    <s v="ADMINISTRATIVO"/>
    <s v="CABILDO 65"/>
    <s v="CABILDO 65"/>
    <x v="874"/>
    <s v="DNI"/>
    <n v="28325918"/>
    <s v="27283259183"/>
    <d v="1980-07-28T00:00:00"/>
    <m/>
    <m/>
    <m/>
    <m/>
    <x v="0"/>
    <x v="0"/>
    <d v="2011-08-01T00:00:00"/>
    <m/>
    <d v="2016-12-31T00:00:00"/>
    <x v="0"/>
    <s v="UNTREF"/>
    <s v="UNSAM- LADA"/>
    <n v="32782"/>
    <x v="80"/>
    <x v="5"/>
    <s v="."/>
    <s v="."/>
    <s v="."/>
    <n v="1000"/>
    <x v="2"/>
    <x v="0"/>
    <x v="0"/>
  </r>
  <r>
    <x v="0"/>
    <x v="0"/>
    <x v="0"/>
    <x v="0"/>
    <x v="8"/>
    <x v="6"/>
    <m/>
    <s v="PRODUCCIÓN"/>
    <s v="PAÑOL"/>
    <s v="CABILDO 65"/>
    <s v="CABILDO 65"/>
    <x v="875"/>
    <s v="DNI"/>
    <n v="23477469"/>
    <s v="20234774698"/>
    <d v="1974-05-24T00:00:00"/>
    <m/>
    <m/>
    <m/>
    <m/>
    <x v="0"/>
    <x v="0"/>
    <d v="2014-09-08T00:00:00"/>
    <m/>
    <d v="2016-12-31T00:00:00"/>
    <x v="0"/>
    <s v="UNTREF"/>
    <s v="UNSAM- LADA"/>
    <n v="10188"/>
    <x v="248"/>
    <x v="5"/>
    <s v="."/>
    <s v="."/>
    <n v="12500"/>
    <n v="1000"/>
    <x v="0"/>
    <x v="0"/>
    <x v="0"/>
  </r>
  <r>
    <x v="0"/>
    <x v="0"/>
    <x v="0"/>
    <x v="0"/>
    <x v="2"/>
    <x v="2"/>
    <m/>
    <s v="SECRETARIA"/>
    <s v="Secretaria"/>
    <s v="CCK"/>
    <s v="CCK - Alem 351"/>
    <x v="876"/>
    <s v="DNI"/>
    <n v="39917444"/>
    <s v="27399174444"/>
    <d v="1996-11-21T00:00:00"/>
    <m/>
    <m/>
    <m/>
    <m/>
    <x v="0"/>
    <x v="0"/>
    <d v="2015-09-02T00:00:00"/>
    <m/>
    <d v="2016-12-31T00:00:00"/>
    <x v="0"/>
    <s v="UNTREF"/>
    <s v="UNLAM- BICENTENARIO"/>
    <n v="10189"/>
    <x v="30"/>
    <x v="18"/>
    <n v="16000"/>
    <n v="14000"/>
    <s v="."/>
    <n v="1000"/>
    <x v="0"/>
    <x v="0"/>
    <x v="0"/>
  </r>
  <r>
    <x v="0"/>
    <x v="0"/>
    <x v="1"/>
    <x v="3"/>
    <x v="10"/>
    <x v="2"/>
    <m/>
    <m/>
    <m/>
    <s v="TECNÓPOLIS"/>
    <m/>
    <x v="877"/>
    <s v="DNI"/>
    <n v="36686000"/>
    <n v="27366860008"/>
    <m/>
    <m/>
    <m/>
    <m/>
    <m/>
    <x v="1"/>
    <x v="1"/>
    <d v="2011-07-01T00:00:00"/>
    <d v="2016-12-31T00:00:00"/>
    <d v="2016-12-31T00:00:00"/>
    <x v="3"/>
    <m/>
    <m/>
    <n v="17148"/>
    <x v="249"/>
    <x v="5"/>
    <s v="."/>
    <s v="."/>
    <s v="."/>
    <n v="1000"/>
    <x v="1"/>
    <x v="0"/>
    <x v="0"/>
  </r>
  <r>
    <x v="0"/>
    <x v="0"/>
    <x v="1"/>
    <x v="1"/>
    <x v="10"/>
    <x v="2"/>
    <m/>
    <m/>
    <s v="ADMINISTRATIVA"/>
    <m/>
    <s v="CCK - Alem 351"/>
    <x v="878"/>
    <s v="DNI"/>
    <n v="18761949"/>
    <s v="20187619492"/>
    <d v="1977-03-04T00:00:00"/>
    <m/>
    <m/>
    <m/>
    <m/>
    <x v="0"/>
    <x v="0"/>
    <d v="2016-06-01T00:00:00"/>
    <m/>
    <d v="2016-12-31T00:00:00"/>
    <x v="0"/>
    <s v="UNTREF"/>
    <m/>
    <n v="18000"/>
    <x v="18"/>
    <x v="3"/>
    <m/>
    <m/>
    <m/>
    <n v="1000"/>
    <x v="0"/>
    <x v="0"/>
    <x v="0"/>
  </r>
  <r>
    <x v="0"/>
    <x v="0"/>
    <x v="1"/>
    <x v="1"/>
    <x v="5"/>
    <x v="8"/>
    <s v="ESPACIOS FÍSICOS"/>
    <s v="REFERENTE"/>
    <s v="ADMINISTRATIVO"/>
    <s v="CCK"/>
    <s v="CCK - Alem 351"/>
    <x v="879"/>
    <s v="DNI"/>
    <n v="28361042"/>
    <s v="20283610420"/>
    <d v="1980-09-16T00:00:00"/>
    <m/>
    <m/>
    <m/>
    <m/>
    <x v="0"/>
    <x v="0"/>
    <d v="2014-08-01T00:00:00"/>
    <m/>
    <d v="2016-12-31T00:00:00"/>
    <x v="0"/>
    <s v="UNTREF"/>
    <s v="UNSAM-MINPLAN"/>
    <n v="25480"/>
    <x v="250"/>
    <x v="49"/>
    <n v="25480"/>
    <s v="."/>
    <s v="."/>
    <n v="1000"/>
    <x v="0"/>
    <x v="0"/>
    <x v="0"/>
  </r>
  <r>
    <x v="0"/>
    <x v="0"/>
    <x v="0"/>
    <x v="0"/>
    <x v="8"/>
    <x v="6"/>
    <m/>
    <s v="ACUA MAYOR"/>
    <s v="ADMINISTRATIVO"/>
    <s v="CABILDO 65"/>
    <s v="CABILDO 65"/>
    <x v="880"/>
    <s v="DNI"/>
    <n v="25795303"/>
    <s v="27257953039"/>
    <d v="1977-02-12T00:00:00"/>
    <m/>
    <m/>
    <m/>
    <m/>
    <x v="0"/>
    <x v="0"/>
    <d v="2010-10-01T00:00:00"/>
    <m/>
    <d v="2016-12-31T00:00:00"/>
    <x v="0"/>
    <s v="UNTREF"/>
    <s v="UNSAM- LADA"/>
    <n v="22662"/>
    <x v="251"/>
    <x v="5"/>
    <s v="."/>
    <s v="."/>
    <s v="."/>
    <n v="1000"/>
    <x v="2"/>
    <x v="0"/>
    <x v="0"/>
  </r>
  <r>
    <x v="0"/>
    <x v="0"/>
    <x v="1"/>
    <x v="1"/>
    <x v="39"/>
    <x v="2"/>
    <m/>
    <s v="Responsable"/>
    <s v="ADMINISTRATIVO"/>
    <s v="CCK"/>
    <s v="CCK - Alem 351"/>
    <x v="881"/>
    <s v="DNI"/>
    <n v="23126670"/>
    <s v="20231266705"/>
    <d v="1973-02-01T00:00:00"/>
    <m/>
    <m/>
    <m/>
    <m/>
    <x v="0"/>
    <x v="0"/>
    <d v="2015-04-01T00:00:00"/>
    <m/>
    <d v="2016-12-31T00:00:00"/>
    <x v="0"/>
    <s v="UNTREF"/>
    <s v="UNSAM-MINPLAN"/>
    <n v="20000"/>
    <x v="252"/>
    <x v="36"/>
    <s v="."/>
    <n v="26000"/>
    <s v="."/>
    <n v="1000"/>
    <x v="0"/>
    <x v="0"/>
    <x v="0"/>
  </r>
  <r>
    <x v="0"/>
    <x v="0"/>
    <x v="1"/>
    <x v="1"/>
    <x v="14"/>
    <x v="2"/>
    <m/>
    <m/>
    <s v="ADMINISTRATIVO"/>
    <m/>
    <s v="CCK - Alem 351"/>
    <x v="882"/>
    <s v="DNI"/>
    <n v="33344752"/>
    <n v="27333447520"/>
    <d v="1987-09-07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7"/>
    <x v="2"/>
    <x v="2"/>
    <m/>
    <s v="PRIVADA"/>
    <s v="ADMINISTRATIVO"/>
    <m/>
    <s v="CCK - Alem 351"/>
    <x v="883"/>
    <s v="DNI"/>
    <n v="27084585"/>
    <n v="27270845857"/>
    <d v="1978-12-14T00:00:00"/>
    <m/>
    <m/>
    <m/>
    <m/>
    <x v="0"/>
    <x v="0"/>
    <m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3"/>
    <x v="27"/>
    <x v="2"/>
    <m/>
    <m/>
    <m/>
    <s v="TECNÓPOLIS"/>
    <m/>
    <x v="884"/>
    <s v="DNI"/>
    <n v="21930163"/>
    <n v="20219301635"/>
    <m/>
    <m/>
    <m/>
    <m/>
    <m/>
    <x v="1"/>
    <x v="1"/>
    <d v="2013-05-01T00:00:00"/>
    <d v="2016-03-31T00:00:00"/>
    <d v="2016-12-31T00:00:00"/>
    <x v="3"/>
    <m/>
    <m/>
    <n v="21792.89"/>
    <x v="253"/>
    <x v="5"/>
    <s v="."/>
    <s v="."/>
    <s v="."/>
    <n v="1000"/>
    <x v="1"/>
    <x v="0"/>
    <x v="0"/>
  </r>
  <r>
    <x v="0"/>
    <x v="1"/>
    <x v="0"/>
    <x v="5"/>
    <x v="30"/>
    <x v="2"/>
    <m/>
    <s v="Asistente Técnico"/>
    <m/>
    <s v="CCK"/>
    <m/>
    <x v="885"/>
    <s v="DNI"/>
    <n v="22237165"/>
    <n v="27222371657"/>
    <m/>
    <m/>
    <m/>
    <m/>
    <m/>
    <x v="1"/>
    <x v="1"/>
    <d v="2011-06-01T00:00:00"/>
    <d v="2016-12-31T00:00:00"/>
    <d v="2016-12-31T00:00:00"/>
    <x v="2"/>
    <m/>
    <m/>
    <n v="12274"/>
    <x v="23"/>
    <x v="5"/>
    <s v="."/>
    <s v="."/>
    <n v="15274"/>
    <n v="1000"/>
    <x v="1"/>
    <x v="0"/>
    <x v="0"/>
  </r>
  <r>
    <x v="0"/>
    <x v="0"/>
    <x v="1"/>
    <x v="3"/>
    <x v="2"/>
    <x v="2"/>
    <m/>
    <s v="PRIVADA"/>
    <s v="ADMINISTRATIVO"/>
    <s v="TECNÓPOLIS"/>
    <s v="TECNOPOLIS"/>
    <x v="886"/>
    <s v="DNI"/>
    <n v="31213986"/>
    <s v="20312139864"/>
    <d v="1984-08-31T00:00:00"/>
    <m/>
    <m/>
    <m/>
    <m/>
    <x v="0"/>
    <x v="0"/>
    <d v="2016-01-01T00:00:00"/>
    <m/>
    <d v="2016-12-31T00:00:00"/>
    <x v="0"/>
    <s v="UNTREF"/>
    <s v="UNSAM"/>
    <n v="10000"/>
    <x v="0"/>
    <x v="44"/>
    <n v="10000"/>
    <s v="."/>
    <s v="."/>
    <n v="1000"/>
    <x v="0"/>
    <x v="0"/>
    <x v="0"/>
  </r>
  <r>
    <x v="0"/>
    <x v="1"/>
    <x v="0"/>
    <x v="2"/>
    <x v="2"/>
    <x v="2"/>
    <m/>
    <s v="PRIVADA"/>
    <s v="ADMINISTRATIVO"/>
    <m/>
    <s v="CCK - Alem 351"/>
    <x v="887"/>
    <s v="DNI"/>
    <n v="28231814"/>
    <n v="27282318143"/>
    <d v="1980-06-13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1"/>
    <x v="3"/>
    <x v="3"/>
    <x v="2"/>
    <m/>
    <m/>
    <s v="ENCARGADO DE LIMPIEZA"/>
    <s v="TECNÓPOLIS"/>
    <s v="TECNOPOLIS"/>
    <x v="888"/>
    <s v="DNI"/>
    <n v="34616953"/>
    <s v="20346169533"/>
    <d v="1989-05-25T00:00:00"/>
    <m/>
    <m/>
    <m/>
    <m/>
    <x v="0"/>
    <x v="0"/>
    <d v="2013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6"/>
    <x v="2"/>
    <m/>
    <m/>
    <s v="MANTENIMIENTO GRAL DEL PARQUE"/>
    <s v="TECNÓPOLIS"/>
    <s v="TECNOPOLIS"/>
    <x v="889"/>
    <s v="DNI"/>
    <n v="40516549"/>
    <s v="20405165490"/>
    <d v="1990-01-15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21"/>
    <x v="2"/>
    <m/>
    <m/>
    <s v="MANTENIMIENTO DE ESPACIOS VERDES"/>
    <s v="TECNÓPOLIS"/>
    <s v="TECNOPOLIS"/>
    <x v="890"/>
    <s v="DNI"/>
    <n v="24534584"/>
    <s v="20245345845"/>
    <d v="1975-06-30T00:00:00"/>
    <m/>
    <m/>
    <m/>
    <m/>
    <x v="0"/>
    <x v="0"/>
    <d v="2013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2"/>
    <x v="2"/>
    <m/>
    <m/>
    <s v="MANTENIMIENTO DE ESPACIOS VERDES"/>
    <m/>
    <s v="TECNOPOLIS"/>
    <x v="891"/>
    <s v="DNI"/>
    <n v="40166060"/>
    <s v="20401660608"/>
    <d v="1997-04-03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CONTENIDOS DIGITALES ABIERTOS CDA"/>
    <s v="ADMINISTRATIVO"/>
    <s v="CABILDO 65"/>
    <s v="CABILDO 65"/>
    <x v="892"/>
    <s v="DNI"/>
    <n v="95147687"/>
    <s v="20951476871"/>
    <d v="1986-01-14T00:00:00"/>
    <m/>
    <m/>
    <m/>
    <m/>
    <x v="0"/>
    <x v="0"/>
    <d v="2014-02-15T00:00:00"/>
    <m/>
    <d v="2016-12-31T00:00:00"/>
    <x v="0"/>
    <s v="UNTREF"/>
    <s v="UNSAM- LADA"/>
    <n v="15925"/>
    <x v="254"/>
    <x v="5"/>
    <s v="."/>
    <s v="."/>
    <s v="."/>
    <n v="1000"/>
    <x v="2"/>
    <x v="0"/>
    <x v="0"/>
  </r>
  <r>
    <x v="0"/>
    <x v="0"/>
    <x v="1"/>
    <x v="1"/>
    <x v="16"/>
    <x v="11"/>
    <m/>
    <m/>
    <s v="VISITAS GUIADAS"/>
    <m/>
    <s v="CCK - Alem 351"/>
    <x v="893"/>
    <s v="DNI"/>
    <n v="34247889"/>
    <n v="20342578897"/>
    <d v="1988-12-21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1"/>
    <x v="7"/>
    <x v="2"/>
    <x v="2"/>
    <m/>
    <s v="PRIVADA"/>
    <s v="ADMINISTRATIVO"/>
    <m/>
    <s v="CCK - Alem 351"/>
    <x v="894"/>
    <s v="DNI"/>
    <n v="32064205"/>
    <n v="20320642052"/>
    <d v="1985-12-17T00:00:00"/>
    <m/>
    <m/>
    <m/>
    <m/>
    <x v="0"/>
    <x v="0"/>
    <d v="2016-06-01T00:00:00"/>
    <m/>
    <d v="2016-08-31T00:00:00"/>
    <x v="0"/>
    <s v="UNTREF"/>
    <m/>
    <m/>
    <x v="18"/>
    <x v="3"/>
    <m/>
    <m/>
    <m/>
    <m/>
    <x v="0"/>
    <x v="0"/>
    <x v="2"/>
  </r>
  <r>
    <x v="0"/>
    <x v="0"/>
    <x v="1"/>
    <x v="1"/>
    <x v="2"/>
    <x v="2"/>
    <m/>
    <s v="ASISTENTE COORD SUR"/>
    <s v="ADMINISTRATIVO"/>
    <m/>
    <s v="CCK - Alem 351"/>
    <x v="895"/>
    <s v="DNI"/>
    <n v="12315305"/>
    <n v="20123153058"/>
    <d v="1958-05-16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1"/>
    <x v="0"/>
    <x v="5"/>
    <x v="26"/>
    <x v="2"/>
    <m/>
    <s v="Analista"/>
    <m/>
    <s v="CCK"/>
    <m/>
    <x v="896"/>
    <s v="DNI"/>
    <n v="29064222"/>
    <n v="27290642227"/>
    <m/>
    <m/>
    <m/>
    <m/>
    <m/>
    <x v="1"/>
    <x v="1"/>
    <d v="2012-12-01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0"/>
    <x v="0"/>
    <x v="8"/>
    <x v="6"/>
    <m/>
    <s v="TÉCNICA Y TRANSMISIÓN"/>
    <s v="ADMINISTRATIVO"/>
    <s v="CABILDO 65"/>
    <s v="CABILDO 65"/>
    <x v="897"/>
    <s v="DNI"/>
    <n v="11721717"/>
    <s v="20117217176"/>
    <d v="1955-11-08T00:00:00"/>
    <m/>
    <m/>
    <m/>
    <m/>
    <x v="0"/>
    <x v="0"/>
    <d v="2013-03-01T00:00:00"/>
    <m/>
    <d v="2016-12-31T00:00:00"/>
    <x v="0"/>
    <s v="UNTREF"/>
    <s v="UNSAM- LADA"/>
    <n v="21640"/>
    <x v="200"/>
    <x v="5"/>
    <s v="."/>
    <s v="."/>
    <s v="."/>
    <n v="1000"/>
    <x v="2"/>
    <x v="0"/>
    <x v="0"/>
  </r>
  <r>
    <x v="0"/>
    <x v="0"/>
    <x v="0"/>
    <x v="0"/>
    <x v="8"/>
    <x v="6"/>
    <m/>
    <s v="CONTENIDOS DIGITALES ABIERTOS CDA"/>
    <s v="ADMINISTRATIVO"/>
    <s v="CABILDO 65"/>
    <s v="CABILDO 65"/>
    <x v="898"/>
    <s v="DNI"/>
    <n v="37992277"/>
    <s v="20379922776"/>
    <d v="1994-01-04T00:00:00"/>
    <m/>
    <m/>
    <m/>
    <m/>
    <x v="0"/>
    <x v="0"/>
    <d v="2015-05-15T00:00:00"/>
    <m/>
    <d v="2016-12-31T00:00:00"/>
    <x v="0"/>
    <s v="UNTREF"/>
    <s v="UNSAM- LADA"/>
    <n v="15234"/>
    <x v="22"/>
    <x v="5"/>
    <s v="."/>
    <s v="."/>
    <s v="."/>
    <n v="1000"/>
    <x v="2"/>
    <x v="0"/>
    <x v="0"/>
  </r>
  <r>
    <x v="0"/>
    <x v="0"/>
    <x v="1"/>
    <x v="1"/>
    <x v="1"/>
    <x v="1"/>
    <m/>
    <m/>
    <s v="ADMINISTRATIVO"/>
    <s v="CCK"/>
    <s v="CCK - Alem 351"/>
    <x v="899"/>
    <s v="DNI"/>
    <n v="23123972"/>
    <s v="27231239729"/>
    <d v="1972-12-23T00:00:00"/>
    <m/>
    <m/>
    <m/>
    <m/>
    <x v="0"/>
    <x v="0"/>
    <d v="2016-01-01T00:00:00"/>
    <m/>
    <d v="2016-12-31T00:00:00"/>
    <x v="0"/>
    <s v="UNTREF"/>
    <s v="UNSAM"/>
    <n v="19000"/>
    <x v="113"/>
    <x v="8"/>
    <n v="20000"/>
    <n v="20000"/>
    <n v="26000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900"/>
    <s v="DNI"/>
    <n v="22809362"/>
    <n v="23228093629"/>
    <d v="1972-10-30T00:00:00"/>
    <m/>
    <m/>
    <m/>
    <m/>
    <x v="0"/>
    <x v="0"/>
    <d v="2011-09-01T00:00:00"/>
    <m/>
    <d v="2016-12-31T00:00:00"/>
    <x v="0"/>
    <s v="UNTREF"/>
    <s v="UNSAM- LADA"/>
    <n v="32782"/>
    <x v="80"/>
    <x v="5"/>
    <s v="."/>
    <s v="."/>
    <s v="."/>
    <n v="1000"/>
    <x v="2"/>
    <x v="0"/>
    <x v="0"/>
  </r>
  <r>
    <x v="0"/>
    <x v="0"/>
    <x v="1"/>
    <x v="3"/>
    <x v="4"/>
    <x v="2"/>
    <m/>
    <s v="COCINA"/>
    <s v="LIMPIEZA GENERAL DEL PARQUE"/>
    <s v="TECNÓPOLIS"/>
    <s v="TECNOPOLIS"/>
    <x v="901"/>
    <s v="DNI"/>
    <n v="38353774"/>
    <s v="20383537747"/>
    <d v="1994-11-01T00:00:00"/>
    <m/>
    <m/>
    <m/>
    <m/>
    <x v="0"/>
    <x v="0"/>
    <d v="2014-04-01T00:00:00"/>
    <m/>
    <d v="2016-12-31T00:00:00"/>
    <x v="0"/>
    <s v="UNTREF"/>
    <s v="UNTREF"/>
    <n v="10408.549999999999"/>
    <x v="13"/>
    <x v="5"/>
    <s v="."/>
    <s v="."/>
    <s v="."/>
    <n v="1000"/>
    <x v="0"/>
    <x v="0"/>
    <x v="0"/>
  </r>
  <r>
    <x v="0"/>
    <x v="0"/>
    <x v="1"/>
    <x v="3"/>
    <x v="3"/>
    <x v="2"/>
    <m/>
    <m/>
    <m/>
    <s v="TECNÓPOLIS"/>
    <m/>
    <x v="902"/>
    <s v="DNI"/>
    <n v="34263994"/>
    <n v="27342639947"/>
    <m/>
    <m/>
    <m/>
    <m/>
    <m/>
    <x v="1"/>
    <x v="1"/>
    <d v="2011-12-01T00:00:00"/>
    <d v="2016-12-31T00:00:00"/>
    <d v="2016-12-31T00:00:00"/>
    <x v="8"/>
    <m/>
    <m/>
    <n v="13270"/>
    <x v="255"/>
    <x v="5"/>
    <s v="."/>
    <s v="."/>
    <s v="."/>
    <n v="1000"/>
    <x v="1"/>
    <x v="0"/>
    <x v="0"/>
  </r>
  <r>
    <x v="0"/>
    <x v="1"/>
    <x v="0"/>
    <x v="5"/>
    <x v="30"/>
    <x v="2"/>
    <m/>
    <s v="Analista"/>
    <s v="ADMINISTRATIVO"/>
    <s v="CCK"/>
    <s v="CCK - Alem 351"/>
    <x v="903"/>
    <s v="DNI"/>
    <n v="34888306"/>
    <n v="27348883068"/>
    <d v="1989-11-12T00:00:00"/>
    <m/>
    <m/>
    <m/>
    <m/>
    <x v="0"/>
    <x v="0"/>
    <d v="2016-08-01T00:00:00"/>
    <m/>
    <d v="2016-12-31T00:00:00"/>
    <x v="0"/>
    <s v="UNTREF"/>
    <m/>
    <s v="."/>
    <x v="135"/>
    <x v="3"/>
    <m/>
    <s v="."/>
    <s v="."/>
    <m/>
    <x v="1"/>
    <x v="1"/>
    <x v="2"/>
  </r>
  <r>
    <x v="0"/>
    <x v="0"/>
    <x v="0"/>
    <x v="8"/>
    <x v="1"/>
    <x v="2"/>
    <m/>
    <m/>
    <m/>
    <s v="CCK"/>
    <s v="CCK - Alem 351"/>
    <x v="904"/>
    <s v="DNI"/>
    <n v="31722364"/>
    <n v="20317223642"/>
    <m/>
    <m/>
    <m/>
    <m/>
    <m/>
    <x v="1"/>
    <x v="1"/>
    <d v="2012-07-01T00:00:00"/>
    <d v="2016-12-31T00:00:00"/>
    <d v="2016-12-31T00:00:00"/>
    <x v="3"/>
    <m/>
    <m/>
    <n v="18164"/>
    <x v="256"/>
    <x v="5"/>
    <s v="."/>
    <s v="."/>
    <s v="."/>
    <n v="1000"/>
    <x v="1"/>
    <x v="0"/>
    <x v="0"/>
  </r>
  <r>
    <x v="0"/>
    <x v="0"/>
    <x v="1"/>
    <x v="3"/>
    <x v="6"/>
    <x v="2"/>
    <m/>
    <m/>
    <s v="MANTENIMIENTO GRAL DEL PARQUE"/>
    <s v="TECNÓPOLIS"/>
    <s v="TECNOPOLIS"/>
    <x v="905"/>
    <s v="DNI"/>
    <n v="30160785"/>
    <s v="20301607858"/>
    <d v="1983-05-19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1"/>
    <x v="3"/>
    <x v="44"/>
    <x v="2"/>
    <m/>
    <m/>
    <m/>
    <s v="TECNÓPOLIS"/>
    <m/>
    <x v="906"/>
    <s v="DNI"/>
    <n v="20979830"/>
    <n v="20209798302"/>
    <m/>
    <m/>
    <m/>
    <m/>
    <m/>
    <x v="1"/>
    <x v="1"/>
    <d v="2011-08-01T00:00:00"/>
    <d v="2016-12-31T00:00:00"/>
    <d v="2016-12-31T00:00:00"/>
    <x v="3"/>
    <m/>
    <m/>
    <n v="15793.59"/>
    <x v="257"/>
    <x v="5"/>
    <s v="."/>
    <s v="."/>
    <s v="."/>
    <n v="1000"/>
    <x v="1"/>
    <x v="0"/>
    <x v="0"/>
  </r>
  <r>
    <x v="0"/>
    <x v="0"/>
    <x v="1"/>
    <x v="3"/>
    <x v="6"/>
    <x v="2"/>
    <m/>
    <m/>
    <s v="MANTENIMIENTO GRAL DEL PARQUE"/>
    <s v="TECNÓPOLIS"/>
    <s v="TECNOPOLIS"/>
    <x v="907"/>
    <s v="DNI"/>
    <n v="36179996"/>
    <s v="20361799969"/>
    <d v="1993-05-10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5"/>
    <x v="3"/>
    <s v="LOGISTICA OPERATIVA"/>
    <s v="Responsable"/>
    <s v="OPERATIVA Y LOGISTICA"/>
    <s v="CCK"/>
    <s v="CCK - Alem 351"/>
    <x v="908"/>
    <s v="DNI"/>
    <n v="32604554"/>
    <s v="20326045544"/>
    <d v="1986-08-19T00:00:00"/>
    <m/>
    <m/>
    <m/>
    <m/>
    <x v="0"/>
    <x v="0"/>
    <d v="2015-04-18T00:00:00"/>
    <m/>
    <d v="2016-12-31T00:00:00"/>
    <x v="0"/>
    <s v="UNTREF"/>
    <s v="UNLAM -TDA"/>
    <n v="11721"/>
    <x v="50"/>
    <x v="12"/>
    <n v="17000"/>
    <n v="17000"/>
    <s v=".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909"/>
    <s v="DNI"/>
    <n v="28969270"/>
    <s v="20289692704"/>
    <d v="1981-12-13T00:00:00"/>
    <m/>
    <m/>
    <m/>
    <m/>
    <x v="0"/>
    <x v="0"/>
    <d v="2015-03-02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0"/>
    <x v="1"/>
    <x v="1"/>
    <x v="5"/>
    <x v="8"/>
    <m/>
    <s v="Asistente Técnico Administrativo"/>
    <s v="ADMINISTRATIVO"/>
    <s v="CCK"/>
    <s v="CCK - Alem 351"/>
    <x v="910"/>
    <s v="DNI"/>
    <n v="35897637"/>
    <n v="23358976379"/>
    <d v="1992-04-29T00:00:00"/>
    <m/>
    <m/>
    <m/>
    <m/>
    <x v="0"/>
    <x v="0"/>
    <m/>
    <m/>
    <d v="2016-12-31T00:00:00"/>
    <x v="0"/>
    <s v="UNTREF"/>
    <s v="UNLAM -TDA"/>
    <n v="11721"/>
    <x v="49"/>
    <x v="7"/>
    <n v="14000"/>
    <n v="13500"/>
    <n v="14000"/>
    <n v="1000"/>
    <x v="0"/>
    <x v="0"/>
    <x v="0"/>
  </r>
  <r>
    <x v="0"/>
    <x v="1"/>
    <x v="0"/>
    <x v="2"/>
    <x v="2"/>
    <x v="2"/>
    <m/>
    <s v="PRIVADA"/>
    <s v="ADMINISTRATIVO"/>
    <m/>
    <s v="CCK - Alem 351"/>
    <x v="911"/>
    <s v="DNI"/>
    <n v="35161090"/>
    <s v="20351610906"/>
    <d v="1990-03-23T00:00:00"/>
    <m/>
    <m/>
    <m/>
    <m/>
    <x v="0"/>
    <x v="0"/>
    <d v="2016-01-01T00:00:00"/>
    <m/>
    <d v="2016-12-31T00:00:00"/>
    <x v="0"/>
    <s v="UNTREF"/>
    <s v="UNSAM"/>
    <n v="17000"/>
    <x v="50"/>
    <x v="12"/>
    <n v="17000"/>
    <s v="."/>
    <s v="."/>
    <n v="1000"/>
    <x v="0"/>
    <x v="0"/>
    <x v="0"/>
  </r>
  <r>
    <x v="0"/>
    <x v="0"/>
    <x v="1"/>
    <x v="3"/>
    <x v="24"/>
    <x v="2"/>
    <m/>
    <s v="Tareas Generales"/>
    <s v="TAREAS EN GENERAL TALLER CARPINTERIA/HERRERÍA/TEXTIL"/>
    <s v="TECNÓPOLIS"/>
    <m/>
    <x v="912"/>
    <s v="DNI"/>
    <n v="34154916"/>
    <n v="27341549162"/>
    <d v="1988-03-22T00:00:00"/>
    <m/>
    <m/>
    <m/>
    <m/>
    <x v="0"/>
    <x v="2"/>
    <m/>
    <m/>
    <d v="2016-12-31T00:00:00"/>
    <x v="0"/>
    <s v="UNTREF"/>
    <s v="UNTREF"/>
    <n v="1700"/>
    <x v="42"/>
    <x v="5"/>
    <s v="."/>
    <s v="."/>
    <s v="."/>
    <n v="1000"/>
    <x v="0"/>
    <x v="0"/>
    <x v="0"/>
  </r>
  <r>
    <x v="0"/>
    <x v="0"/>
    <x v="1"/>
    <x v="1"/>
    <x v="31"/>
    <x v="2"/>
    <m/>
    <s v="Asistente"/>
    <s v="Asistente"/>
    <m/>
    <s v="CCK - Alem 351"/>
    <x v="913"/>
    <s v="DNI"/>
    <n v="24270144"/>
    <s v="27242701440"/>
    <d v="1974-10-24T00:00:00"/>
    <m/>
    <m/>
    <m/>
    <m/>
    <x v="0"/>
    <x v="0"/>
    <d v="2016-04-01T00:00:00"/>
    <m/>
    <d v="2016-12-31T00:00:00"/>
    <x v="0"/>
    <s v="UNTREF"/>
    <m/>
    <n v="20000"/>
    <x v="113"/>
    <x v="8"/>
    <n v="20000"/>
    <n v="20000"/>
    <s v="."/>
    <n v="1000"/>
    <x v="0"/>
    <x v="0"/>
    <x v="0"/>
  </r>
  <r>
    <x v="0"/>
    <x v="1"/>
    <x v="0"/>
    <x v="5"/>
    <x v="17"/>
    <x v="12"/>
    <s v="AUTOMOTORES"/>
    <s v="CHOFER"/>
    <m/>
    <s v="CCK"/>
    <m/>
    <x v="914"/>
    <s v="DNI"/>
    <n v="26688463"/>
    <n v="20266884630"/>
    <m/>
    <m/>
    <m/>
    <m/>
    <m/>
    <x v="1"/>
    <x v="1"/>
    <d v="2014-12-01T00:00:00"/>
    <d v="2016-03-31T00:00:00"/>
    <d v="2016-12-31T00:00:00"/>
    <x v="1"/>
    <m/>
    <m/>
    <n v="18219"/>
    <x v="258"/>
    <x v="5"/>
    <s v="."/>
    <s v="."/>
    <s v="."/>
    <n v="1000"/>
    <x v="1"/>
    <x v="0"/>
    <x v="0"/>
  </r>
  <r>
    <x v="0"/>
    <x v="0"/>
    <x v="1"/>
    <x v="3"/>
    <x v="3"/>
    <x v="2"/>
    <m/>
    <m/>
    <m/>
    <s v="TECNÓPOLIS"/>
    <m/>
    <x v="915"/>
    <s v="DNI"/>
    <n v="20715776"/>
    <n v="27207157762"/>
    <m/>
    <m/>
    <m/>
    <m/>
    <m/>
    <x v="1"/>
    <x v="1"/>
    <d v="2012-10-31T00:00:00"/>
    <d v="2016-12-31T00:00:00"/>
    <d v="2016-12-31T00:00:00"/>
    <x v="3"/>
    <m/>
    <m/>
    <n v="19227"/>
    <x v="259"/>
    <x v="5"/>
    <s v="."/>
    <s v="."/>
    <s v="."/>
    <n v="1000"/>
    <x v="1"/>
    <x v="0"/>
    <x v="0"/>
  </r>
  <r>
    <x v="0"/>
    <x v="0"/>
    <x v="1"/>
    <x v="3"/>
    <x v="3"/>
    <x v="2"/>
    <m/>
    <m/>
    <s v="LIMPIEZA GENERAL DEL PARQUE"/>
    <s v="TECNÓPOLIS"/>
    <s v="TECNOPOLIS"/>
    <x v="916"/>
    <s v="DNI"/>
    <n v="38354730"/>
    <s v="20383547300"/>
    <d v="1994-07-21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27"/>
    <x v="20"/>
    <m/>
    <m/>
    <s v="ADMINISTRATIVO"/>
    <m/>
    <s v="CCK - Alem 351"/>
    <x v="917"/>
    <s v="DNI"/>
    <n v="12908061"/>
    <n v="20129080613"/>
    <d v="1958-09-02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0"/>
    <x v="0"/>
    <x v="8"/>
    <x v="6"/>
    <m/>
    <s v="POSTPRODUCCIÓN"/>
    <s v="EDICION"/>
    <s v="CABILDO 65"/>
    <s v="CABILDO 65"/>
    <x v="918"/>
    <s v="DNI"/>
    <n v="31270453"/>
    <s v="20312704537"/>
    <d v="1984-10-29T00:00:00"/>
    <m/>
    <m/>
    <m/>
    <m/>
    <x v="0"/>
    <x v="0"/>
    <d v="2015-04-01T00:00:00"/>
    <m/>
    <d v="2016-12-31T00:00:00"/>
    <x v="0"/>
    <s v="UNTREF"/>
    <m/>
    <n v="19353"/>
    <x v="36"/>
    <x v="3"/>
    <m/>
    <m/>
    <m/>
    <n v="1000"/>
    <x v="2"/>
    <x v="0"/>
    <x v="0"/>
  </r>
  <r>
    <x v="0"/>
    <x v="0"/>
    <x v="1"/>
    <x v="1"/>
    <x v="16"/>
    <x v="2"/>
    <m/>
    <s v="Analista"/>
    <m/>
    <s v="CCK"/>
    <m/>
    <x v="919"/>
    <s v="DNI"/>
    <n v="28013886"/>
    <n v="27280138865"/>
    <m/>
    <m/>
    <m/>
    <m/>
    <m/>
    <x v="1"/>
    <x v="1"/>
    <d v="2009-03-01T00:00:00"/>
    <d v="2016-12-31T00:00:00"/>
    <d v="2016-12-31T00:00:00"/>
    <x v="9"/>
    <m/>
    <m/>
    <n v="19096"/>
    <x v="81"/>
    <x v="5"/>
    <s v="."/>
    <s v="."/>
    <s v="."/>
    <n v="1000"/>
    <x v="1"/>
    <x v="0"/>
    <x v="0"/>
  </r>
  <r>
    <x v="0"/>
    <x v="0"/>
    <x v="1"/>
    <x v="7"/>
    <x v="2"/>
    <x v="2"/>
    <m/>
    <s v="PRIVADA"/>
    <s v="ADMINISTRATIVO"/>
    <m/>
    <s v="CCK - Alem 351"/>
    <x v="920"/>
    <s v="DNI"/>
    <n v="25989420"/>
    <n v="20259894205"/>
    <d v="1977-08-02T00:00:00"/>
    <m/>
    <m/>
    <m/>
    <m/>
    <x v="0"/>
    <x v="0"/>
    <m/>
    <m/>
    <d v="2016-12-31T00:00:00"/>
    <x v="0"/>
    <s v="UNTREF"/>
    <m/>
    <m/>
    <x v="18"/>
    <x v="3"/>
    <m/>
    <m/>
    <m/>
    <m/>
    <x v="1"/>
    <x v="0"/>
    <x v="2"/>
  </r>
  <r>
    <x v="0"/>
    <x v="0"/>
    <x v="1"/>
    <x v="1"/>
    <x v="14"/>
    <x v="2"/>
    <m/>
    <m/>
    <m/>
    <s v="CCK"/>
    <s v="CCK - Alem 351"/>
    <x v="921"/>
    <s v="DNI"/>
    <n v="28076813"/>
    <n v="27280768133"/>
    <m/>
    <m/>
    <m/>
    <m/>
    <m/>
    <x v="1"/>
    <x v="1"/>
    <d v="2011-07-01T00:00:00"/>
    <d v="2016-12-31T00:00:00"/>
    <d v="2016-12-31T00:00:00"/>
    <x v="3"/>
    <m/>
    <m/>
    <n v="24220.959999999999"/>
    <x v="260"/>
    <x v="5"/>
    <s v="."/>
    <s v="."/>
    <s v="."/>
    <n v="1000"/>
    <x v="1"/>
    <x v="0"/>
    <x v="0"/>
  </r>
  <r>
    <x v="0"/>
    <x v="0"/>
    <x v="1"/>
    <x v="1"/>
    <x v="5"/>
    <x v="24"/>
    <m/>
    <m/>
    <m/>
    <m/>
    <m/>
    <x v="922"/>
    <s v="DNI"/>
    <n v="26352654"/>
    <n v="20263526547"/>
    <m/>
    <m/>
    <m/>
    <m/>
    <m/>
    <x v="1"/>
    <x v="1"/>
    <d v="2008-02-01T00:00:00"/>
    <d v="2016-12-31T00:00:00"/>
    <d v="2016-12-31T00:00:00"/>
    <x v="11"/>
    <m/>
    <s v="B2"/>
    <m/>
    <x v="18"/>
    <x v="3"/>
    <m/>
    <m/>
    <m/>
    <m/>
    <x v="1"/>
    <x v="0"/>
    <x v="2"/>
  </r>
  <r>
    <x v="0"/>
    <x v="0"/>
    <x v="0"/>
    <x v="0"/>
    <x v="8"/>
    <x v="6"/>
    <m/>
    <s v="PRODUCCIÓN"/>
    <s v="PRODUCTOR de EXTERIORES"/>
    <s v="CABILDO 65"/>
    <s v="CABILDO 65"/>
    <x v="923"/>
    <s v="DNI"/>
    <n v="27419365"/>
    <s v="20274193655"/>
    <d v="1979-07-23T00:00:00"/>
    <m/>
    <m/>
    <m/>
    <m/>
    <x v="0"/>
    <x v="0"/>
    <d v="2012-05-01T00:00:00"/>
    <m/>
    <d v="2016-12-31T00:00:00"/>
    <x v="0"/>
    <s v="UNTREF"/>
    <m/>
    <n v="27582"/>
    <x v="261"/>
    <x v="3"/>
    <m/>
    <m/>
    <m/>
    <n v="1000"/>
    <x v="2"/>
    <x v="0"/>
    <x v="0"/>
  </r>
  <r>
    <x v="0"/>
    <x v="1"/>
    <x v="0"/>
    <x v="5"/>
    <x v="17"/>
    <x v="9"/>
    <m/>
    <s v="RECURSOS HUMANOS"/>
    <m/>
    <s v="CABILDO 65"/>
    <m/>
    <x v="924"/>
    <s v="DNI"/>
    <n v="22110046"/>
    <n v="27221100463"/>
    <m/>
    <m/>
    <m/>
    <m/>
    <m/>
    <x v="1"/>
    <x v="1"/>
    <d v="2013-12-01T00:00:00"/>
    <d v="2016-03-31T00:00:00"/>
    <d v="2016-12-31T00:00:00"/>
    <x v="9"/>
    <m/>
    <m/>
    <n v="17107"/>
    <x v="104"/>
    <x v="5"/>
    <s v="."/>
    <s v="."/>
    <s v="."/>
    <n v="1000"/>
    <x v="1"/>
    <x v="0"/>
    <x v="0"/>
  </r>
  <r>
    <x v="0"/>
    <x v="1"/>
    <x v="0"/>
    <x v="2"/>
    <x v="2"/>
    <x v="2"/>
    <m/>
    <s v="PRIVADA"/>
    <s v="ADMINISTRATIVO"/>
    <m/>
    <s v="CCK - Alem 351"/>
    <x v="925"/>
    <s v="DNI"/>
    <n v="6560219"/>
    <s v="23065602199"/>
    <d v="1947-07-07T00:00:00"/>
    <m/>
    <m/>
    <m/>
    <m/>
    <x v="0"/>
    <x v="0"/>
    <d v="2016-01-01T00:00:00"/>
    <m/>
    <d v="2016-12-31T00:00:00"/>
    <x v="0"/>
    <s v="UNTREF"/>
    <s v="UNSAM"/>
    <n v="27000"/>
    <x v="53"/>
    <x v="13"/>
    <n v="27000"/>
    <s v="."/>
    <s v="."/>
    <n v="1000"/>
    <x v="0"/>
    <x v="0"/>
    <x v="0"/>
  </r>
  <r>
    <x v="0"/>
    <x v="1"/>
    <x v="0"/>
    <x v="5"/>
    <x v="17"/>
    <x v="17"/>
    <m/>
    <s v="Analista de RR.HH."/>
    <s v="ADMINISTRATIVO"/>
    <s v="CCK"/>
    <s v="CCK - Alem 351"/>
    <x v="926"/>
    <s v="DNI"/>
    <n v="36637604"/>
    <s v="27366376041"/>
    <d v="1991-11-13T00:00:00"/>
    <m/>
    <m/>
    <m/>
    <m/>
    <x v="0"/>
    <x v="0"/>
    <d v="2014-11-01T00:00:00"/>
    <m/>
    <d v="2016-12-31T00:00:00"/>
    <x v="0"/>
    <s v="UNTREF"/>
    <s v="UNLAM -TDA"/>
    <n v="10189"/>
    <x v="5"/>
    <x v="7"/>
    <n v="14000"/>
    <n v="12500"/>
    <n v="14000"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927"/>
    <s v="DNI"/>
    <n v="24007592"/>
    <s v="20240075920"/>
    <d v="1974-07-22T00:00:00"/>
    <m/>
    <m/>
    <m/>
    <m/>
    <x v="0"/>
    <x v="0"/>
    <d v="2012-06-01T00:00:00"/>
    <m/>
    <d v="2016-12-31T00:00:00"/>
    <x v="0"/>
    <s v="UNTREF"/>
    <s v="UNSAM- LADA"/>
    <n v="16465"/>
    <x v="17"/>
    <x v="5"/>
    <s v="."/>
    <s v="."/>
    <s v="."/>
    <n v="1000"/>
    <x v="2"/>
    <x v="0"/>
    <x v="0"/>
  </r>
  <r>
    <x v="0"/>
    <x v="1"/>
    <x v="0"/>
    <x v="5"/>
    <x v="30"/>
    <x v="2"/>
    <m/>
    <s v="ADMINISTRACIÓN"/>
    <s v="ADMINISTRATIVO"/>
    <s v="CCK"/>
    <s v="CCK - Alem 351"/>
    <x v="928"/>
    <s v="DNI"/>
    <n v="32690517"/>
    <s v="27326905173"/>
    <d v="1986-09-30T00:00:00"/>
    <m/>
    <m/>
    <m/>
    <m/>
    <x v="0"/>
    <x v="0"/>
    <d v="2013-03-01T00:00:00"/>
    <m/>
    <d v="2016-12-31T00:00:00"/>
    <x v="0"/>
    <s v="UNTREF"/>
    <s v="UNSAM- LADA"/>
    <n v="9875"/>
    <x v="5"/>
    <x v="4"/>
    <n v="13000"/>
    <n v="12500"/>
    <s v=".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929"/>
    <s v="DNI"/>
    <n v="32022652"/>
    <s v="27320226525"/>
    <d v="1986-01-30T00:00:00"/>
    <m/>
    <m/>
    <m/>
    <m/>
    <x v="0"/>
    <x v="0"/>
    <d v="2015-04-01T00:00:00"/>
    <m/>
    <d v="2016-12-31T00:00:00"/>
    <x v="0"/>
    <s v="UNTREF"/>
    <s v="UNSAM- LADA"/>
    <n v="18795"/>
    <x v="37"/>
    <x v="5"/>
    <s v="."/>
    <s v="."/>
    <s v="."/>
    <n v="1000"/>
    <x v="2"/>
    <x v="0"/>
    <x v="0"/>
  </r>
  <r>
    <x v="0"/>
    <x v="1"/>
    <x v="0"/>
    <x v="5"/>
    <x v="7"/>
    <x v="2"/>
    <m/>
    <s v="ANALISTA"/>
    <s v="ADMINISTRATIVO"/>
    <m/>
    <s v="CCK - Alem 351"/>
    <x v="930"/>
    <s v="DNI"/>
    <n v="36990736"/>
    <n v="27369907366"/>
    <d v="1992-03-14T00:00:00"/>
    <m/>
    <m/>
    <m/>
    <m/>
    <x v="0"/>
    <x v="0"/>
    <d v="2016-05-02T00:00:00"/>
    <m/>
    <d v="2016-12-31T00:00:00"/>
    <x v="0"/>
    <s v="UNTREF"/>
    <m/>
    <s v="."/>
    <x v="14"/>
    <x v="3"/>
    <m/>
    <m/>
    <n v="14000"/>
    <n v="1000"/>
    <x v="0"/>
    <x v="0"/>
    <x v="0"/>
  </r>
  <r>
    <x v="0"/>
    <x v="0"/>
    <x v="0"/>
    <x v="0"/>
    <x v="8"/>
    <x v="6"/>
    <m/>
    <s v="ACUA MAYOR"/>
    <s v="ADMINISTRATIVO"/>
    <s v="CABILDO 65"/>
    <s v="CABILDO 65"/>
    <x v="931"/>
    <s v="DNI"/>
    <n v="24270526"/>
    <s v="20242705263"/>
    <d v="1974-10-18T00:00:00"/>
    <m/>
    <m/>
    <m/>
    <m/>
    <x v="0"/>
    <x v="0"/>
    <d v="2009-11-01T00:00:00"/>
    <m/>
    <d v="2016-12-31T00:00:00"/>
    <x v="0"/>
    <s v="UNTREF"/>
    <s v="UNSAM- LADA"/>
    <n v="27717"/>
    <x v="262"/>
    <x v="5"/>
    <s v="."/>
    <s v="."/>
    <s v="."/>
    <n v="1000"/>
    <x v="2"/>
    <x v="0"/>
    <x v="0"/>
  </r>
  <r>
    <x v="0"/>
    <x v="0"/>
    <x v="1"/>
    <x v="3"/>
    <x v="6"/>
    <x v="2"/>
    <m/>
    <m/>
    <s v="MANTENIMIENTO GRAL DEL PARQUE"/>
    <s v="TECNÓPOLIS"/>
    <s v="TECNOPOLIS"/>
    <x v="932"/>
    <s v="DNI"/>
    <n v="38928395"/>
    <s v="23389283959"/>
    <d v="1995-05-23T00:00:00"/>
    <m/>
    <m/>
    <m/>
    <m/>
    <x v="0"/>
    <x v="0"/>
    <d v="2014-04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1"/>
    <x v="5"/>
    <x v="8"/>
    <m/>
    <s v="Fotografa/o"/>
    <s v="ADMINISTRATIVO"/>
    <s v="CCK"/>
    <s v="CCK - Alem 351"/>
    <x v="933"/>
    <s v="DNI"/>
    <n v="35897693"/>
    <s v="27358976935"/>
    <d v="1992-12-12T00:00:00"/>
    <m/>
    <m/>
    <m/>
    <m/>
    <x v="0"/>
    <x v="0"/>
    <d v="2015-08-03T00:00:00"/>
    <m/>
    <d v="2016-12-31T00:00:00"/>
    <x v="0"/>
    <s v="UNTREF"/>
    <s v="UNLAM -TDA"/>
    <n v="10807"/>
    <x v="5"/>
    <x v="7"/>
    <n v="14000"/>
    <n v="12500"/>
    <n v="14000"/>
    <n v="1000"/>
    <x v="0"/>
    <x v="0"/>
    <x v="0"/>
  </r>
  <r>
    <x v="0"/>
    <x v="0"/>
    <x v="0"/>
    <x v="0"/>
    <x v="8"/>
    <x v="6"/>
    <m/>
    <s v="PRODUCCIÓN"/>
    <s v="PRODUCTOR de EXTERIORES"/>
    <s v="CABILDO 65"/>
    <s v="CABILDO 65"/>
    <x v="934"/>
    <s v="DNI"/>
    <n v="29752031"/>
    <s v="20297520319"/>
    <d v="1982-09-04T00:00:00"/>
    <m/>
    <m/>
    <m/>
    <m/>
    <x v="0"/>
    <x v="0"/>
    <d v="2012-08-01T00:00:00"/>
    <m/>
    <d v="2016-12-31T00:00:00"/>
    <x v="0"/>
    <s v="UNTREF"/>
    <s v="UNSAM- LADA"/>
    <n v="23288"/>
    <x v="10"/>
    <x v="5"/>
    <s v="."/>
    <s v="."/>
    <s v="."/>
    <n v="1000"/>
    <x v="2"/>
    <x v="0"/>
    <x v="0"/>
  </r>
  <r>
    <x v="0"/>
    <x v="0"/>
    <x v="1"/>
    <x v="3"/>
    <x v="20"/>
    <x v="2"/>
    <m/>
    <m/>
    <s v="CONTROL DE ACCESOS/DEPOSITOS DEL PREDIO TURNO NOCHE"/>
    <s v="TECNÓPOLIS"/>
    <s v="TECNOPOLIS"/>
    <x v="935"/>
    <s v="DNI"/>
    <n v="39100326"/>
    <s v="20391003263"/>
    <d v="1995-06-11T00:00:00"/>
    <m/>
    <m/>
    <m/>
    <m/>
    <x v="0"/>
    <x v="0"/>
    <d v="2014-07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0"/>
    <x v="1"/>
    <x v="3"/>
    <x v="15"/>
    <x v="2"/>
    <m/>
    <m/>
    <m/>
    <s v="TECNÓPOLIS"/>
    <m/>
    <x v="936"/>
    <s v="DNI"/>
    <n v="12462086"/>
    <n v="20124620865"/>
    <m/>
    <m/>
    <m/>
    <m/>
    <m/>
    <x v="1"/>
    <x v="1"/>
    <d v="2012-04-01T00:00:00"/>
    <d v="2016-12-31T00:00:00"/>
    <d v="2016-12-31T00:00:00"/>
    <x v="3"/>
    <m/>
    <m/>
    <n v="20583"/>
    <x v="263"/>
    <x v="5"/>
    <s v="."/>
    <s v="."/>
    <s v="."/>
    <n v="1000"/>
    <x v="1"/>
    <x v="0"/>
    <x v="0"/>
  </r>
  <r>
    <x v="0"/>
    <x v="0"/>
    <x v="1"/>
    <x v="3"/>
    <x v="23"/>
    <x v="2"/>
    <m/>
    <m/>
    <s v="MANTENIMIENTO"/>
    <s v="TECNÓPOLIS"/>
    <s v="TECNOPOLIS"/>
    <x v="937"/>
    <s v="DNI"/>
    <n v="28635991"/>
    <s v="20286359915"/>
    <d v="1981-03-08T00:00:00"/>
    <m/>
    <m/>
    <m/>
    <m/>
    <x v="0"/>
    <x v="0"/>
    <d v="2011-07-01T00:00:00"/>
    <m/>
    <d v="2016-12-31T00:00:00"/>
    <x v="0"/>
    <s v="UNTREF"/>
    <s v="UNTREF"/>
    <n v="11449.4"/>
    <x v="8"/>
    <x v="5"/>
    <s v="."/>
    <s v="."/>
    <s v="."/>
    <n v="1000"/>
    <x v="0"/>
    <x v="0"/>
    <x v="0"/>
  </r>
  <r>
    <x v="0"/>
    <x v="0"/>
    <x v="0"/>
    <x v="0"/>
    <x v="8"/>
    <x v="4"/>
    <m/>
    <s v="POSTPRODUCCIÓN"/>
    <s v="ADMINISTRATIVO"/>
    <s v="CABILDO 65"/>
    <s v="CABILDO 65"/>
    <x v="938"/>
    <s v="DNI"/>
    <n v="22006983"/>
    <s v="20220069835"/>
    <d v="1971-03-14T00:00:00"/>
    <m/>
    <m/>
    <m/>
    <m/>
    <x v="0"/>
    <x v="0"/>
    <d v="2012-05-03T00:00:00"/>
    <m/>
    <d v="2016-12-31T00:00:00"/>
    <x v="0"/>
    <s v="UNTREF"/>
    <s v="UNSAM- LADA"/>
    <n v="25252"/>
    <x v="38"/>
    <x v="5"/>
    <s v="."/>
    <s v="."/>
    <s v="."/>
    <n v="1000"/>
    <x v="2"/>
    <x v="0"/>
    <x v="0"/>
  </r>
  <r>
    <x v="0"/>
    <x v="0"/>
    <x v="1"/>
    <x v="3"/>
    <x v="20"/>
    <x v="2"/>
    <m/>
    <m/>
    <m/>
    <s v="TECNÓPOLIS"/>
    <m/>
    <x v="939"/>
    <s v="DNI"/>
    <n v="36662611"/>
    <n v="20366626116"/>
    <m/>
    <m/>
    <m/>
    <m/>
    <m/>
    <x v="1"/>
    <x v="1"/>
    <d v="2013-07-01T00:00:00"/>
    <d v="2016-03-31T00:00:00"/>
    <d v="2016-12-31T00:00:00"/>
    <x v="3"/>
    <m/>
    <m/>
    <n v="15043.07"/>
    <x v="107"/>
    <x v="5"/>
    <s v="."/>
    <s v="."/>
    <s v="."/>
    <n v="1000"/>
    <x v="1"/>
    <x v="0"/>
    <x v="0"/>
  </r>
  <r>
    <x v="0"/>
    <x v="1"/>
    <x v="0"/>
    <x v="2"/>
    <x v="2"/>
    <x v="2"/>
    <m/>
    <s v="PRIVADA"/>
    <s v="ADMINISTRATIVO"/>
    <m/>
    <s v="CCK - Alem 351"/>
    <x v="940"/>
    <s v="DNI"/>
    <n v="24291240"/>
    <n v="20242912404"/>
    <d v="1975-04-21T00:00:00"/>
    <m/>
    <m/>
    <m/>
    <m/>
    <x v="0"/>
    <x v="0"/>
    <d v="2016-01-01T00:00:00"/>
    <m/>
    <d v="2016-12-31T00:00:00"/>
    <x v="0"/>
    <s v="UNTREF"/>
    <s v="UNSAM"/>
    <n v="27370"/>
    <x v="2"/>
    <x v="2"/>
    <n v="27370"/>
    <s v="."/>
    <s v="."/>
    <n v="1000"/>
    <x v="0"/>
    <x v="0"/>
    <x v="0"/>
  </r>
  <r>
    <x v="0"/>
    <x v="0"/>
    <x v="1"/>
    <x v="3"/>
    <x v="15"/>
    <x v="2"/>
    <m/>
    <m/>
    <s v="CARPINTERO"/>
    <s v="TECNÓPOLIS"/>
    <s v="TECNOPOLIS"/>
    <x v="941"/>
    <s v="DNI"/>
    <n v="37141701"/>
    <s v="20371417010"/>
    <d v="1992-12-07T00:00:00"/>
    <m/>
    <m/>
    <m/>
    <m/>
    <x v="0"/>
    <x v="0"/>
    <d v="2014-07-01T00:00:00"/>
    <m/>
    <d v="2016-12-31T00:00:00"/>
    <x v="0"/>
    <s v="UNTREF"/>
    <s v="UNTREF"/>
    <n v="11499"/>
    <x v="264"/>
    <x v="5"/>
    <s v="."/>
    <s v="."/>
    <s v="."/>
    <n v="1000"/>
    <x v="0"/>
    <x v="0"/>
    <x v="0"/>
  </r>
  <r>
    <x v="0"/>
    <x v="0"/>
    <x v="0"/>
    <x v="0"/>
    <x v="8"/>
    <x v="6"/>
    <m/>
    <s v="PRODUCCIÓN"/>
    <m/>
    <m/>
    <m/>
    <x v="942"/>
    <s v="DNI"/>
    <n v="31576451"/>
    <n v="20315764514"/>
    <m/>
    <m/>
    <m/>
    <m/>
    <m/>
    <x v="2"/>
    <x v="1"/>
    <d v="2013-12-01T00:00:00"/>
    <m/>
    <d v="2016-12-31T00:00:00"/>
    <x v="9"/>
    <m/>
    <m/>
    <n v="16000"/>
    <x v="29"/>
    <x v="3"/>
    <m/>
    <m/>
    <m/>
    <m/>
    <x v="1"/>
    <x v="0"/>
    <x v="2"/>
  </r>
  <r>
    <x v="0"/>
    <x v="1"/>
    <x v="0"/>
    <x v="5"/>
    <x v="17"/>
    <x v="12"/>
    <s v="AUTOMOTORES"/>
    <s v="CHOFER"/>
    <m/>
    <s v="CCK"/>
    <m/>
    <x v="943"/>
    <s v="DNI"/>
    <n v="26787449"/>
    <n v="20267874493"/>
    <m/>
    <m/>
    <m/>
    <m/>
    <m/>
    <x v="1"/>
    <x v="1"/>
    <d v="2014-12-01T00:00:00"/>
    <d v="2016-03-31T00:00:00"/>
    <d v="2016-12-31T00:00:00"/>
    <x v="3"/>
    <m/>
    <m/>
    <n v="18000"/>
    <x v="57"/>
    <x v="5"/>
    <s v="."/>
    <s v="."/>
    <s v="."/>
    <n v="1000"/>
    <x v="1"/>
    <x v="0"/>
    <x v="0"/>
  </r>
  <r>
    <x v="0"/>
    <x v="0"/>
    <x v="1"/>
    <x v="1"/>
    <x v="5"/>
    <x v="3"/>
    <s v="LIMPIEZA (En comisión Tecnópolis)"/>
    <s v="Auxiliar"/>
    <s v="OPERATIVA Y LOGISTICA"/>
    <s v="CCK"/>
    <s v="CCK - Alem 351"/>
    <x v="944"/>
    <s v="DNI"/>
    <n v="34520527"/>
    <s v="20345205277"/>
    <d v="1989-01-25T00:00:00"/>
    <m/>
    <m/>
    <m/>
    <m/>
    <x v="0"/>
    <x v="0"/>
    <d v="2015-10-10T00:00:00"/>
    <m/>
    <d v="2016-12-31T00:00:00"/>
    <x v="0"/>
    <s v="UNTREF"/>
    <s v="UNSAM-MINPLAN"/>
    <n v="8500"/>
    <x v="5"/>
    <x v="4"/>
    <n v="13000"/>
    <n v="12500"/>
    <s v="."/>
    <n v="1000"/>
    <x v="0"/>
    <x v="0"/>
    <x v="0"/>
  </r>
  <r>
    <x v="0"/>
    <x v="0"/>
    <x v="0"/>
    <x v="0"/>
    <x v="8"/>
    <x v="6"/>
    <m/>
    <s v="PRENSA Y COMUNICACIÓN"/>
    <m/>
    <s v="CABILDO 65"/>
    <m/>
    <x v="945"/>
    <s v="DNI"/>
    <n v="17636422"/>
    <n v="20176364220"/>
    <m/>
    <m/>
    <m/>
    <m/>
    <m/>
    <x v="1"/>
    <x v="1"/>
    <d v="2015-02-01T00:00:00"/>
    <d v="2016-03-31T00:00:00"/>
    <d v="2016-12-31T00:00:00"/>
    <x v="16"/>
    <m/>
    <m/>
    <n v="13233"/>
    <x v="265"/>
    <x v="5"/>
    <s v="."/>
    <s v="."/>
    <s v="."/>
    <n v="1000"/>
    <x v="1"/>
    <x v="0"/>
    <x v="0"/>
  </r>
  <r>
    <x v="0"/>
    <x v="0"/>
    <x v="0"/>
    <x v="0"/>
    <x v="8"/>
    <x v="6"/>
    <m/>
    <s v="TÉCNICA Y TRANSMISIÓN"/>
    <s v="ADMINISTRATIVO"/>
    <s v="CABILDO 65"/>
    <s v="CABILDO 65"/>
    <x v="946"/>
    <s v="DNI"/>
    <n v="33220920"/>
    <s v="27332209200"/>
    <d v="1987-09-04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1"/>
    <x v="0"/>
    <x v="5"/>
    <x v="26"/>
    <x v="2"/>
    <m/>
    <s v="Analista"/>
    <m/>
    <s v="CCK"/>
    <m/>
    <x v="947"/>
    <s v="DNI"/>
    <n v="36828254"/>
    <n v="20368282546"/>
    <m/>
    <m/>
    <m/>
    <m/>
    <m/>
    <x v="1"/>
    <x v="1"/>
    <d v="2011-11-15T00:00:00"/>
    <d v="2016-12-31T00:00:00"/>
    <d v="2016-12-31T00:00:00"/>
    <x v="2"/>
    <m/>
    <m/>
    <n v="12274"/>
    <x v="23"/>
    <x v="5"/>
    <s v="."/>
    <s v="."/>
    <n v="14000"/>
    <n v="1000"/>
    <x v="1"/>
    <x v="0"/>
    <x v="0"/>
  </r>
  <r>
    <x v="0"/>
    <x v="2"/>
    <x v="0"/>
    <x v="4"/>
    <x v="2"/>
    <x v="2"/>
    <m/>
    <m/>
    <s v="ADMINISTRATIVO"/>
    <s v="CCK"/>
    <s v="CCK - Alem 351"/>
    <x v="948"/>
    <s v="DNI"/>
    <n v="23044714"/>
    <s v="23230447144"/>
    <d v="1973-08-06T00:00:00"/>
    <m/>
    <m/>
    <m/>
    <m/>
    <x v="0"/>
    <x v="0"/>
    <d v="2014-12-04T00:00:00"/>
    <m/>
    <d v="2016-12-31T00:00:00"/>
    <x v="0"/>
    <s v="UNTREF"/>
    <s v="UNLAM- TDA"/>
    <n v="12237"/>
    <x v="30"/>
    <x v="18"/>
    <n v="16000"/>
    <n v="14000"/>
    <s v="."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949"/>
    <s v="DNI"/>
    <n v="33626355"/>
    <s v="27336263552"/>
    <d v="1988-03-01T00:00:00"/>
    <m/>
    <m/>
    <m/>
    <m/>
    <x v="0"/>
    <x v="0"/>
    <d v="2013-06-01T00:00:00"/>
    <m/>
    <d v="2016-12-31T00:00:00"/>
    <x v="0"/>
    <s v="UNTREF"/>
    <s v="UNSAM- LADA"/>
    <n v="29420"/>
    <x v="60"/>
    <x v="5"/>
    <s v="."/>
    <s v="."/>
    <s v="."/>
    <n v="1000"/>
    <x v="2"/>
    <x v="0"/>
    <x v="0"/>
  </r>
  <r>
    <x v="0"/>
    <x v="0"/>
    <x v="1"/>
    <x v="1"/>
    <x v="16"/>
    <x v="11"/>
    <m/>
    <m/>
    <s v="VISITAS GUIADAS"/>
    <m/>
    <s v="CCK - Alem 351"/>
    <x v="950"/>
    <s v="DNI"/>
    <n v="33021998"/>
    <n v="27330219985"/>
    <d v="1987-05-14T00:00:00"/>
    <m/>
    <m/>
    <m/>
    <m/>
    <x v="0"/>
    <x v="0"/>
    <d v="2016-05-01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4"/>
    <m/>
    <s v="PRODUCCIÓN"/>
    <s v="PRODUCTOR de EXTERIORES"/>
    <s v="CABILDO 65"/>
    <s v="CABILDO 65"/>
    <x v="951"/>
    <s v="DNI"/>
    <n v="24515306"/>
    <s v="20245153067"/>
    <d v="1975-03-06T00:00:00"/>
    <m/>
    <m/>
    <m/>
    <m/>
    <x v="0"/>
    <x v="0"/>
    <d v="2013-05-01T00:00:00"/>
    <m/>
    <d v="2016-12-31T00:00:00"/>
    <x v="0"/>
    <s v="UNTREF"/>
    <m/>
    <n v="24060"/>
    <x v="73"/>
    <x v="3"/>
    <m/>
    <m/>
    <m/>
    <n v="1000"/>
    <x v="0"/>
    <x v="0"/>
    <x v="0"/>
  </r>
  <r>
    <x v="0"/>
    <x v="0"/>
    <x v="1"/>
    <x v="1"/>
    <x v="5"/>
    <x v="18"/>
    <m/>
    <s v="Coordinador de Dto"/>
    <m/>
    <s v="CCK"/>
    <m/>
    <x v="952"/>
    <s v="DNI"/>
    <n v="92821036"/>
    <n v="20928210368"/>
    <m/>
    <m/>
    <m/>
    <m/>
    <m/>
    <x v="1"/>
    <x v="1"/>
    <d v="2015-06-01T00:00:00"/>
    <d v="2016-03-31T00:00:00"/>
    <d v="2016-12-31T00:00:00"/>
    <x v="2"/>
    <m/>
    <m/>
    <n v="27850"/>
    <x v="266"/>
    <x v="5"/>
    <s v="."/>
    <s v="."/>
    <s v="."/>
    <n v="1000"/>
    <x v="1"/>
    <x v="0"/>
    <x v="0"/>
  </r>
  <r>
    <x v="0"/>
    <x v="0"/>
    <x v="0"/>
    <x v="0"/>
    <x v="8"/>
    <x v="4"/>
    <m/>
    <s v="POSTPRODUCCIÓN"/>
    <s v="ADMINISTRATIVO"/>
    <s v="CABILDO 65"/>
    <s v="CABILDO 65"/>
    <x v="953"/>
    <s v="DNI"/>
    <n v="25201218"/>
    <s v="20252012185"/>
    <d v="1976-02-17T00:00:00"/>
    <m/>
    <m/>
    <m/>
    <m/>
    <x v="0"/>
    <x v="0"/>
    <d v="2011-07-01T00:00:00"/>
    <m/>
    <d v="2016-12-31T00:00:00"/>
    <x v="0"/>
    <s v="UNTREF"/>
    <s v="UNSAM- LADA"/>
    <n v="24060"/>
    <x v="73"/>
    <x v="5"/>
    <s v="."/>
    <s v="."/>
    <m/>
    <n v="1000"/>
    <x v="2"/>
    <x v="0"/>
    <x v="0"/>
  </r>
  <r>
    <x v="0"/>
    <x v="0"/>
    <x v="0"/>
    <x v="6"/>
    <x v="12"/>
    <x v="2"/>
    <m/>
    <s v="DIRECTOR"/>
    <s v="ADMINISTRATIVO"/>
    <m/>
    <s v="CCK - Alem 351"/>
    <x v="954"/>
    <s v="DNI"/>
    <n v="25452505"/>
    <s v="27254525052"/>
    <d v="1976-07-22T00:00:00"/>
    <m/>
    <m/>
    <m/>
    <m/>
    <x v="0"/>
    <x v="0"/>
    <d v="2016-01-01T00:00:00"/>
    <m/>
    <d v="2016-12-31T00:00:00"/>
    <x v="0"/>
    <s v="UNTREF"/>
    <s v="UNSAM"/>
    <n v="36000"/>
    <x v="112"/>
    <x v="22"/>
    <n v="36000"/>
    <s v="."/>
    <s v="."/>
    <n v="1000"/>
    <x v="0"/>
    <x v="0"/>
    <x v="0"/>
  </r>
  <r>
    <x v="0"/>
    <x v="0"/>
    <x v="1"/>
    <x v="3"/>
    <x v="39"/>
    <x v="2"/>
    <m/>
    <s v="ADMINISTRATIVO"/>
    <m/>
    <s v="TECNÓPOLIS"/>
    <m/>
    <x v="955"/>
    <s v="DNI"/>
    <n v="36636933"/>
    <n v="20366369334"/>
    <m/>
    <m/>
    <m/>
    <m/>
    <m/>
    <x v="1"/>
    <x v="1"/>
    <d v="2012-05-01T00:00:00"/>
    <d v="2016-12-31T00:00:00"/>
    <d v="2016-12-31T00:00:00"/>
    <x v="3"/>
    <m/>
    <m/>
    <n v="15418.33"/>
    <x v="267"/>
    <x v="5"/>
    <s v="."/>
    <s v="."/>
    <s v="."/>
    <n v="1000"/>
    <x v="1"/>
    <x v="0"/>
    <x v="0"/>
  </r>
  <r>
    <x v="0"/>
    <x v="0"/>
    <x v="1"/>
    <x v="1"/>
    <x v="16"/>
    <x v="2"/>
    <m/>
    <s v="Analista"/>
    <m/>
    <s v="CCK"/>
    <m/>
    <x v="956"/>
    <s v="DNI"/>
    <n v="23354383"/>
    <n v="27233543832"/>
    <m/>
    <m/>
    <m/>
    <m/>
    <m/>
    <x v="1"/>
    <x v="1"/>
    <d v="2008-02-01T00:00:00"/>
    <d v="2016-12-31T00:00:00"/>
    <d v="2016-12-31T00:00:00"/>
    <x v="11"/>
    <m/>
    <m/>
    <n v="21517"/>
    <x v="129"/>
    <x v="5"/>
    <s v="."/>
    <s v="."/>
    <s v="."/>
    <n v="1000"/>
    <x v="1"/>
    <x v="0"/>
    <x v="0"/>
  </r>
  <r>
    <x v="0"/>
    <x v="0"/>
    <x v="1"/>
    <x v="1"/>
    <x v="5"/>
    <x v="5"/>
    <m/>
    <s v="ASISTENTE"/>
    <s v="ADMINISTRATIVO"/>
    <s v="CCK"/>
    <s v="CCK - Alem 351"/>
    <x v="957"/>
    <s v="DNI"/>
    <n v="34000534"/>
    <s v="27340005347"/>
    <d v="1988-08-03T00:00:00"/>
    <m/>
    <m/>
    <m/>
    <m/>
    <x v="0"/>
    <x v="0"/>
    <d v="2015-08-01T00:00:00"/>
    <m/>
    <d v="2016-12-31T00:00:00"/>
    <x v="0"/>
    <s v="UNTREF"/>
    <s v="UNLAM- BICENTENARIO"/>
    <n v="10807"/>
    <x v="5"/>
    <x v="4"/>
    <n v="13000"/>
    <n v="12500"/>
    <s v="."/>
    <n v="1000"/>
    <x v="0"/>
    <x v="0"/>
    <x v="0"/>
  </r>
  <r>
    <x v="0"/>
    <x v="1"/>
    <x v="0"/>
    <x v="5"/>
    <x v="17"/>
    <x v="17"/>
    <m/>
    <m/>
    <s v="ADMINISTRATIVO"/>
    <m/>
    <s v="CCK - Alem 351"/>
    <x v="958"/>
    <s v="DNI"/>
    <n v="39056311"/>
    <s v="27390563111"/>
    <d v="1995-05-14T00:00:00"/>
    <m/>
    <m/>
    <m/>
    <m/>
    <x v="0"/>
    <x v="0"/>
    <d v="2014-04-01T00:00:00"/>
    <m/>
    <d v="2016-12-31T00:00:00"/>
    <x v="0"/>
    <s v="UNTREF"/>
    <m/>
    <n v="9479"/>
    <x v="18"/>
    <x v="3"/>
    <m/>
    <m/>
    <m/>
    <n v="1000"/>
    <x v="0"/>
    <x v="0"/>
    <x v="0"/>
  </r>
  <r>
    <x v="0"/>
    <x v="0"/>
    <x v="1"/>
    <x v="3"/>
    <x v="4"/>
    <x v="2"/>
    <m/>
    <s v="COCINA"/>
    <m/>
    <s v="TECNÓPOLIS"/>
    <m/>
    <x v="959"/>
    <s v="DNI"/>
    <n v="27183180"/>
    <n v="27271831809"/>
    <m/>
    <m/>
    <m/>
    <m/>
    <m/>
    <x v="1"/>
    <x v="1"/>
    <d v="2013-12-01T00:00:00"/>
    <d v="2016-03-31T00:00:00"/>
    <d v="2016-12-31T00:00:00"/>
    <x v="2"/>
    <m/>
    <m/>
    <n v="25599"/>
    <x v="268"/>
    <x v="5"/>
    <s v="."/>
    <s v="."/>
    <s v="."/>
    <n v="1000"/>
    <x v="1"/>
    <x v="0"/>
    <x v="0"/>
  </r>
  <r>
    <x v="0"/>
    <x v="0"/>
    <x v="1"/>
    <x v="1"/>
    <x v="10"/>
    <x v="2"/>
    <m/>
    <m/>
    <s v="ADMINISTRATIVA"/>
    <m/>
    <s v="CCK - Alem 351"/>
    <x v="960"/>
    <s v="DNI"/>
    <n v="31963237"/>
    <s v="27319632374"/>
    <d v="1985-11-28T00:00:00"/>
    <m/>
    <m/>
    <m/>
    <m/>
    <x v="0"/>
    <x v="0"/>
    <d v="2016-05-01T00:00:00"/>
    <m/>
    <d v="2016-12-31T00:00:00"/>
    <x v="0"/>
    <s v="UNTREF"/>
    <m/>
    <s v="."/>
    <x v="14"/>
    <x v="3"/>
    <m/>
    <m/>
    <m/>
    <n v="1000"/>
    <x v="0"/>
    <x v="0"/>
    <x v="0"/>
  </r>
  <r>
    <x v="0"/>
    <x v="0"/>
    <x v="0"/>
    <x v="0"/>
    <x v="8"/>
    <x v="6"/>
    <m/>
    <s v="TÉCNICA Y TRANSMISIÓN"/>
    <s v="ADMINISTRATIVO"/>
    <s v="CABILDO 65"/>
    <s v="CABILDO 65"/>
    <x v="961"/>
    <s v="DNI"/>
    <n v="31982264"/>
    <s v="20319822640"/>
    <d v="1986-03-03T00:00:00"/>
    <m/>
    <m/>
    <m/>
    <m/>
    <x v="0"/>
    <x v="0"/>
    <d v="2013-12-12T00:00:00"/>
    <m/>
    <d v="2016-12-31T00:00:00"/>
    <x v="0"/>
    <s v="UNTREF"/>
    <s v="UNSAM- LADA"/>
    <n v="20034"/>
    <x v="269"/>
    <x v="5"/>
    <s v="."/>
    <s v="."/>
    <s v="."/>
    <n v="1000"/>
    <x v="2"/>
    <x v="0"/>
    <x v="0"/>
  </r>
  <r>
    <x v="0"/>
    <x v="0"/>
    <x v="1"/>
    <x v="1"/>
    <x v="5"/>
    <x v="14"/>
    <s v="LIMPIEZA (En comisión Tecnópolis)"/>
    <s v="ASISTENTE"/>
    <s v="Asistente "/>
    <s v="CCK"/>
    <s v="CCK - Alem 351"/>
    <x v="962"/>
    <s v="DNI"/>
    <n v="34019229"/>
    <s v="27340192295"/>
    <d v="1988-10-19T00:00:00"/>
    <m/>
    <m/>
    <m/>
    <m/>
    <x v="0"/>
    <x v="0"/>
    <d v="2015-06-10T00:00:00"/>
    <m/>
    <d v="2016-12-31T00:00:00"/>
    <x v="0"/>
    <s v="UNTREF"/>
    <s v="UNSAM"/>
    <n v="8535"/>
    <x v="5"/>
    <x v="4"/>
    <n v="13000"/>
    <n v="12500"/>
    <s v="."/>
    <n v="1000"/>
    <x v="0"/>
    <x v="0"/>
    <x v="0"/>
  </r>
  <r>
    <x v="0"/>
    <x v="1"/>
    <x v="0"/>
    <x v="5"/>
    <x v="17"/>
    <x v="17"/>
    <s v="COMUNICACIÓN"/>
    <s v="DISEÑO"/>
    <m/>
    <s v="CCK"/>
    <m/>
    <x v="963"/>
    <s v="DNI"/>
    <n v="28695587"/>
    <n v="20286955879"/>
    <m/>
    <m/>
    <m/>
    <m/>
    <m/>
    <x v="1"/>
    <x v="1"/>
    <d v="2015-02-01T00:00:00"/>
    <d v="2016-03-31T00:00:00"/>
    <d v="2016-12-31T00:00:00"/>
    <x v="17"/>
    <m/>
    <m/>
    <n v="14433"/>
    <x v="270"/>
    <x v="5"/>
    <s v="."/>
    <s v="."/>
    <s v="."/>
    <n v="1000"/>
    <x v="1"/>
    <x v="0"/>
    <x v="0"/>
  </r>
  <r>
    <x v="0"/>
    <x v="0"/>
    <x v="0"/>
    <x v="6"/>
    <x v="12"/>
    <x v="2"/>
    <m/>
    <m/>
    <m/>
    <m/>
    <m/>
    <x v="964"/>
    <s v="DNI"/>
    <n v="21796620"/>
    <n v="27217966200"/>
    <m/>
    <m/>
    <m/>
    <m/>
    <m/>
    <x v="2"/>
    <x v="0"/>
    <d v="2016-08-01T00:00:00"/>
    <m/>
    <d v="2016-10-30T00:00:00"/>
    <x v="0"/>
    <s v="UNTREF"/>
    <m/>
    <m/>
    <x v="18"/>
    <x v="3"/>
    <m/>
    <m/>
    <m/>
    <m/>
    <x v="1"/>
    <x v="1"/>
    <x v="2"/>
  </r>
  <r>
    <x v="0"/>
    <x v="0"/>
    <x v="1"/>
    <x v="1"/>
    <x v="5"/>
    <x v="3"/>
    <s v="LIMPIEZA (En comisión Tecnópolis)"/>
    <s v="Auxiliar"/>
    <s v="OPERATIVA Y LOGISTICA"/>
    <s v="CCK"/>
    <s v="CCK - Alem 351"/>
    <x v="965"/>
    <s v="DNI"/>
    <n v="37345492"/>
    <s v="20373454924"/>
    <d v="1993-03-23T00:00:00"/>
    <m/>
    <m/>
    <m/>
    <m/>
    <x v="0"/>
    <x v="0"/>
    <d v="2015-06-10T00:00:00"/>
    <m/>
    <d v="2016-12-31T00:00:00"/>
    <x v="0"/>
    <s v="UNTREF"/>
    <s v="UNTREF"/>
    <n v="8500"/>
    <x v="5"/>
    <x v="4"/>
    <n v="13000"/>
    <n v="12500"/>
    <s v="."/>
    <n v="1000"/>
    <x v="0"/>
    <x v="0"/>
    <x v="0"/>
  </r>
  <r>
    <x v="0"/>
    <x v="0"/>
    <x v="0"/>
    <x v="0"/>
    <x v="8"/>
    <x v="6"/>
    <m/>
    <s v="CONTENIDOS DIGITALES ABIERTOS CDA"/>
    <s v="ADMINISTRATIVO"/>
    <s v="CABILDO 65"/>
    <s v="CABILDO 65"/>
    <x v="966"/>
    <s v="DNI"/>
    <n v="21094516"/>
    <s v="20210945165"/>
    <d v="1969-10-14T00:00:00"/>
    <m/>
    <m/>
    <m/>
    <m/>
    <x v="0"/>
    <x v="0"/>
    <d v="2011-11-01T00:00:00"/>
    <m/>
    <d v="2016-12-31T00:00:00"/>
    <x v="0"/>
    <s v="UNTREF"/>
    <s v="UNSAM- LADA"/>
    <n v="39000"/>
    <x v="158"/>
    <x v="5"/>
    <s v="."/>
    <s v="."/>
    <s v="."/>
    <n v="1000"/>
    <x v="2"/>
    <x v="0"/>
    <x v="0"/>
  </r>
  <r>
    <x v="0"/>
    <x v="1"/>
    <x v="0"/>
    <x v="5"/>
    <x v="17"/>
    <x v="17"/>
    <m/>
    <m/>
    <m/>
    <m/>
    <m/>
    <x v="967"/>
    <s v="DNI"/>
    <n v="29194068"/>
    <n v="20291940685"/>
    <m/>
    <m/>
    <m/>
    <m/>
    <m/>
    <x v="2"/>
    <x v="1"/>
    <d v="2008-09-01T00:00:00"/>
    <m/>
    <d v="2016-12-31T00:00:00"/>
    <x v="2"/>
    <m/>
    <m/>
    <m/>
    <x v="18"/>
    <x v="3"/>
    <m/>
    <m/>
    <m/>
    <n v="1000"/>
    <x v="1"/>
    <x v="0"/>
    <x v="0"/>
  </r>
  <r>
    <x v="0"/>
    <x v="0"/>
    <x v="0"/>
    <x v="0"/>
    <x v="0"/>
    <x v="0"/>
    <m/>
    <s v="ANIMACION"/>
    <s v="ANALISTA"/>
    <s v="PALPALÁ-JUJUY"/>
    <s v="PALPALÁ-JUJUY"/>
    <x v="968"/>
    <s v="DNI"/>
    <n v="25287172"/>
    <n v="20252871722"/>
    <d v="1976-08-26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1"/>
    <x v="1"/>
    <x v="5"/>
    <x v="14"/>
    <s v="CONTROL DE ACCESOS A"/>
    <s v="Asistente Técnico Administrativo"/>
    <s v="Asistente Técnico Administrativo"/>
    <s v="CCK"/>
    <s v="CCK - Alem 351"/>
    <x v="969"/>
    <s v="DNI"/>
    <n v="33426819"/>
    <s v="20334268196"/>
    <d v="1988-01-21T00:00:00"/>
    <m/>
    <m/>
    <m/>
    <m/>
    <x v="0"/>
    <x v="0"/>
    <d v="2015-06-01T00:00:00"/>
    <m/>
    <d v="2016-12-31T00:00:00"/>
    <x v="0"/>
    <s v="UNTREF"/>
    <s v="UNLAM- BICENTENARIO"/>
    <n v="10096"/>
    <x v="5"/>
    <x v="4"/>
    <n v="13000"/>
    <n v="12500"/>
    <s v="."/>
    <n v="1000"/>
    <x v="0"/>
    <x v="0"/>
    <x v="0"/>
  </r>
  <r>
    <x v="0"/>
    <x v="0"/>
    <x v="1"/>
    <x v="3"/>
    <x v="39"/>
    <x v="2"/>
    <m/>
    <s v="ADMINISTRATIVO"/>
    <m/>
    <s v="TECNÓPOLIS"/>
    <m/>
    <x v="970"/>
    <s v="DNI"/>
    <n v="26949557"/>
    <n v="27269495575"/>
    <m/>
    <m/>
    <m/>
    <m/>
    <m/>
    <x v="1"/>
    <x v="1"/>
    <d v="2012-11-01T00:00:00"/>
    <d v="2016-12-31T00:00:00"/>
    <d v="2016-12-31T00:00:00"/>
    <x v="3"/>
    <m/>
    <m/>
    <n v="20921.8"/>
    <x v="151"/>
    <x v="5"/>
    <s v="."/>
    <s v="."/>
    <s v="."/>
    <n v="1000"/>
    <x v="1"/>
    <x v="0"/>
    <x v="0"/>
  </r>
  <r>
    <x v="0"/>
    <x v="0"/>
    <x v="1"/>
    <x v="1"/>
    <x v="2"/>
    <x v="2"/>
    <m/>
    <s v="ASISTENTE COORD NORTE"/>
    <s v="ADMINISTRATIVO"/>
    <m/>
    <s v="CCK - Alem 351"/>
    <x v="971"/>
    <s v="DNI"/>
    <n v="8537726"/>
    <n v="20085377265"/>
    <d v="1951-03-07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2"/>
    <x v="2"/>
    <m/>
    <m/>
    <s v="PRODUCCION GRAL DE RECETAS, MANIPULACIÓN DE INGREDIENTES, DESPCACHO DE ALIMENTOS"/>
    <m/>
    <s v="TECNOPOLIS"/>
    <x v="972"/>
    <s v="DNI"/>
    <n v="35984271"/>
    <n v="20359842717"/>
    <d v="1988-10-06T00:00:00"/>
    <m/>
    <m/>
    <m/>
    <m/>
    <x v="0"/>
    <x v="0"/>
    <m/>
    <m/>
    <d v="2016-12-31T00:00:00"/>
    <x v="0"/>
    <s v="UNTREF"/>
    <m/>
    <m/>
    <x v="18"/>
    <x v="3"/>
    <m/>
    <m/>
    <m/>
    <m/>
    <x v="0"/>
    <x v="0"/>
    <x v="2"/>
  </r>
  <r>
    <x v="0"/>
    <x v="0"/>
    <x v="1"/>
    <x v="3"/>
    <x v="4"/>
    <x v="2"/>
    <m/>
    <s v="COCINA"/>
    <m/>
    <s v="TECNÓPOLIS"/>
    <m/>
    <x v="973"/>
    <s v="DNI"/>
    <n v="14231277"/>
    <n v="27142312773"/>
    <m/>
    <m/>
    <m/>
    <m/>
    <m/>
    <x v="1"/>
    <x v="1"/>
    <d v="2012-02-01T00:00:00"/>
    <d v="2016-12-31T00:00:00"/>
    <d v="2016-12-31T00:00:00"/>
    <x v="1"/>
    <m/>
    <m/>
    <n v="14250"/>
    <x v="271"/>
    <x v="5"/>
    <s v="."/>
    <s v="."/>
    <s v="."/>
    <n v="1000"/>
    <x v="1"/>
    <x v="0"/>
    <x v="0"/>
  </r>
  <r>
    <x v="0"/>
    <x v="0"/>
    <x v="0"/>
    <x v="0"/>
    <x v="8"/>
    <x v="6"/>
    <m/>
    <s v="PRODUCCIÓN"/>
    <s v="PRODUCTOR de EXTERIORES"/>
    <s v="CABILDO 65"/>
    <s v="CABILDO 65"/>
    <x v="974"/>
    <s v="DNI"/>
    <n v="26348466"/>
    <s v="20263484666"/>
    <d v="1997-11-03T00:00:00"/>
    <m/>
    <m/>
    <m/>
    <m/>
    <x v="0"/>
    <x v="0"/>
    <d v="2015-03-02T00:00:00"/>
    <m/>
    <d v="2016-12-31T00:00:00"/>
    <x v="0"/>
    <s v="UNTREF"/>
    <s v="UNSAM- LADA"/>
    <n v="20959"/>
    <x v="15"/>
    <x v="5"/>
    <s v="."/>
    <s v="."/>
    <s v="."/>
    <n v="1000"/>
    <x v="2"/>
    <x v="0"/>
    <x v="0"/>
  </r>
  <r>
    <x v="0"/>
    <x v="1"/>
    <x v="0"/>
    <x v="2"/>
    <x v="2"/>
    <x v="2"/>
    <m/>
    <s v="PRIVADA"/>
    <s v="ADMINISTRATIVO"/>
    <m/>
    <s v="CCK - Alem 351"/>
    <x v="975"/>
    <s v="DNI"/>
    <n v="11262651"/>
    <s v="23112626514"/>
    <d v="1954-05-06T00:00:00"/>
    <m/>
    <m/>
    <m/>
    <m/>
    <x v="0"/>
    <x v="0"/>
    <d v="2016-01-01T00:00:00"/>
    <m/>
    <d v="2016-12-31T00:00:00"/>
    <x v="0"/>
    <s v="UNTREF"/>
    <s v="UNSAM"/>
    <n v="34500"/>
    <x v="272"/>
    <x v="50"/>
    <n v="34500"/>
    <s v="."/>
    <s v="."/>
    <n v="1000"/>
    <x v="0"/>
    <x v="0"/>
    <x v="0"/>
  </r>
  <r>
    <x v="0"/>
    <x v="0"/>
    <x v="0"/>
    <x v="6"/>
    <x v="12"/>
    <x v="2"/>
    <m/>
    <m/>
    <s v="Orientador de Sala"/>
    <m/>
    <m/>
    <x v="976"/>
    <s v="DNI"/>
    <n v="36530606"/>
    <n v="27365306066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0"/>
    <x v="0"/>
    <x v="0"/>
    <x v="8"/>
    <x v="6"/>
    <m/>
    <s v="ACUA MAYOR"/>
    <s v="ADMINISTRATIVO"/>
    <s v="CABILDO 65"/>
    <s v="CABILDO 65"/>
    <x v="977"/>
    <s v="DNI"/>
    <n v="20005465"/>
    <s v="20200054653"/>
    <d v="1962-01-21T00:00:00"/>
    <m/>
    <m/>
    <m/>
    <m/>
    <x v="0"/>
    <x v="0"/>
    <d v="2012-05-07T00:00:00"/>
    <m/>
    <d v="2016-12-31T00:00:00"/>
    <x v="0"/>
    <s v="UNTREF"/>
    <s v="UNSAM- LADA"/>
    <n v="17657"/>
    <x v="273"/>
    <x v="5"/>
    <s v="."/>
    <s v="."/>
    <s v="."/>
    <n v="1000"/>
    <x v="2"/>
    <x v="0"/>
    <x v="0"/>
  </r>
  <r>
    <x v="0"/>
    <x v="0"/>
    <x v="0"/>
    <x v="0"/>
    <x v="8"/>
    <x v="6"/>
    <m/>
    <s v="ADMINISTRACIÓN"/>
    <m/>
    <s v="CABILDO 65"/>
    <m/>
    <x v="978"/>
    <s v="DNI"/>
    <n v="36696469"/>
    <n v="27366964695"/>
    <m/>
    <m/>
    <m/>
    <m/>
    <m/>
    <x v="1"/>
    <x v="1"/>
    <d v="2015-02-01T00:00:00"/>
    <d v="2016-03-31T00:00:00"/>
    <d v="2016-12-31T00:00:00"/>
    <x v="1"/>
    <m/>
    <m/>
    <n v="10000"/>
    <x v="0"/>
    <x v="5"/>
    <s v="."/>
    <s v="."/>
    <s v="."/>
    <n v="1000"/>
    <x v="1"/>
    <x v="0"/>
    <x v="0"/>
  </r>
  <r>
    <x v="0"/>
    <x v="0"/>
    <x v="0"/>
    <x v="0"/>
    <x v="8"/>
    <x v="6"/>
    <m/>
    <s v="PROGRAMA POLOS AUDIOVISUALES TECNOLÓGICOS"/>
    <m/>
    <s v="CABILDO 65"/>
    <m/>
    <x v="979"/>
    <s v="DNI"/>
    <n v="26881068"/>
    <n v="23268810684"/>
    <m/>
    <m/>
    <m/>
    <m/>
    <m/>
    <x v="1"/>
    <x v="1"/>
    <d v="2014-09-01T00:00:00"/>
    <d v="2016-03-31T00:00:00"/>
    <d v="2016-12-31T00:00:00"/>
    <x v="3"/>
    <m/>
    <m/>
    <n v="13094"/>
    <x v="274"/>
    <x v="5"/>
    <s v="."/>
    <s v="."/>
    <s v="."/>
    <n v="1000"/>
    <x v="1"/>
    <x v="0"/>
    <x v="0"/>
  </r>
  <r>
    <x v="0"/>
    <x v="0"/>
    <x v="0"/>
    <x v="6"/>
    <x v="12"/>
    <x v="2"/>
    <m/>
    <m/>
    <s v="Orientador de Sala"/>
    <m/>
    <m/>
    <x v="980"/>
    <s v="DNI"/>
    <n v="94763837"/>
    <n v="27947638373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0"/>
    <x v="1"/>
    <x v="3"/>
    <x v="46"/>
    <x v="2"/>
    <m/>
    <m/>
    <m/>
    <s v="TECNÓPOLIS"/>
    <m/>
    <x v="981"/>
    <s v="DNI"/>
    <n v="12012195"/>
    <n v="27120121958"/>
    <m/>
    <m/>
    <m/>
    <m/>
    <m/>
    <x v="1"/>
    <x v="1"/>
    <d v="2011-07-01T00:00:00"/>
    <d v="2016-12-31T00:00:00"/>
    <d v="2016-12-31T00:00:00"/>
    <x v="3"/>
    <m/>
    <m/>
    <n v="29784"/>
    <x v="55"/>
    <x v="5"/>
    <s v="."/>
    <s v="."/>
    <s v="."/>
    <n v="1000"/>
    <x v="1"/>
    <x v="0"/>
    <x v="0"/>
  </r>
  <r>
    <x v="0"/>
    <x v="0"/>
    <x v="1"/>
    <x v="1"/>
    <x v="5"/>
    <x v="5"/>
    <m/>
    <m/>
    <s v="ADMINISTRATIVO"/>
    <m/>
    <s v="CCK - Alem 351"/>
    <x v="982"/>
    <s v="DNI"/>
    <n v="31504616"/>
    <s v="27315046160"/>
    <d v="1985-03-31T00:00:00"/>
    <m/>
    <m/>
    <m/>
    <m/>
    <x v="0"/>
    <x v="0"/>
    <d v="2015-05-01T00:00:00"/>
    <m/>
    <d v="2016-12-31T00:00:00"/>
    <x v="0"/>
    <s v="UNTREF"/>
    <m/>
    <n v="10189"/>
    <x v="18"/>
    <x v="3"/>
    <m/>
    <m/>
    <m/>
    <n v="1000"/>
    <x v="0"/>
    <x v="0"/>
    <x v="0"/>
  </r>
  <r>
    <x v="0"/>
    <x v="0"/>
    <x v="0"/>
    <x v="0"/>
    <x v="0"/>
    <x v="0"/>
    <m/>
    <s v="ANIMACION"/>
    <s v="ANALISTA"/>
    <s v="PALPALÁ-JUJUY"/>
    <s v="PALPALÁ-JUJUY"/>
    <x v="983"/>
    <s v="DNI"/>
    <n v="31961384"/>
    <n v="20319613847"/>
    <d v="1986-04-07T00:00:00"/>
    <m/>
    <m/>
    <m/>
    <m/>
    <x v="0"/>
    <x v="0"/>
    <d v="2015-09-01T00:00:00"/>
    <m/>
    <d v="2016-12-31T00:00:00"/>
    <x v="0"/>
    <s v="UNTREF"/>
    <s v="UNSAM"/>
    <n v="8000"/>
    <x v="40"/>
    <x v="0"/>
    <s v="---------"/>
    <s v="."/>
    <s v="---------"/>
    <n v="1000"/>
    <x v="0"/>
    <x v="0"/>
    <x v="0"/>
  </r>
  <r>
    <x v="0"/>
    <x v="0"/>
    <x v="0"/>
    <x v="0"/>
    <x v="0"/>
    <x v="0"/>
    <m/>
    <s v="DESARROLLOS"/>
    <s v="ANALISTA"/>
    <s v="PALPALÁ-JUJUY"/>
    <s v="PALPALÁ-JUJUY"/>
    <x v="984"/>
    <s v="DNI"/>
    <n v="27165852"/>
    <n v="20271658525"/>
    <d v="1979-02-13T00:00:00"/>
    <m/>
    <m/>
    <m/>
    <m/>
    <x v="0"/>
    <x v="0"/>
    <d v="2015-09-01T00:00:00"/>
    <m/>
    <d v="2016-12-31T00:00:00"/>
    <x v="0"/>
    <s v="UNTREF"/>
    <s v="UNSAM"/>
    <n v="13000"/>
    <x v="90"/>
    <x v="0"/>
    <s v="---------"/>
    <s v="."/>
    <s v="---------"/>
    <n v="1000"/>
    <x v="0"/>
    <x v="0"/>
    <x v="0"/>
  </r>
  <r>
    <x v="0"/>
    <x v="1"/>
    <x v="0"/>
    <x v="5"/>
    <x v="18"/>
    <x v="2"/>
    <m/>
    <m/>
    <s v="Asistencia Juridica"/>
    <m/>
    <s v="CCK - Alem 351"/>
    <x v="985"/>
    <s v="DNI"/>
    <n v="27375597"/>
    <n v="20273755978"/>
    <d v="1979-09-06T00:00:00"/>
    <m/>
    <m/>
    <m/>
    <m/>
    <x v="0"/>
    <x v="0"/>
    <d v="2016-07-01T00:00:00"/>
    <m/>
    <d v="2016-12-31T00:00:00"/>
    <x v="0"/>
    <s v="UNTREF"/>
    <m/>
    <m/>
    <x v="18"/>
    <x v="3"/>
    <m/>
    <m/>
    <m/>
    <s v=" ---"/>
    <x v="3"/>
    <x v="0"/>
    <x v="0"/>
  </r>
  <r>
    <x v="0"/>
    <x v="0"/>
    <x v="1"/>
    <x v="7"/>
    <x v="2"/>
    <x v="2"/>
    <m/>
    <s v="PRIVADA"/>
    <s v="ADMINISTRATIVO"/>
    <m/>
    <s v="CCK - Alem 351"/>
    <x v="986"/>
    <s v="DNI"/>
    <n v="25570101"/>
    <s v="20255701011"/>
    <d v="1976-08-15T00:00:00"/>
    <m/>
    <m/>
    <m/>
    <m/>
    <x v="0"/>
    <x v="0"/>
    <d v="2016-01-01T00:00:00"/>
    <m/>
    <d v="2016-12-31T00:00:00"/>
    <x v="0"/>
    <s v="UNTREF"/>
    <s v="UNSAM"/>
    <n v="19925"/>
    <x v="275"/>
    <x v="51"/>
    <n v="19925"/>
    <s v="."/>
    <s v="."/>
    <n v="1000"/>
    <x v="0"/>
    <x v="0"/>
    <x v="0"/>
  </r>
  <r>
    <x v="0"/>
    <x v="1"/>
    <x v="0"/>
    <x v="5"/>
    <x v="47"/>
    <x v="2"/>
    <m/>
    <m/>
    <m/>
    <m/>
    <m/>
    <x v="987"/>
    <m/>
    <m/>
    <m/>
    <m/>
    <m/>
    <m/>
    <m/>
    <m/>
    <x v="2"/>
    <x v="3"/>
    <m/>
    <m/>
    <m/>
    <x v="0"/>
    <m/>
    <m/>
    <m/>
    <x v="18"/>
    <x v="3"/>
    <m/>
    <m/>
    <m/>
    <m/>
    <x v="1"/>
    <x v="1"/>
    <x v="3"/>
  </r>
  <r>
    <x v="0"/>
    <x v="1"/>
    <x v="0"/>
    <x v="5"/>
    <x v="47"/>
    <x v="2"/>
    <m/>
    <m/>
    <m/>
    <m/>
    <m/>
    <x v="987"/>
    <m/>
    <m/>
    <m/>
    <m/>
    <m/>
    <m/>
    <m/>
    <m/>
    <x v="2"/>
    <x v="3"/>
    <m/>
    <m/>
    <m/>
    <x v="0"/>
    <m/>
    <m/>
    <m/>
    <x v="18"/>
    <x v="3"/>
    <m/>
    <m/>
    <m/>
    <m/>
    <x v="1"/>
    <x v="1"/>
    <x v="3"/>
  </r>
  <r>
    <x v="0"/>
    <x v="1"/>
    <x v="0"/>
    <x v="5"/>
    <x v="47"/>
    <x v="2"/>
    <m/>
    <m/>
    <m/>
    <m/>
    <m/>
    <x v="987"/>
    <m/>
    <m/>
    <m/>
    <m/>
    <m/>
    <m/>
    <m/>
    <m/>
    <x v="2"/>
    <x v="3"/>
    <m/>
    <m/>
    <m/>
    <x v="0"/>
    <m/>
    <m/>
    <m/>
    <x v="18"/>
    <x v="3"/>
    <m/>
    <m/>
    <m/>
    <m/>
    <x v="1"/>
    <x v="1"/>
    <x v="3"/>
  </r>
  <r>
    <x v="0"/>
    <x v="1"/>
    <x v="0"/>
    <x v="5"/>
    <x v="47"/>
    <x v="2"/>
    <m/>
    <m/>
    <m/>
    <m/>
    <m/>
    <x v="987"/>
    <m/>
    <m/>
    <m/>
    <m/>
    <m/>
    <m/>
    <m/>
    <m/>
    <x v="2"/>
    <x v="3"/>
    <m/>
    <m/>
    <m/>
    <x v="0"/>
    <m/>
    <m/>
    <m/>
    <x v="18"/>
    <x v="3"/>
    <m/>
    <m/>
    <m/>
    <m/>
    <x v="1"/>
    <x v="1"/>
    <x v="3"/>
  </r>
  <r>
    <x v="0"/>
    <x v="1"/>
    <x v="0"/>
    <x v="5"/>
    <x v="47"/>
    <x v="2"/>
    <m/>
    <s v="ADMINISTRACIÓN"/>
    <m/>
    <m/>
    <m/>
    <x v="988"/>
    <s v="DNI"/>
    <n v="38995224"/>
    <n v="23389952249"/>
    <m/>
    <m/>
    <m/>
    <m/>
    <m/>
    <x v="1"/>
    <x v="1"/>
    <d v="2015-05-01T00:00:00"/>
    <d v="2016-03-31T00:00:00"/>
    <d v="2016-12-31T00:00:00"/>
    <x v="1"/>
    <m/>
    <m/>
    <n v="10190"/>
    <x v="45"/>
    <x v="0"/>
    <s v="---------"/>
    <s v="."/>
    <s v="---------"/>
    <n v="1000"/>
    <x v="1"/>
    <x v="0"/>
    <x v="0"/>
  </r>
  <r>
    <x v="0"/>
    <x v="1"/>
    <x v="0"/>
    <x v="5"/>
    <x v="26"/>
    <x v="2"/>
    <s v="STOCK"/>
    <s v="Analista"/>
    <s v="Analista"/>
    <s v="CCK"/>
    <s v="CCK - Alem 351"/>
    <x v="989"/>
    <s v="DNI"/>
    <n v="37113846"/>
    <s v="20371138464"/>
    <d v="1992-09-11T00:00:00"/>
    <m/>
    <m/>
    <m/>
    <m/>
    <x v="0"/>
    <x v="0"/>
    <d v="2014-10-14T00:00:00"/>
    <m/>
    <d v="2016-12-31T00:00:00"/>
    <x v="0"/>
    <s v="UNTREF"/>
    <s v="UNLAM- INFO"/>
    <n v="9000"/>
    <x v="5"/>
    <x v="4"/>
    <n v="13000"/>
    <n v="12500"/>
    <n v="13000"/>
    <n v="1000"/>
    <x v="0"/>
    <x v="0"/>
    <x v="0"/>
  </r>
  <r>
    <x v="0"/>
    <x v="0"/>
    <x v="0"/>
    <x v="0"/>
    <x v="8"/>
    <x v="6"/>
    <m/>
    <s v="POSTPRODUCCIÓN"/>
    <s v="ADMINISTRATIVO"/>
    <s v="CABILDO 65"/>
    <s v="CABILDO 65"/>
    <x v="990"/>
    <s v="DNI"/>
    <n v="18359189"/>
    <s v="20183591895"/>
    <d v="1967-04-30T00:00:00"/>
    <m/>
    <m/>
    <m/>
    <m/>
    <x v="0"/>
    <x v="0"/>
    <d v="2013-03-01T00:00:00"/>
    <m/>
    <d v="2016-12-31T00:00:00"/>
    <x v="0"/>
    <s v="UNTREF"/>
    <s v="UNSAM- LADA"/>
    <n v="19353"/>
    <x v="36"/>
    <x v="5"/>
    <s v="."/>
    <s v="."/>
    <s v="."/>
    <n v="1000"/>
    <x v="2"/>
    <x v="0"/>
    <x v="0"/>
  </r>
  <r>
    <x v="0"/>
    <x v="1"/>
    <x v="0"/>
    <x v="5"/>
    <x v="17"/>
    <x v="17"/>
    <s v="COMUNICACIÓN"/>
    <m/>
    <m/>
    <m/>
    <m/>
    <x v="991"/>
    <s v="DNI"/>
    <n v="26312020"/>
    <n v="27263120200"/>
    <m/>
    <m/>
    <m/>
    <m/>
    <m/>
    <x v="1"/>
    <x v="1"/>
    <d v="2008-08-04T00:00:00"/>
    <d v="2016-12-31T00:00:00"/>
    <d v="2016-12-31T00:00:00"/>
    <x v="11"/>
    <m/>
    <m/>
    <n v="21517"/>
    <x v="129"/>
    <x v="5"/>
    <s v="."/>
    <s v="."/>
    <s v="."/>
    <n v="1000"/>
    <x v="1"/>
    <x v="0"/>
    <x v="0"/>
  </r>
  <r>
    <x v="0"/>
    <x v="0"/>
    <x v="0"/>
    <x v="0"/>
    <x v="48"/>
    <x v="26"/>
    <m/>
    <s v="FOTOGRAFÍA"/>
    <m/>
    <s v="ESMERALDA 255"/>
    <m/>
    <x v="992"/>
    <s v="DNI"/>
    <n v="25983164"/>
    <n v="20259831645"/>
    <m/>
    <m/>
    <m/>
    <m/>
    <m/>
    <x v="1"/>
    <x v="1"/>
    <d v="2007-01-01T00:00:00"/>
    <d v="2016-12-31T00:00:00"/>
    <d v="2016-12-31T00:00:00"/>
    <x v="12"/>
    <m/>
    <m/>
    <n v="27891"/>
    <x v="276"/>
    <x v="5"/>
    <s v="."/>
    <s v="."/>
    <s v="."/>
    <n v="1000"/>
    <x v="1"/>
    <x v="0"/>
    <x v="0"/>
  </r>
  <r>
    <x v="0"/>
    <x v="0"/>
    <x v="1"/>
    <x v="1"/>
    <x v="5"/>
    <x v="14"/>
    <m/>
    <s v="Asistente"/>
    <s v="Asistente "/>
    <s v="CCK"/>
    <s v="CCK - Alem 351"/>
    <x v="993"/>
    <s v="DNI"/>
    <n v="30368270"/>
    <s v="20303682709"/>
    <d v="1983-06-19T00:00:00"/>
    <m/>
    <m/>
    <m/>
    <m/>
    <x v="0"/>
    <x v="0"/>
    <d v="2015-08-01T00:00:00"/>
    <m/>
    <d v="2016-12-31T00:00:00"/>
    <x v="0"/>
    <s v="UNTREF"/>
    <s v="UNLAM- BICENTENARIO"/>
    <n v="10090"/>
    <x v="5"/>
    <x v="4"/>
    <n v="13000"/>
    <n v="12500"/>
    <s v="."/>
    <n v="1000"/>
    <x v="0"/>
    <x v="0"/>
    <x v="0"/>
  </r>
  <r>
    <x v="0"/>
    <x v="0"/>
    <x v="1"/>
    <x v="3"/>
    <x v="49"/>
    <x v="2"/>
    <m/>
    <s v="CADETE"/>
    <s v="CADETE"/>
    <s v="TECNÓPOLIS"/>
    <s v="TECNOPOLIS"/>
    <x v="994"/>
    <s v="DNI"/>
    <n v="34265852"/>
    <s v="20342658521"/>
    <d v="1989-03-31T00:00:00"/>
    <m/>
    <m/>
    <m/>
    <m/>
    <x v="0"/>
    <x v="0"/>
    <d v="2015-08-01T00:00:00"/>
    <m/>
    <d v="2016-12-31T00:00:00"/>
    <x v="0"/>
    <s v="UNTREF"/>
    <s v="UNTREF"/>
    <n v="11500"/>
    <x v="28"/>
    <x v="5"/>
    <s v="."/>
    <s v="."/>
    <s v="."/>
    <n v="1000"/>
    <x v="0"/>
    <x v="0"/>
    <x v="0"/>
  </r>
  <r>
    <x v="0"/>
    <x v="0"/>
    <x v="1"/>
    <x v="3"/>
    <x v="27"/>
    <x v="2"/>
    <m/>
    <m/>
    <m/>
    <s v="TECNÓPOLIS"/>
    <m/>
    <x v="995"/>
    <s v="DNI"/>
    <n v="30014231"/>
    <n v="20300142312"/>
    <m/>
    <m/>
    <m/>
    <m/>
    <m/>
    <x v="1"/>
    <x v="1"/>
    <d v="2013-04-01T00:00:00"/>
    <d v="2016-03-31T00:00:00"/>
    <d v="2016-12-31T00:00:00"/>
    <x v="3"/>
    <m/>
    <m/>
    <n v="21042"/>
    <x v="277"/>
    <x v="5"/>
    <s v="."/>
    <s v="."/>
    <s v="."/>
    <n v="1000"/>
    <x v="1"/>
    <x v="0"/>
    <x v="0"/>
  </r>
  <r>
    <x v="0"/>
    <x v="0"/>
    <x v="0"/>
    <x v="0"/>
    <x v="0"/>
    <x v="0"/>
    <m/>
    <s v="DISEÑO"/>
    <s v="ANALISTA"/>
    <s v="PALPALÁ-JUJUY"/>
    <s v="PALPALÁ-JUJUY"/>
    <x v="996"/>
    <s v="DNI"/>
    <n v="27874288"/>
    <n v="20278742882"/>
    <d v="1980-04-30T00:00:00"/>
    <m/>
    <m/>
    <m/>
    <m/>
    <x v="0"/>
    <x v="0"/>
    <d v="2015-09-01T00:00:00"/>
    <m/>
    <d v="2016-12-31T00:00:00"/>
    <x v="0"/>
    <s v="UNTREF"/>
    <s v="UNSAM"/>
    <n v="10000"/>
    <x v="0"/>
    <x v="0"/>
    <s v="---------"/>
    <s v="."/>
    <s v="---------"/>
    <n v="1000"/>
    <x v="0"/>
    <x v="0"/>
    <x v="0"/>
  </r>
  <r>
    <x v="0"/>
    <x v="0"/>
    <x v="1"/>
    <x v="3"/>
    <x v="10"/>
    <x v="2"/>
    <m/>
    <m/>
    <m/>
    <s v="TECNÓPOLIS"/>
    <m/>
    <x v="997"/>
    <s v="DNI"/>
    <n v="27460740"/>
    <n v="27274607403"/>
    <m/>
    <m/>
    <m/>
    <m/>
    <m/>
    <x v="1"/>
    <x v="1"/>
    <d v="2013-02-01T00:00:00"/>
    <d v="2016-03-31T00:00:00"/>
    <d v="2016-12-31T00:00:00"/>
    <x v="3"/>
    <m/>
    <m/>
    <n v="28555.22"/>
    <x v="278"/>
    <x v="5"/>
    <s v="."/>
    <s v="."/>
    <s v="."/>
    <n v="1000"/>
    <x v="1"/>
    <x v="0"/>
    <x v="0"/>
  </r>
  <r>
    <x v="0"/>
    <x v="0"/>
    <x v="1"/>
    <x v="1"/>
    <x v="27"/>
    <x v="20"/>
    <m/>
    <m/>
    <s v="ADMINISTRATIVO"/>
    <m/>
    <s v="CCK - Alem 351"/>
    <x v="998"/>
    <s v="DNI"/>
    <n v="6084351"/>
    <n v="20060843512"/>
    <d v="1949-07-05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1"/>
    <x v="0"/>
    <x v="5"/>
    <x v="17"/>
    <x v="12"/>
    <m/>
    <s v="CHOFER"/>
    <s v="ADMINISTRATIVO"/>
    <s v="CCK"/>
    <s v="CCK - Alem 351"/>
    <x v="999"/>
    <s v="DNI"/>
    <n v="25875955"/>
    <s v="23258759559"/>
    <d v="1977-09-24T00:00:00"/>
    <m/>
    <m/>
    <m/>
    <m/>
    <x v="0"/>
    <x v="0"/>
    <m/>
    <m/>
    <d v="2016-12-31T00:00:00"/>
    <x v="0"/>
    <s v="UNTREF"/>
    <s v="UNLAM- FUSION"/>
    <n v="18000"/>
    <x v="57"/>
    <x v="14"/>
    <n v="18000"/>
    <s v="."/>
    <s v="."/>
    <n v="1000"/>
    <x v="0"/>
    <x v="0"/>
    <x v="0"/>
  </r>
  <r>
    <x v="0"/>
    <x v="0"/>
    <x v="0"/>
    <x v="0"/>
    <x v="2"/>
    <x v="2"/>
    <m/>
    <s v="PRIVADA"/>
    <s v="ADMINISTRATIVO"/>
    <m/>
    <s v="CCK - Alem 351"/>
    <x v="1000"/>
    <s v="DNI"/>
    <n v="29136569"/>
    <s v="27291365693"/>
    <d v="1981-11-02T00:00:00"/>
    <m/>
    <m/>
    <m/>
    <m/>
    <x v="0"/>
    <x v="0"/>
    <d v="2016-01-01T00:00:00"/>
    <m/>
    <d v="2016-12-31T00:00:00"/>
    <x v="0"/>
    <s v="UNTREF"/>
    <s v="UNSAM"/>
    <n v="25000"/>
    <x v="48"/>
    <x v="11"/>
    <n v="25000"/>
    <s v="."/>
    <s v="."/>
    <n v="1000"/>
    <x v="0"/>
    <x v="0"/>
    <x v="0"/>
  </r>
  <r>
    <x v="0"/>
    <x v="0"/>
    <x v="1"/>
    <x v="3"/>
    <x v="10"/>
    <x v="2"/>
    <m/>
    <m/>
    <s v="ADMINISTRATIVA"/>
    <s v="TECNÓPOLIS"/>
    <s v="TECNOPOLIS"/>
    <x v="1001"/>
    <s v="DNI"/>
    <n v="17686556"/>
    <s v="20176865564"/>
    <d v="1965-08-03T00:00:00"/>
    <m/>
    <m/>
    <m/>
    <m/>
    <x v="0"/>
    <x v="0"/>
    <d v="2011-03-01T00:00:00"/>
    <m/>
    <d v="2016-12-31T00:00:00"/>
    <x v="0"/>
    <s v="UNTREF"/>
    <s v="UNTREF"/>
    <n v="32000"/>
    <x v="279"/>
    <x v="5"/>
    <s v="."/>
    <s v="."/>
    <s v="."/>
    <n v="1000"/>
    <x v="0"/>
    <x v="0"/>
    <x v="0"/>
  </r>
  <r>
    <x v="0"/>
    <x v="0"/>
    <x v="1"/>
    <x v="3"/>
    <x v="15"/>
    <x v="2"/>
    <m/>
    <m/>
    <m/>
    <s v="TECNÓPOLIS"/>
    <m/>
    <x v="1002"/>
    <s v="DNI"/>
    <n v="17363262"/>
    <n v="20173632623"/>
    <m/>
    <m/>
    <m/>
    <m/>
    <m/>
    <x v="1"/>
    <x v="1"/>
    <d v="2012-11-30T00:00:00"/>
    <d v="2016-12-31T00:00:00"/>
    <d v="2016-12-31T00:00:00"/>
    <x v="3"/>
    <m/>
    <m/>
    <n v="24909"/>
    <x v="280"/>
    <x v="5"/>
    <s v="."/>
    <s v="."/>
    <s v="."/>
    <n v="1000"/>
    <x v="1"/>
    <x v="0"/>
    <x v="0"/>
  </r>
  <r>
    <x v="0"/>
    <x v="0"/>
    <x v="1"/>
    <x v="3"/>
    <x v="15"/>
    <x v="2"/>
    <m/>
    <m/>
    <m/>
    <s v="TECNÓPOLIS"/>
    <m/>
    <x v="1003"/>
    <s v="DNI"/>
    <n v="34027734"/>
    <n v="20340277342"/>
    <m/>
    <m/>
    <m/>
    <m/>
    <m/>
    <x v="1"/>
    <x v="1"/>
    <d v="2012-11-30T00:00:00"/>
    <d v="2016-12-31T00:00:00"/>
    <d v="2016-12-31T00:00:00"/>
    <x v="3"/>
    <m/>
    <m/>
    <n v="22661"/>
    <x v="281"/>
    <x v="5"/>
    <s v="."/>
    <s v="."/>
    <s v="."/>
    <n v="1000"/>
    <x v="1"/>
    <x v="0"/>
    <x v="0"/>
  </r>
  <r>
    <x v="0"/>
    <x v="0"/>
    <x v="0"/>
    <x v="0"/>
    <x v="0"/>
    <x v="0"/>
    <m/>
    <s v="DESARROLLOS"/>
    <s v="ANALISTA"/>
    <s v="PALPALÁ-JUJUY"/>
    <s v="PALPALÁ-JUJUY"/>
    <x v="1004"/>
    <s v="DNI"/>
    <n v="34132540"/>
    <n v="20341325405"/>
    <d v="1989-08-11T00:00:00"/>
    <m/>
    <m/>
    <m/>
    <m/>
    <x v="0"/>
    <x v="0"/>
    <d v="2015-09-01T00:00:00"/>
    <m/>
    <d v="2016-12-31T00:00:00"/>
    <x v="0"/>
    <s v="UNTREF"/>
    <s v="UNSAM"/>
    <n v="11500"/>
    <x v="28"/>
    <x v="0"/>
    <s v="---------"/>
    <s v="."/>
    <s v="---------"/>
    <n v="1000"/>
    <x v="0"/>
    <x v="0"/>
    <x v="0"/>
  </r>
  <r>
    <x v="0"/>
    <x v="0"/>
    <x v="0"/>
    <x v="0"/>
    <x v="2"/>
    <x v="2"/>
    <s v="(IGUALDAD CULTURAL)"/>
    <m/>
    <m/>
    <s v="CCK"/>
    <m/>
    <x v="1005"/>
    <s v="DNI"/>
    <n v="27444628"/>
    <n v="27274446280"/>
    <m/>
    <m/>
    <m/>
    <m/>
    <m/>
    <x v="1"/>
    <x v="1"/>
    <d v="2005-01-01T00:00:00"/>
    <d v="2016-12-31T00:00:00"/>
    <d v="2016-12-31T00:00:00"/>
    <x v="14"/>
    <m/>
    <m/>
    <n v="30753"/>
    <x v="282"/>
    <x v="5"/>
    <s v="."/>
    <s v="."/>
    <s v="."/>
    <n v="1000"/>
    <x v="1"/>
    <x v="0"/>
    <x v="0"/>
  </r>
  <r>
    <x v="0"/>
    <x v="0"/>
    <x v="1"/>
    <x v="3"/>
    <x v="15"/>
    <x v="2"/>
    <m/>
    <m/>
    <s v="CARPINTERO"/>
    <s v="TECNÓPOLIS"/>
    <s v="TECNOPOLIS"/>
    <x v="1006"/>
    <s v="DNI"/>
    <n v="24470829"/>
    <s v="20244708294"/>
    <d v="1975-05-23T00:00:00"/>
    <m/>
    <m/>
    <m/>
    <m/>
    <x v="0"/>
    <x v="0"/>
    <d v="2014-08-01T00:00:00"/>
    <m/>
    <d v="2016-12-31T00:00:00"/>
    <x v="0"/>
    <s v="UNTREF"/>
    <s v="UNTREF"/>
    <n v="9995.51"/>
    <x v="19"/>
    <x v="5"/>
    <s v="."/>
    <s v="."/>
    <s v="."/>
    <n v="1000"/>
    <x v="0"/>
    <x v="0"/>
    <x v="0"/>
  </r>
  <r>
    <x v="0"/>
    <x v="1"/>
    <x v="0"/>
    <x v="5"/>
    <x v="17"/>
    <x v="12"/>
    <m/>
    <s v="CHOFER"/>
    <s v="ADMINISTRATIVO"/>
    <s v="CCK"/>
    <s v="CCK - Alem 351"/>
    <x v="1007"/>
    <s v="DNI"/>
    <n v="21556947"/>
    <s v="20215569471"/>
    <d v="1970-07-09T00:00:00"/>
    <m/>
    <m/>
    <m/>
    <m/>
    <x v="0"/>
    <x v="0"/>
    <m/>
    <m/>
    <d v="2016-12-31T00:00:00"/>
    <x v="0"/>
    <s v="UNTREF"/>
    <s v="UNLAM- FUSION"/>
    <n v="18000"/>
    <x v="57"/>
    <x v="14"/>
    <n v="18000"/>
    <s v="."/>
    <s v="."/>
    <n v="1000"/>
    <x v="0"/>
    <x v="0"/>
    <x v="0"/>
  </r>
  <r>
    <x v="0"/>
    <x v="0"/>
    <x v="0"/>
    <x v="6"/>
    <x v="12"/>
    <x v="2"/>
    <m/>
    <m/>
    <s v="Orientador de Sala"/>
    <m/>
    <m/>
    <x v="1008"/>
    <s v="DNI"/>
    <n v="29142911"/>
    <n v="23291429114"/>
    <m/>
    <m/>
    <m/>
    <m/>
    <m/>
    <x v="0"/>
    <x v="0"/>
    <d v="2016-07-01T00:00:00"/>
    <m/>
    <d v="2016-12-31T00:00:00"/>
    <x v="0"/>
    <m/>
    <m/>
    <m/>
    <x v="18"/>
    <x v="3"/>
    <m/>
    <m/>
    <m/>
    <m/>
    <x v="1"/>
    <x v="0"/>
    <x v="2"/>
  </r>
  <r>
    <x v="0"/>
    <x v="0"/>
    <x v="1"/>
    <x v="1"/>
    <x v="10"/>
    <x v="2"/>
    <m/>
    <m/>
    <s v="ADMINISTRATIVA"/>
    <m/>
    <s v="CCK - Alem 351"/>
    <x v="1009"/>
    <s v="DNI"/>
    <n v="26516975"/>
    <s v="27265169754"/>
    <d v="1978-03-24T00:00:00"/>
    <m/>
    <m/>
    <m/>
    <m/>
    <x v="0"/>
    <x v="0"/>
    <d v="2016-06-01T00:00:00"/>
    <m/>
    <d v="2016-12-31T00:00:00"/>
    <x v="0"/>
    <s v="UNTREF"/>
    <m/>
    <m/>
    <x v="18"/>
    <x v="3"/>
    <m/>
    <m/>
    <m/>
    <m/>
    <x v="0"/>
    <x v="0"/>
    <x v="2"/>
  </r>
  <r>
    <x v="0"/>
    <x v="0"/>
    <x v="1"/>
    <x v="1"/>
    <x v="5"/>
    <x v="14"/>
    <s v="LIMPIEZA (En comisión Tecnópolis)"/>
    <s v="Responsable"/>
    <s v="Responsable"/>
    <s v="CCK"/>
    <s v="CCK - Alem 351"/>
    <x v="1010"/>
    <s v="DNI"/>
    <n v="27067242"/>
    <s v="20270672427"/>
    <d v="1978-12-25T00:00:00"/>
    <m/>
    <m/>
    <m/>
    <m/>
    <x v="0"/>
    <x v="0"/>
    <d v="2015-06-04T00:00:00"/>
    <m/>
    <d v="2016-12-31T00:00:00"/>
    <x v="0"/>
    <s v="UNTREF"/>
    <s v="UNTREF"/>
    <n v="18000"/>
    <x v="57"/>
    <x v="52"/>
    <n v="17200"/>
    <s v="."/>
    <s v="."/>
    <n v="1000"/>
    <x v="0"/>
    <x v="0"/>
    <x v="0"/>
  </r>
  <r>
    <x v="0"/>
    <x v="0"/>
    <x v="0"/>
    <x v="0"/>
    <x v="8"/>
    <x v="6"/>
    <m/>
    <s v="POSTPRODUCCIÓN"/>
    <s v="EDICION"/>
    <s v="CABILDO 65"/>
    <s v="CABILDO 65"/>
    <x v="1011"/>
    <s v="DNI"/>
    <n v="31452373"/>
    <s v="20314523734"/>
    <d v="1985-03-01T00:00:00"/>
    <m/>
    <m/>
    <m/>
    <m/>
    <x v="0"/>
    <x v="0"/>
    <d v="2011-09-01T00:00:00"/>
    <m/>
    <d v="2016-12-31T00:00:00"/>
    <x v="0"/>
    <s v="UNTREF"/>
    <m/>
    <n v="24060"/>
    <x v="73"/>
    <x v="3"/>
    <m/>
    <m/>
    <m/>
    <n v="1000"/>
    <x v="2"/>
    <x v="0"/>
    <x v="0"/>
  </r>
  <r>
    <x v="0"/>
    <x v="0"/>
    <x v="0"/>
    <x v="0"/>
    <x v="8"/>
    <x v="6"/>
    <m/>
    <s v="PANORAMA ARGENTINO"/>
    <m/>
    <s v="CABILDO 65"/>
    <m/>
    <x v="1012"/>
    <s v="DNI"/>
    <n v="24229930"/>
    <n v="27242299308"/>
    <m/>
    <m/>
    <m/>
    <m/>
    <m/>
    <x v="1"/>
    <x v="1"/>
    <d v="2012-12-01T00:00:00"/>
    <d v="2016-12-31T00:00:00"/>
    <d v="2016-12-31T00:00:00"/>
    <x v="4"/>
    <m/>
    <m/>
    <n v="20266"/>
    <x v="24"/>
    <x v="5"/>
    <s v="."/>
    <s v="."/>
    <s v="."/>
    <n v="1000"/>
    <x v="1"/>
    <x v="0"/>
    <x v="0"/>
  </r>
  <r>
    <x v="0"/>
    <x v="0"/>
    <x v="1"/>
    <x v="1"/>
    <x v="16"/>
    <x v="11"/>
    <m/>
    <m/>
    <s v="VISITAS GUIADAS"/>
    <m/>
    <s v="CCK - Alem 351"/>
    <x v="1013"/>
    <s v="DNI"/>
    <n v="38297347"/>
    <n v="27382973475"/>
    <d v="1994-05-11T00:00:00"/>
    <m/>
    <m/>
    <m/>
    <m/>
    <x v="0"/>
    <x v="0"/>
    <d v="2016-05-15T00:00:00"/>
    <m/>
    <d v="2016-12-31T00:00:00"/>
    <x v="0"/>
    <s v="UNTREF"/>
    <m/>
    <m/>
    <x v="18"/>
    <x v="3"/>
    <m/>
    <m/>
    <m/>
    <n v="1000"/>
    <x v="0"/>
    <x v="0"/>
    <x v="0"/>
  </r>
  <r>
    <x v="0"/>
    <x v="0"/>
    <x v="0"/>
    <x v="0"/>
    <x v="8"/>
    <x v="6"/>
    <s v="REFERENTE"/>
    <s v="Analista"/>
    <m/>
    <s v="CCK"/>
    <m/>
    <x v="1014"/>
    <s v="DNI"/>
    <n v="27273669"/>
    <n v="20272736694"/>
    <m/>
    <m/>
    <m/>
    <m/>
    <m/>
    <x v="1"/>
    <x v="1"/>
    <d v="2010-10-01T00:00:00"/>
    <d v="2016-12-31T00:00:00"/>
    <d v="2016-12-31T00:00:00"/>
    <x v="5"/>
    <m/>
    <m/>
    <n v="26237"/>
    <x v="183"/>
    <x v="5"/>
    <s v="."/>
    <s v="."/>
    <s v="."/>
    <n v="1000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19">
  <r>
    <s v="SFMyCP"/>
    <x v="0"/>
    <m/>
    <x v="0"/>
    <s v="INV. AP. RECURSOS DIGITALES"/>
    <s v="CTRO INV PALPALA"/>
    <m/>
    <s v="ANIMACION"/>
    <s v="ANALISTA"/>
    <s v="PALPALÁ-JUJUY"/>
    <s v="PALPALÁ-JUJUY"/>
    <s v="ABARZA VICTOR"/>
    <s v="DNI"/>
    <n v="20549287"/>
    <n v="23205492879"/>
    <d v="1968-11-30T00:00:00"/>
    <m/>
    <m/>
    <m/>
    <m/>
    <x v="0"/>
    <x v="0"/>
    <d v="2015-09-01T00:00:00"/>
    <m/>
    <d v="2016-12-31T00:00:00"/>
    <m/>
    <s v="UNTREF"/>
    <s v="UNSAM"/>
    <n v="10000"/>
  </r>
  <r>
    <s v="SFMyCP"/>
    <x v="0"/>
    <s v="SUBSEC CENTROS TEMATICOS Y EXP FEDERALES"/>
    <x v="1"/>
    <s v="COMUNICACIÓN"/>
    <s v="PRENSA"/>
    <m/>
    <m/>
    <s v="ADMINISTRATIVO"/>
    <s v="CCK"/>
    <s v="CCK - Alem 351"/>
    <s v="ABREU NICOLAS"/>
    <s v="DNI"/>
    <n v="25250840"/>
    <s v="20252508407"/>
    <d v="1976-06-24T00:00:00"/>
    <m/>
    <m/>
    <m/>
    <m/>
    <x v="0"/>
    <x v="0"/>
    <d v="2015-04-01T00:00:00"/>
    <m/>
    <d v="2016-12-31T00:00:00"/>
    <m/>
    <s v="UNTREF"/>
    <s v="UNSAM-MINPLAN"/>
    <n v="17102"/>
  </r>
  <r>
    <s v="SFMyCP"/>
    <x v="1"/>
    <m/>
    <x v="2"/>
    <m/>
    <m/>
    <m/>
    <s v="PRIVADA"/>
    <s v="ASESOR"/>
    <m/>
    <s v="CCK - Alem 351"/>
    <s v="ACEBO, SILVIA"/>
    <s v="DNI"/>
    <n v="5940898"/>
    <n v="23059408984"/>
    <d v="1948-07-12T00:00:00"/>
    <m/>
    <m/>
    <m/>
    <m/>
    <x v="0"/>
    <x v="0"/>
    <d v="2016-01-01T00:00:00"/>
    <m/>
    <d v="2016-12-31T00:00:00"/>
    <m/>
    <s v="UNTREF"/>
    <s v="UNSAM"/>
    <n v="27370"/>
  </r>
  <r>
    <s v="SFMyCP"/>
    <x v="0"/>
    <s v="SUBSEC CENTROS TEMATICOS Y EXP FEDERALES"/>
    <x v="3"/>
    <s v="INTENDENCIA - LIMPIEZA"/>
    <m/>
    <m/>
    <m/>
    <m/>
    <s v="TECNÓPOLIS"/>
    <m/>
    <s v="ACHAGNA Alberto Emanuel"/>
    <s v="DNI"/>
    <n v="36690414"/>
    <n v="20366904140"/>
    <m/>
    <m/>
    <m/>
    <m/>
    <m/>
    <x v="1"/>
    <x v="1"/>
    <d v="2012-07-01T00:00:00"/>
    <d v="2016-12-31T00:00:00"/>
    <d v="2016-12-31T00:00:00"/>
    <s v="D0"/>
    <m/>
    <m/>
    <n v="16289.4"/>
  </r>
  <r>
    <s v="SFMyCP"/>
    <x v="0"/>
    <s v="SUBSEC CENTROS TEMATICOS Y EXP FEDERALES"/>
    <x v="3"/>
    <s v="GASTRONOMIA"/>
    <m/>
    <m/>
    <s v="COCINA"/>
    <s v="PRODUCCION GRAL DE RECETAS, MANIPULACIÓN DE INGREDIENTES, DESPCACHO DE ALIMENTOS"/>
    <s v="TECNÓPOLIS"/>
    <s v="TECNOPOLIS"/>
    <s v="ACOSTA  NATALIA LORENA"/>
    <s v="DNI"/>
    <n v="27781495"/>
    <s v="27277814957"/>
    <d v="1980-04-05T00:00:00"/>
    <m/>
    <m/>
    <m/>
    <m/>
    <x v="0"/>
    <x v="0"/>
    <d v="2014-07-01T00:00:00"/>
    <m/>
    <d v="2016-12-31T00:00:00"/>
    <m/>
    <s v="UNTREF"/>
    <s v="UNTREF"/>
    <n v="12516"/>
  </r>
  <r>
    <s v="SFMyCP"/>
    <x v="0"/>
    <s v="SUBSEC CENTROS TEMATICOS Y EXP FEDERALES"/>
    <x v="1"/>
    <s v="DIRECCION DE GESTION EDILICIA"/>
    <s v="OPERATIVA Y LOGISTICA"/>
    <s v="LIMPIEZA (En comisión Tecnópolis)"/>
    <s v="Auxiliar"/>
    <s v="OPERATIVA Y LOGISTICA"/>
    <s v="CCK"/>
    <s v="CCK - Alem 351"/>
    <s v="ACOSTA HUGO"/>
    <s v="DNI"/>
    <n v="26749806"/>
    <s v="20267498068"/>
    <d v="1978-09-04T00:00:00"/>
    <m/>
    <m/>
    <m/>
    <m/>
    <x v="0"/>
    <x v="0"/>
    <d v="2015-06-10T00:00:00"/>
    <m/>
    <d v="2016-12-31T00:00:00"/>
    <m/>
    <s v="UNTREF"/>
    <s v="UNTREF"/>
    <n v="10500"/>
  </r>
  <r>
    <s v="SFMyCP"/>
    <x v="0"/>
    <s v="SUBSEC CENTROS TEMATICOS Y EXP FEDERALES"/>
    <x v="3"/>
    <s v="INTENDENCIA - LIMPIEZA"/>
    <m/>
    <m/>
    <m/>
    <m/>
    <s v="TECNÓPOLIS"/>
    <m/>
    <s v="ACOSTA Noelia Noemí"/>
    <s v="DNI"/>
    <n v="33556332"/>
    <n v="27335563323"/>
    <m/>
    <m/>
    <m/>
    <m/>
    <m/>
    <x v="1"/>
    <x v="1"/>
    <d v="2012-01-01T00:00:00"/>
    <d v="2016-12-31T00:00:00"/>
    <d v="2016-12-31T00:00:00"/>
    <s v="D0"/>
    <m/>
    <m/>
    <n v="12484.6"/>
  </r>
  <r>
    <s v="SFMyCP"/>
    <x v="0"/>
    <m/>
    <x v="4"/>
    <m/>
    <m/>
    <m/>
    <s v="PRIVADA"/>
    <s v="CHOFER"/>
    <m/>
    <s v="CCK - Alem 351"/>
    <s v="AGÜERO, LISANDRO"/>
    <s v="DNI"/>
    <n v="21862533"/>
    <n v="20218625334"/>
    <d v="1971-03-01T00:00:00"/>
    <m/>
    <m/>
    <m/>
    <m/>
    <x v="0"/>
    <x v="0"/>
    <d v="2016-01-01T00:00:00"/>
    <m/>
    <d v="2016-12-31T00:00:00"/>
    <m/>
    <s v="UNTREF"/>
    <s v="UNSAM"/>
    <n v="12000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AGUIAR  NÉSTOR"/>
    <s v="DNI"/>
    <n v="25553697"/>
    <s v="20255536975"/>
    <d v="1976-09-22T00:00:00"/>
    <m/>
    <m/>
    <m/>
    <m/>
    <x v="0"/>
    <x v="0"/>
    <d v="2011-07-01T00:00:00"/>
    <m/>
    <d v="2016-12-31T00:00:00"/>
    <m/>
    <s v="UNTREF"/>
    <s v="UNTREF"/>
    <n v="11449.4"/>
  </r>
  <r>
    <s v="SFMyCP"/>
    <x v="1"/>
    <m/>
    <x v="5"/>
    <s v="PRESUPUESTO"/>
    <m/>
    <m/>
    <s v="GESTIÓN ADMINISTRATIVA"/>
    <m/>
    <s v="CCK"/>
    <m/>
    <s v="AGUILAR NADIA CANDELA"/>
    <s v="DNI"/>
    <n v="33422027"/>
    <n v="27334220279"/>
    <m/>
    <m/>
    <m/>
    <m/>
    <m/>
    <x v="1"/>
    <x v="1"/>
    <d v="2013-12-01T00:00:00"/>
    <d v="2016-03-31T00:00:00"/>
    <d v="2016-12-31T00:00:00"/>
    <s v="C1"/>
    <m/>
    <m/>
    <n v="12547"/>
  </r>
  <r>
    <s v="SFMyCP"/>
    <x v="0"/>
    <m/>
    <x v="0"/>
    <s v="TELEVISION DIGITAL ABIERTA"/>
    <s v="PRESIDENCIA"/>
    <m/>
    <s v="PRODUCCIÓN"/>
    <s v="PRODUCTOR de EXTERIORES"/>
    <s v="CABILDO 65"/>
    <s v="CABILDO 65"/>
    <s v="AGUSTINHO GUSTAVO"/>
    <s v="DNI"/>
    <n v="29300719"/>
    <s v="20293007196"/>
    <d v="1982-02-03T00:00:00"/>
    <m/>
    <m/>
    <m/>
    <m/>
    <x v="0"/>
    <x v="0"/>
    <d v="2011-08-01T00:00:00"/>
    <m/>
    <d v="2016-12-31T00:00:00"/>
    <m/>
    <s v="UNTREF"/>
    <m/>
    <n v="23288"/>
  </r>
  <r>
    <s v="SFMyCP"/>
    <x v="0"/>
    <s v="SUBSEC CENTROS TEMATICOS Y EXP FEDERALES"/>
    <x v="3"/>
    <s v="ADMINISTRACION- RRHH"/>
    <m/>
    <m/>
    <s v="ADMINISTRATIVO"/>
    <s v="ADMINISTRATIVO"/>
    <s v="TECNÓPOLIS"/>
    <m/>
    <s v="AHUMADA CABRERA Claudia Ximena"/>
    <s v="DNI"/>
    <n v="18899387"/>
    <n v="27188993872"/>
    <m/>
    <m/>
    <m/>
    <m/>
    <m/>
    <x v="1"/>
    <x v="1"/>
    <d v="2012-11-01T00:00:00"/>
    <d v="2016-12-31T00:00:00"/>
    <d v="2016-12-31T00:00:00"/>
    <s v="C0"/>
    <m/>
    <m/>
    <n v="20253.28"/>
  </r>
  <r>
    <s v="SFMyCP"/>
    <x v="0"/>
    <s v="SUBSEC CENTROS TEMATICOS Y EXP FEDERALES"/>
    <x v="3"/>
    <s v="ADMINISTRACION- RRHH"/>
    <m/>
    <m/>
    <s v="ADMINISTRATIVO"/>
    <s v="ADMINISTRATIVO"/>
    <s v="TECNÓPOLIS"/>
    <m/>
    <s v="AHUMADA CABRERA Erika Sofia"/>
    <s v="DNI"/>
    <n v="18899386"/>
    <n v="27188993864"/>
    <m/>
    <m/>
    <m/>
    <m/>
    <m/>
    <x v="1"/>
    <x v="1"/>
    <d v="2012-02-01T00:00:00"/>
    <d v="2016-12-31T00:00:00"/>
    <d v="2016-12-31T00:00:00"/>
    <s v="C0"/>
    <m/>
    <m/>
    <n v="29781"/>
  </r>
  <r>
    <s v="SFMyCP"/>
    <x v="0"/>
    <s v="SUBSEC CENTROS TEMATICOS Y EXP FEDERALES"/>
    <x v="3"/>
    <s v="GASTRONOMIA"/>
    <m/>
    <m/>
    <s v="COCINA"/>
    <s v="PRODUCCION GRAL DE RECETAS, MANIPULACIÓN DE INGREDIENTES, DESPCACHO DE ALIMENTOS"/>
    <s v="TECNÓPOLIS"/>
    <s v="TECNOPOLIS"/>
    <s v="AHUMADA HECTOR DANIEL"/>
    <s v="DNI"/>
    <n v="35136175"/>
    <s v="24351361758"/>
    <d v="1990-02-06T00:00:00"/>
    <m/>
    <m/>
    <m/>
    <m/>
    <x v="0"/>
    <x v="0"/>
    <d v="2014-02-01T00:00:00"/>
    <m/>
    <d v="2016-12-31T00:00:00"/>
    <m/>
    <s v="UNTREF"/>
    <s v="UNTREF"/>
    <n v="10408.549999999999"/>
  </r>
  <r>
    <s v="SFMyCP"/>
    <x v="0"/>
    <s v="SUBSEC CENTROS TEMATICOS Y EXP FEDERALES"/>
    <x v="1"/>
    <s v="DIRECCION DE GESTION EDILICIA"/>
    <s v="MESA DE AYUDA"/>
    <s v="MESA DE AYUDA"/>
    <s v="Asistente"/>
    <s v="ADMINISTRATIVO"/>
    <s v="CCK"/>
    <s v="CCK - Alem 351"/>
    <s v="ALBERTI CYNTHIA"/>
    <s v="DNI"/>
    <n v="42663422"/>
    <s v="27426634223"/>
    <d v="1996-06-07T00:00:00"/>
    <m/>
    <m/>
    <m/>
    <m/>
    <x v="0"/>
    <x v="0"/>
    <d v="2015-06-01T00:00:00"/>
    <m/>
    <d v="2016-12-31T00:00:00"/>
    <m/>
    <s v="UNTREF"/>
    <s v="UNLAM- BICENTENARIO"/>
    <n v="10096"/>
  </r>
  <r>
    <s v="SFMyCP"/>
    <x v="0"/>
    <s v="SUBSEC CENTROS TEMATICOS Y EXP FEDERALES"/>
    <x v="1"/>
    <s v="PRODUCCIÓN"/>
    <m/>
    <m/>
    <m/>
    <s v="ADMINISTRATIVA"/>
    <m/>
    <s v="CCK - Alem 351"/>
    <s v="ALBORNOZ MARIA CLARA"/>
    <s v="DNI"/>
    <n v="22476139"/>
    <n v="27254761392"/>
    <d v="1976-07-29T00:00:00"/>
    <m/>
    <m/>
    <m/>
    <m/>
    <x v="0"/>
    <x v="0"/>
    <d v="2016-04-01T00:00:00"/>
    <m/>
    <d v="2016-12-31T00:00:00"/>
    <m/>
    <s v="UNTREF"/>
    <m/>
    <s v="."/>
  </r>
  <r>
    <s v="SFMyCP"/>
    <x v="0"/>
    <m/>
    <x v="0"/>
    <s v="TELEVISION DIGITAL ABIERTA"/>
    <s v="CIARA"/>
    <m/>
    <s v="ACUA MAYOR"/>
    <s v="ADMINISTRATIVO"/>
    <s v="CABILDO 65"/>
    <s v="CABILDO 65"/>
    <s v="ALDAVE GABRIELA"/>
    <s v="DNI"/>
    <n v="26403953"/>
    <s v="27264039539"/>
    <d v="1978-01-31T00:00:00"/>
    <m/>
    <m/>
    <m/>
    <m/>
    <x v="0"/>
    <x v="0"/>
    <d v="2011-09-21T00:00:00"/>
    <m/>
    <d v="2016-12-31T00:00:00"/>
    <m/>
    <s v="UNTREF"/>
    <s v="UNSAM- LADA"/>
    <n v="20959"/>
  </r>
  <r>
    <s v="SFMyCP"/>
    <x v="0"/>
    <m/>
    <x v="0"/>
    <s v="TELEVISION DIGITAL ABIERTA"/>
    <s v="CIARA"/>
    <m/>
    <s v="SERVICIOS GENERALES"/>
    <m/>
    <s v="CABILDO 65"/>
    <m/>
    <s v="ALEMAN JUAN MANUEL"/>
    <s v="DNI"/>
    <n v="34303292"/>
    <n v="20343032928"/>
    <m/>
    <m/>
    <m/>
    <m/>
    <m/>
    <x v="1"/>
    <x v="1"/>
    <d v="2015-03-01T00:00:00"/>
    <d v="2016-03-31T00:00:00"/>
    <d v="2016-12-31T00:00:00"/>
    <s v="D0"/>
    <m/>
    <m/>
    <n v="10553"/>
  </r>
  <r>
    <s v="SFMyCP"/>
    <x v="0"/>
    <m/>
    <x v="0"/>
    <s v="TELEVISION DIGITAL ABIERTA"/>
    <s v="CIARA"/>
    <m/>
    <s v="ACUA MAYOR"/>
    <s v="ADMINISTRATIVO"/>
    <s v="CABILDO 65"/>
    <s v="CABILDO 65"/>
    <s v="ALFARO AGUSTÍN "/>
    <s v="DNI"/>
    <n v="23865395"/>
    <s v="23238653959"/>
    <d v="1974-03-28T00:00:00"/>
    <m/>
    <m/>
    <m/>
    <m/>
    <x v="0"/>
    <x v="0"/>
    <d v="2010-11-01T00:00:00"/>
    <m/>
    <d v="2016-12-31T00:00:00"/>
    <m/>
    <s v="UNTREF"/>
    <s v="UNSAM- LADA"/>
    <n v="16465"/>
  </r>
  <r>
    <s v="SFMyCP"/>
    <x v="0"/>
    <m/>
    <x v="4"/>
    <s v="PROYECTOS ESPECIALES"/>
    <s v="SUPERMAX"/>
    <m/>
    <s v="PRIVADA"/>
    <s v="ADMINISTRATIVO"/>
    <m/>
    <s v="NO ENTREGAR"/>
    <s v="ALFIE  MARIA SOL"/>
    <s v="DNI"/>
    <n v="29064368"/>
    <n v="27290643681"/>
    <d v="1981-09-12T00:00:00"/>
    <m/>
    <m/>
    <m/>
    <m/>
    <x v="0"/>
    <x v="0"/>
    <d v="2016-07-01T00:00:00"/>
    <m/>
    <d v="2016-07-31T00:00:00"/>
    <m/>
    <s v="UNTREF"/>
    <m/>
    <m/>
  </r>
  <r>
    <s v="SFMyCP"/>
    <x v="0"/>
    <s v="SUBSEC CENTROS TEMATICOS Y EXP FEDERALES"/>
    <x v="3"/>
    <s v="INTENDENCIA - LIMPIEZA"/>
    <m/>
    <m/>
    <m/>
    <s v="LIMPIEZA DE OFICINAS/BAÑOS Y CAFETARIA DEL IBC"/>
    <s v="TECNÓPOLIS"/>
    <s v="TECNOPOLIS"/>
    <s v="ALMIRON MIRTA NOEMI"/>
    <s v="DNI"/>
    <n v="25151141"/>
    <s v="27251511417"/>
    <d v="1976-04-16T00:00:00"/>
    <m/>
    <m/>
    <m/>
    <m/>
    <x v="0"/>
    <x v="0"/>
    <d v="2012-02-01T00:00:00"/>
    <m/>
    <d v="2016-12-31T00:00:00"/>
    <m/>
    <s v="UNTREF"/>
    <s v="UNTREF"/>
    <n v="9995.51"/>
  </r>
  <r>
    <s v="SFMyCP"/>
    <x v="0"/>
    <m/>
    <x v="6"/>
    <s v="ARTES VISUALES"/>
    <m/>
    <m/>
    <m/>
    <m/>
    <m/>
    <m/>
    <s v="ALONSO RODRIGO"/>
    <s v="DNI"/>
    <n v="16668849"/>
    <n v="20166688496"/>
    <m/>
    <m/>
    <m/>
    <m/>
    <m/>
    <x v="2"/>
    <x v="0"/>
    <d v="2016-07-01T00:00:00"/>
    <m/>
    <d v="2016-09-30T00:00:00"/>
    <m/>
    <s v="UNTREF"/>
    <m/>
    <m/>
  </r>
  <r>
    <s v="SFMyCP"/>
    <x v="0"/>
    <s v="SUBSEC CENTROS TEMATICOS Y EXP FEDERALES"/>
    <x v="3"/>
    <s v="ADMINISTRACION -LEGALES"/>
    <m/>
    <m/>
    <s v="ADMINISTRATIVO"/>
    <s v="ADMINISTRATIVO"/>
    <s v="TECNÓPOLIS"/>
    <m/>
    <s v="ALSINA Agustin Santiago"/>
    <s v="DNI"/>
    <n v="32890888"/>
    <n v="20328908884"/>
    <m/>
    <m/>
    <m/>
    <m/>
    <m/>
    <x v="1"/>
    <x v="1"/>
    <d v="2015-01-01T00:00:00"/>
    <d v="2016-03-31T00:00:00"/>
    <d v="2016-12-31T00:00:00"/>
    <s v="C0"/>
    <m/>
    <m/>
    <n v="13835"/>
  </r>
  <r>
    <s v="SFMyCP"/>
    <x v="0"/>
    <s v="SUBSEC CENTROS TEMATICOS Y EXP FEDERALES"/>
    <x v="1"/>
    <s v="AUDIOVISUALES"/>
    <m/>
    <m/>
    <m/>
    <s v="ADMINISTRATIVO"/>
    <m/>
    <s v="CCK - Alem 351"/>
    <s v="ALVAREZ  MARIA PAZ"/>
    <s v="DNI"/>
    <n v="33205074"/>
    <s v="27332050740"/>
    <d v="1987-08-03T00:00:00"/>
    <m/>
    <m/>
    <m/>
    <m/>
    <x v="0"/>
    <x v="0"/>
    <d v="2014-12-01T00:00:00"/>
    <m/>
    <d v="2016-12-31T00:00:00"/>
    <m/>
    <s v="UNTREF"/>
    <s v="UNTREF"/>
    <n v="16731"/>
  </r>
  <r>
    <s v="SFMyCP"/>
    <x v="0"/>
    <m/>
    <x v="0"/>
    <s v="TELEVISION DIGITAL ABIERTA"/>
    <s v="PRESIDENCIA"/>
    <m/>
    <s v="PRODUCCIÓN"/>
    <s v="PRODUCTOR de EXTERIORES"/>
    <s v="CABILDO 65"/>
    <s v="CABILDO 65"/>
    <s v="ALVAREZ AGUSTIN"/>
    <s v="DNI"/>
    <n v="34295103"/>
    <s v="20342951032"/>
    <d v="1989-04-11T00:00:00"/>
    <m/>
    <m/>
    <m/>
    <m/>
    <x v="0"/>
    <x v="0"/>
    <d v="2014-06-01T00:00:00"/>
    <m/>
    <d v="2016-12-31T00:00:00"/>
    <m/>
    <s v="UNTREF"/>
    <m/>
    <n v="15234"/>
  </r>
  <r>
    <s v="SFMyCP"/>
    <x v="0"/>
    <s v="SUBSEC CENTROS TEMATICOS Y EXP FEDERALES"/>
    <x v="3"/>
    <s v="INTENDENCIA - TALLERES"/>
    <m/>
    <m/>
    <m/>
    <s v="HERRERO"/>
    <m/>
    <s v="TECNOPOLIS"/>
    <s v="ALVAREZ LUIS ALBERTO"/>
    <s v="DNI"/>
    <n v="35340444"/>
    <n v="20353404440"/>
    <d v="1990-05-22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1"/>
    <s v="PRODUCCIÓN"/>
    <m/>
    <m/>
    <s v="Analista"/>
    <m/>
    <s v="CCK"/>
    <m/>
    <s v="ALVAREZ VICENTE IGNACIO"/>
    <s v="DNI"/>
    <n v="21644367"/>
    <n v="20216443676"/>
    <m/>
    <m/>
    <m/>
    <m/>
    <m/>
    <x v="1"/>
    <x v="1"/>
    <d v="2010-01-01T00:00:00"/>
    <d v="2016-12-31T00:00:00"/>
    <d v="2016-12-31T00:00:00"/>
    <s v="C1"/>
    <m/>
    <m/>
    <n v="12274"/>
  </r>
  <r>
    <s v="SFMyCP"/>
    <x v="0"/>
    <m/>
    <x v="0"/>
    <s v="TELEVISION DIGITAL ABIERTA"/>
    <s v="CIARA"/>
    <s v="CCK"/>
    <s v="PROGRAMA POLOS AUDIOVISUALES TECNOLÓGICOS"/>
    <m/>
    <s v="CABILDO 65"/>
    <m/>
    <s v="ALVAREZ VICENTE MARIA"/>
    <s v="DNI"/>
    <n v="17287085"/>
    <n v="27172870851"/>
    <m/>
    <m/>
    <m/>
    <m/>
    <m/>
    <x v="1"/>
    <x v="1"/>
    <d v="2012-12-01T00:00:00"/>
    <d v="2016-12-31T00:00:00"/>
    <d v="2016-12-31T00:00:00"/>
    <s v="B1"/>
    <m/>
    <m/>
    <n v="20266"/>
  </r>
  <r>
    <s v="SFMyCP"/>
    <x v="0"/>
    <s v="SUBSEC CENTROS TEMATICOS Y EXP FEDERALES"/>
    <x v="1"/>
    <s v="AUDIOVISUALES"/>
    <m/>
    <m/>
    <m/>
    <m/>
    <s v="CCK"/>
    <s v="CCK - Alem 351"/>
    <s v="AMANTE Alberto Daniel"/>
    <s v="DNI"/>
    <n v="16101254"/>
    <n v="20161012549"/>
    <m/>
    <m/>
    <m/>
    <m/>
    <m/>
    <x v="1"/>
    <x v="1"/>
    <d v="2012-10-31T00:00:00"/>
    <d v="2016-12-31T00:00:00"/>
    <d v="2016-12-31T00:00:00"/>
    <s v="C0"/>
    <m/>
    <m/>
    <n v="17751"/>
  </r>
  <r>
    <s v="SFMyCP"/>
    <x v="0"/>
    <s v="SUBSEC CENTROS TEMATICOS Y EXP FEDERALES"/>
    <x v="1"/>
    <s v="AUDIOVISUALES"/>
    <m/>
    <m/>
    <m/>
    <s v="ADMINISTRATIVO"/>
    <s v="CCK"/>
    <s v="CCK - Alem 351"/>
    <s v="AMAYA MARCELA"/>
    <s v="DNI"/>
    <n v="28509503"/>
    <s v="23285095034"/>
    <d v="1980-12-07T00:00:00"/>
    <m/>
    <m/>
    <m/>
    <m/>
    <x v="0"/>
    <x v="0"/>
    <d v="2015-09-01T00:00:00"/>
    <m/>
    <d v="2016-12-31T00:00:00"/>
    <m/>
    <s v="UNTREF"/>
    <s v="UNSAM"/>
    <n v="20413"/>
  </r>
  <r>
    <s v="SFMyCP"/>
    <x v="0"/>
    <s v="SUBSEC CENTROS TEMATICOS Y EXP FEDERALES"/>
    <x v="3"/>
    <s v="ADMINISTRACION- RRHH"/>
    <m/>
    <m/>
    <s v="ADMINISTRATIVO"/>
    <s v="ADMINISTRATIVO"/>
    <s v="TECNÓPOLIS"/>
    <m/>
    <s v="AMODEO Laura"/>
    <s v="DNI"/>
    <n v="22913909"/>
    <n v="27229139091"/>
    <m/>
    <m/>
    <m/>
    <m/>
    <m/>
    <x v="1"/>
    <x v="1"/>
    <d v="2010-01-01T00:00:00"/>
    <d v="2016-12-31T00:00:00"/>
    <d v="2016-12-31T00:00:00"/>
    <s v="C1"/>
    <m/>
    <m/>
    <n v="23417"/>
  </r>
  <r>
    <s v="SFMyCP"/>
    <x v="0"/>
    <s v="SUBSEC CENTROS TEMATICOS Y EXP FEDERALES"/>
    <x v="1"/>
    <s v="DIRECCION DE GESTION EDILICIA"/>
    <s v="ESPACIOS FISICOS"/>
    <s v="ESPACIOS FÍSICOS"/>
    <s v=""/>
    <s v="ADMINISTRATIVO"/>
    <s v="CCK"/>
    <s v="CCK - Alem 351"/>
    <s v="ANDINO FLORENCIA"/>
    <s v="DNI"/>
    <n v="35364582"/>
    <s v="27353645825"/>
    <d v="1990-10-26T00:00:00"/>
    <m/>
    <m/>
    <m/>
    <m/>
    <x v="0"/>
    <x v="0"/>
    <d v="2015-07-01T00:00:00"/>
    <m/>
    <d v="2016-12-31T00:00:00"/>
    <m/>
    <s v="UNTREF"/>
    <s v="UNSAM"/>
    <n v="8617"/>
  </r>
  <r>
    <s v="SFMyCP"/>
    <x v="0"/>
    <s v="SUBSEC CENTROS TEMATICOS Y EXP FEDERALES"/>
    <x v="1"/>
    <s v="PRODUCCIÓN"/>
    <m/>
    <m/>
    <s v="Analista"/>
    <s v="ADMINISTRATIVA"/>
    <s v="CCK"/>
    <s v="CCK - Alem 351"/>
    <s v="ANGELOZZI MELISA"/>
    <s v="DNI"/>
    <n v="32620168"/>
    <s v="27326201680"/>
    <d v="1986-11-01T00:00:00"/>
    <m/>
    <m/>
    <m/>
    <m/>
    <x v="0"/>
    <x v="0"/>
    <d v="2015-02-12T00:00:00"/>
    <m/>
    <d v="2016-12-31T00:00:00"/>
    <m/>
    <s v="UNTREF"/>
    <s v="UNSAM-MINPLAN"/>
    <n v="16000"/>
  </r>
  <r>
    <s v="SFMyCP"/>
    <x v="0"/>
    <s v="SUBSEC CENTROS TEMATICOS Y EXP FEDERALES"/>
    <x v="1"/>
    <s v="INSTITUCIONALES"/>
    <m/>
    <m/>
    <s v="asistente funcional"/>
    <s v="asistente funcional"/>
    <s v="CCK"/>
    <s v="CCK - Alem 351"/>
    <s v="ANTÍA BERNARDO"/>
    <s v="DNI"/>
    <n v="38297183"/>
    <s v="20382971834"/>
    <d v="1994-04-18T00:00:00"/>
    <m/>
    <m/>
    <m/>
    <m/>
    <x v="0"/>
    <x v="0"/>
    <d v="2015-04-20T00:00:00"/>
    <m/>
    <d v="2016-12-31T00:00:00"/>
    <m/>
    <s v="UNTREF"/>
    <s v="UNSAM"/>
    <n v="10188"/>
  </r>
  <r>
    <s v="SFMyCP"/>
    <x v="0"/>
    <m/>
    <x v="0"/>
    <s v="INV. AP. RECURSOS DIGITALES"/>
    <s v="CTRO INV PALPALA"/>
    <m/>
    <s v="DESARROLLOS"/>
    <s v="ANALISTA"/>
    <s v="PALPALÁ-JUJUY"/>
    <s v="PALPALÁ-JUJUY"/>
    <s v="APAZA CAROLINA CECILIA"/>
    <s v="DNI"/>
    <n v="25798152"/>
    <n v="27257981520"/>
    <d v="1977-03-26T00:00:00"/>
    <m/>
    <m/>
    <m/>
    <m/>
    <x v="0"/>
    <x v="0"/>
    <d v="2015-09-01T00:00:00"/>
    <m/>
    <d v="2016-12-31T00:00:00"/>
    <m/>
    <s v="UNTREF"/>
    <s v="UNSAM"/>
    <n v="11500"/>
  </r>
  <r>
    <s v="SFMyCP"/>
    <x v="1"/>
    <m/>
    <x v="5"/>
    <s v="PLANIF  Y ADM DE REC HUMANOS"/>
    <s v="TDA"/>
    <m/>
    <s v="Analista de RR.HH."/>
    <s v="ADMINISTRATIVO"/>
    <s v="CABILDO 65"/>
    <s v="CABILDO 65"/>
    <s v="APICELLA FABIANA"/>
    <s v="DNI"/>
    <n v="20350366"/>
    <s v="27203503666"/>
    <d v="1968-06-28T00:00:00"/>
    <m/>
    <m/>
    <m/>
    <m/>
    <x v="0"/>
    <x v="0"/>
    <d v="2014-05-05T00:00:00"/>
    <m/>
    <d v="2016-12-31T00:00:00"/>
    <m/>
    <s v="UNTREF"/>
    <s v="UNSAM- LADA"/>
    <n v="10188"/>
  </r>
  <r>
    <s v="SFMyCP"/>
    <x v="1"/>
    <m/>
    <x v="5"/>
    <s v="JURIDICOS"/>
    <m/>
    <m/>
    <s v=""/>
    <s v="Asistencia Juridica"/>
    <m/>
    <s v="CCK - Alem 351"/>
    <s v="ARAMBURU PEIRETTI VICTORIA"/>
    <s v="DNI"/>
    <n v="35356196"/>
    <s v="27353561966"/>
    <d v="1990-11-08T00:00:00"/>
    <m/>
    <m/>
    <m/>
    <m/>
    <x v="0"/>
    <x v="0"/>
    <d v="2015-09-01T00:00:00"/>
    <m/>
    <d v="2016-12-31T00:00:00"/>
    <m/>
    <s v="UNTREF"/>
    <s v="UNLAM -TDA"/>
    <n v="12063"/>
  </r>
  <r>
    <s v="SFMyCP"/>
    <x v="1"/>
    <m/>
    <x v="5"/>
    <s v="PLANIF  Y ADM DE REC HUMANOS"/>
    <s v="TDA"/>
    <m/>
    <s v="Analista Sr de RR.HH."/>
    <m/>
    <s v="CABILDO 65"/>
    <m/>
    <s v="ARANA CARLOS ALBERTO"/>
    <s v="DNI"/>
    <n v="27216534"/>
    <n v="20272165344"/>
    <m/>
    <m/>
    <m/>
    <m/>
    <m/>
    <x v="1"/>
    <x v="1"/>
    <d v="2014-10-01T00:00:00"/>
    <d v="2016-03-31T00:00:00"/>
    <d v="2016-12-31T00:00:00"/>
    <s v="A1"/>
    <m/>
    <m/>
    <n v="27374"/>
  </r>
  <r>
    <s v="SFMyCP"/>
    <x v="0"/>
    <s v="SUBSEC CENTROS TEMATICOS Y EXP FEDERALES"/>
    <x v="3"/>
    <s v="ADMINISTRACION- RECEPCION"/>
    <m/>
    <m/>
    <s v="RECEPCIONISTA"/>
    <s v="RECEPCION IBC"/>
    <s v="TECNÓPOLIS"/>
    <s v="TECNOPOLIS"/>
    <s v="ARANEGA JEREMÍAS ALBERTO"/>
    <s v="DNI"/>
    <n v="32125095"/>
    <s v="20321250956"/>
    <d v="1986-01-08T00:00:00"/>
    <m/>
    <m/>
    <m/>
    <m/>
    <x v="0"/>
    <x v="0"/>
    <d v="2014-08-01T00:00:00"/>
    <m/>
    <d v="2016-12-31T00:00:00"/>
    <m/>
    <s v="UNTREF"/>
    <s v="UNTREF"/>
    <n v="10000"/>
  </r>
  <r>
    <s v="SFMyCP"/>
    <x v="0"/>
    <s v="SUBSEC CENTROS TEMATICOS Y EXP FEDERALES"/>
    <x v="3"/>
    <s v="OPERATIVA"/>
    <m/>
    <m/>
    <m/>
    <m/>
    <s v="TECNÓPOLIS"/>
    <m/>
    <s v="ARAUJO Luciano Andres"/>
    <s v="DNI"/>
    <n v="32484527"/>
    <n v="20324845276"/>
    <m/>
    <m/>
    <m/>
    <m/>
    <m/>
    <x v="1"/>
    <x v="1"/>
    <d v="2012-05-01T00:00:00"/>
    <d v="2016-12-31T00:00:00"/>
    <d v="2016-12-31T00:00:00"/>
    <s v="C0"/>
    <m/>
    <m/>
    <n v="13084.78"/>
  </r>
  <r>
    <s v="SFMyCP"/>
    <x v="1"/>
    <m/>
    <x v="5"/>
    <s v="JURIDICOS"/>
    <m/>
    <m/>
    <s v=""/>
    <m/>
    <m/>
    <m/>
    <s v="ARBO SANTIAGO"/>
    <s v="DNI"/>
    <n v="26111281"/>
    <n v="20261112818"/>
    <m/>
    <m/>
    <m/>
    <m/>
    <m/>
    <x v="1"/>
    <x v="1"/>
    <d v="2012-12-01T00:00:00"/>
    <d v="2016-12-31T00:00:00"/>
    <d v="2016-12-31T00:00:00"/>
    <s v="A1"/>
    <m/>
    <m/>
    <n v="29089"/>
  </r>
  <r>
    <s v="SFMyCP"/>
    <x v="0"/>
    <s v="SUBSEC CENTROS TEMATICOS Y EXP FEDERALES"/>
    <x v="1"/>
    <s v="INSTITUCIONALES"/>
    <s v="TECNICA"/>
    <m/>
    <m/>
    <s v="asistente funcional"/>
    <m/>
    <s v="CCK - Alem 351"/>
    <s v="ARBOR JULIA"/>
    <s v="DNI"/>
    <n v="35365200"/>
    <n v="27353652007"/>
    <d v="1990-10-24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- PARQUIZACION"/>
    <m/>
    <m/>
    <m/>
    <s v="MANTENIMIENTO DE ESPACIOS VERDES"/>
    <s v="TECNÓPOLIS"/>
    <s v="TECNOPOLIS"/>
    <s v="ARCE  ALBERTO SEBASTIAN"/>
    <s v="DNI"/>
    <n v="36536305"/>
    <s v="20365363057"/>
    <d v="1991-08-06T00:00:00"/>
    <m/>
    <m/>
    <m/>
    <m/>
    <x v="0"/>
    <x v="0"/>
    <d v="2014-04-01T00:00:00"/>
    <m/>
    <d v="2016-12-31T00:00:00"/>
    <m/>
    <s v="UNTREF"/>
    <s v="UNTREF"/>
    <n v="9995.51"/>
  </r>
  <r>
    <s v="SFMyCP"/>
    <x v="0"/>
    <s v="SUBSEC CENTROS TEMATICOS Y EXP FEDERALES"/>
    <x v="3"/>
    <s v="GASTRONOMIA"/>
    <m/>
    <m/>
    <s v="COCINA"/>
    <s v="PRODUCCION GRAL DE RECETAS, MANIPULACIÓN DE INGREDIENTES, DESPCACHO DE ALIMENTOS"/>
    <s v="TECNÓPOLIS"/>
    <s v="TECNOPOLIS"/>
    <s v="ARCE  NOEMI PATRICIA"/>
    <s v="DNI"/>
    <n v="18641336"/>
    <s v="27186413364"/>
    <d v="1967-12-20T00:00:00"/>
    <m/>
    <m/>
    <m/>
    <m/>
    <x v="0"/>
    <x v="0"/>
    <d v="2012-07-01T00:00:00"/>
    <m/>
    <d v="2016-12-31T00:00:00"/>
    <m/>
    <s v="UNTREF"/>
    <s v="UNTREF"/>
    <n v="9673.07"/>
  </r>
  <r>
    <s v="SFMyCP"/>
    <x v="0"/>
    <s v="SUBSEC CENTROS TEMATICOS Y EXP FEDERALES"/>
    <x v="1"/>
    <s v="PRODUCCIÓN"/>
    <m/>
    <m/>
    <m/>
    <s v="ADMINISTRATIVA"/>
    <m/>
    <s v="CCK - Alem 351"/>
    <s v="ARCIDIACONO SEBASTIAN"/>
    <s v="DNI"/>
    <n v="22533153"/>
    <s v="20225331538"/>
    <d v="1971-11-26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PRODUCCIÓN"/>
    <m/>
    <m/>
    <s v="Responsable"/>
    <m/>
    <s v="CCK"/>
    <m/>
    <s v="ARELLANO KARINA"/>
    <s v="DNI"/>
    <n v="20602318"/>
    <n v="27206023185"/>
    <m/>
    <m/>
    <m/>
    <m/>
    <m/>
    <x v="1"/>
    <x v="1"/>
    <d v="2011-06-01T00:00:00"/>
    <d v="2016-12-31T00:00:00"/>
    <d v="2016-12-31T00:00:00"/>
    <s v="A0"/>
    <m/>
    <m/>
    <n v="24523"/>
  </r>
  <r>
    <s v="SFMyCP"/>
    <x v="0"/>
    <m/>
    <x v="0"/>
    <s v="TELEVISION DIGITAL ABIERTA"/>
    <s v="CIARA"/>
    <m/>
    <s v="CONTENIDOS DIGITALES ABIERTOS CDA"/>
    <s v="ADMINISTRATIVO"/>
    <s v="CABILDO 65"/>
    <s v="CABILDO 65"/>
    <s v="ARGONDIZZO DANIEL"/>
    <s v="DNI"/>
    <n v="29599892"/>
    <s v="20295998920"/>
    <d v="1982-09-03T00:00:00"/>
    <m/>
    <m/>
    <m/>
    <m/>
    <x v="0"/>
    <x v="0"/>
    <d v="2015-08-01T00:00:00"/>
    <m/>
    <d v="2016-12-31T00:00:00"/>
    <m/>
    <s v="UNTREF"/>
    <s v="UNSAM- LADA"/>
    <n v="19353"/>
  </r>
  <r>
    <s v="SFMyCP"/>
    <x v="0"/>
    <m/>
    <x v="0"/>
    <s v="TELEVISION DIGITAL ABIERTA"/>
    <s v="CIARA"/>
    <m/>
    <s v="PRODUCCIÓN"/>
    <s v="PRODUCTOR de EXTERIORES"/>
    <s v="CABILDO 65"/>
    <s v="CABILDO 65"/>
    <s v="ARIAS CRISTIAN"/>
    <s v="DNI"/>
    <n v="32321098"/>
    <s v="20323210986"/>
    <d v="1986-05-10T00:00:00"/>
    <m/>
    <m/>
    <m/>
    <m/>
    <x v="0"/>
    <x v="0"/>
    <d v="2012-08-01T00:00:00"/>
    <m/>
    <d v="2016-12-31T00:00:00"/>
    <m/>
    <s v="UNTREF"/>
    <m/>
    <n v="18795"/>
  </r>
  <r>
    <s v="SFMyCP"/>
    <x v="0"/>
    <m/>
    <x v="0"/>
    <s v="TELEVISION DIGITAL ABIERTA"/>
    <s v="CIARA"/>
    <m/>
    <s v="TÉCNICA Y TRANSMISIÓN"/>
    <s v="ADMINISTRATIVO"/>
    <s v="CABILDO 65"/>
    <s v="CABILDO 65"/>
    <s v="ARICETA MARCELA"/>
    <s v="DNI"/>
    <n v="34801157"/>
    <s v="27348011575"/>
    <d v="1989-10-08T00:00:00"/>
    <m/>
    <m/>
    <m/>
    <m/>
    <x v="0"/>
    <x v="0"/>
    <d v="2013-03-01T00:00:00"/>
    <m/>
    <d v="2016-12-31T00:00:00"/>
    <m/>
    <s v="UNTREF"/>
    <s v="UNSAM- LADA"/>
    <n v="19353"/>
  </r>
  <r>
    <s v="SFMyCP"/>
    <x v="0"/>
    <m/>
    <x v="0"/>
    <s v="TELEVISION DIGITAL ABIERTA"/>
    <s v="CIARA"/>
    <m/>
    <s v="POSTPRODUCCIÓN"/>
    <s v="EDICION"/>
    <s v="CABILDO 65"/>
    <s v="CABILDO 65"/>
    <s v="ARRIAGA CRISTIAN"/>
    <s v="DNI"/>
    <n v="23700637"/>
    <s v="20237006373"/>
    <d v="1974-08-25T00:00:00"/>
    <m/>
    <m/>
    <m/>
    <m/>
    <x v="0"/>
    <x v="0"/>
    <d v="2012-03-01T00:00:00"/>
    <m/>
    <d v="2016-12-31T00:00:00"/>
    <m/>
    <s v="UNTREF"/>
    <m/>
    <n v="25252"/>
  </r>
  <r>
    <s v="SFMyCP"/>
    <x v="0"/>
    <m/>
    <x v="6"/>
    <s v="ARTES VISUALES"/>
    <m/>
    <m/>
    <m/>
    <s v="ADMINISTRATIVO"/>
    <m/>
    <s v="CCK - Alem 351"/>
    <s v="ARZUAGA ANDRES"/>
    <s v="DNI"/>
    <n v="31195953"/>
    <n v="20311959531"/>
    <d v="1984-11-01T00:00:00"/>
    <m/>
    <m/>
    <m/>
    <m/>
    <x v="0"/>
    <x v="0"/>
    <m/>
    <m/>
    <d v="2016-08-31T00:00:00"/>
    <m/>
    <s v="UNTREF"/>
    <m/>
    <m/>
  </r>
  <r>
    <s v="SFMyCP"/>
    <x v="0"/>
    <s v="SUBSEC CENTROS TEMATICOS Y EXP FEDERALES"/>
    <x v="3"/>
    <s v="INTENDENCIA- ACREDITACIONES"/>
    <m/>
    <m/>
    <m/>
    <m/>
    <s v="TECNÓPOLIS"/>
    <m/>
    <s v="ASTARITO María Florencia"/>
    <s v="DNI"/>
    <n v="34343723"/>
    <n v="23343437234"/>
    <m/>
    <m/>
    <m/>
    <m/>
    <m/>
    <x v="1"/>
    <x v="1"/>
    <d v="2012-07-01T00:00:00"/>
    <d v="2016-12-31T00:00:00"/>
    <d v="2016-12-31T00:00:00"/>
    <s v="D0"/>
    <m/>
    <m/>
    <n v="11410.59"/>
  </r>
  <r>
    <s v="SFMyCP"/>
    <x v="0"/>
    <m/>
    <x v="0"/>
    <s v="INV. AP. RECURSOS DIGITALES"/>
    <s v="CTRO INV PALPALA"/>
    <m/>
    <s v="ANIMACION"/>
    <s v="ANALISTA"/>
    <s v="PALPALÁ-JUJUY"/>
    <s v="PALPALÁ-JUJUY"/>
    <s v="AUCAPIÑA MATIAS ROBERTO"/>
    <s v="DNI"/>
    <n v="37460002"/>
    <n v="20374600029"/>
    <d v="1993-02-01T00:00:00"/>
    <m/>
    <m/>
    <m/>
    <m/>
    <x v="0"/>
    <x v="0"/>
    <d v="2015-09-01T00:00:00"/>
    <m/>
    <d v="2016-12-31T00:00:00"/>
    <m/>
    <s v="UNTREF"/>
    <s v="UNSAM"/>
    <n v="8000"/>
  </r>
  <r>
    <s v="SFMyCP"/>
    <x v="0"/>
    <s v="SUBSEC CENTROS TEMATICOS Y EXP FEDERALES"/>
    <x v="3"/>
    <s v="ARQUITECTURA Y OBRA"/>
    <m/>
    <m/>
    <m/>
    <m/>
    <s v="TECNÓPOLIS"/>
    <m/>
    <s v="AUED María Cecilia"/>
    <s v="DNI"/>
    <n v="21729750"/>
    <n v="27217297503"/>
    <m/>
    <m/>
    <m/>
    <m/>
    <m/>
    <x v="1"/>
    <x v="1"/>
    <d v="2012-11-30T00:00:00"/>
    <d v="2016-12-31T00:00:00"/>
    <d v="2016-12-31T00:00:00"/>
    <s v="C0"/>
    <m/>
    <m/>
    <n v="28237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AVALOS  JORGE RUBEN"/>
    <s v="DNI"/>
    <n v="13978790"/>
    <n v="20139787901"/>
    <d v="1957-06-25T00:00:00"/>
    <m/>
    <m/>
    <m/>
    <m/>
    <x v="0"/>
    <x v="2"/>
    <m/>
    <m/>
    <d v="2016-12-31T00:00:00"/>
    <m/>
    <s v="UNTREF"/>
    <s v="UNTREF"/>
    <n v="1700"/>
  </r>
  <r>
    <s v="SFMyCP"/>
    <x v="1"/>
    <m/>
    <x v="5"/>
    <m/>
    <m/>
    <m/>
    <m/>
    <m/>
    <m/>
    <m/>
    <s v="AVALOS MAIRA JAVMIN IARA"/>
    <s v="DNI"/>
    <n v="35146744"/>
    <n v="23351467444"/>
    <m/>
    <m/>
    <m/>
    <m/>
    <m/>
    <x v="1"/>
    <x v="1"/>
    <d v="2014-10-01T00:00:00"/>
    <m/>
    <d v="2016-12-31T00:00:00"/>
    <s v="D0"/>
    <m/>
    <m/>
    <m/>
  </r>
  <r>
    <s v="SFMyCP"/>
    <x v="0"/>
    <s v="SUBSEC CENTROS TEMATICOS Y EXP FEDERALES"/>
    <x v="1"/>
    <s v="INSTITUCIONALES"/>
    <s v="VISITAS GUIADAS"/>
    <m/>
    <m/>
    <s v="VISITAS GUIADAS"/>
    <m/>
    <s v="CCK - Alem 351"/>
    <s v="AVALOS MONICA"/>
    <s v="DNI"/>
    <n v="18858115"/>
    <n v="27188581159"/>
    <d v="1990-12-08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TELEVISION DIGITAL ABIERTA"/>
    <s v="PRESIDENCIA"/>
    <m/>
    <s v="POSTPRODUCCIÓN"/>
    <s v="ADMINISTRATIVO"/>
    <s v="CABILDO 65"/>
    <s v="CABILDO 65"/>
    <s v="AVRUJ FERNANDO"/>
    <s v="DNI"/>
    <n v="27952359"/>
    <s v="20279523599"/>
    <d v="1980-02-22T00:00:00"/>
    <m/>
    <m/>
    <m/>
    <m/>
    <x v="0"/>
    <x v="0"/>
    <d v="2011-09-01T00:00:00"/>
    <m/>
    <d v="2016-12-31T00:00:00"/>
    <m/>
    <s v="UNTREF"/>
    <m/>
    <n v="25252"/>
  </r>
  <r>
    <s v="SFMyCP"/>
    <x v="0"/>
    <s v="SUBSEC CENTROS TEMATICOS Y EXP FEDERALES"/>
    <x v="3"/>
    <s v="OPERATIVA"/>
    <m/>
    <m/>
    <m/>
    <m/>
    <s v="TECNÓPOLIS"/>
    <m/>
    <s v="AZUAGA BAEZ Lucian Beder"/>
    <s v="DNI"/>
    <n v="35238261"/>
    <n v="20352382613"/>
    <m/>
    <m/>
    <m/>
    <m/>
    <m/>
    <x v="1"/>
    <x v="1"/>
    <d v="2013-05-01T00:00:00"/>
    <d v="2016-03-31T00:00:00"/>
    <d v="2016-12-31T00:00:00"/>
    <s v="C0"/>
    <m/>
    <m/>
    <n v="17074"/>
  </r>
  <r>
    <s v="SFMyCP"/>
    <x v="0"/>
    <m/>
    <x v="0"/>
    <s v="TELEVISION DIGITAL ABIERTA"/>
    <s v="CIARA"/>
    <m/>
    <s v="PROMOCIONES"/>
    <s v="ADMINISTRATIVO"/>
    <s v="CABILDO 65"/>
    <s v="CABILDO 65"/>
    <s v="AZZAM ANA"/>
    <s v="DNI"/>
    <n v="26239126"/>
    <s v="23262391264"/>
    <d v="1977-09-24T00:00:00"/>
    <m/>
    <m/>
    <m/>
    <m/>
    <x v="0"/>
    <x v="0"/>
    <d v="2013-11-11T00:00:00"/>
    <m/>
    <d v="2016-12-31T00:00:00"/>
    <m/>
    <s v="UNTREF"/>
    <s v="UNSAM- LADA"/>
    <n v="19041"/>
  </r>
  <r>
    <s v="SFMyCP"/>
    <x v="1"/>
    <m/>
    <x v="5"/>
    <s v="PLANIF  Y ADM DE REC HUMANOS"/>
    <s v="S. GENERALES - AUTOMOTORES"/>
    <s v="AUTOMOTORES"/>
    <s v="CHOFER"/>
    <m/>
    <m/>
    <m/>
    <s v="AZZOLINI MARCELO"/>
    <s v="DNI"/>
    <n v="28511778"/>
    <n v="20285117780"/>
    <m/>
    <m/>
    <m/>
    <m/>
    <m/>
    <x v="1"/>
    <x v="1"/>
    <d v="2014-12-01T00:00:00"/>
    <d v="2016-03-31T00:00:00"/>
    <d v="2016-12-31T00:00:00"/>
    <s v="D0"/>
    <m/>
    <m/>
    <n v="10190"/>
  </r>
  <r>
    <s v="SFMyCP"/>
    <x v="0"/>
    <s v="SUBSEC CENTROS TEMATICOS Y EXP FEDERALES"/>
    <x v="3"/>
    <s v="INTENDENCIA - TALLERES"/>
    <m/>
    <m/>
    <m/>
    <s v="MANTENIMIENTO INTERNO"/>
    <s v="TECNÓPOLIS"/>
    <s v="TECNOPOLIS"/>
    <s v="BAEZ  ANGEL"/>
    <s v="DNI"/>
    <n v="11692335"/>
    <s v="20116923352"/>
    <d v="1955-08-02T00:00:00"/>
    <m/>
    <m/>
    <m/>
    <m/>
    <x v="0"/>
    <x v="0"/>
    <d v="2013-10-01T00:00:00"/>
    <m/>
    <d v="2016-12-31T00:00:00"/>
    <m/>
    <s v="UNTREF"/>
    <s v="UNTREF"/>
    <n v="12143.3"/>
  </r>
  <r>
    <s v="SFMyCP"/>
    <x v="0"/>
    <s v="SUBSEC CENTROS TEMATICOS Y EXP FEDERALES"/>
    <x v="1"/>
    <s v="DIRECCION DE GESTION EDILICIA"/>
    <s v="OPERATIVA Y LOGISTICA"/>
    <s v="LOGISTICA OPERATIVA"/>
    <s v="Asistente"/>
    <s v="OPERATIVA Y LOGISTICA"/>
    <s v="CCK"/>
    <s v="CCK - Alem 351"/>
    <s v="BAEZ ESTEBAN"/>
    <s v="DNI"/>
    <n v="30020464"/>
    <s v="20300204644"/>
    <d v="1983-03-06T00:00:00"/>
    <m/>
    <m/>
    <m/>
    <m/>
    <x v="0"/>
    <x v="0"/>
    <d v="2015-06-10T00:00:00"/>
    <m/>
    <d v="2016-12-31T00:00:00"/>
    <m/>
    <s v="UNTREF"/>
    <s v="UNTREF"/>
    <n v="12000"/>
  </r>
  <r>
    <s v="SFMyCP"/>
    <x v="0"/>
    <s v="SUBSEC CENTROS TEMATICOS Y EXP FEDERALES"/>
    <x v="3"/>
    <s v="INTENDENCIA - LIMPIEZA"/>
    <m/>
    <m/>
    <m/>
    <s v="ENCARGADO DE LIMPIEZA"/>
    <s v="TECNÓPOLIS"/>
    <s v="TECNOPOLIS"/>
    <s v="BALBUENA  DIEGO DANIE"/>
    <s v="DNI"/>
    <n v="26674300"/>
    <s v="23266743009"/>
    <d v="1978-07-03T00:00:00"/>
    <m/>
    <m/>
    <m/>
    <m/>
    <x v="0"/>
    <x v="0"/>
    <d v="2014-06-01T00:00:00"/>
    <m/>
    <d v="2016-12-31T00:00:00"/>
    <m/>
    <s v="UNTREF"/>
    <s v="UNTREF"/>
    <n v="9995.51"/>
  </r>
  <r>
    <s v="SFMyCP"/>
    <x v="0"/>
    <s v="SUBSEC CENTROS TEMATICOS Y EXP FEDERALES"/>
    <x v="1"/>
    <s v="DIRECCION DE GESTION EDILICIA"/>
    <s v="MANTENIMIENTO"/>
    <s v="LOGISTICA OPERATIVA"/>
    <s v="Tecnomecánica"/>
    <s v="Tecnomecánica"/>
    <s v="CCK"/>
    <s v="CCK - Alem 351"/>
    <s v="BALCAZAR JORGE DANIEL"/>
    <s v="DNI"/>
    <n v="37900747"/>
    <s v="20379007474"/>
    <d v="1994-11-17T00:00:00"/>
    <m/>
    <m/>
    <m/>
    <m/>
    <x v="0"/>
    <x v="0"/>
    <d v="2015-06-01T00:00:00"/>
    <m/>
    <d v="2016-12-31T00:00:00"/>
    <m/>
    <s v="UNTREF"/>
    <s v="UNLAM- BICENTENARIO"/>
    <n v="10166"/>
  </r>
  <r>
    <s v="SFMyCP"/>
    <x v="0"/>
    <s v="SUBSEC CENTROS TEMATICOS Y EXP FEDERALES"/>
    <x v="3"/>
    <s v="ADMINISTRACION- RECEPCION"/>
    <m/>
    <m/>
    <s v="RECEPCIONISTA"/>
    <s v="RECEPCION IBC"/>
    <s v="TECNÓPOLIS"/>
    <m/>
    <s v="BALDASSARRE Luz María "/>
    <s v="DNI"/>
    <n v="17999601"/>
    <n v="23179996014"/>
    <m/>
    <m/>
    <m/>
    <m/>
    <m/>
    <x v="1"/>
    <x v="1"/>
    <d v="2013-04-30T00:00:00"/>
    <d v="2016-03-31T00:00:00"/>
    <d v="2016-12-31T00:00:00"/>
    <s v="B3"/>
    <m/>
    <m/>
    <n v="20839.14"/>
  </r>
  <r>
    <s v="SFMyCP"/>
    <x v="0"/>
    <m/>
    <x v="4"/>
    <m/>
    <m/>
    <m/>
    <s v="PRIVADA"/>
    <s v="ADMINISTRATIVO"/>
    <m/>
    <s v="CCK - Alem 351"/>
    <s v="BALDIOLI CLAUIDA ALEJANDRA"/>
    <s v="DNI"/>
    <n v="17787833"/>
    <n v="27177878338"/>
    <d v="1966-11-22T00:00:00"/>
    <m/>
    <m/>
    <m/>
    <m/>
    <x v="0"/>
    <x v="0"/>
    <d v="2016-01-01T00:00:00"/>
    <m/>
    <d v="2016-12-31T00:00:00"/>
    <m/>
    <s v="UNTREF"/>
    <m/>
    <n v="25000"/>
  </r>
  <r>
    <s v="SFMyCP"/>
    <x v="0"/>
    <s v="SUBSEC CENTROS TEMATICOS Y EXP FEDERALES"/>
    <x v="3"/>
    <s v="GASTRONOMIA"/>
    <m/>
    <m/>
    <s v="COCINA"/>
    <s v="PRODUCCION GRAL DE RECETAS, MANIPULACIÓN DE INGREDIENTES, DESPCACHO DE ALIMENTOS"/>
    <s v="TECNÓPOLIS"/>
    <s v="TECNOPOLIS"/>
    <s v="BALDUCCI  ANALÍA"/>
    <s v="DNI"/>
    <n v="24290240"/>
    <s v="27242902403"/>
    <d v="1975-01-17T00:00:00"/>
    <m/>
    <m/>
    <m/>
    <m/>
    <x v="0"/>
    <x v="0"/>
    <d v="2012-02-01T00:00:00"/>
    <m/>
    <d v="2016-12-31T00:00:00"/>
    <m/>
    <s v="UNTREF"/>
    <s v="UNTREF"/>
    <n v="11449.4"/>
  </r>
  <r>
    <s v="SFMyCP"/>
    <x v="1"/>
    <m/>
    <x v="5"/>
    <s v="MESA DE ENTRADA"/>
    <m/>
    <m/>
    <s v="Asistente"/>
    <s v="ADMINISTRATIVO"/>
    <s v="CCK"/>
    <s v="CCK - Alem 351"/>
    <s v="BALMACEDA NAYLA "/>
    <s v="DNI"/>
    <n v="31832610"/>
    <s v="27318326105"/>
    <d v="1985-08-01T00:00:00"/>
    <m/>
    <m/>
    <m/>
    <m/>
    <x v="0"/>
    <x v="0"/>
    <d v="2015-07-01T00:00:00"/>
    <m/>
    <d v="2016-12-31T00:00:00"/>
    <m/>
    <s v="UNTREF"/>
    <s v="UNLAM -TDA"/>
    <n v="11721"/>
  </r>
  <r>
    <s v="SFMyCP"/>
    <x v="1"/>
    <m/>
    <x v="2"/>
    <m/>
    <m/>
    <m/>
    <s v="PRIVADA"/>
    <s v="ADMINISTRATIVO"/>
    <m/>
    <s v="CCK - Alem 351"/>
    <s v="BALSAMO, RICARDO"/>
    <s v="DNI"/>
    <n v="13501717"/>
    <s v="20135017176"/>
    <d v="1957-05-22T00:00:00"/>
    <m/>
    <m/>
    <m/>
    <m/>
    <x v="0"/>
    <x v="0"/>
    <d v="2016-01-01T00:00:00"/>
    <m/>
    <d v="2016-12-31T00:00:00"/>
    <m/>
    <s v="UNTREF"/>
    <s v="UNSAM"/>
    <n v="17000"/>
  </r>
  <r>
    <s v="SFMyCP"/>
    <x v="1"/>
    <m/>
    <x v="5"/>
    <s v="INFORMATICA Y SISTEMAS"/>
    <m/>
    <m/>
    <s v="CCK"/>
    <m/>
    <m/>
    <m/>
    <s v="BARBIERI MAXIMILIANO"/>
    <s v="DNI"/>
    <n v="33787058"/>
    <n v="23337870589"/>
    <m/>
    <m/>
    <m/>
    <m/>
    <m/>
    <x v="1"/>
    <x v="1"/>
    <d v="2013-12-01T00:00:00"/>
    <m/>
    <d v="2016-12-31T00:00:00"/>
    <s v="C0"/>
    <m/>
    <m/>
    <n v="11730"/>
  </r>
  <r>
    <s v="SFMyCP"/>
    <x v="0"/>
    <s v="SUBSEC CENTROS TEMATICOS Y EXP FEDERALES"/>
    <x v="3"/>
    <s v="OPERATIVA"/>
    <m/>
    <m/>
    <m/>
    <m/>
    <s v="TECNÓPOLIS"/>
    <m/>
    <s v="BAREIRO Carla Maribel"/>
    <s v="DNI"/>
    <n v="30513038"/>
    <n v="27305130384"/>
    <m/>
    <m/>
    <m/>
    <m/>
    <m/>
    <x v="1"/>
    <x v="1"/>
    <d v="2011-07-01T00:00:00"/>
    <d v="2016-12-31T00:00:00"/>
    <d v="2016-12-31T00:00:00"/>
    <s v="D1"/>
    <m/>
    <m/>
    <n v="13896"/>
  </r>
  <r>
    <s v="SFMyCP"/>
    <x v="1"/>
    <m/>
    <x v="2"/>
    <m/>
    <m/>
    <m/>
    <s v="PRIVADA"/>
    <s v="ADMINISTRATIVO"/>
    <m/>
    <s v="CCK - Alem 351"/>
    <s v="BARELA, LILIANA"/>
    <s v="DNI"/>
    <n v="6439250"/>
    <n v="27064392501"/>
    <d v="1950-07-19T00:00:00"/>
    <m/>
    <m/>
    <m/>
    <m/>
    <x v="0"/>
    <x v="0"/>
    <d v="2016-01-01T00:00:00"/>
    <m/>
    <d v="2016-12-31T00:00:00"/>
    <m/>
    <s v="UNTREF"/>
    <s v="UNSAM"/>
    <n v="27000"/>
  </r>
  <r>
    <s v="SFMyCP"/>
    <x v="0"/>
    <s v="SUBSEC CENTROS TEMATICOS Y EXP FEDERALES"/>
    <x v="3"/>
    <s v="ARQUITECTURA Y OBRA"/>
    <m/>
    <m/>
    <m/>
    <s v="SUPERVISION DE REDES DE AGUA/ATENCION DEL RESERVORIO"/>
    <s v="TECNÓPOLIS"/>
    <s v="TECNOPOLIS"/>
    <s v="BAROLI  DANIEL RUBEN"/>
    <s v="DNI"/>
    <n v="11330261"/>
    <n v="20113302616"/>
    <d v="1954-10-13T00:00:00"/>
    <m/>
    <m/>
    <m/>
    <m/>
    <x v="0"/>
    <x v="0"/>
    <d v="2012-04-01T00:00:00"/>
    <m/>
    <d v="2016-12-31T00:00:00"/>
    <m/>
    <s v="UNTREF"/>
    <s v="UNTREF"/>
    <n v="26021.360000000001"/>
  </r>
  <r>
    <s v="SFMyCP"/>
    <x v="0"/>
    <s v="SUBSEC CENTROS TEMATICOS Y EXP FEDERALES"/>
    <x v="3"/>
    <s v="TECNICA"/>
    <m/>
    <m/>
    <m/>
    <m/>
    <s v="TECNÓPOLIS"/>
    <m/>
    <s v="BARRAGAN Ricardo"/>
    <s v="DNI"/>
    <n v="18114083"/>
    <n v="20181140837"/>
    <m/>
    <m/>
    <m/>
    <m/>
    <m/>
    <x v="1"/>
    <x v="1"/>
    <d v="2013-02-01T00:00:00"/>
    <d v="2016-03-31T00:00:00"/>
    <d v="2016-12-31T00:00:00"/>
    <s v="C0"/>
    <m/>
    <m/>
    <n v="29784"/>
  </r>
  <r>
    <s v="SFMyCP"/>
    <x v="0"/>
    <s v="SUBSEC CENTROS TEMATICOS Y EXP FEDERALES"/>
    <x v="3"/>
    <s v="INTENDENCIA- MANTENIMIENTO"/>
    <m/>
    <m/>
    <m/>
    <s v="TRASLADOS/CARGA Y DESCARGA"/>
    <s v="TECNÓPOLIS"/>
    <s v="TECNOPOLIS"/>
    <s v="BARRAZA MARCELO"/>
    <s v="DNI"/>
    <n v="34334182"/>
    <s v="20343341823"/>
    <d v="1989-03-12T00:00:00"/>
    <m/>
    <m/>
    <m/>
    <m/>
    <x v="0"/>
    <x v="0"/>
    <d v="2013-09-01T00:00:00"/>
    <m/>
    <d v="2016-12-31T00:00:00"/>
    <m/>
    <s v="UNTREF"/>
    <s v="UNTREF"/>
    <n v="9995.51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BARRIONUEVO MARIA MARTA"/>
    <s v="DNI"/>
    <n v="29229482"/>
    <n v="23292294824"/>
    <d v="1982-03-01T00:00:00"/>
    <m/>
    <m/>
    <m/>
    <m/>
    <x v="0"/>
    <x v="2"/>
    <m/>
    <m/>
    <d v="2016-12-31T00:00:00"/>
    <m/>
    <s v="UNTREF"/>
    <s v="UNTREF"/>
    <n v="1700"/>
  </r>
  <r>
    <s v="SFMyCP"/>
    <x v="0"/>
    <s v="SUBSEC CENTROS TEMATICOS Y EXP FEDERALES"/>
    <x v="3"/>
    <s v="INTENDENCIA - MESA DE AYUDA"/>
    <m/>
    <m/>
    <m/>
    <m/>
    <s v="TECNÓPOLIS"/>
    <m/>
    <s v="BARRIONUEVO Ricardo Javier"/>
    <s v="DNI"/>
    <n v="31257034"/>
    <n v="20312570344"/>
    <m/>
    <m/>
    <m/>
    <m/>
    <m/>
    <x v="1"/>
    <x v="1"/>
    <d v="2011-06-01T00:00:00"/>
    <d v="2016-12-31T00:00:00"/>
    <d v="2016-12-31T00:00:00"/>
    <s v="C0"/>
    <m/>
    <m/>
    <n v="21162"/>
  </r>
  <r>
    <s v="SFMyCP"/>
    <x v="0"/>
    <s v="SUBSEC CENTROS TEMATICOS Y EXP FEDERALES"/>
    <x v="1"/>
    <s v="PRODUCCIÓN"/>
    <m/>
    <m/>
    <s v="PRIVADA"/>
    <s v="ADMINISTRATIVA"/>
    <s v="CCK"/>
    <s v="CCK - Alem 351"/>
    <s v="BARROZO, KARINA ISABEL"/>
    <s v="DNI"/>
    <n v="21710251"/>
    <s v="27217102516"/>
    <d v="1970-06-21T00:00:00"/>
    <m/>
    <m/>
    <m/>
    <m/>
    <x v="0"/>
    <x v="0"/>
    <d v="2016-02-01T00:00:00"/>
    <m/>
    <d v="2016-12-31T00:00:00"/>
    <m/>
    <s v="UNTREF"/>
    <s v="UNSAM"/>
    <n v="11500"/>
  </r>
  <r>
    <s v="SFMyCP"/>
    <x v="0"/>
    <m/>
    <x v="0"/>
    <s v="TELEVISION DIGITAL ABIERTA"/>
    <s v="CIARA"/>
    <m/>
    <s v="ACUA MAYOR"/>
    <s v="ADMINISTRATIVO"/>
    <s v="CABILDO 65"/>
    <s v="CABILDO 65"/>
    <s v="BARTOLOMÉ PAULA"/>
    <s v="DNI"/>
    <n v="22849417"/>
    <s v="27228494173"/>
    <d v="1972-08-30T00:00:00"/>
    <m/>
    <m/>
    <m/>
    <m/>
    <x v="0"/>
    <x v="0"/>
    <d v="2011-03-11T00:00:00"/>
    <m/>
    <d v="2016-12-31T00:00:00"/>
    <m/>
    <s v="UNTREF"/>
    <s v="UNSAM- LADA"/>
    <n v="22151"/>
  </r>
  <r>
    <s v="SFMyCP"/>
    <x v="0"/>
    <m/>
    <x v="6"/>
    <s v="ARTES VISUALES"/>
    <m/>
    <m/>
    <m/>
    <m/>
    <m/>
    <m/>
    <s v="PRESUTTI JEREMIAS"/>
    <s v="DNI"/>
    <m/>
    <m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CARRERA LUCIA"/>
    <s v="DNI"/>
    <n v="33362851"/>
    <n v="27333628517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ARONA BARBARA"/>
    <s v="DNI"/>
    <n v="37869364"/>
    <n v="27378693646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BACIGALUPO SOFIA"/>
    <s v="DNI"/>
    <n v="36947998"/>
    <n v="27369479984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BARBONI CONSTANZA"/>
    <s v="DNI"/>
    <n v="38011494"/>
    <n v="27380114947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LOS MELINA VIVIANA"/>
    <s v="DNI"/>
    <n v="34332288"/>
    <n v="27343322882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BEY PRISCILA"/>
    <s v="DNI"/>
    <n v="36785043"/>
    <n v="36785043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MARTINEZ YAIR"/>
    <s v="DNI"/>
    <n v="33623466"/>
    <n v="33623466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DIAMENT DENISE GISELLE"/>
    <s v="DNI"/>
    <n v="34021830"/>
    <n v="27340218308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CASAÑA PABLO MARTIN"/>
    <s v="DNI"/>
    <n v="18833698"/>
    <n v="20188336982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VAZQUEZ AGUSTINA"/>
    <s v="DNI"/>
    <n v="36529503"/>
    <n v="23365295034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BENAVIDES SOL"/>
    <s v="DNI"/>
    <n v="39098292"/>
    <n v="39098292"/>
    <m/>
    <m/>
    <m/>
    <m/>
    <m/>
    <x v="0"/>
    <x v="0"/>
    <d v="2016-08-01T00:00:00"/>
    <m/>
    <d v="2016-12-31T00:00:00"/>
    <m/>
    <m/>
    <m/>
    <m/>
  </r>
  <r>
    <s v="SFMyCP"/>
    <x v="0"/>
    <m/>
    <x v="6"/>
    <s v="ARTES VISUALES"/>
    <m/>
    <m/>
    <m/>
    <m/>
    <m/>
    <m/>
    <s v="BATTISTOZZI ANA"/>
    <s v="DNI"/>
    <n v="1826888"/>
    <n v="23018268884"/>
    <m/>
    <m/>
    <m/>
    <m/>
    <m/>
    <x v="2"/>
    <x v="0"/>
    <d v="2016-07-01T00:00:00"/>
    <m/>
    <d v="2016-09-30T00:00:00"/>
    <m/>
    <s v="UNTREF"/>
    <m/>
    <m/>
  </r>
  <r>
    <s v="SFMyCP"/>
    <x v="0"/>
    <s v="SUBSEC CENTROS TEMATICOS Y EXP FEDERALES"/>
    <x v="3"/>
    <s v="COOPERATIVAS"/>
    <m/>
    <m/>
    <s v="Tareas Generales"/>
    <s v="Tareas Generales"/>
    <m/>
    <m/>
    <s v="BAZAN MARCELA ADRIANA"/>
    <s v="DNI"/>
    <n v="24671609"/>
    <m/>
    <m/>
    <m/>
    <m/>
    <m/>
    <m/>
    <x v="2"/>
    <x v="2"/>
    <m/>
    <m/>
    <d v="2016-12-31T00:00:00"/>
    <m/>
    <m/>
    <m/>
    <m/>
  </r>
  <r>
    <s v="SFMyCP"/>
    <x v="0"/>
    <s v="SUBSEC CENTROS TEMATICOS Y EXP FEDERALES"/>
    <x v="7"/>
    <m/>
    <m/>
    <m/>
    <s v="PRIVADA"/>
    <s v="ADMINISTRATIVO"/>
    <m/>
    <s v="CCK - Alem 351"/>
    <s v="BEDINI HERNANDEZ LUCILA"/>
    <s v="DNI"/>
    <n v="32771136"/>
    <n v="27327711364"/>
    <d v="1986-10-28T00:00:00"/>
    <m/>
    <m/>
    <m/>
    <m/>
    <x v="0"/>
    <x v="0"/>
    <d v="2016-05-01T00:00:00"/>
    <m/>
    <d v="2016-12-31T00:00:00"/>
    <m/>
    <s v="UNTREF"/>
    <m/>
    <m/>
  </r>
  <r>
    <s v="SFMyCP"/>
    <x v="1"/>
    <m/>
    <x v="5"/>
    <s v="JURIDICOS"/>
    <m/>
    <m/>
    <m/>
    <s v="Asistencia Juridica"/>
    <s v="CCK"/>
    <s v="CCK - Alem 351"/>
    <s v="BEHN FABRIZIO"/>
    <s v="DNI"/>
    <n v="34253913"/>
    <s v="20342539131"/>
    <d v="1988-12-02T00:00:00"/>
    <m/>
    <m/>
    <m/>
    <m/>
    <x v="0"/>
    <x v="0"/>
    <d v="2013-08-12T00:00:00"/>
    <m/>
    <d v="2016-12-31T00:00:00"/>
    <m/>
    <s v="UNTREF"/>
    <s v="UNLAM- TDA"/>
    <n v="9479"/>
  </r>
  <r>
    <s v="SFMyCP"/>
    <x v="0"/>
    <s v="SUBSEC CENTROS TEMATICOS Y EXP FEDERALES"/>
    <x v="1"/>
    <s v="PRODUCCIÓN"/>
    <m/>
    <m/>
    <s v="Productora"/>
    <m/>
    <s v="CCK"/>
    <m/>
    <s v="BELTRAME ÉNOLA"/>
    <s v="DNI"/>
    <n v="29315234"/>
    <n v="27293152344"/>
    <m/>
    <m/>
    <m/>
    <m/>
    <m/>
    <x v="1"/>
    <x v="1"/>
    <d v="2015-08-01T00:00:00"/>
    <d v="2016-03-31T00:00:00"/>
    <d v="2016-12-31T00:00:00"/>
    <s v="C0"/>
    <m/>
    <m/>
    <n v="12003"/>
  </r>
  <r>
    <s v="SFMyCP"/>
    <x v="0"/>
    <s v="SUBSEC CENTROS TEMATICOS Y EXP FEDERALES"/>
    <x v="3"/>
    <m/>
    <m/>
    <m/>
    <m/>
    <s v="MANTENIMIENTO DE ESPACIOS VERDES"/>
    <m/>
    <s v="TECNOPOLIS"/>
    <s v="BELTRAN LEONARDO ANTONIO"/>
    <s v="DNI"/>
    <n v="37686108"/>
    <s v="20376861083"/>
    <d v="1991-01-31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m/>
    <s v="CONTENIDOS DIGITALES ABIERTOS CDA"/>
    <s v="ADMINISTRATIVO"/>
    <s v="CABILDO 65"/>
    <s v="CABILDO 65"/>
    <s v="BENANTAR FAYÇAL"/>
    <s v="DNI"/>
    <n v="32244163"/>
    <s v="20322441631"/>
    <d v="1986-02-21T00:00:00"/>
    <m/>
    <m/>
    <m/>
    <m/>
    <x v="0"/>
    <x v="0"/>
    <d v="2012-05-01T00:00:00"/>
    <m/>
    <d v="2016-12-31T00:00:00"/>
    <m/>
    <s v="UNTREF"/>
    <s v="UNSAM- LADA"/>
    <n v="29420"/>
  </r>
  <r>
    <s v="SFMyCP"/>
    <x v="0"/>
    <s v="SUBSEC CENTROS TEMATICOS Y EXP FEDERALES"/>
    <x v="1"/>
    <s v="AUDIOVISUALES"/>
    <m/>
    <m/>
    <m/>
    <m/>
    <s v="CCK"/>
    <s v="CCK - Alem 351"/>
    <s v="BENAVIDEZ CORDOBA Lucas Belisario A."/>
    <s v="DNI"/>
    <n v="29146267"/>
    <n v="20291462678"/>
    <m/>
    <m/>
    <m/>
    <m/>
    <m/>
    <x v="1"/>
    <x v="1"/>
    <d v="2012-06-01T00:00:00"/>
    <d v="2016-12-31T00:00:00"/>
    <d v="2016-12-31T00:00:00"/>
    <s v="C0"/>
    <m/>
    <m/>
    <n v="21133.05"/>
  </r>
  <r>
    <s v="SFMyCP"/>
    <x v="1"/>
    <m/>
    <x v="2"/>
    <m/>
    <m/>
    <m/>
    <s v="PRIVADA"/>
    <s v="ADMINISTRATIVO"/>
    <m/>
    <s v="CCK - Alem 351"/>
    <s v="BENEDETTI, RICARDO"/>
    <s v="DNI"/>
    <n v="17944793"/>
    <n v="20179447939"/>
    <d v="1966-09-05T00:00:00"/>
    <m/>
    <m/>
    <m/>
    <m/>
    <x v="0"/>
    <x v="0"/>
    <d v="2016-01-01T00:00:00"/>
    <m/>
    <d v="2016-12-31T00:00:00"/>
    <m/>
    <s v="UNTREF"/>
    <s v="UNSAM"/>
    <n v="12275"/>
  </r>
  <r>
    <s v="SFMyCP"/>
    <x v="0"/>
    <s v="SUBSEC CENTROS TEMATICOS Y EXP FEDERALES"/>
    <x v="1"/>
    <s v="INSTITUCIONALES"/>
    <m/>
    <m/>
    <s v="asistente funcional"/>
    <s v="asistente funcional"/>
    <s v="CCK"/>
    <s v="CCK - Alem 351"/>
    <s v="BENGOLEA, MARTIN HERNAN"/>
    <s v="DNI"/>
    <n v="32143655"/>
    <n v="20321436553"/>
    <d v="1986-03-01T00:00:00"/>
    <m/>
    <m/>
    <m/>
    <m/>
    <x v="0"/>
    <x v="0"/>
    <d v="2015-08-01T00:00:00"/>
    <m/>
    <d v="2016-12-31T00:00:00"/>
    <m/>
    <s v="UNTREF"/>
    <s v="UNLAM- BICENTENARIO"/>
    <n v="10478"/>
  </r>
  <r>
    <s v="SFMyCP"/>
    <x v="0"/>
    <s v="SUBSEC CENTROS TEMATICOS Y EXP FEDERALES"/>
    <x v="3"/>
    <s v="INTENDENCIA - TALLERES"/>
    <m/>
    <m/>
    <m/>
    <s v="TRABAJO DE COSTURA A MAQUINA/CORTADOR"/>
    <s v="TECNÓPOLIS"/>
    <s v="TECNOPOLIS"/>
    <s v="BENITEZ  FELIX SATURNINO"/>
    <s v="DNI"/>
    <n v="17283320"/>
    <s v="23172833209"/>
    <d v="1964-10-28T00:00:00"/>
    <m/>
    <m/>
    <m/>
    <m/>
    <x v="0"/>
    <x v="0"/>
    <d v="2014-07-01T00:00:00"/>
    <m/>
    <d v="2016-12-31T00:00:00"/>
    <m/>
    <s v="UNTREF"/>
    <s v="UNTREF"/>
    <n v="11449.4"/>
  </r>
  <r>
    <s v="SFMyCP"/>
    <x v="0"/>
    <s v="SUBSEC CENTROS TEMATICOS Y EXP FEDERALES"/>
    <x v="3"/>
    <s v="INTENDENCIA - LIMPIEZA"/>
    <m/>
    <m/>
    <m/>
    <s v="COORDINADOR GENERAL DE LIMPIEZA"/>
    <s v="TECNÓPOLIS"/>
    <s v="TECNOPOLIS"/>
    <s v="BENITEZ  JULIO CESAR"/>
    <s v="DNI"/>
    <n v="22694967"/>
    <s v="20226949675"/>
    <d v="1972-07-08T00:00:00"/>
    <m/>
    <m/>
    <m/>
    <m/>
    <x v="0"/>
    <x v="0"/>
    <d v="2012-02-01T00:00:00"/>
    <m/>
    <d v="2016-12-31T00:00:00"/>
    <m/>
    <s v="UNTREF"/>
    <s v="UNTREF"/>
    <n v="18735.38"/>
  </r>
  <r>
    <s v="SFMyCP"/>
    <x v="1"/>
    <m/>
    <x v="5"/>
    <s v="MESA DE ENTRADA"/>
    <m/>
    <m/>
    <s v="Asistente"/>
    <s v="ADMINISTRATIVO"/>
    <s v="CCK"/>
    <s v="CCK - Alem 351"/>
    <s v="BENITEZ STRAKA ORLANDO"/>
    <s v="DNI"/>
    <n v="33794129"/>
    <s v="20337941290"/>
    <d v="1988-08-02T00:00:00"/>
    <m/>
    <m/>
    <m/>
    <m/>
    <x v="0"/>
    <x v="0"/>
    <d v="2015-03-03T00:00:00"/>
    <m/>
    <d v="2016-12-31T00:00:00"/>
    <m/>
    <s v="UNTREF"/>
    <s v="UNLAM -TDA"/>
    <n v="17105"/>
  </r>
  <r>
    <s v="SFMyCP"/>
    <x v="0"/>
    <m/>
    <x v="0"/>
    <m/>
    <m/>
    <m/>
    <s v="PRIVADA"/>
    <s v="ADMINISTRATIVO"/>
    <m/>
    <s v="CCK - Alem 351"/>
    <s v="BERDINI MARIA ANGELICA"/>
    <s v="DNI"/>
    <n v="16447164"/>
    <s v="27164471646"/>
    <d v="1964-01-03T00:00:00"/>
    <m/>
    <m/>
    <m/>
    <m/>
    <x v="0"/>
    <x v="0"/>
    <d v="2016-04-01T00:00:00"/>
    <m/>
    <d v="2016-12-31T00:00:00"/>
    <m/>
    <s v="UNTREF"/>
    <m/>
    <n v="24000"/>
  </r>
  <r>
    <s v="SFMyCP"/>
    <x v="0"/>
    <s v="SUBSEC CENTROS TEMATICOS Y EXP FEDERALES"/>
    <x v="1"/>
    <s v="PRODUCCIÓN"/>
    <m/>
    <m/>
    <m/>
    <s v="ADMINISTRATIVA"/>
    <m/>
    <s v="CCK - Alem 351"/>
    <s v="BERDYSZAK CLAUDIA ELENA"/>
    <s v="DNI"/>
    <n v="12759584"/>
    <n v="23127595844"/>
    <d v="1959-02-13T00:00:00"/>
    <m/>
    <m/>
    <m/>
    <m/>
    <x v="0"/>
    <x v="0"/>
    <d v="2016-04-01T00:00:00"/>
    <m/>
    <d v="2016-12-31T00:00:00"/>
    <m/>
    <s v="UNTREF"/>
    <m/>
    <s v="."/>
  </r>
  <r>
    <s v="SFMyCP"/>
    <x v="0"/>
    <m/>
    <x v="0"/>
    <s v="TELEVISION DIGITAL ABIERTA"/>
    <s v="CIARA"/>
    <m/>
    <s v="ACUA FEDERAL"/>
    <s v="ADMINISTRATIVO"/>
    <s v="CABILDO 65"/>
    <s v="CABILDO 65"/>
    <s v="BERENGUA LUCIANO"/>
    <s v="DNI"/>
    <n v="33219975"/>
    <s v="20332199758"/>
    <d v="1987-11-17T00:00:00"/>
    <m/>
    <m/>
    <m/>
    <m/>
    <x v="0"/>
    <x v="0"/>
    <d v="2014-09-08T00:00:00"/>
    <m/>
    <d v="2016-12-31T00:00:00"/>
    <m/>
    <s v="UNTREF"/>
    <s v="UNSAM- LADA"/>
    <n v="21056"/>
  </r>
  <r>
    <s v="SFMyCP"/>
    <x v="0"/>
    <s v="SUBSEC CENTROS TEMATICOS Y EXP FEDERALES"/>
    <x v="3"/>
    <s v="GASTRONOMIA"/>
    <m/>
    <m/>
    <s v="COCINA"/>
    <m/>
    <s v="TECNÓPOLIS"/>
    <m/>
    <s v="BERMUDEZ CORTEZ Ariel Felipe"/>
    <s v="DNI"/>
    <n v="95120832"/>
    <n v="23951208329"/>
    <m/>
    <m/>
    <m/>
    <m/>
    <m/>
    <x v="1"/>
    <x v="1"/>
    <d v="2013-04-01T00:00:00"/>
    <d v="2016-03-31T00:00:00"/>
    <d v="2016-12-31T00:00:00"/>
    <s v="C1"/>
    <m/>
    <m/>
    <n v="22409"/>
  </r>
  <r>
    <s v="SFMyCP"/>
    <x v="0"/>
    <m/>
    <x v="0"/>
    <s v="TELEVISION DIGITAL ABIERTA"/>
    <s v="CIARA"/>
    <m/>
    <s v="PROGRAMA POLOS AUDIOVISUALES TECNOLÓGICOS"/>
    <m/>
    <s v="CABILDO 65"/>
    <m/>
    <s v="BERNARDO MARIA MURIEL"/>
    <s v="DNI"/>
    <n v="23328471"/>
    <n v="27233284713"/>
    <m/>
    <m/>
    <m/>
    <m/>
    <m/>
    <x v="1"/>
    <x v="1"/>
    <d v="2013-12-01T00:00:00"/>
    <d v="2016-03-31T00:00:00"/>
    <d v="2016-12-31T00:00:00"/>
    <s v="B1"/>
    <m/>
    <m/>
    <n v="20266"/>
  </r>
  <r>
    <s v="SFMyCP"/>
    <x v="0"/>
    <m/>
    <x v="0"/>
    <s v="TELEVISION DIGITAL ABIERTA"/>
    <s v="CIARA"/>
    <m/>
    <s v="PANORAMA ARGENTINO"/>
    <m/>
    <s v="CABILDO 65"/>
    <m/>
    <s v="BERSUSKY DIEGO MARTIN"/>
    <s v="DNI"/>
    <n v="27026871"/>
    <n v="20270268715"/>
    <m/>
    <m/>
    <m/>
    <m/>
    <m/>
    <x v="1"/>
    <x v="1"/>
    <d v="2012-12-01T00:00:00"/>
    <d v="2016-12-31T00:00:00"/>
    <d v="2016-12-31T00:00:00"/>
    <s v="B1"/>
    <m/>
    <m/>
    <n v="17505"/>
  </r>
  <r>
    <s v="SFMyCP"/>
    <x v="0"/>
    <s v="SUBSEC CENTROS TEMATICOS Y EXP FEDERALES"/>
    <x v="1"/>
    <s v="INSTITUCIONALES"/>
    <m/>
    <m/>
    <m/>
    <m/>
    <m/>
    <m/>
    <s v="BERTERRE LETICIA"/>
    <s v="DNI"/>
    <n v="29699158"/>
    <n v="27296991584"/>
    <m/>
    <m/>
    <m/>
    <m/>
    <m/>
    <x v="1"/>
    <x v="1"/>
    <d v="2010-07-19T00:00:00"/>
    <d v="2016-12-31T00:00:00"/>
    <d v="2016-12-31T00:00:00"/>
    <s v="C1"/>
    <m/>
    <m/>
    <n v="11730"/>
  </r>
  <r>
    <s v="SFMyCP"/>
    <x v="0"/>
    <m/>
    <x v="0"/>
    <s v="TELEVISION DIGITAL ABIERTA"/>
    <s v="CIARA"/>
    <m/>
    <s v="PROGRAMA POLOS AUDIOVISUALES TECNOLÓGICOS"/>
    <s v="ADMINISTRATIVO"/>
    <s v="CABILDO 65"/>
    <s v="CABILDO 65"/>
    <s v="BESSE YESSICA"/>
    <s v="DNI"/>
    <n v="32498204"/>
    <s v="27324982049"/>
    <d v="1986-08-05T00:00:00"/>
    <m/>
    <m/>
    <m/>
    <m/>
    <x v="0"/>
    <x v="0"/>
    <d v="2015-02-12T00:00:00"/>
    <m/>
    <d v="2016-12-31T00:00:00"/>
    <m/>
    <s v="UNTREF"/>
    <s v="UNSAM- LADA"/>
    <n v="15933"/>
  </r>
  <r>
    <s v="SFMyCP"/>
    <x v="0"/>
    <s v="SUBSEC CENTROS TEMATICOS Y EXP FEDERALES"/>
    <x v="1"/>
    <s v="INSTITUCIONALES"/>
    <s v="VISITAS GUIADAS"/>
    <m/>
    <m/>
    <s v="VISITAS GUIADAS"/>
    <m/>
    <s v="CCK - Alem 351"/>
    <s v="BETELLA MARITA TERESITA"/>
    <s v="DNI"/>
    <n v="40149217"/>
    <n v="27401492173"/>
    <d v="1997-01-15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1"/>
    <s v="DIRECCION DE GESTION EDILICIA"/>
    <s v="ESPACIOS FISICOS"/>
    <m/>
    <m/>
    <m/>
    <s v="CCK"/>
    <m/>
    <s v="BEURET GUSTAVO"/>
    <s v="DNI"/>
    <n v="27841036"/>
    <n v="20278410367"/>
    <m/>
    <m/>
    <m/>
    <m/>
    <m/>
    <x v="1"/>
    <x v="1"/>
    <d v="2010-08-02T00:00:00"/>
    <d v="2016-12-31T00:00:00"/>
    <d v="2016-12-31T00:00:00"/>
    <s v="C1"/>
    <m/>
    <m/>
    <n v="13500"/>
  </r>
  <r>
    <s v="SFMyCP"/>
    <x v="0"/>
    <m/>
    <x v="8"/>
    <s v="COMUNICACIÓN"/>
    <m/>
    <m/>
    <m/>
    <s v="ADMINISTRATIVO"/>
    <m/>
    <s v="CCK - Alem 351"/>
    <s v="BIAUS IBARBORDE MARIA VIRGINIA"/>
    <s v="DNI"/>
    <n v="31464790"/>
    <n v="23314647904"/>
    <d v="1985-02-13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OPERATIVA"/>
    <m/>
    <m/>
    <m/>
    <m/>
    <s v="TECNÓPOLIS"/>
    <m/>
    <s v="BIELE Carlos David"/>
    <s v="DNI"/>
    <n v="32094923"/>
    <n v="20320949239"/>
    <m/>
    <m/>
    <m/>
    <m/>
    <m/>
    <x v="1"/>
    <x v="1"/>
    <d v="2011-07-01T00:00:00"/>
    <d v="2016-12-31T00:00:00"/>
    <d v="2016-12-31T00:00:00"/>
    <s v="D0"/>
    <m/>
    <m/>
    <n v="13240.15"/>
  </r>
  <r>
    <s v="SFMyCP"/>
    <x v="0"/>
    <m/>
    <x v="0"/>
    <s v="TELEVISION DIGITAL ABIERTA"/>
    <s v="CIARA"/>
    <m/>
    <s v="COORDINACION"/>
    <m/>
    <s v="CABILDO 65"/>
    <m/>
    <s v="BILLONI AHUMADA NAHUEL ANIBAL"/>
    <s v="DNI"/>
    <n v="31407283"/>
    <n v="23314072839"/>
    <m/>
    <m/>
    <m/>
    <m/>
    <m/>
    <x v="1"/>
    <x v="1"/>
    <d v="2012-12-01T00:00:00"/>
    <d v="2016-12-31T00:00:00"/>
    <d v="2016-12-31T00:00:00"/>
    <s v="A0"/>
    <m/>
    <m/>
    <n v="25093"/>
  </r>
  <r>
    <s v="SFMyCP"/>
    <x v="0"/>
    <s v="SUBSEC CENTROS TEMATICOS Y EXP FEDERALES"/>
    <x v="1"/>
    <s v="DIRECCION DE GESTION EDILICIA"/>
    <s v="SERVICIOS GENERALES"/>
    <s v="ACCESO ALEM"/>
    <s v="Asistente"/>
    <s v="Asistente"/>
    <s v="CCK"/>
    <s v="CCK - Alem 351"/>
    <s v="BIONDO PAULA"/>
    <s v="DNI"/>
    <n v="37376814"/>
    <s v="27373768141"/>
    <d v="1993-03-29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s v="SUBSEC CENTROS TEMATICOS Y EXP FEDERALES"/>
    <x v="3"/>
    <s v="TECNICA"/>
    <m/>
    <m/>
    <m/>
    <s v="OPERACIÓN/MONTAJE/MANTENIMIENTO"/>
    <s v="TECNÓPOLIS"/>
    <s v="TECNOPOLIS"/>
    <s v="BLANCO ALEJANDRO RAMON"/>
    <s v="DNI"/>
    <n v="27766980"/>
    <s v="20277669804"/>
    <d v="1980-02-22T00:00:00"/>
    <m/>
    <m/>
    <m/>
    <m/>
    <x v="0"/>
    <x v="0"/>
    <d v="2013-04-01T00:00:00"/>
    <m/>
    <d v="2016-12-31T00:00:00"/>
    <m/>
    <s v="UNTREF"/>
    <s v="UNTREF"/>
    <n v="20907.810000000001"/>
  </r>
  <r>
    <s v="SFMyCP"/>
    <x v="0"/>
    <m/>
    <x v="0"/>
    <s v="TELEVISION DIGITAL ABIERTA"/>
    <s v="CIARA"/>
    <m/>
    <s v="POSTPRODUCCIÓN"/>
    <s v="EDICION"/>
    <s v="CABILDO 65"/>
    <s v="CABILDO 65"/>
    <s v="BOASS DIEGO"/>
    <s v="DNI"/>
    <n v="30219051"/>
    <s v="20302190519"/>
    <d v="1983-03-16T00:00:00"/>
    <m/>
    <m/>
    <m/>
    <m/>
    <x v="0"/>
    <x v="0"/>
    <d v="2013-11-01T00:00:00"/>
    <m/>
    <d v="2016-12-31T00:00:00"/>
    <m/>
    <s v="UNTREF"/>
    <m/>
    <n v="24060"/>
  </r>
  <r>
    <s v="SFMyCP"/>
    <x v="0"/>
    <s v="SUBSEC CENTROS TEMATICOS Y EXP FEDERALES"/>
    <x v="7"/>
    <m/>
    <m/>
    <m/>
    <s v="PRIVADA"/>
    <s v="ADMINISTRATIVO"/>
    <m/>
    <s v="CCK - Alem 351"/>
    <s v="BOAZZO GASTON LEONEL"/>
    <s v="DNI"/>
    <n v="23799726"/>
    <n v="20237997264"/>
    <d v="1974-08-25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TELEVISION DIGITAL ABIERTA"/>
    <s v="CIARA"/>
    <m/>
    <s v="ACUA MAYOR"/>
    <s v="ADMINISTRATIVO"/>
    <s v="CABILDO 65"/>
    <s v="CABILDO 65"/>
    <s v="BOBILLO GABRIEL"/>
    <s v="DNI"/>
    <n v="23102518"/>
    <s v="23231025189"/>
    <d v="1973-01-12T00:00:00"/>
    <m/>
    <m/>
    <m/>
    <m/>
    <x v="0"/>
    <x v="0"/>
    <d v="2012-03-19T00:00:00"/>
    <m/>
    <d v="2016-12-31T00:00:00"/>
    <m/>
    <s v="UNTREF"/>
    <s v="UNSAM- LADA"/>
    <n v="21056"/>
  </r>
  <r>
    <s v="SFMyCP"/>
    <x v="0"/>
    <s v="SUBSEC CENTROS TEMATICOS Y EXP FEDERALES"/>
    <x v="7"/>
    <m/>
    <m/>
    <m/>
    <s v="Asistente"/>
    <s v="Asistente"/>
    <s v="CCK"/>
    <s v="CCK - Alem 351"/>
    <s v="BOCCI FIORELLA"/>
    <s v="DNI"/>
    <n v="37752815"/>
    <s v="27377528153"/>
    <d v="1993-05-31T00:00:00"/>
    <m/>
    <m/>
    <m/>
    <m/>
    <x v="0"/>
    <x v="0"/>
    <d v="2014-11-12T00:00:00"/>
    <m/>
    <d v="2016-12-31T00:00:00"/>
    <m/>
    <s v="UNTREF"/>
    <s v="UNLAM- DGA"/>
    <n v="10187"/>
  </r>
  <r>
    <s v="SFMyCP"/>
    <x v="0"/>
    <s v="SUBSEC CENTROS TEMATICOS Y EXP FEDERALES"/>
    <x v="3"/>
    <s v="TECNICA"/>
    <m/>
    <m/>
    <m/>
    <m/>
    <s v="TECNÓPOLIS"/>
    <m/>
    <s v="BONANNI Héctor Daniel"/>
    <s v="DNI"/>
    <n v="31271654"/>
    <n v="20312716543"/>
    <m/>
    <m/>
    <m/>
    <m/>
    <m/>
    <x v="1"/>
    <x v="1"/>
    <d v="2013-02-01T00:00:00"/>
    <d v="2016-03-31T00:00:00"/>
    <d v="2016-12-31T00:00:00"/>
    <s v="C0"/>
    <m/>
    <m/>
    <n v="21266"/>
  </r>
  <r>
    <s v="SFMyCP"/>
    <x v="0"/>
    <s v="SUBSEC CENTROS TEMATICOS Y EXP FEDERALES"/>
    <x v="1"/>
    <s v="DIRECCION DE GESTION EDILICIA"/>
    <s v="SERVICIOS GENERALES"/>
    <m/>
    <m/>
    <m/>
    <m/>
    <m/>
    <s v="BONATO LUCAS GASTON"/>
    <s v="DNI"/>
    <n v="26927767"/>
    <m/>
    <m/>
    <m/>
    <m/>
    <m/>
    <m/>
    <x v="2"/>
    <x v="1"/>
    <m/>
    <m/>
    <d v="2016-12-31T00:00:00"/>
    <s v="C1"/>
    <m/>
    <m/>
    <m/>
  </r>
  <r>
    <s v="SFMyCP"/>
    <x v="0"/>
    <m/>
    <x v="0"/>
    <s v="TELEVISION DIGITAL ABIERTA"/>
    <s v="CIARA"/>
    <m/>
    <s v="PRODUCCIÓN"/>
    <s v="PRODUCTOR de EXTERIORES"/>
    <s v="CABILDO 65"/>
    <s v="CABILDO 65"/>
    <s v="BONAVERA RENDO SANTIAGO"/>
    <s v="DNI"/>
    <n v="28643869"/>
    <s v="20286438696"/>
    <d v="1981-01-12T00:00:00"/>
    <m/>
    <m/>
    <m/>
    <m/>
    <x v="0"/>
    <x v="0"/>
    <d v="2015-02-02T00:00:00"/>
    <m/>
    <d v="2016-12-31T00:00:00"/>
    <m/>
    <s v="UNTREF"/>
    <s v="UNSAM- LADA"/>
    <n v="20498"/>
  </r>
  <r>
    <s v="SFMyCP"/>
    <x v="0"/>
    <s v="SUBSEC CENTROS TEMATICOS Y EXP FEDERALES"/>
    <x v="7"/>
    <m/>
    <m/>
    <m/>
    <s v="PRIVADA"/>
    <s v="ADMINISTRATIVO"/>
    <m/>
    <s v="CCK - Alem 351"/>
    <s v="BORELLI, AVELINO OSCAR"/>
    <s v="DNI"/>
    <n v="17673078"/>
    <n v="20176730782"/>
    <d v="1966-02-28T00:00:00"/>
    <m/>
    <m/>
    <m/>
    <m/>
    <x v="0"/>
    <x v="0"/>
    <d v="2016-01-01T00:00:00"/>
    <m/>
    <d v="2016-12-31T00:00:00"/>
    <m/>
    <s v="UNTREF"/>
    <s v="UNSAM"/>
    <n v="35000"/>
  </r>
  <r>
    <s v="SFMyCP"/>
    <x v="0"/>
    <s v="SUBSEC CENTROS TEMATICOS Y EXP FEDERALES"/>
    <x v="3"/>
    <s v="INTENDENCIA - TALLERES"/>
    <m/>
    <m/>
    <m/>
    <s v="ATENCIÓN DE MOSTRADOR"/>
    <s v="TECNÓPOLIS"/>
    <s v="TECNOPOLIS"/>
    <s v="BORGET JUAN MARTIN"/>
    <s v="DNI"/>
    <n v="35360874"/>
    <s v="20353608747"/>
    <d v="1990-12-23T00:00:00"/>
    <m/>
    <m/>
    <m/>
    <m/>
    <x v="0"/>
    <x v="0"/>
    <d v="2013-07-01T00:00:00"/>
    <m/>
    <d v="2016-12-31T00:00:00"/>
    <m/>
    <s v="UNTREF"/>
    <s v="UNTREF"/>
    <n v="9995.51"/>
  </r>
  <r>
    <s v="SFMyCP"/>
    <x v="0"/>
    <s v="SUBSEC CENTROS TEMATICOS Y EXP FEDERALES"/>
    <x v="3"/>
    <s v="INTENDENCIA -MESA DE AYUDA"/>
    <m/>
    <m/>
    <m/>
    <s v="ADMINISTRACION,DSTRIBUCION Y SEGUIMIENTO DE TAREAS/ORGANIZACIÓN DEL AEREA MANTENIMIENTO"/>
    <s v="TECNÓPOLIS"/>
    <s v="TECNOPOLIS"/>
    <s v="BORREL MARIA JULIETA"/>
    <s v="DNI"/>
    <n v="34423729"/>
    <s v="27344237293"/>
    <d v="1989-08-05T00:00:00"/>
    <m/>
    <m/>
    <m/>
    <m/>
    <x v="0"/>
    <x v="0"/>
    <d v="2015-07-01T00:00:00"/>
    <m/>
    <d v="2016-12-31T00:00:00"/>
    <m/>
    <s v="UNTREF"/>
    <s v="UNTREF"/>
    <n v="9500"/>
  </r>
  <r>
    <s v="SFMyCP"/>
    <x v="0"/>
    <m/>
    <x v="0"/>
    <s v="TELEVISION DIGITAL ABIERTA"/>
    <s v="CIARA"/>
    <m/>
    <s v="ACUA FEDERAL"/>
    <s v="ADMINISTRATIVO"/>
    <s v="CABILDO 65"/>
    <s v="CABILDO 65"/>
    <s v="BOTTAZZI MARIA"/>
    <s v="DNI"/>
    <n v="30925290"/>
    <s v="27309252905"/>
    <d v="1984-04-21T00:00:00"/>
    <m/>
    <m/>
    <m/>
    <m/>
    <x v="0"/>
    <x v="0"/>
    <d v="2013-05-01T00:00:00"/>
    <m/>
    <d v="2016-12-31T00:00:00"/>
    <m/>
    <s v="UNTREF"/>
    <s v="UNSAM- LADA"/>
    <n v="19353"/>
  </r>
  <r>
    <s v="SFMyCP"/>
    <x v="0"/>
    <m/>
    <x v="0"/>
    <s v="TELEVISION DIGITAL ABIERTA"/>
    <s v="CIARA"/>
    <m/>
    <s v="PRODUCCIÓN"/>
    <s v="PRODUCTOR de EXTERIORES"/>
    <s v="CABILDO 65"/>
    <s v="CABILDO 65"/>
    <s v="BOUZON ARIANA"/>
    <s v="DNI"/>
    <n v="30833891"/>
    <s v="27308338911"/>
    <d v="1983-12-09T00:00:00"/>
    <m/>
    <m/>
    <m/>
    <m/>
    <x v="0"/>
    <x v="0"/>
    <d v="2015-02-02T00:00:00"/>
    <m/>
    <d v="2016-12-31T00:00:00"/>
    <m/>
    <s v="UNTREF"/>
    <s v="UNSAM- LADA"/>
    <n v="16465"/>
  </r>
  <r>
    <s v="SFMyCP"/>
    <x v="1"/>
    <m/>
    <x v="5"/>
    <s v="PLANIF  Y ADM DE REC HUMANOS"/>
    <s v="MEDICINA DEL TRABAJO"/>
    <m/>
    <s v="DOCTOR"/>
    <s v="ADMINISTRATIVO"/>
    <m/>
    <s v="CCK - Alem 351"/>
    <s v="BRADLEY GUILLERMO"/>
    <s v="DNI"/>
    <n v="10966721"/>
    <n v="20109667219"/>
    <d v="1954-11-30T00:00:00"/>
    <m/>
    <m/>
    <m/>
    <m/>
    <x v="0"/>
    <x v="0"/>
    <d v="2016-07-14T00:00:00"/>
    <m/>
    <d v="2016-12-31T00:00:00"/>
    <m/>
    <s v="UNTREF"/>
    <m/>
    <m/>
  </r>
  <r>
    <s v="SFMyCP"/>
    <x v="0"/>
    <s v="SUBSEC CENTROS TEMATICOS Y EXP FEDERALES"/>
    <x v="1"/>
    <s v="INSTITUCIONALES"/>
    <m/>
    <m/>
    <s v="SECRETARIA"/>
    <s v="ASISTENTE"/>
    <s v="CCK"/>
    <s v="CCK - Alem 351"/>
    <s v="BRAHIN MARIANELLA"/>
    <s v="DNI"/>
    <n v="35452327"/>
    <s v="27354523278"/>
    <d v="1990-11-30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m/>
    <x v="0"/>
    <s v="TELEVISION DIGITAL ABIERTA"/>
    <s v="CIARA"/>
    <m/>
    <s v="PROMOCIONES"/>
    <s v="ADMINISTRATIVO"/>
    <s v="CABILDO 65"/>
    <s v="CABILDO 65"/>
    <s v="BRAUDE SEBASTIAN"/>
    <s v="DNI"/>
    <n v="29250290"/>
    <n v="20292502909"/>
    <d v="1982-01-07T00:00:00"/>
    <m/>
    <m/>
    <m/>
    <m/>
    <x v="0"/>
    <x v="0"/>
    <d v="2015-04-01T00:00:00"/>
    <m/>
    <d v="2016-12-31T00:00:00"/>
    <m/>
    <s v="UNTREF"/>
    <s v="UNSAM- LADA"/>
    <n v="15234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BRAVO  MARCELO"/>
    <s v="DNI"/>
    <n v="24320153"/>
    <s v="20243201536"/>
    <d v="1975-02-01T00:00:00"/>
    <m/>
    <m/>
    <m/>
    <m/>
    <x v="0"/>
    <x v="0"/>
    <d v="2011-07-01T00:00:00"/>
    <m/>
    <d v="2016-12-31T00:00:00"/>
    <m/>
    <s v="UNTREF"/>
    <s v="UNTREF"/>
    <n v="11449.4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BRITEZ  GUSTAVO"/>
    <s v="DNI"/>
    <n v="28710766"/>
    <s v="20287107669"/>
    <d v="1981-03-03T00:00:00"/>
    <m/>
    <m/>
    <m/>
    <m/>
    <x v="0"/>
    <x v="0"/>
    <d v="2011-07-01T00:00:00"/>
    <m/>
    <d v="2016-12-31T00:00:00"/>
    <m/>
    <s v="UNTREF"/>
    <s v="UNTREF"/>
    <n v="11449.4"/>
  </r>
  <r>
    <s v="SFMyCP"/>
    <x v="1"/>
    <m/>
    <x v="5"/>
    <s v="COMPRAS Y CONTRATACIONES"/>
    <m/>
    <m/>
    <s v="Analista"/>
    <m/>
    <s v="CCK"/>
    <m/>
    <s v="BRUNO ANALIA"/>
    <s v="DNI"/>
    <n v="27930015"/>
    <n v="27279300152"/>
    <m/>
    <m/>
    <m/>
    <m/>
    <m/>
    <x v="1"/>
    <x v="1"/>
    <d v="2011-07-18T00:00:00"/>
    <d v="2016-12-31T00:00:00"/>
    <d v="2016-12-31T00:00:00"/>
    <s v="B1"/>
    <m/>
    <m/>
    <n v="20266"/>
  </r>
  <r>
    <s v="SFMyCP"/>
    <x v="0"/>
    <s v="SUBSEC CENTROS TEMATICOS Y EXP FEDERALES"/>
    <x v="1"/>
    <s v="INSTITUCIONALES"/>
    <m/>
    <m/>
    <s v="Administrativo"/>
    <m/>
    <s v="CCK"/>
    <m/>
    <s v="BRUNO SABRINA ALEJANDRA"/>
    <s v="DNI"/>
    <n v="28936423"/>
    <n v="23289364234"/>
    <m/>
    <m/>
    <m/>
    <m/>
    <m/>
    <x v="1"/>
    <x v="1"/>
    <d v="2013-03-04T00:00:00"/>
    <d v="2016-03-31T00:00:00"/>
    <d v="2016-12-31T00:00:00"/>
    <s v="B0"/>
    <m/>
    <m/>
    <n v="22590"/>
  </r>
  <r>
    <s v="SFMyCP"/>
    <x v="0"/>
    <s v="SUBSEC CENTROS TEMATICOS Y EXP FEDERALES"/>
    <x v="3"/>
    <s v="INTENDENCIA- MANTENIMIENTO"/>
    <m/>
    <m/>
    <m/>
    <m/>
    <s v="TECNÓPOLIS"/>
    <m/>
    <s v="BRUZZONI Ariel Esteban"/>
    <s v="DNI"/>
    <n v="33841323"/>
    <n v="20338413239"/>
    <m/>
    <m/>
    <m/>
    <m/>
    <m/>
    <x v="1"/>
    <x v="1"/>
    <d v="2012-04-01T00:00:00"/>
    <d v="2016-12-31T00:00:00"/>
    <d v="2016-12-31T00:00:00"/>
    <s v="C0"/>
    <m/>
    <m/>
    <n v="13084.78"/>
  </r>
  <r>
    <s v="SFMyCP"/>
    <x v="0"/>
    <s v="SUBSEC CENTROS TEMATICOS Y EXP FEDERALES"/>
    <x v="3"/>
    <s v="INTENDENCIA- PARQUIZACION"/>
    <m/>
    <m/>
    <m/>
    <s v="SUPERVISOR DE PARQUIZACIÓN"/>
    <s v="TECNÓPOLIS"/>
    <s v="TECNOPOLIS"/>
    <s v="BUGLIO  EMILIANO CRUZ"/>
    <s v="DNI"/>
    <n v="30832626"/>
    <s v="20308326269"/>
    <d v="1984-05-07T00:00:00"/>
    <m/>
    <m/>
    <m/>
    <m/>
    <x v="0"/>
    <x v="0"/>
    <d v="2013-06-01T00:00:00"/>
    <m/>
    <d v="2016-12-31T00:00:00"/>
    <m/>
    <s v="UNTREF"/>
    <s v="UNTREF"/>
    <n v="16168.13"/>
  </r>
  <r>
    <s v="SFMyCP"/>
    <x v="0"/>
    <m/>
    <x v="0"/>
    <s v="TELEVISION DIGITAL ABIERTA"/>
    <s v="CIARA"/>
    <m/>
    <s v="CONTENIDOS DIGITALES ABIERTOS CDA"/>
    <s v="ADMINISTRATIVO"/>
    <s v="CABILDO 65"/>
    <s v="CABILDO 65"/>
    <s v="BUNSOW GUSTAVO"/>
    <s v="DNI"/>
    <n v="27000237"/>
    <s v="20270002375"/>
    <d v="1978-11-07T00:00:00"/>
    <m/>
    <m/>
    <m/>
    <m/>
    <x v="0"/>
    <x v="0"/>
    <d v="2012-06-01T00:00:00"/>
    <m/>
    <d v="2016-12-31T00:00:00"/>
    <m/>
    <s v="UNTREF"/>
    <s v="UNSAM- LADA"/>
    <n v="32782"/>
  </r>
  <r>
    <s v="SFMyCP"/>
    <x v="1"/>
    <m/>
    <x v="5"/>
    <s v="JURIDICOS"/>
    <m/>
    <m/>
    <m/>
    <m/>
    <s v="CCK"/>
    <m/>
    <s v="BUONOCORE NATALIA"/>
    <s v="DNI"/>
    <n v="31343795"/>
    <n v="27313437952"/>
    <m/>
    <m/>
    <m/>
    <m/>
    <m/>
    <x v="1"/>
    <x v="1"/>
    <d v="2011-07-18T00:00:00"/>
    <d v="2016-12-31T00:00:00"/>
    <d v="2016-12-31T00:00:00"/>
    <s v="B1"/>
    <m/>
    <m/>
    <n v="19096"/>
  </r>
  <r>
    <s v="SFMyCP"/>
    <x v="0"/>
    <s v="SUBSEC CENTROS TEMATICOS Y EXP FEDERALES"/>
    <x v="3"/>
    <s v="INTENDENCIA - LIMPIEZA"/>
    <m/>
    <m/>
    <m/>
    <s v="ENCARGADO DE LIMPIEZA"/>
    <s v="TECNÓPOLIS"/>
    <s v="TECNOPOLIS"/>
    <s v="BURLATO ROSA ANGELA"/>
    <s v="DNI"/>
    <n v="23284659"/>
    <s v="27232846599"/>
    <d v="1972-12-09T00:00:00"/>
    <m/>
    <m/>
    <m/>
    <m/>
    <x v="0"/>
    <x v="0"/>
    <d v="2014-07-01T00:00:00"/>
    <m/>
    <d v="2016-12-31T00:00:00"/>
    <m/>
    <s v="UNTREF"/>
    <s v="UNTREF"/>
    <n v="12245.32"/>
  </r>
  <r>
    <s v="SFMyCP"/>
    <x v="0"/>
    <m/>
    <x v="0"/>
    <s v="TELEVISION DIGITAL ABIERTA"/>
    <s v="CIARA"/>
    <m/>
    <s v="CONTENIDOS DIGITALES ABIERTOS CDA"/>
    <s v="ADMINISTRATIVO"/>
    <s v="CABILDO 65"/>
    <s v="CABILDO 65"/>
    <s v="BURSZTYN ANDRES"/>
    <s v="DNI"/>
    <n v="34137132"/>
    <s v="20341371326"/>
    <d v="1988-09-22T00:00:00"/>
    <m/>
    <m/>
    <m/>
    <m/>
    <x v="0"/>
    <x v="0"/>
    <d v="2013-02-01T00:00:00"/>
    <m/>
    <d v="2016-12-31T00:00:00"/>
    <m/>
    <s v="UNTREF"/>
    <s v="UNSAM- LADA"/>
    <n v="17849"/>
  </r>
  <r>
    <s v="SFMyCP"/>
    <x v="0"/>
    <m/>
    <x v="0"/>
    <s v="TELEVISION DIGITAL ABIERTA"/>
    <s v="CIARA"/>
    <m/>
    <s v="BACUA"/>
    <s v="ADMINISTRATIVO"/>
    <s v="CABILDO 65"/>
    <s v="CABILDO 65"/>
    <s v="BUSSOLA FLORENCIA"/>
    <s v="DNI"/>
    <n v="30401842"/>
    <s v="27304018424"/>
    <d v="1983-07-14T00:00:00"/>
    <m/>
    <m/>
    <m/>
    <m/>
    <x v="0"/>
    <x v="0"/>
    <d v="2012-04-23T00:00:00"/>
    <m/>
    <d v="2016-12-31T00:00:00"/>
    <m/>
    <s v="UNTREF"/>
    <s v="UNSAM- LADA"/>
    <n v="17146"/>
  </r>
  <r>
    <s v="SFMyCP"/>
    <x v="0"/>
    <s v="SUBSEC CENTROS TEMATICOS Y EXP FEDERALES"/>
    <x v="3"/>
    <s v="ARQUITECTURA Y OBRA"/>
    <m/>
    <m/>
    <m/>
    <s v="SUPERVISION DE REDES DE AGUA Y CLOACAS"/>
    <s v="TECNÓPOLIS"/>
    <s v="TECNOPOLIS"/>
    <s v="BUSTOS  JORGE JONATHAN"/>
    <s v="DNI"/>
    <n v="36294092"/>
    <s v="20362940924"/>
    <d v="1991-07-03T00:00:00"/>
    <m/>
    <m/>
    <m/>
    <m/>
    <x v="0"/>
    <x v="0"/>
    <m/>
    <m/>
    <d v="2016-12-31T00:00:00"/>
    <m/>
    <s v="UNTREF"/>
    <s v="UNTREF"/>
    <n v="10540.72"/>
  </r>
  <r>
    <s v="SFMyCP"/>
    <x v="0"/>
    <m/>
    <x v="0"/>
    <s v="TELEVISION DIGITAL ABIERTA"/>
    <s v="CIARA"/>
    <m/>
    <s v="TÉCNICA Y TRANSMISIÓN"/>
    <s v="ADMINISTRATIVO"/>
    <s v="CABILDO 65"/>
    <s v="CABILDO 65"/>
    <s v="BUSTOS CIUCOLI FERNANDA"/>
    <s v="DNI"/>
    <n v="32604139"/>
    <s v="23326041394"/>
    <d v="1986-08-30T00:00:00"/>
    <m/>
    <m/>
    <m/>
    <m/>
    <x v="0"/>
    <x v="0"/>
    <d v="2013-05-01T00:00:00"/>
    <m/>
    <d v="2016-12-31T00:00:00"/>
    <m/>
    <s v="UNTREF"/>
    <s v="UNSAM- LADA"/>
    <n v="19353"/>
  </r>
  <r>
    <s v="SFMyCP"/>
    <x v="0"/>
    <s v="SUBSEC CENTROS TEMATICOS Y EXP FEDERALES"/>
    <x v="3"/>
    <s v="ARQUITECTURA Y OBRA"/>
    <m/>
    <m/>
    <m/>
    <m/>
    <s v="TECNÓPOLIS"/>
    <m/>
    <s v="BUSTOS Lucas Matías"/>
    <s v="DNI"/>
    <n v="32555604"/>
    <n v="20325556049"/>
    <m/>
    <m/>
    <m/>
    <m/>
    <m/>
    <x v="1"/>
    <x v="1"/>
    <d v="2013-04-01T00:00:00"/>
    <d v="2016-03-31T00:00:00"/>
    <d v="2016-12-31T00:00:00"/>
    <s v="C0"/>
    <m/>
    <m/>
    <n v="21271"/>
  </r>
  <r>
    <s v="SFMyCP"/>
    <x v="0"/>
    <s v="SUBSEC CENTROS TEMATICOS Y EXP FEDERALES"/>
    <x v="3"/>
    <s v="COOPERATIVAS"/>
    <m/>
    <m/>
    <s v="Tareas Generales"/>
    <s v="TAREAS EN GENERAL PAÑOL"/>
    <s v="TECNÓPOLIS"/>
    <m/>
    <s v="BUSTOS VIVIANA"/>
    <s v="DNI"/>
    <n v="17862197"/>
    <n v="27178621977"/>
    <m/>
    <m/>
    <m/>
    <m/>
    <m/>
    <x v="0"/>
    <x v="2"/>
    <d v="2014-06-01T00:00:00"/>
    <m/>
    <d v="2016-12-31T00:00:00"/>
    <m/>
    <s v="UNTREF"/>
    <s v="UNTREF"/>
    <n v="1700"/>
  </r>
  <r>
    <s v="SFMyCP"/>
    <x v="0"/>
    <s v="SUBSEC CENTROS TEMATICOS Y EXP FEDERALES"/>
    <x v="1"/>
    <s v="COMUNICACIÓN"/>
    <s v="PRENSA"/>
    <m/>
    <m/>
    <s v="VISITAS GUIADAS"/>
    <m/>
    <s v="CCK - Alem 351"/>
    <s v="CABALLERO CACERES JUANMANUELA"/>
    <s v="DNI"/>
    <n v="35567267"/>
    <n v="27355672676"/>
    <d v="1991-04-24T00:00:00"/>
    <m/>
    <m/>
    <m/>
    <m/>
    <x v="0"/>
    <x v="0"/>
    <d v="2016-05-01T00:00:00"/>
    <m/>
    <d v="2016-12-31T00:00:00"/>
    <m/>
    <s v="UNTREF"/>
    <m/>
    <m/>
  </r>
  <r>
    <s v="SFMyCP"/>
    <x v="1"/>
    <m/>
    <x v="5"/>
    <s v="COMPRAS Y CONTRATACIONES"/>
    <m/>
    <m/>
    <m/>
    <s v="ADMINISTRATIVO"/>
    <m/>
    <s v="CCK - Alem 351"/>
    <s v="CABEZA ALMIRON LUCIANO"/>
    <s v="DNI"/>
    <n v="34258772"/>
    <n v="20342587721"/>
    <d v="1988-10-13T00:00:00"/>
    <m/>
    <m/>
    <m/>
    <m/>
    <x v="0"/>
    <x v="0"/>
    <d v="2016-04-01T00:00:00"/>
    <m/>
    <d v="2016-12-31T00:00:00"/>
    <m/>
    <s v="UNTREF"/>
    <m/>
    <m/>
  </r>
  <r>
    <s v="SFMyCP"/>
    <x v="0"/>
    <m/>
    <x v="0"/>
    <s v="TELEVISION DIGITAL ABIERTA"/>
    <s v="CIARA"/>
    <m/>
    <s v="COMISION DE SEGUIMIENTO"/>
    <s v="ADMINISTRATIVO"/>
    <s v="CABILDO 65"/>
    <s v="CABILDO 65"/>
    <s v="CABRAL JUAN"/>
    <s v="DNI"/>
    <n v="11566265"/>
    <s v="20115662652"/>
    <d v="1955-03-21T00:00:00"/>
    <m/>
    <m/>
    <m/>
    <m/>
    <x v="0"/>
    <x v="0"/>
    <d v="2012-05-01T00:00:00"/>
    <m/>
    <d v="2016-12-31T00:00:00"/>
    <m/>
    <s v="UNTREF"/>
    <s v="UNSAM- LADA"/>
    <n v="32782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CABRERA  FLAVIA GRACIELA"/>
    <s v="DNI"/>
    <n v="29330355"/>
    <s v="27293303555"/>
    <d v="1982-03-08T00:00:00"/>
    <m/>
    <m/>
    <m/>
    <m/>
    <x v="0"/>
    <x v="0"/>
    <d v="2013-07-01T00:00:00"/>
    <m/>
    <d v="2016-12-31T00:00:00"/>
    <m/>
    <s v="UNTREF"/>
    <s v="UNTREF"/>
    <n v="13450"/>
  </r>
  <r>
    <s v="SFMyCP"/>
    <x v="0"/>
    <s v="SUBSEC CENTROS TEMATICOS Y EXP FEDERALES"/>
    <x v="1"/>
    <s v="DIRECCION DE GESTION EDILICIA"/>
    <s v="SERVICIOS GENERALES"/>
    <s v="LIMPIEZA (En comisión Tecnópolis)"/>
    <s v="Auxiliar"/>
    <s v="Auxiliar"/>
    <s v="CCK"/>
    <s v="CCK - Alem 351"/>
    <s v="CABRERA VALERIA"/>
    <s v="DNI"/>
    <n v="26071220"/>
    <s v="27260712204"/>
    <d v="1977-10-31T00:00:00"/>
    <m/>
    <m/>
    <m/>
    <m/>
    <x v="0"/>
    <x v="0"/>
    <d v="2015-06-10T00:00:00"/>
    <m/>
    <d v="2016-12-31T00:00:00"/>
    <m/>
    <s v="UNTREF"/>
    <s v="UNTREF"/>
    <n v="10455"/>
  </r>
  <r>
    <s v="SFMyCP"/>
    <x v="0"/>
    <s v="SUBSEC CENTROS TEMATICOS Y EXP FEDERALES"/>
    <x v="1"/>
    <s v="DIRECCION DE GESTION EDILICIA"/>
    <s v="AUDITORIA Y CONTROL"/>
    <m/>
    <m/>
    <m/>
    <m/>
    <m/>
    <s v="CACCAMO SILVIA GRACIELA"/>
    <s v="DNI"/>
    <n v="11634842"/>
    <m/>
    <m/>
    <m/>
    <m/>
    <m/>
    <m/>
    <x v="2"/>
    <x v="1"/>
    <m/>
    <m/>
    <d v="2016-12-31T00:00:00"/>
    <s v="C1"/>
    <m/>
    <m/>
    <m/>
  </r>
  <r>
    <s v="SFMyCP"/>
    <x v="0"/>
    <m/>
    <x v="0"/>
    <s v="TELEVISION DIGITAL ABIERTA"/>
    <s v="PRESIDENCIA"/>
    <m/>
    <s v="POSTPRODUCCIÓN"/>
    <s v="ADMINISTRATIVO"/>
    <s v="CABILDO 65"/>
    <s v="CABILDO 65"/>
    <s v="CACCIOLA TOMAS"/>
    <s v="DNI"/>
    <n v="33605569"/>
    <s v="20336055696"/>
    <d v="1988-01-11T00:00:00"/>
    <m/>
    <m/>
    <m/>
    <m/>
    <x v="0"/>
    <x v="0"/>
    <d v="2015-05-04T00:00:00"/>
    <m/>
    <d v="2016-12-31T00:00:00"/>
    <m/>
    <s v="UNTREF"/>
    <m/>
    <n v="18795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CACERES LEGUIZAMON SELVA"/>
    <s v="DNI"/>
    <n v="94138946"/>
    <s v="27941389460"/>
    <d v="1986-08-27T00:00:00"/>
    <m/>
    <m/>
    <m/>
    <m/>
    <x v="0"/>
    <x v="0"/>
    <d v="2013-07-01T00:00:00"/>
    <m/>
    <d v="2016-12-31T00:00:00"/>
    <m/>
    <s v="UNTREF"/>
    <s v="UNTREF"/>
    <n v="9995.51"/>
  </r>
  <r>
    <s v="SFMyCP"/>
    <x v="1"/>
    <m/>
    <x v="5"/>
    <s v="INFORMATICA Y SISTEMAS"/>
    <m/>
    <m/>
    <s v="COORDINADOR"/>
    <m/>
    <s v="CCK"/>
    <m/>
    <s v="CACERES SASSO NICOLAS"/>
    <s v="DNI"/>
    <n v="36755076"/>
    <n v="20367550768"/>
    <m/>
    <m/>
    <m/>
    <m/>
    <m/>
    <x v="1"/>
    <x v="1"/>
    <d v="2011-05-01T00:00:00"/>
    <d v="2016-12-31T00:00:00"/>
    <d v="2016-12-31T00:00:00"/>
    <s v="B1"/>
    <m/>
    <m/>
    <n v="18277"/>
  </r>
  <r>
    <s v="SFMyCP"/>
    <x v="1"/>
    <m/>
    <x v="5"/>
    <s v="PLANIF  Y ADM DE REC HUMANOS"/>
    <s v="MEDICINA DEL TRABAJO"/>
    <m/>
    <s v="Enfermera/o"/>
    <m/>
    <s v="CCK"/>
    <m/>
    <s v="CAIGUARA NORA VIVIANA"/>
    <s v="DNI"/>
    <n v="21498647"/>
    <n v="27214986472"/>
    <m/>
    <m/>
    <m/>
    <m/>
    <m/>
    <x v="1"/>
    <x v="1"/>
    <d v="2015-07-16T00:00:00"/>
    <d v="2016-03-31T00:00:00"/>
    <d v="2016-12-31T00:00:00"/>
    <s v="C1"/>
    <m/>
    <m/>
    <n v="13638"/>
  </r>
  <r>
    <s v="SFMyCP"/>
    <x v="0"/>
    <m/>
    <x v="8"/>
    <s v="COMUNICACIÓN"/>
    <m/>
    <m/>
    <m/>
    <s v="ADMINISTRATIVO"/>
    <m/>
    <s v="CCK - Alem 351"/>
    <s v="CAJADE VALERIA SOLEDAD"/>
    <s v="DNI"/>
    <n v="26475328"/>
    <s v="27264753282"/>
    <d v="1977-12-29T00:00:00"/>
    <m/>
    <m/>
    <m/>
    <m/>
    <x v="0"/>
    <x v="0"/>
    <d v="2016-01-01T00:00:00"/>
    <m/>
    <d v="2016-12-31T00:00:00"/>
    <m/>
    <s v="UNTREF"/>
    <m/>
    <n v="12000"/>
  </r>
  <r>
    <s v="SFMyCP"/>
    <x v="1"/>
    <m/>
    <x v="5"/>
    <m/>
    <m/>
    <m/>
    <m/>
    <s v="ADMINISTRATIVO"/>
    <m/>
    <s v="CCK - Alem 351"/>
    <s v="CALCARAMI EUGENIA"/>
    <s v="DNI"/>
    <n v="21831009"/>
    <n v="27218310090"/>
    <d v="1970-08-13T00:00:00"/>
    <m/>
    <m/>
    <m/>
    <m/>
    <x v="0"/>
    <x v="0"/>
    <d v="2016-07-11T00:00:00"/>
    <m/>
    <d v="2016-12-31T00:00:00"/>
    <m/>
    <s v="UNTREF"/>
    <m/>
    <m/>
  </r>
  <r>
    <s v="SFMyCP"/>
    <x v="0"/>
    <m/>
    <x v="0"/>
    <s v="TELEVISION DIGITAL ABIERTA"/>
    <s v="CIARA"/>
    <m/>
    <s v="PRODUCCIÓN"/>
    <s v="PRODUCTOR de EXTERIORES"/>
    <s v="CABILDO 65"/>
    <s v="CABILDO 65"/>
    <s v="CALCATELLI HERNÁN"/>
    <s v="DNI"/>
    <n v="27184125"/>
    <s v="20271841257"/>
    <d v="1979-02-24T00:00:00"/>
    <m/>
    <m/>
    <m/>
    <m/>
    <x v="0"/>
    <x v="0"/>
    <d v="2012-08-01T00:00:00"/>
    <m/>
    <d v="2016-12-31T00:00:00"/>
    <m/>
    <s v="UNTREF"/>
    <s v="UNSAM- LADA"/>
    <n v="22151"/>
  </r>
  <r>
    <s v="SFMyCP"/>
    <x v="2"/>
    <m/>
    <x v="4"/>
    <m/>
    <m/>
    <m/>
    <s v="ASISTENTE"/>
    <m/>
    <s v="CCK"/>
    <m/>
    <s v="CALDERON MARIA EUGENIA"/>
    <s v="DNI"/>
    <n v="28030258"/>
    <n v="27280302584"/>
    <m/>
    <m/>
    <m/>
    <m/>
    <m/>
    <x v="1"/>
    <x v="1"/>
    <d v="2012-12-01T00:00:00"/>
    <d v="2016-12-31T00:00:00"/>
    <d v="2016-12-31T00:00:00"/>
    <s v="A1"/>
    <m/>
    <m/>
    <n v="27000"/>
  </r>
  <r>
    <s v="SFMyCP"/>
    <x v="0"/>
    <s v="SUBSEC CENTROS TEMATICOS Y EXP FEDERALES"/>
    <x v="1"/>
    <s v="INSTITUCIONALES"/>
    <m/>
    <m/>
    <m/>
    <m/>
    <s v="CCK"/>
    <m/>
    <s v="CALIUSCO PERLA EDITH"/>
    <s v="DNI"/>
    <n v="16668474"/>
    <n v="27166684744"/>
    <m/>
    <m/>
    <m/>
    <m/>
    <m/>
    <x v="1"/>
    <x v="1"/>
    <d v="2012-12-01T00:00:00"/>
    <d v="2016-12-31T00:00:00"/>
    <d v="2016-12-31T00:00:00"/>
    <s v="C0"/>
    <m/>
    <m/>
    <n v="12000"/>
  </r>
  <r>
    <s v="SFMyCP"/>
    <x v="0"/>
    <s v="SUBSEC CENTROS TEMATICOS Y EXP FEDERALES"/>
    <x v="1"/>
    <s v="PRODUCCIÓN"/>
    <m/>
    <m/>
    <m/>
    <s v="ADMINISTRATIVA"/>
    <m/>
    <s v="CCK - Alem 351"/>
    <s v="CALVELO ALFREDO"/>
    <s v="DNI"/>
    <n v="92267421"/>
    <n v="20922674214"/>
    <d v="1969-01-12T00:00:00"/>
    <m/>
    <m/>
    <m/>
    <m/>
    <x v="0"/>
    <x v="0"/>
    <d v="2016-04-01T00:00:00"/>
    <m/>
    <d v="2016-12-31T00:00:00"/>
    <m/>
    <s v="UNTREF"/>
    <m/>
    <n v="26000"/>
  </r>
  <r>
    <s v="SFMyCP"/>
    <x v="0"/>
    <m/>
    <x v="4"/>
    <m/>
    <m/>
    <m/>
    <s v="PRIVADA"/>
    <s v="ADMINISTRATIVO"/>
    <m/>
    <s v="NO ENTREGAR"/>
    <s v="CALZADO, MATÍAS"/>
    <s v="DNI"/>
    <n v="32845128"/>
    <s v="20328451280"/>
    <d v="1986-12-06T00:00:00"/>
    <m/>
    <m/>
    <m/>
    <m/>
    <x v="0"/>
    <x v="0"/>
    <d v="2016-01-01T00:00:00"/>
    <m/>
    <d v="2016-12-31T00:00:00"/>
    <m/>
    <s v="UNTREF"/>
    <s v="UNSAM"/>
    <n v="13000"/>
  </r>
  <r>
    <s v="SFMyCP"/>
    <x v="0"/>
    <m/>
    <x v="0"/>
    <s v="TELEVISION DIGITAL ABIERTA"/>
    <s v="CIARA"/>
    <m/>
    <s v="PRODUCCIÓN"/>
    <s v="PRODUCTOR de EXTERIORES"/>
    <s v="CABILDO 65"/>
    <s v="CABILDO 65"/>
    <s v="CAMATS DIEGO"/>
    <s v="DNI"/>
    <n v="27084941"/>
    <s v="20270849416"/>
    <d v="1979-02-01T00:00:00"/>
    <m/>
    <m/>
    <m/>
    <m/>
    <x v="0"/>
    <x v="0"/>
    <d v="2011-08-01T00:00:00"/>
    <m/>
    <d v="2016-12-31T00:00:00"/>
    <m/>
    <s v="UNTREF"/>
    <s v="UNSAM- LADA"/>
    <n v="35111"/>
  </r>
  <r>
    <s v="SFMyCP"/>
    <x v="0"/>
    <m/>
    <x v="4"/>
    <m/>
    <m/>
    <m/>
    <s v="PRIVADA"/>
    <s v="ADMINISTRATIVO"/>
    <m/>
    <s v="CCK - Alem 351"/>
    <s v="CAMBIAGGI HOLZMANN JOAQUIN ARIEL"/>
    <s v="DNI"/>
    <n v="33209881"/>
    <n v="20332098811"/>
    <m/>
    <m/>
    <m/>
    <m/>
    <m/>
    <x v="2"/>
    <x v="0"/>
    <d v="2016-07-21T00:00:00"/>
    <m/>
    <d v="2016-12-31T00:00:00"/>
    <m/>
    <s v="UNTREF"/>
    <m/>
    <m/>
  </r>
  <r>
    <s v="SFMyCP"/>
    <x v="0"/>
    <s v="SUBSEC CENTROS TEMATICOS Y EXP FEDERALES"/>
    <x v="1"/>
    <s v="TECNICA"/>
    <m/>
    <m/>
    <m/>
    <s v="OPERACIÓN/MONTAJE/MANTENIMIENTO"/>
    <m/>
    <s v="CCK - Alem 351"/>
    <s v="CAMINOS GONZALEZ JOAQUIN"/>
    <s v="DNI"/>
    <n v="32538637"/>
    <n v="20325386372"/>
    <d v="1986-10-27T00:00:00"/>
    <m/>
    <m/>
    <m/>
    <m/>
    <x v="0"/>
    <x v="0"/>
    <d v="2016-06-01T00:00:00"/>
    <m/>
    <d v="2016-12-31T00:00:00"/>
    <m/>
    <s v="UNTREF"/>
    <m/>
    <m/>
  </r>
  <r>
    <s v="SFMyCP"/>
    <x v="1"/>
    <m/>
    <x v="5"/>
    <s v="MESA DE ENTRADA"/>
    <m/>
    <m/>
    <m/>
    <m/>
    <s v="CCK"/>
    <m/>
    <s v="CAMPANA JAVIER"/>
    <s v="DNI"/>
    <n v="36949773"/>
    <n v="20369497732"/>
    <m/>
    <m/>
    <m/>
    <m/>
    <m/>
    <x v="1"/>
    <x v="1"/>
    <d v="2015-04-01T00:00:00"/>
    <d v="2016-03-31T00:00:00"/>
    <d v="2016-12-31T00:00:00"/>
    <s v="D0"/>
    <m/>
    <m/>
    <n v="10190"/>
  </r>
  <r>
    <s v="SFMyCP"/>
    <x v="1"/>
    <m/>
    <x v="5"/>
    <s v="INFORMATICA Y SISTEMAS"/>
    <m/>
    <m/>
    <s v="Analista"/>
    <s v="Analista"/>
    <s v="CCK"/>
    <s v="CCK - Alem 351"/>
    <s v="CANGIANI EMMANUEL"/>
    <s v="DNI"/>
    <n v="36688481"/>
    <s v="20366884816"/>
    <d v="1992-01-17T00:00:00"/>
    <m/>
    <m/>
    <m/>
    <m/>
    <x v="0"/>
    <x v="0"/>
    <d v="2013-11-15T00:00:00"/>
    <m/>
    <d v="2016-12-31T00:00:00"/>
    <m/>
    <s v="UNTREF"/>
    <s v="UNLAM- INFO"/>
    <n v="8981"/>
  </r>
  <r>
    <s v="SFMyCP"/>
    <x v="0"/>
    <m/>
    <x v="0"/>
    <s v="TELEVISION DIGITAL ABIERTA"/>
    <s v="CIARA"/>
    <m/>
    <s v="BACUA"/>
    <s v="ADMINISTRATIVO"/>
    <s v="CABILDO 65"/>
    <s v="CABILDO 65"/>
    <s v="CANNIZZARO ANA"/>
    <s v="DNI"/>
    <n v="28079864"/>
    <s v="27280798644"/>
    <d v="1980-04-11T00:00:00"/>
    <m/>
    <m/>
    <m/>
    <m/>
    <x v="0"/>
    <x v="0"/>
    <d v="2013-02-01T00:00:00"/>
    <m/>
    <d v="2016-12-31T00:00:00"/>
    <m/>
    <s v="UNTREF"/>
    <s v="UNSAM- LADA"/>
    <n v="16465"/>
  </r>
  <r>
    <s v="SFMyCP"/>
    <x v="0"/>
    <s v="SUBSEC CENTROS TEMATICOS Y EXP FEDERALES"/>
    <x v="1"/>
    <s v="DIRECCION"/>
    <m/>
    <m/>
    <s v="DESARROLLOS"/>
    <s v="Asistente"/>
    <s v="CCK"/>
    <s v="CCK - Alem 351"/>
    <s v="CANOSA MARICEL"/>
    <s v="DNI"/>
    <n v="34870420"/>
    <s v="27348704201"/>
    <d v="1989-10-03T00:00:00"/>
    <m/>
    <m/>
    <m/>
    <m/>
    <x v="0"/>
    <x v="0"/>
    <d v="2015-07-06T00:00:00"/>
    <m/>
    <d v="2016-12-31T00:00:00"/>
    <m/>
    <s v="UNTREF"/>
    <s v="UNSAM"/>
    <n v="10188"/>
  </r>
  <r>
    <s v="SFMyCP"/>
    <x v="0"/>
    <s v="SUBSEC CENTROS TEMATICOS Y EXP FEDERALES"/>
    <x v="3"/>
    <s v="TECNICA"/>
    <m/>
    <m/>
    <m/>
    <s v="OPERACIÓN/MONTAJE/MANTENIMIENTO"/>
    <s v="TECNÓPOLIS"/>
    <s v="TECNOPOLIS"/>
    <s v="CARABAJAL ALEJANDRO NICOLAS"/>
    <s v="DNI"/>
    <n v="31292992"/>
    <s v="23312929929"/>
    <d v="1985-01-04T00:00:00"/>
    <m/>
    <m/>
    <m/>
    <m/>
    <x v="0"/>
    <x v="0"/>
    <d v="2015-07-03T00:00:00"/>
    <m/>
    <d v="2016-12-31T00:00:00"/>
    <m/>
    <s v="UNTREF"/>
    <s v="UNTREF"/>
    <n v="15503.4"/>
  </r>
  <r>
    <s v="SFMyCP"/>
    <x v="1"/>
    <m/>
    <x v="5"/>
    <s v="PLANIF  Y ADM DE REC HUMANOS"/>
    <s v="RECURSOS HUMANOS"/>
    <m/>
    <s v="Analista Sr de RR.HH."/>
    <m/>
    <s v="CCK"/>
    <m/>
    <s v="CARACINI ANDRES HORACIO"/>
    <s v="DNI"/>
    <n v="20007136"/>
    <n v="20200071361"/>
    <m/>
    <m/>
    <m/>
    <m/>
    <m/>
    <x v="1"/>
    <x v="1"/>
    <d v="2007-02-01T00:00:00"/>
    <d v="2016-12-31T00:00:00"/>
    <d v="2016-12-31T00:00:00"/>
    <s v="B5"/>
    <m/>
    <m/>
    <n v="25000"/>
  </r>
  <r>
    <s v="SFMyCP"/>
    <x v="0"/>
    <s v="SUBSEC CENTROS TEMATICOS Y EXP FEDERALES"/>
    <x v="1"/>
    <s v="DIRECCION DE GESTION EDILICIA"/>
    <s v="DIRECCION"/>
    <m/>
    <s v="Asesor"/>
    <m/>
    <s v="CCK"/>
    <m/>
    <s v="CARAM ADRIAN"/>
    <s v="DNI"/>
    <n v="17968607"/>
    <n v="20179686075"/>
    <m/>
    <m/>
    <m/>
    <m/>
    <m/>
    <x v="1"/>
    <x v="1"/>
    <d v="2015-06-01T00:00:00"/>
    <d v="2016-03-31T00:00:00"/>
    <d v="2016-12-31T00:00:00"/>
    <s v="C1"/>
    <m/>
    <m/>
    <n v="29784"/>
  </r>
  <r>
    <s v="SFMyCP"/>
    <x v="0"/>
    <s v="SUBSEC CENTROS TEMATICOS Y EXP FEDERALES"/>
    <x v="1"/>
    <s v="DIRECCION DE GESTION EDILICIA"/>
    <s v="SEGURIDAD  "/>
    <m/>
    <s v="Coordinador"/>
    <s v="Coordinador"/>
    <s v="CCK"/>
    <s v="CCK - Alem 351"/>
    <s v="CARCA GUSTAVO"/>
    <s v="DNI"/>
    <n v="11293948"/>
    <n v="20112939483"/>
    <d v="1954-09-16T00:00:00"/>
    <m/>
    <m/>
    <m/>
    <m/>
    <x v="0"/>
    <x v="0"/>
    <d v="2015-05-05T00:00:00"/>
    <m/>
    <d v="2016-12-31T00:00:00"/>
    <m/>
    <s v="UNTREF"/>
    <s v="UNLAM- BICENTENARIO"/>
    <n v="30000"/>
  </r>
  <r>
    <s v="SFMyCP"/>
    <x v="1"/>
    <m/>
    <x v="5"/>
    <s v="MESA DE ENTRADA"/>
    <m/>
    <m/>
    <s v="PRIVADA"/>
    <s v="Administrativo"/>
    <m/>
    <s v="TECNOPOLIS"/>
    <s v="CARCATERRA VICTORIA"/>
    <s v="DNI"/>
    <n v="27507704"/>
    <n v="27275077041"/>
    <d v="1979-05-22T00:00:00"/>
    <m/>
    <m/>
    <m/>
    <m/>
    <x v="0"/>
    <x v="0"/>
    <d v="2016-04-01T00:00:00"/>
    <m/>
    <d v="2016-12-31T00:00:00"/>
    <m/>
    <s v="UNTREF"/>
    <m/>
    <m/>
  </r>
  <r>
    <s v="SFMyCP"/>
    <x v="0"/>
    <s v="SUBSEC CENTROS TEMATICOS Y EXP FEDERALES"/>
    <x v="3"/>
    <s v="INTENDENCIA - FERIAL"/>
    <m/>
    <m/>
    <m/>
    <s v="MANTENIMIENTO GENERAÑ"/>
    <s v="TECNÓPOLIS"/>
    <s v="TECNOPOLIS"/>
    <s v="CARDENES HECTOR DANIEL"/>
    <s v="DNI"/>
    <n v="31091613"/>
    <s v="20310916138"/>
    <d v="1984-10-13T00:00:00"/>
    <m/>
    <m/>
    <m/>
    <m/>
    <x v="0"/>
    <x v="0"/>
    <d v="2015-09-01T00:00:00"/>
    <m/>
    <d v="2016-12-31T00:00:00"/>
    <m/>
    <s v="UNTREF"/>
    <s v="UNTREF"/>
    <n v="8035.31"/>
  </r>
  <r>
    <s v="SFMyCP"/>
    <x v="1"/>
    <m/>
    <x v="5"/>
    <m/>
    <m/>
    <m/>
    <s v="JGM"/>
    <s v="ADMINISTRATIVO"/>
    <m/>
    <s v="CCK - Alem 351"/>
    <s v="CARDERO HORACIO"/>
    <s v="DNI"/>
    <n v="7374442"/>
    <n v="20073744424"/>
    <d v="1948-12-05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CARDOZO  GRACIELA DELMIRA"/>
    <s v="DNI"/>
    <n v="20341389"/>
    <s v="27203413896"/>
    <d v="1986-07-14T00:00:00"/>
    <m/>
    <m/>
    <m/>
    <m/>
    <x v="0"/>
    <x v="0"/>
    <d v="2012-07-01T00:00:00"/>
    <m/>
    <d v="2016-12-31T00:00:00"/>
    <m/>
    <s v="UNTREF"/>
    <s v="UNTREF"/>
    <n v="9955.51"/>
  </r>
  <r>
    <s v="SFMyCP"/>
    <x v="1"/>
    <m/>
    <x v="5"/>
    <s v="INFORMATICA Y SISTEMAS"/>
    <m/>
    <m/>
    <s v="ASESORA"/>
    <s v="Analista"/>
    <s v="CCK"/>
    <s v="CCK - Alem 351"/>
    <s v="CARDOZO ANDREA"/>
    <s v="DNI"/>
    <n v="25284962"/>
    <s v="27252849624"/>
    <d v="1976-05-28T00:00:00"/>
    <m/>
    <m/>
    <m/>
    <m/>
    <x v="0"/>
    <x v="0"/>
    <m/>
    <m/>
    <d v="2016-12-31T00:00:00"/>
    <m/>
    <s v="UNTREF"/>
    <s v="UNLAM- INFO"/>
    <n v="14014"/>
  </r>
  <r>
    <s v="SFMyCP"/>
    <x v="0"/>
    <s v="SUBSEC CENTROS TEMATICOS Y EXP FEDERALES"/>
    <x v="1"/>
    <s v="TECNICA"/>
    <s v="MONTAJE"/>
    <m/>
    <m/>
    <s v="ADMINISTRATIVO"/>
    <m/>
    <s v="CCK - Alem 351"/>
    <s v="CARDOZO EDUARDO HERNAN"/>
    <s v="DNI"/>
    <n v="25051947"/>
    <n v="20250519479"/>
    <d v="1976-04-01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CARDUS MARIA MOHORADE"/>
    <s v="DNI"/>
    <n v="33022528"/>
    <n v="27330225284"/>
    <d v="1987-05-19T00:00:00"/>
    <m/>
    <m/>
    <m/>
    <m/>
    <x v="0"/>
    <x v="0"/>
    <m/>
    <m/>
    <d v="2016-12-31T00:00:00"/>
    <m/>
    <s v="UNTREF"/>
    <m/>
    <m/>
  </r>
  <r>
    <s v="SFMyCP"/>
    <x v="1"/>
    <m/>
    <x v="5"/>
    <s v="JURIDICOS"/>
    <m/>
    <s v="(IGUALDAD CULTURAL)"/>
    <s v="ASESORA LEGAL"/>
    <m/>
    <s v="CCK"/>
    <m/>
    <s v="CARELLO SABRINA"/>
    <s v="DNI"/>
    <n v="28964645"/>
    <n v="27289646456"/>
    <m/>
    <m/>
    <m/>
    <m/>
    <m/>
    <x v="1"/>
    <x v="1"/>
    <d v="2008-11-01T00:00:00"/>
    <d v="2016-12-31T00:00:00"/>
    <d v="2016-12-31T00:00:00"/>
    <s v="B2"/>
    <m/>
    <m/>
    <n v="18334"/>
  </r>
  <r>
    <s v="SFMyCP"/>
    <x v="0"/>
    <m/>
    <x v="0"/>
    <s v="TELEVISION DIGITAL ABIERTA"/>
    <s v="PRESIDENCIA"/>
    <m/>
    <s v="PRODUCCIÓN"/>
    <s v="PRODUCTOR de EXTERIORES"/>
    <s v="CABILDO 65"/>
    <s v="CABILDO 65"/>
    <s v="CARINI DIEGO"/>
    <s v="DNI"/>
    <n v="23124300"/>
    <s v="20231243004"/>
    <d v="1973-01-11T00:00:00"/>
    <m/>
    <m/>
    <m/>
    <m/>
    <x v="0"/>
    <x v="0"/>
    <d v="2015-03-02T00:00:00"/>
    <m/>
    <d v="2016-12-31T00:00:00"/>
    <m/>
    <s v="UNTREF"/>
    <m/>
    <n v="20989"/>
  </r>
  <r>
    <s v="SFMyCP"/>
    <x v="0"/>
    <s v="SUBSEC CENTROS TEMATICOS Y EXP FEDERALES"/>
    <x v="1"/>
    <s v="AUDIOVISUALES"/>
    <m/>
    <m/>
    <m/>
    <m/>
    <s v="CCK"/>
    <s v="CCK - Alem 351"/>
    <s v="CARNEVALE  María Luciana"/>
    <s v="DNI"/>
    <n v="31829624"/>
    <n v="27318296249"/>
    <m/>
    <m/>
    <m/>
    <m/>
    <m/>
    <x v="1"/>
    <x v="1"/>
    <d v="2012-11-30T00:00:00"/>
    <d v="2016-12-31T00:00:00"/>
    <d v="2016-12-31T00:00:00"/>
    <s v="C0"/>
    <m/>
    <m/>
    <n v="22174"/>
  </r>
  <r>
    <s v="SFMyCP"/>
    <x v="0"/>
    <m/>
    <x v="8"/>
    <s v="COMUNICACIÓN"/>
    <m/>
    <m/>
    <m/>
    <s v="ADMINISTRATIVO"/>
    <m/>
    <s v="CCK - Alem 351"/>
    <s v="CARPENA NICOLAS"/>
    <s v="DNI"/>
    <n v="25701825"/>
    <s v="20257018254"/>
    <d v="1977-01-15T00:00:00"/>
    <m/>
    <m/>
    <m/>
    <m/>
    <x v="0"/>
    <x v="0"/>
    <d v="2016-03-01T00:00:00"/>
    <m/>
    <d v="2016-12-31T00:00:00"/>
    <m/>
    <s v="UNTREF"/>
    <m/>
    <n v="12000"/>
  </r>
  <r>
    <s v="SFMyCP"/>
    <x v="0"/>
    <m/>
    <x v="0"/>
    <s v="INV. AP. RECURSOS DIGITALES"/>
    <s v="CTRO INV PALPALA"/>
    <m/>
    <s v="DESARROLLOS"/>
    <s v="ANALISTA"/>
    <s v="PALPALÁ-JUJUY"/>
    <s v="PALPALÁ-JUJUY"/>
    <s v="CARRILLO FELIX EDUARDO"/>
    <s v="DNI"/>
    <n v="30029488"/>
    <n v="20300294880"/>
    <d v="1983-10-21T00:00:00"/>
    <m/>
    <m/>
    <m/>
    <m/>
    <x v="0"/>
    <x v="0"/>
    <d v="2015-09-01T00:00:00"/>
    <m/>
    <d v="2016-12-31T00:00:00"/>
    <m/>
    <s v="UNTREF"/>
    <s v="UNSAM"/>
    <n v="13000"/>
  </r>
  <r>
    <s v="SFMyCP"/>
    <x v="0"/>
    <s v="SUBSEC CENTROS TEMATICOS Y EXP FEDERALES"/>
    <x v="1"/>
    <s v="DIRECCION DE GESTION EDILICIA"/>
    <s v="SERVICIOS GENERALES"/>
    <s v="ACCESO ALEM"/>
    <s v="Asistente"/>
    <s v="Asistente"/>
    <s v="CCK"/>
    <s v="CCK - Alem 351"/>
    <s v="CARRUTHERS FEDERICO"/>
    <s v="DNI"/>
    <n v="37274121"/>
    <s v="20372741210"/>
    <d v="1992-12-28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s v="SUBSEC CENTROS TEMATICOS Y EXP FEDERALES"/>
    <x v="3"/>
    <m/>
    <m/>
    <m/>
    <m/>
    <s v="MANTENIMIENTO DE ESPACIOS VERDES"/>
    <m/>
    <s v="TECNOPOLIS"/>
    <s v="CARUSO DIEGO EZEQUIEL"/>
    <s v="DNI"/>
    <n v="38423281"/>
    <s v="20384232818"/>
    <d v="1994-07-20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m/>
    <s v="PRODUCCIÓN"/>
    <s v="PRODUCTOR de EXTERIORES"/>
    <s v="CABILDO 65"/>
    <s v="CABILDO 65"/>
    <s v="CASADO MARIANO"/>
    <s v="DNI"/>
    <n v="33305513"/>
    <s v="23333055139"/>
    <d v="1987-08-10T00:00:00"/>
    <m/>
    <m/>
    <m/>
    <m/>
    <x v="0"/>
    <x v="0"/>
    <d v="2012-05-01T00:00:00"/>
    <m/>
    <d v="2016-12-31T00:00:00"/>
    <m/>
    <s v="UNTREF"/>
    <m/>
    <n v="19987"/>
  </r>
  <r>
    <s v="SFMyCP"/>
    <x v="0"/>
    <s v="SUBSEC CENTROS TEMATICOS Y EXP FEDERALES"/>
    <x v="1"/>
    <s v="COMUNICACIÓN"/>
    <s v="PRENSA"/>
    <m/>
    <m/>
    <s v="ADMINISTRATIVO"/>
    <m/>
    <s v="CCK - Alem 351"/>
    <s v="CASAK ANDRES"/>
    <s v="DNI"/>
    <n v="23470508"/>
    <n v="20234705084"/>
    <d v="1973-08-19T00:00:00"/>
    <m/>
    <m/>
    <m/>
    <m/>
    <x v="0"/>
    <x v="0"/>
    <d v="2016-05-15T00:00:00"/>
    <m/>
    <d v="2016-12-31T00:00:00"/>
    <m/>
    <s v="UNTREF"/>
    <m/>
    <n v="17000"/>
  </r>
  <r>
    <s v="SFMyCP"/>
    <x v="0"/>
    <m/>
    <x v="0"/>
    <s v="TELEVISION DIGITAL ABIERTA"/>
    <s v="PRESIDENCIA"/>
    <m/>
    <s v="POSTPRODUCCIÓN"/>
    <s v="ADMINISTRATIVO"/>
    <s v="CABILDO 65"/>
    <s v="CABILDO 65"/>
    <s v="CASCO GUILLERMO"/>
    <s v="DNI"/>
    <n v="29721412"/>
    <s v="20297214129"/>
    <d v="1982-11-22T00:00:00"/>
    <m/>
    <m/>
    <m/>
    <m/>
    <x v="0"/>
    <x v="0"/>
    <d v="2012-04-16T00:00:00"/>
    <m/>
    <d v="2016-12-31T00:00:00"/>
    <m/>
    <s v="UNTREF"/>
    <s v="UNSAM- LADA"/>
    <n v="25763"/>
  </r>
  <r>
    <s v="SFMyCP"/>
    <x v="0"/>
    <s v="SUBSEC CENTROS TEMATICOS Y EXP FEDERALES"/>
    <x v="3"/>
    <s v="ADMINISTRACION- RRHH"/>
    <m/>
    <m/>
    <s v="ADMINISTRATIVO"/>
    <m/>
    <s v="TECNÓPOLIS"/>
    <m/>
    <s v="CASTELLI Carla"/>
    <s v="DNI"/>
    <n v="36702151"/>
    <n v="27367021514"/>
    <m/>
    <m/>
    <m/>
    <m/>
    <m/>
    <x v="1"/>
    <x v="1"/>
    <d v="2010-11-01T00:00:00"/>
    <d v="2016-12-31T00:00:00"/>
    <d v="2016-12-31T00:00:00"/>
    <s v="C1"/>
    <m/>
    <m/>
    <n v="22491"/>
  </r>
  <r>
    <s v="SFMyCP"/>
    <x v="0"/>
    <s v="SUBSEC CENTROS TEMATICOS Y EXP FEDERALES"/>
    <x v="1"/>
    <s v="TECNICA"/>
    <m/>
    <m/>
    <m/>
    <s v="OPERACIÓN/MONTAJE/MANTENIMIENTO"/>
    <m/>
    <s v="CCK - Alem 351"/>
    <s v="CASTELLUCCI MARIANA"/>
    <s v="DNI"/>
    <n v="27627728"/>
    <n v="20276277281"/>
    <d v="1979-08-22T00:00:00"/>
    <m/>
    <m/>
    <m/>
    <m/>
    <x v="0"/>
    <x v="0"/>
    <d v="2016-07-01T00:00:00"/>
    <m/>
    <d v="2016-08-31T00:00:00"/>
    <m/>
    <s v="UNTREF"/>
    <m/>
    <m/>
  </r>
  <r>
    <s v="SFMyCP"/>
    <x v="0"/>
    <s v="SUBSEC CENTROS TEMATICOS Y EXP FEDERALES"/>
    <x v="1"/>
    <s v="DIRECCION DE GESTION EDILICIA"/>
    <s v="SERVICIOS GENERALES"/>
    <s v="ACCESO BOUCHARD"/>
    <s v="Asistente"/>
    <s v="Asistente"/>
    <s v="CCK"/>
    <s v="CCK - Alem 351"/>
    <s v="CASTIELLO NICOLAS"/>
    <s v="DNI"/>
    <n v="36948427"/>
    <s v="20369484274"/>
    <d v="1992-09-16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s v="SUBSEC CENTROS TEMATICOS Y EXP FEDERALES"/>
    <x v="3"/>
    <s v="GASTRONOMIA"/>
    <m/>
    <m/>
    <s v="COCINA"/>
    <s v="SUPERVISÓN CONTROL DE CALIDAD DE MERCADERÍA/ISO"/>
    <s v="TECNÓPOLIS"/>
    <s v="TECNOPOLIS"/>
    <s v="CASTILLO  MARIA ANGELES"/>
    <s v="DNI"/>
    <n v="29582611"/>
    <s v="27295826113"/>
    <d v="1982-06-10T00:00:00"/>
    <m/>
    <m/>
    <m/>
    <m/>
    <x v="0"/>
    <x v="0"/>
    <d v="2015-07-01T00:00:00"/>
    <m/>
    <d v="2016-12-31T00:00:00"/>
    <m/>
    <s v="UNTREF"/>
    <s v="UNTREF"/>
    <n v="9500"/>
  </r>
  <r>
    <s v="SFMyCP"/>
    <x v="0"/>
    <s v="SUBSEC CENTROS TEMATICOS Y EXP FEDERALES"/>
    <x v="1"/>
    <s v="DIRECCION DE GESTION EDILICIA"/>
    <s v="MANTENIMIENTO"/>
    <s v="LOGISTICA OPERATIVA"/>
    <s v="Auxiliar de Mantenimiento"/>
    <s v="Auxiliar de Mantenimiento"/>
    <s v="CCK"/>
    <s v="CCK - Alem 351"/>
    <s v="CASTILLO ENZO"/>
    <s v="DNI"/>
    <n v="23490897"/>
    <n v="20234908972"/>
    <d v="1990-05-15T00:00:00"/>
    <m/>
    <m/>
    <m/>
    <m/>
    <x v="0"/>
    <x v="0"/>
    <d v="2015-07-03T00:00:00"/>
    <m/>
    <d v="2016-12-31T00:00:00"/>
    <m/>
    <s v="UNTREF"/>
    <s v="UNLAM- BICENTENARIO"/>
    <n v="10166"/>
  </r>
  <r>
    <s v="SFMyCP"/>
    <x v="0"/>
    <s v="SUBSEC CENTROS TEMATICOS Y EXP FEDERALES"/>
    <x v="3"/>
    <s v="INTENDENCIA - LIMPIEZA"/>
    <m/>
    <m/>
    <m/>
    <s v="LIMPIEZA DE OFICINAS/BAÑOS Y CAFETARIA DEL IBC"/>
    <s v="CCK"/>
    <s v="CCK - Alem 351"/>
    <s v="CASTRO  MARIA INES"/>
    <s v="DNI"/>
    <n v="13165661"/>
    <s v="27131656616"/>
    <d v="1957-04-07T00:00:00"/>
    <m/>
    <m/>
    <m/>
    <m/>
    <x v="0"/>
    <x v="0"/>
    <d v="2013-07-01T00:00:00"/>
    <m/>
    <d v="2016-12-31T00:00:00"/>
    <m/>
    <s v="UNTREF"/>
    <s v="UNTREF"/>
    <n v="9995.51"/>
  </r>
  <r>
    <s v="SFMyCP"/>
    <x v="0"/>
    <m/>
    <x v="0"/>
    <s v="INV. AP. RECURSOS DIGITALES"/>
    <s v="CTRO INV PALPALA"/>
    <m/>
    <s v="GESTION DE PROYECTOS"/>
    <s v="ANALISTA"/>
    <s v="PALPALÁ-JUJUY"/>
    <s v="PALPALÁ-JUJUY"/>
    <s v="CASTRO ABRAHAM"/>
    <s v="DNI"/>
    <n v="25287129"/>
    <n v="20252871293"/>
    <d v="1976-07-15T00:00:00"/>
    <m/>
    <m/>
    <m/>
    <m/>
    <x v="0"/>
    <x v="0"/>
    <d v="2015-09-01T00:00:00"/>
    <m/>
    <d v="2016-12-31T00:00:00"/>
    <m/>
    <s v="UNTREF"/>
    <s v="UNSAM"/>
    <n v="11500"/>
  </r>
  <r>
    <s v="SFMyCP"/>
    <x v="0"/>
    <m/>
    <x v="0"/>
    <s v="TELEVISION DIGITAL ABIERTA"/>
    <s v="CIARA"/>
    <m/>
    <s v="TÉCNICA Y TRANSMISIÓN"/>
    <s v="ADMINISTRATIVO"/>
    <s v="CABILDO 65"/>
    <s v="CABILDO 65"/>
    <s v="CASTRO ANALIA"/>
    <s v="DNI"/>
    <n v="25325251"/>
    <s v="27253252516"/>
    <d v="1976-07-21T00:00:00"/>
    <m/>
    <m/>
    <m/>
    <m/>
    <x v="0"/>
    <x v="0"/>
    <d v="2013-03-01T00:00:00"/>
    <m/>
    <d v="2016-12-31T00:00:00"/>
    <m/>
    <s v="UNTREF"/>
    <s v="UNSAM- LADA"/>
    <n v="19353"/>
  </r>
  <r>
    <s v="SFMyCP"/>
    <x v="0"/>
    <s v="SUBSEC CENTROS TEMATICOS Y EXP FEDERALES"/>
    <x v="1"/>
    <s v="AUDIOVISUALES"/>
    <m/>
    <m/>
    <m/>
    <m/>
    <s v="TECNÓPOLIS"/>
    <m/>
    <s v="CASTRO Diego Fernando"/>
    <s v="DNI"/>
    <n v="22885684"/>
    <n v="20228856844"/>
    <m/>
    <m/>
    <m/>
    <m/>
    <m/>
    <x v="1"/>
    <x v="1"/>
    <d v="2011-07-01T00:00:00"/>
    <d v="2016-12-31T00:00:00"/>
    <d v="2016-12-31T00:00:00"/>
    <s v="C0"/>
    <m/>
    <m/>
    <n v="28848.48"/>
  </r>
  <r>
    <s v="SFMyCP"/>
    <x v="0"/>
    <m/>
    <x v="0"/>
    <s v="TELEVISION DIGITAL ABIERTA"/>
    <s v="CIARA"/>
    <m/>
    <s v="POSTPRODUCCIÓN"/>
    <s v="EDICION"/>
    <s v="CABILDO 65"/>
    <s v="CABILDO 65"/>
    <s v="CATERBERG LEANDRO"/>
    <s v="DNI"/>
    <n v="30930552"/>
    <s v="20309305524"/>
    <d v="1984-04-11T00:00:00"/>
    <m/>
    <m/>
    <m/>
    <m/>
    <x v="0"/>
    <x v="0"/>
    <d v="2013-04-13T00:00:00"/>
    <m/>
    <d v="2016-12-31T00:00:00"/>
    <m/>
    <s v="UNTREF"/>
    <s v="UNSAM- LADA"/>
    <n v="19353"/>
  </r>
  <r>
    <s v="SFMyCP"/>
    <x v="0"/>
    <s v="SUBSEC CENTROS TEMATICOS Y EXP FEDERALES"/>
    <x v="1"/>
    <s v="AUDIOVISUALES"/>
    <m/>
    <m/>
    <m/>
    <m/>
    <s v="CCK"/>
    <s v="CCK - Alem 351"/>
    <s v="CATTANEO Juan Ignacio"/>
    <s v="DNI"/>
    <n v="30862762"/>
    <n v="20308627625"/>
    <m/>
    <m/>
    <m/>
    <m/>
    <m/>
    <x v="1"/>
    <x v="1"/>
    <d v="2012-11-30T00:00:00"/>
    <d v="2016-12-31T00:00:00"/>
    <d v="2016-12-31T00:00:00"/>
    <s v="D0"/>
    <m/>
    <m/>
    <n v="18724.21"/>
  </r>
  <r>
    <s v="SFMyCP"/>
    <x v="0"/>
    <m/>
    <x v="9"/>
    <m/>
    <m/>
    <m/>
    <s v="DIRECTOR"/>
    <s v="COORDINACIÖN"/>
    <m/>
    <s v="CCK - Alem 351"/>
    <s v="CAVA, FERNANDA"/>
    <s v="DNI"/>
    <n v="21588783"/>
    <n v="27215887834"/>
    <d v="1970-06-26T00:00:00"/>
    <m/>
    <m/>
    <m/>
    <m/>
    <x v="0"/>
    <x v="0"/>
    <d v="2016-01-01T00:00:00"/>
    <m/>
    <d v="2016-12-31T00:00:00"/>
    <m/>
    <s v="UNTREF"/>
    <s v="UNSAM"/>
    <n v="27000"/>
  </r>
  <r>
    <s v="SFMyCP"/>
    <x v="0"/>
    <m/>
    <x v="4"/>
    <m/>
    <m/>
    <m/>
    <s v="ASISTENTE"/>
    <m/>
    <s v="CCK"/>
    <m/>
    <s v="CELANO  JUAN MANUEL"/>
    <s v="DNI"/>
    <n v="28792441"/>
    <n v="20287924411"/>
    <m/>
    <m/>
    <m/>
    <m/>
    <m/>
    <x v="1"/>
    <x v="1"/>
    <d v="2015-05-01T00:00:00"/>
    <d v="2016-03-31T00:00:00"/>
    <d v="2016-12-31T00:00:00"/>
    <s v="B0"/>
    <m/>
    <m/>
    <n v="17107"/>
  </r>
  <r>
    <s v="SFMyCP"/>
    <x v="0"/>
    <s v="SUBSEC CENTROS TEMATICOS Y EXP FEDERALES"/>
    <x v="3"/>
    <s v="INTENDENCIA - TALLERES"/>
    <m/>
    <m/>
    <m/>
    <s v="ATENCIÓN DE MOSTRADOR"/>
    <s v="TECNÓPOLIS"/>
    <s v="TECNOPOLIS"/>
    <s v="CENA RODOLFO ELIAS"/>
    <s v="DNI"/>
    <n v="38854457"/>
    <s v="20388544571"/>
    <d v="1995-05-24T00:00:00"/>
    <m/>
    <m/>
    <m/>
    <m/>
    <x v="0"/>
    <x v="0"/>
    <d v="2013-08-01T00:00:00"/>
    <m/>
    <d v="2016-12-31T00:00:00"/>
    <m/>
    <s v="UNTREF"/>
    <s v="UNTREF"/>
    <n v="11449.4"/>
  </r>
  <r>
    <s v="SFMyCP"/>
    <x v="1"/>
    <m/>
    <x v="5"/>
    <s v="PLANIF  Y ADM DE REC HUMANOS"/>
    <s v="RECURSOS HUMANOS"/>
    <m/>
    <s v="Analista de RR.HH."/>
    <s v="ADMINISTRATIVO"/>
    <s v="CCK"/>
    <s v="CCK - Alem 351"/>
    <s v="CERINI CAROLINA "/>
    <s v="DNI"/>
    <n v="27259209"/>
    <s v="27272592093"/>
    <d v="1979-04-19T00:00:00"/>
    <m/>
    <m/>
    <m/>
    <m/>
    <x v="0"/>
    <x v="0"/>
    <d v="2015-09-11T00:00:00"/>
    <m/>
    <d v="2016-12-31T00:00:00"/>
    <m/>
    <s v="UNTREF"/>
    <s v="UNLAM -TDA"/>
    <n v="10910"/>
  </r>
  <r>
    <s v="SFMyCP"/>
    <x v="1"/>
    <m/>
    <x v="5"/>
    <s v="INFORMATICA Y SISTEMAS"/>
    <m/>
    <m/>
    <m/>
    <m/>
    <m/>
    <m/>
    <s v="CERNIUS GUSTAVO ALBERTO"/>
    <s v="DNI"/>
    <n v="21915097"/>
    <n v="20219150971"/>
    <m/>
    <m/>
    <m/>
    <m/>
    <m/>
    <x v="1"/>
    <x v="1"/>
    <d v="2015-03-01T00:00:00"/>
    <d v="2016-03-31T00:00:00"/>
    <d v="2016-12-31T00:00:00"/>
    <s v="B1"/>
    <m/>
    <m/>
    <n v="18277"/>
  </r>
  <r>
    <s v="SFMyCP"/>
    <x v="0"/>
    <s v="SUBSEC CENTROS TEMATICOS Y EXP FEDERALES"/>
    <x v="1"/>
    <s v="INSTITUCIONALES"/>
    <m/>
    <m/>
    <s v="Asistente funcional"/>
    <s v="asistente funcional"/>
    <s v="CCK"/>
    <s v="CCK - Alem 351"/>
    <s v="CES OZAN CAROLINA"/>
    <s v="DNI"/>
    <n v="35172281"/>
    <s v="27351722814"/>
    <d v="1990-04-10T00:00:00"/>
    <m/>
    <m/>
    <m/>
    <m/>
    <x v="0"/>
    <x v="0"/>
    <d v="2013-09-02T00:00:00"/>
    <m/>
    <d v="2016-12-31T00:00:00"/>
    <m/>
    <s v="UNTREF"/>
    <s v="UNLAM- DGA"/>
    <n v="11728"/>
  </r>
  <r>
    <s v="SFMyCP"/>
    <x v="0"/>
    <s v="SUBSEC CENTROS TEMATICOS Y EXP FEDERALES"/>
    <x v="1"/>
    <s v="INSTITUCIONALES"/>
    <s v="VISITAS GUIADAS"/>
    <m/>
    <m/>
    <s v="VISITAS GUIADAS"/>
    <m/>
    <s v="CCK - Alem 351"/>
    <s v="CESPEDES MARICONDA VICTORIA"/>
    <s v="DNI"/>
    <n v="33761570"/>
    <n v="27337615703"/>
    <d v="1988-10-18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INV. AP. RECURSOS DIGITALES"/>
    <s v="CTRO INV PALPALA"/>
    <m/>
    <s v="DESARROLLOS"/>
    <s v="ANALISTA"/>
    <s v="PALPALÁ-JUJUY"/>
    <s v="PALPALÁ-JUJUY"/>
    <s v="CHACON PABLO GREGORIO"/>
    <s v="DNI"/>
    <n v="30012181"/>
    <n v="20300121811"/>
    <d v="1983-04-28T00:00:00"/>
    <m/>
    <m/>
    <m/>
    <m/>
    <x v="0"/>
    <x v="0"/>
    <d v="2015-09-01T00:00:00"/>
    <m/>
    <d v="2016-12-31T00:00:00"/>
    <m/>
    <s v="UNTREF"/>
    <s v="UNSAM"/>
    <n v="11500"/>
  </r>
  <r>
    <s v="SFMyCP"/>
    <x v="0"/>
    <s v="SUBSEC CENTROS TEMATICOS Y EXP FEDERALES"/>
    <x v="3"/>
    <s v="INTENDENCIA -MESA DE AYUDA"/>
    <m/>
    <m/>
    <m/>
    <m/>
    <s v="TECNÓPOLIS"/>
    <m/>
    <s v="CHAPARRO Yanina"/>
    <s v="DNI"/>
    <n v="28620660"/>
    <n v="27286206609"/>
    <m/>
    <m/>
    <m/>
    <m/>
    <m/>
    <x v="1"/>
    <x v="1"/>
    <d v="2012-11-30T00:00:00"/>
    <d v="2016-12-31T00:00:00"/>
    <d v="2016-12-31T00:00:00"/>
    <s v="D0"/>
    <m/>
    <m/>
    <n v="22781.79"/>
  </r>
  <r>
    <s v="SFMyCP"/>
    <x v="0"/>
    <s v="SUBSEC CENTROS TEMATICOS Y EXP FEDERALES"/>
    <x v="3"/>
    <s v="TECNICA"/>
    <m/>
    <m/>
    <m/>
    <s v="PRODUCCIÓN DE CAMPO/LOGISTICA/ARMADO"/>
    <s v="TECNÓPOLIS"/>
    <s v="TECNOPOLIS"/>
    <s v="CHAVES  JUAN CARLOS"/>
    <s v="DNI"/>
    <n v="17110640"/>
    <s v="20171106401"/>
    <d v="1964-12-13T00:00:00"/>
    <m/>
    <m/>
    <m/>
    <m/>
    <x v="0"/>
    <x v="0"/>
    <d v="2013-03-06T00:00:00"/>
    <m/>
    <d v="2016-12-31T00:00:00"/>
    <m/>
    <s v="UNTREF"/>
    <s v="UNTREF"/>
    <n v="17694.53"/>
  </r>
  <r>
    <s v="SFMyCP"/>
    <x v="0"/>
    <s v="SUBSEC CENTROS TEMATICOS Y EXP FEDERALES"/>
    <x v="3"/>
    <s v="OPERATIVA"/>
    <m/>
    <m/>
    <m/>
    <m/>
    <s v="TECNÓPOLIS"/>
    <m/>
    <s v="CHAVES Anahí Soledad"/>
    <s v="DNI"/>
    <n v="38128842"/>
    <n v="27381288426"/>
    <m/>
    <m/>
    <m/>
    <m/>
    <m/>
    <x v="1"/>
    <x v="1"/>
    <d v="2012-11-30T00:00:00"/>
    <d v="2016-12-31T00:00:00"/>
    <d v="2016-12-31T00:00:00"/>
    <s v="C0"/>
    <m/>
    <m/>
    <n v="15043.07"/>
  </r>
  <r>
    <s v="SFMyCP"/>
    <x v="0"/>
    <s v="SUBSEC CENTROS TEMATICOS Y EXP FEDERALES"/>
    <x v="1"/>
    <s v="DIRECCION DE GESTION EDILICIA"/>
    <s v="OPERATIVA Y LOGISTICA"/>
    <s v="LIMPIEZA (En comisión Tecnópolis)"/>
    <s v="Asistente"/>
    <s v="OPERATIVA Y LOGISTICA"/>
    <s v="CCK"/>
    <s v="CCK - Alem 351"/>
    <s v="CHEMES, MARIANO"/>
    <s v="DNI"/>
    <n v="34435620"/>
    <s v="20344356204"/>
    <d v="1978-11-04T00:00:00"/>
    <m/>
    <m/>
    <m/>
    <m/>
    <x v="0"/>
    <x v="0"/>
    <d v="2015-06-10T00:00:00"/>
    <m/>
    <d v="2016-12-31T00:00:00"/>
    <m/>
    <s v="UNTREF"/>
    <s v="UNTREF"/>
    <n v="10500"/>
  </r>
  <r>
    <s v="SFMyCP"/>
    <x v="0"/>
    <m/>
    <x v="0"/>
    <s v="TELEVISION DIGITAL ABIERTA"/>
    <s v="CIARA"/>
    <m/>
    <s v="PANORAMA ARGENTINO"/>
    <s v="PRODUCTOR de EXTERIORES"/>
    <s v="CABILDO 65"/>
    <s v="CABILDO 65"/>
    <s v="CHIMENTON LOURDES"/>
    <s v="DNI"/>
    <n v="27108257"/>
    <s v="27271082571"/>
    <d v="1979-03-27T00:00:00"/>
    <m/>
    <m/>
    <m/>
    <m/>
    <x v="0"/>
    <x v="0"/>
    <d v="2011-09-26T00:00:00"/>
    <m/>
    <d v="2016-12-31T00:00:00"/>
    <m/>
    <s v="UNTREF"/>
    <s v="UNSAM- LADA"/>
    <n v="31238"/>
  </r>
  <r>
    <s v="SFMyCP"/>
    <x v="0"/>
    <s v="SUBSEC CENTROS TEMATICOS Y EXP FEDERALES"/>
    <x v="3"/>
    <s v="ARQUITECTURA Y OBRA"/>
    <m/>
    <m/>
    <m/>
    <m/>
    <s v="TECNÓPOLIS"/>
    <m/>
    <s v="CHIOCCONI Carlos Alberto"/>
    <s v="DNI"/>
    <n v="11230423"/>
    <n v="20112304232"/>
    <m/>
    <m/>
    <m/>
    <m/>
    <m/>
    <x v="1"/>
    <x v="1"/>
    <d v="2012-12-01T00:00:00"/>
    <d v="2016-12-31T00:00:00"/>
    <d v="2016-12-31T00:00:00"/>
    <s v="B5"/>
    <m/>
    <m/>
    <n v="25047.11"/>
  </r>
  <r>
    <s v="SFMyCP"/>
    <x v="0"/>
    <m/>
    <x v="0"/>
    <s v="TELEVISION DIGITAL ABIERTA"/>
    <s v="CIARA"/>
    <m/>
    <s v="ADMINISTRACIÓN"/>
    <m/>
    <s v="CABILDO 65"/>
    <m/>
    <s v="CHRISTENSEN ANDREA VANINA"/>
    <s v="DNI"/>
    <n v="30220115"/>
    <n v="27302201159"/>
    <m/>
    <m/>
    <m/>
    <m/>
    <m/>
    <x v="1"/>
    <x v="1"/>
    <d v="2012-12-01T00:00:00"/>
    <d v="2016-12-31T00:00:00"/>
    <d v="2016-12-31T00:00:00"/>
    <s v="C1"/>
    <m/>
    <m/>
    <n v="12274"/>
  </r>
  <r>
    <s v="SFMyCP"/>
    <x v="0"/>
    <m/>
    <x v="0"/>
    <s v="TELEVISION DIGITAL ABIERTA"/>
    <s v="CIARA"/>
    <m/>
    <s v="CONTENIDOS DIGITALES ABIERTOS CDA"/>
    <s v="ADMINISTRATIVO"/>
    <s v="CABILDO 65"/>
    <s v="CABILDO 65"/>
    <s v="CIARLANTINI DARIO"/>
    <s v="DNI"/>
    <n v="36086015"/>
    <s v="23360860159"/>
    <d v="1991-10-01T00:00:00"/>
    <m/>
    <m/>
    <m/>
    <m/>
    <x v="0"/>
    <x v="0"/>
    <d v="2013-03-01T00:00:00"/>
    <m/>
    <d v="2016-12-31T00:00:00"/>
    <m/>
    <s v="UNTREF"/>
    <s v="UNSAM- LADA"/>
    <n v="19353"/>
  </r>
  <r>
    <s v="SFMyCP"/>
    <x v="1"/>
    <m/>
    <x v="2"/>
    <m/>
    <m/>
    <m/>
    <s v="PRIVADA"/>
    <s v="ADMINISTRATIVO"/>
    <m/>
    <s v="CCK - Alem 351"/>
    <s v="CIBEIRA, MARIA"/>
    <s v="DNI"/>
    <n v="16975219"/>
    <s v="27169752198"/>
    <d v="1964-04-17T00:00:00"/>
    <m/>
    <m/>
    <m/>
    <m/>
    <x v="0"/>
    <x v="0"/>
    <d v="2016-01-01T00:00:00"/>
    <m/>
    <d v="2016-12-31T00:00:00"/>
    <m/>
    <s v="UNTREF"/>
    <s v="UNSAM"/>
    <n v="17000"/>
  </r>
  <r>
    <s v="SFMyCP"/>
    <x v="0"/>
    <s v="SUBSEC CENTROS TEMATICOS Y EXP FEDERALES"/>
    <x v="1"/>
    <s v="DIRECCION DE GESTION EDILICIA"/>
    <s v="SEGURIDAD E HIGIENE"/>
    <m/>
    <s v="Asistente"/>
    <s v="Asistente"/>
    <s v="CCK"/>
    <s v="CCK - Alem 351"/>
    <s v="CICCOTOSTTO ROMINA"/>
    <s v="DNI"/>
    <n v="18882003"/>
    <s v="23188820034"/>
    <d v="1989-05-10T00:00:00"/>
    <m/>
    <m/>
    <m/>
    <m/>
    <x v="0"/>
    <x v="0"/>
    <d v="2014-02-01T00:00:00"/>
    <m/>
    <d v="2016-12-31T00:00:00"/>
    <m/>
    <s v="UNTREF"/>
    <s v="UNLAM- DGA"/>
    <n v="10807"/>
  </r>
  <r>
    <s v="SFMyCP"/>
    <x v="0"/>
    <s v="SUBSEC CENTROS TEMATICOS Y EXP FEDERALES"/>
    <x v="1"/>
    <s v="PRODUCCIÓN"/>
    <m/>
    <m/>
    <s v="Coordinación"/>
    <s v="ADMINISTRATIVA"/>
    <s v="CCK"/>
    <s v="CCK - Alem 351"/>
    <s v="CIORDIA, GENOVEVA SUSANA"/>
    <s v="DNI"/>
    <n v="16975165"/>
    <s v="27169751655"/>
    <d v="1964-06-10T00:00:00"/>
    <m/>
    <m/>
    <m/>
    <m/>
    <x v="0"/>
    <x v="0"/>
    <d v="2015-12-01T00:00:00"/>
    <m/>
    <d v="2016-12-31T00:00:00"/>
    <m/>
    <s v="UNTREF"/>
    <s v="UNSAM"/>
    <n v="16000"/>
  </r>
  <r>
    <s v="SFMyCP"/>
    <x v="0"/>
    <s v="SUBSEC CENTROS TEMATICOS Y EXP FEDERALES"/>
    <x v="3"/>
    <m/>
    <m/>
    <m/>
    <s v="PRIVADA"/>
    <s v="ADMINISTRATIVO"/>
    <m/>
    <s v="TECNOPOLIS"/>
    <s v="CLAUDINO MARIELA"/>
    <s v="DNI"/>
    <n v="26934949"/>
    <n v="27269349498"/>
    <d v="1978-10-21T00:00:00"/>
    <m/>
    <m/>
    <m/>
    <m/>
    <x v="0"/>
    <x v="0"/>
    <d v="2016-03-01T00:00:00"/>
    <m/>
    <d v="2016-12-31T00:00:00"/>
    <m/>
    <s v="UNTREF"/>
    <m/>
    <n v="15000"/>
  </r>
  <r>
    <s v="SFMyCP"/>
    <x v="0"/>
    <m/>
    <x v="0"/>
    <s v="TELEVISION DIGITAL ABIERTA"/>
    <s v="CIARA"/>
    <m/>
    <s v="BACUA"/>
    <s v="ADMINISTRATIVO"/>
    <s v="CABILDO 65"/>
    <s v="CABILDO 65"/>
    <s v="COLER PAOLA"/>
    <s v="DNI"/>
    <n v="26364795"/>
    <s v="27263647950"/>
    <d v="1978-02-13T00:00:00"/>
    <m/>
    <m/>
    <m/>
    <m/>
    <x v="0"/>
    <x v="0"/>
    <d v="2011-07-18T00:00:00"/>
    <m/>
    <d v="2016-12-31T00:00:00"/>
    <m/>
    <s v="UNTREF"/>
    <s v="UNSAM- LADA"/>
    <n v="16465"/>
  </r>
  <r>
    <s v="SFMyCP"/>
    <x v="0"/>
    <m/>
    <x v="0"/>
    <s v="TELEVISION DIGITAL ABIERTA"/>
    <s v="PRESIDENCIA"/>
    <m/>
    <s v="PRODUCCIÓN"/>
    <s v="PRODUCTOR de EXTERIORES"/>
    <s v="CABILDO 65"/>
    <s v="CABILDO 65"/>
    <s v="COLO DANIELA"/>
    <s v="DNI"/>
    <n v="31174675"/>
    <s v="27311746753"/>
    <d v="1984-09-04T00:00:00"/>
    <m/>
    <m/>
    <m/>
    <m/>
    <x v="0"/>
    <x v="0"/>
    <d v="2015-08-01T00:00:00"/>
    <m/>
    <d v="2016-12-31T00:00:00"/>
    <m/>
    <s v="UNTREF"/>
    <s v="UNSAM- LADA"/>
    <n v="19353"/>
  </r>
  <r>
    <s v="SFMyCP"/>
    <x v="0"/>
    <s v="SUBSEC CENTROS TEMATICOS Y EXP FEDERALES"/>
    <x v="3"/>
    <s v="ADMINISTRACION- RELACIONES INSTITUCIONALES"/>
    <m/>
    <m/>
    <s v="ADMINISTRATIVO"/>
    <m/>
    <s v="TECNÓPOLIS"/>
    <m/>
    <s v="COLONNA Marilyn"/>
    <s v="DNI"/>
    <n v="29919350"/>
    <n v="27109341202"/>
    <m/>
    <m/>
    <m/>
    <m/>
    <m/>
    <x v="1"/>
    <x v="1"/>
    <d v="2014-02-01T00:00:00"/>
    <d v="2016-03-31T00:00:00"/>
    <d v="2016-12-31T00:00:00"/>
    <s v="C1"/>
    <m/>
    <m/>
    <n v="21612.91"/>
  </r>
  <r>
    <s v="SFMyCP"/>
    <x v="0"/>
    <s v="SUBSEC CENTROS TEMATICOS Y EXP FEDERALES"/>
    <x v="1"/>
    <s v="INSTITUCIONALES"/>
    <s v="VISITAS GUIADAS"/>
    <m/>
    <m/>
    <s v="VISITAS GUIADAS"/>
    <m/>
    <s v="CCK - Alem 351"/>
    <s v="CONCILIO MARIA DEL ROSARIO"/>
    <s v="DNI"/>
    <n v="39245263"/>
    <n v="27392452635"/>
    <d v="1995-09-11T00:00:00"/>
    <m/>
    <m/>
    <m/>
    <m/>
    <x v="0"/>
    <x v="0"/>
    <d v="2016-05-15T00:00:00"/>
    <m/>
    <d v="2016-12-31T00:00:00"/>
    <m/>
    <s v="UNTREF"/>
    <m/>
    <m/>
  </r>
  <r>
    <s v="SFMyCP"/>
    <x v="0"/>
    <s v="SUBSEC CENTROS TEMATICOS Y EXP FEDERALES"/>
    <x v="1"/>
    <s v="JEFATURA DE GABINETE"/>
    <m/>
    <m/>
    <s v="Jefe de Gabinete"/>
    <s v="Asistente"/>
    <s v="CCK"/>
    <s v="CCK - Alem 351"/>
    <s v="CONSIGLI, JULIANA"/>
    <s v="DNI"/>
    <n v="22896765"/>
    <s v="27228967659"/>
    <d v="1973-01-03T00:00:00"/>
    <m/>
    <m/>
    <m/>
    <m/>
    <x v="0"/>
    <x v="0"/>
    <d v="2016-01-01T00:00:00"/>
    <m/>
    <d v="2016-12-31T00:00:00"/>
    <m/>
    <s v="UNTREF"/>
    <s v="UNSAM"/>
    <n v="27374"/>
  </r>
  <r>
    <s v="SFMyCP"/>
    <x v="1"/>
    <m/>
    <x v="5"/>
    <m/>
    <m/>
    <m/>
    <s v="PRIVADA"/>
    <s v="ADMINISTRATIVO"/>
    <m/>
    <s v="CCK - Alem 351"/>
    <s v="COPELLO ALEJANDRO"/>
    <s v="DNI"/>
    <n v="12945483"/>
    <s v="20129454831"/>
    <d v="1958-10-12T00:00:00"/>
    <m/>
    <m/>
    <m/>
    <m/>
    <x v="0"/>
    <x v="0"/>
    <d v="2016-01-01T00:00:00"/>
    <m/>
    <d v="2016-12-31T00:00:00"/>
    <m/>
    <s v="UNTREF"/>
    <s v="UNSAM"/>
    <n v="15182"/>
  </r>
  <r>
    <s v="SFMyCP"/>
    <x v="0"/>
    <s v="SUBSEC CENTROS TEMATICOS Y EXP FEDERALES"/>
    <x v="3"/>
    <m/>
    <m/>
    <m/>
    <s v="PRIVADA"/>
    <s v="ADMINISTRATIVO"/>
    <s v="TECNÓPOLIS"/>
    <s v="TECNOPOLIS"/>
    <s v="COPELLO MARINA"/>
    <s v="DNI"/>
    <n v="29041166"/>
    <s v="27290411667"/>
    <d v="1981-09-02T00:00:00"/>
    <m/>
    <m/>
    <m/>
    <m/>
    <x v="0"/>
    <x v="0"/>
    <d v="2016-01-01T00:00:00"/>
    <m/>
    <d v="2016-12-31T00:00:00"/>
    <m/>
    <s v="UNTREF"/>
    <s v="UNSAM"/>
    <n v="25000"/>
  </r>
  <r>
    <s v="SFMyCP"/>
    <x v="0"/>
    <m/>
    <x v="0"/>
    <s v="TELEVISION DIGITAL ABIERTA"/>
    <s v="CIARA"/>
    <m/>
    <s v="POSTPRODUCCIÓN"/>
    <s v="EDICION"/>
    <s v="CABILDO 65"/>
    <s v="CABILDO 65"/>
    <s v="CORIAS IACOVINO ADRIEL"/>
    <s v="DNI"/>
    <n v="31912459"/>
    <s v="20319124595"/>
    <d v="1985-10-27T00:00:00"/>
    <m/>
    <m/>
    <m/>
    <m/>
    <x v="0"/>
    <x v="0"/>
    <d v="2013-10-08T00:00:00"/>
    <m/>
    <d v="2016-12-31T00:00:00"/>
    <m/>
    <s v="UNTREF"/>
    <s v="UNSAM- LADA"/>
    <n v="25763"/>
  </r>
  <r>
    <s v="SFMyCP"/>
    <x v="0"/>
    <s v="SUBSEC CENTROS TEMATICOS Y EXP FEDERALES"/>
    <x v="3"/>
    <m/>
    <m/>
    <m/>
    <s v="PRIVADA"/>
    <m/>
    <s v="TECNÓPOLIS"/>
    <m/>
    <s v="ACHAVAL PABLO"/>
    <s v="DNI"/>
    <n v="37206132"/>
    <n v="20372061325"/>
    <m/>
    <m/>
    <m/>
    <m/>
    <m/>
    <x v="0"/>
    <x v="0"/>
    <m/>
    <m/>
    <m/>
    <m/>
    <m/>
    <m/>
    <m/>
  </r>
  <r>
    <s v="SFMyCP"/>
    <x v="0"/>
    <s v="SUBSEC CENTROS TEMATICOS Y EXP FEDERALES"/>
    <x v="3"/>
    <m/>
    <m/>
    <m/>
    <s v="PRIVADA"/>
    <m/>
    <s v="TECNÓPOLIS"/>
    <m/>
    <s v="CASTELLANOS ANA MARIEL"/>
    <s v="DNI"/>
    <n v="25539605"/>
    <m/>
    <m/>
    <m/>
    <m/>
    <m/>
    <m/>
    <x v="0"/>
    <x v="0"/>
    <m/>
    <m/>
    <m/>
    <m/>
    <m/>
    <m/>
    <m/>
  </r>
  <r>
    <s v="SFMyCP"/>
    <x v="0"/>
    <s v="SUBSEC CENTROS TEMATICOS Y EXP FEDERALES"/>
    <x v="3"/>
    <s v="TECNICA"/>
    <m/>
    <m/>
    <m/>
    <s v="OPERACIÓN/MONTAJE/MANTENIMIENTO"/>
    <s v="TECNÓPOLIS"/>
    <s v="TECNOPOLIS"/>
    <s v="CORONEL MARCELO ADRIAN"/>
    <s v="DNI"/>
    <n v="27287977"/>
    <s v="20272879770"/>
    <d v="1979-06-03T00:00:00"/>
    <m/>
    <m/>
    <m/>
    <m/>
    <x v="0"/>
    <x v="0"/>
    <d v="2013-04-01T00:00:00"/>
    <m/>
    <d v="2016-12-31T00:00:00"/>
    <m/>
    <s v="UNTREF"/>
    <s v="UNTREF"/>
    <n v="23441.14"/>
  </r>
  <r>
    <s v="SFMyCP"/>
    <x v="0"/>
    <s v="SUBSEC CENTROS TEMATICOS Y EXP FEDERALES"/>
    <x v="1"/>
    <s v="INSTITUCIONALES"/>
    <s v="VISITAS GUIADAS"/>
    <m/>
    <m/>
    <s v="VISITAS GUIADAS"/>
    <m/>
    <s v="CCK - Alem 351"/>
    <s v="CORSALINI MARCO PABLO"/>
    <s v="DNI"/>
    <n v="39372628"/>
    <n v="20393726289"/>
    <d v="1995-11-03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 - LIMPIEZA"/>
    <m/>
    <m/>
    <m/>
    <m/>
    <s v="TECNÓPOLIS"/>
    <m/>
    <s v="CORTEZ Silvia Luisa"/>
    <s v="DNI"/>
    <n v="20688117"/>
    <n v="27206881173"/>
    <m/>
    <m/>
    <m/>
    <m/>
    <m/>
    <x v="1"/>
    <x v="1"/>
    <d v="2012-01-01T00:00:00"/>
    <d v="2016-12-31T00:00:00"/>
    <d v="2016-12-31T00:00:00"/>
    <s v="C0"/>
    <m/>
    <m/>
    <n v="26338.41"/>
  </r>
  <r>
    <s v="SFMyCP"/>
    <x v="1"/>
    <m/>
    <x v="5"/>
    <s v="PLANIF  Y ADM DE REC HUMANOS"/>
    <s v="S. GENERALES - AUTOMOTORES"/>
    <s v="AUTOMOTORES"/>
    <s v="CHOFER"/>
    <m/>
    <m/>
    <m/>
    <s v="COSTA ANABELLA ROXANA"/>
    <s v="DNI"/>
    <n v="22305941"/>
    <n v="23223059414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s v="SUBSEC CENTROS TEMATICOS Y EXP FEDERALES"/>
    <x v="1"/>
    <s v="COMUNICACIÓN"/>
    <s v="PRENSA"/>
    <m/>
    <m/>
    <s v="ADMINISTRATIVO"/>
    <m/>
    <s v="CCK - Alem 351"/>
    <s v="COSTA IVANA"/>
    <s v="DNI"/>
    <n v="20593034"/>
    <n v="27205930340"/>
    <d v="1968-10-11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MANTENIMIENTO"/>
    <m/>
    <m/>
    <m/>
    <m/>
    <s v="TECNÓPOLIS"/>
    <m/>
    <s v="CRETELLA Pablo Gabriel"/>
    <s v="DNI"/>
    <n v="17233895"/>
    <n v="20172338950"/>
    <m/>
    <m/>
    <m/>
    <m/>
    <m/>
    <x v="1"/>
    <x v="1"/>
    <d v="2011-07-01T00:00:00"/>
    <d v="2016-12-31T00:00:00"/>
    <d v="2016-12-31T00:00:00"/>
    <s v="C0"/>
    <m/>
    <m/>
    <n v="29747"/>
  </r>
  <r>
    <s v="SFMyCP"/>
    <x v="0"/>
    <s v="SUBSEC CENTROS TEMATICOS Y EXP FEDERALES"/>
    <x v="1"/>
    <s v="AUDIOVISUALES"/>
    <m/>
    <m/>
    <m/>
    <m/>
    <s v="CCK"/>
    <s v="CCK - Alem 351"/>
    <s v="CREVATINI  María Sol"/>
    <s v="DNI"/>
    <n v="30366685"/>
    <n v="27303666856"/>
    <m/>
    <m/>
    <m/>
    <m/>
    <m/>
    <x v="1"/>
    <x v="1"/>
    <d v="2012-10-31T00:00:00"/>
    <d v="2016-12-31T00:00:00"/>
    <d v="2016-12-31T00:00:00"/>
    <s v="C0"/>
    <m/>
    <m/>
    <n v="22118.560000000001"/>
  </r>
  <r>
    <s v="SFMyCP"/>
    <x v="0"/>
    <m/>
    <x v="0"/>
    <s v="INV. AP. RECURSOS DIGITALES"/>
    <s v="CTRO INV PALPALA"/>
    <m/>
    <s v="DISEÑO"/>
    <s v="ANALISTA"/>
    <s v="PALPALÁ-JUJUY"/>
    <s v="PALPALÁ-JUJUY"/>
    <s v="CRUZ MATEO EZEQUIEL"/>
    <s v="DNI"/>
    <n v="30666242"/>
    <n v="20306662423"/>
    <d v="1984-05-22T00:00:00"/>
    <m/>
    <m/>
    <m/>
    <m/>
    <x v="0"/>
    <x v="0"/>
    <d v="2015-09-01T00:00:00"/>
    <m/>
    <d v="2016-12-31T00:00:00"/>
    <m/>
    <s v="UNTREF"/>
    <s v="UNSAM"/>
    <n v="10000"/>
  </r>
  <r>
    <s v="SFMyCP"/>
    <x v="0"/>
    <m/>
    <x v="0"/>
    <s v="TELEVISION DIGITAL ABIERTA"/>
    <s v="CIARA"/>
    <m/>
    <s v="BACUA"/>
    <m/>
    <s v="CABILDO 65"/>
    <m/>
    <s v="CUASNICU JULIA"/>
    <s v="DNI"/>
    <n v="24940117"/>
    <n v="27249401175"/>
    <m/>
    <m/>
    <m/>
    <m/>
    <m/>
    <x v="1"/>
    <x v="1"/>
    <d v="2013-12-01T00:00:00"/>
    <d v="2016-03-31T00:00:00"/>
    <d v="2016-12-31T00:00:00"/>
    <s v="B1"/>
    <m/>
    <m/>
    <n v="18000"/>
  </r>
  <r>
    <s v="SFMyCP"/>
    <x v="0"/>
    <s v="SUBSEC CENTROS TEMATICOS Y EXP FEDERALES"/>
    <x v="3"/>
    <s v="OPERATIVA"/>
    <m/>
    <m/>
    <m/>
    <m/>
    <s v="TECNÓPOLIS"/>
    <m/>
    <s v="CUELLAR Jonathan Nahuel"/>
    <s v="DNI"/>
    <n v="36644944"/>
    <n v="20366449443"/>
    <m/>
    <m/>
    <m/>
    <m/>
    <m/>
    <x v="1"/>
    <x v="1"/>
    <d v="2012-03-01T00:00:00"/>
    <d v="2016-12-31T00:00:00"/>
    <d v="2016-12-31T00:00:00"/>
    <s v="D0"/>
    <m/>
    <m/>
    <n v="15533.86"/>
  </r>
  <r>
    <s v="SFMyCP"/>
    <x v="1"/>
    <m/>
    <x v="5"/>
    <s v="PLANIF  Y ADM DE REC HUMANOS"/>
    <s v="MEDICINA DEL TRABAJO"/>
    <m/>
    <s v="Enfermera/o"/>
    <s v="ADMINISTRATIVO"/>
    <m/>
    <s v="CCK - Alem 351"/>
    <s v="CUELLAR OLGA"/>
    <s v="DNI"/>
    <n v="14799602"/>
    <n v="27147996026"/>
    <d v="1962-08-24T00:00:00"/>
    <m/>
    <m/>
    <m/>
    <m/>
    <x v="0"/>
    <x v="0"/>
    <d v="2016-07-14T00:00:00"/>
    <m/>
    <d v="2016-12-31T00:00:00"/>
    <m/>
    <s v="UNTREF"/>
    <m/>
    <m/>
  </r>
  <r>
    <s v="SFMyCP"/>
    <x v="1"/>
    <m/>
    <x v="5"/>
    <s v="PLANIF  Y ADM DE REC HUMANOS"/>
    <s v="S. GENERALES - AUTOMOTORES"/>
    <s v="AUTOMOTORES"/>
    <s v="CHOFER"/>
    <m/>
    <s v="CCK"/>
    <m/>
    <s v="CUEVAS DANIEL"/>
    <s v="DNI"/>
    <n v="18315881"/>
    <n v="20183158814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s v="SUBSEC CENTROS TEMATICOS Y EXP FEDERALES"/>
    <x v="3"/>
    <m/>
    <m/>
    <m/>
    <s v="PRIVADA"/>
    <s v="ADMINISTRATIVO"/>
    <s v="TECNÓPOLIS"/>
    <s v="TECNOPOLIS"/>
    <s v="CUEVAS, GUSTAVO"/>
    <s v="DNI"/>
    <n v="24753217"/>
    <s v="20247532170"/>
    <d v="1975-07-23T00:00:00"/>
    <m/>
    <m/>
    <m/>
    <m/>
    <x v="0"/>
    <x v="0"/>
    <d v="2016-01-01T00:00:00"/>
    <m/>
    <d v="2016-12-31T00:00:00"/>
    <m/>
    <s v="UNTREF"/>
    <s v="UNSAM"/>
    <n v="29000"/>
  </r>
  <r>
    <s v="SFMyCP"/>
    <x v="0"/>
    <m/>
    <x v="0"/>
    <s v="TELEVISION DIGITAL ABIERTA"/>
    <s v="CIARA"/>
    <m/>
    <s v="BACUA"/>
    <s v="ADMINISTRATIVO"/>
    <s v="CABILDO 65"/>
    <s v="CABILDO 65"/>
    <s v="CURRAS OSCAR"/>
    <s v="DNI"/>
    <n v="94614938"/>
    <s v="20946149382"/>
    <d v="1973-08-31T00:00:00"/>
    <m/>
    <m/>
    <m/>
    <m/>
    <x v="0"/>
    <x v="0"/>
    <d v="2011-09-22T00:00:00"/>
    <m/>
    <d v="2016-12-31T00:00:00"/>
    <m/>
    <s v="UNTREF"/>
    <s v="UNSAM- LADA"/>
    <n v="34485"/>
  </r>
  <r>
    <s v="SFMyCP"/>
    <x v="0"/>
    <s v="SUBSEC CENTROS TEMATICOS Y EXP FEDERALES"/>
    <x v="3"/>
    <s v="INTENDENCIA - FERIAL"/>
    <m/>
    <m/>
    <m/>
    <s v="CONTROL/SUPERVICION DE LA LIMPIEZA PREDIO"/>
    <s v="TECNÓPOLIS"/>
    <s v="TECNOPOLIS"/>
    <s v="CUSI MARIEL"/>
    <s v="DNI"/>
    <n v="23652019"/>
    <s v="27236520191"/>
    <d v="1974-01-10T00:00:00"/>
    <m/>
    <m/>
    <m/>
    <m/>
    <x v="0"/>
    <x v="0"/>
    <d v="2013-06-01T00:00:00"/>
    <m/>
    <d v="2016-12-31T00:00:00"/>
    <m/>
    <s v="UNTREF"/>
    <s v="UNTREF"/>
    <n v="12273.52"/>
  </r>
  <r>
    <s v="SFMyCP"/>
    <x v="0"/>
    <s v="SUBSEC CENTROS TEMATICOS Y EXP FEDERALES"/>
    <x v="3"/>
    <s v="INTENDENCIA - PARQUIZACION"/>
    <m/>
    <m/>
    <m/>
    <m/>
    <s v="TECNÓPOLIS"/>
    <m/>
    <s v="D´AMBROSIO Mara"/>
    <s v="DNI"/>
    <n v="26263263"/>
    <n v="27262632631"/>
    <m/>
    <m/>
    <m/>
    <m/>
    <m/>
    <x v="1"/>
    <x v="1"/>
    <d v="2011-12-01T00:00:00"/>
    <d v="2016-12-31T00:00:00"/>
    <d v="2016-12-31T00:00:00"/>
    <s v="D0"/>
    <m/>
    <m/>
    <n v="18391.28"/>
  </r>
  <r>
    <s v="SFMyCP"/>
    <x v="0"/>
    <m/>
    <x v="0"/>
    <s v="TELEVISION DIGITAL ABIERTA"/>
    <s v="CIARA"/>
    <m/>
    <s v="PRODUCCIÓN"/>
    <s v="PRODUCTOR de EXTERIORES"/>
    <s v="CABILDO 65"/>
    <s v="CABILDO 65"/>
    <s v="D´ANGELO LORENZO"/>
    <s v="DNI"/>
    <n v="62695520"/>
    <s v="20626955208"/>
    <d v="1980-04-03T00:00:00"/>
    <m/>
    <m/>
    <m/>
    <m/>
    <x v="0"/>
    <x v="0"/>
    <d v="2015-07-01T00:00:00"/>
    <m/>
    <d v="2016-12-31T00:00:00"/>
    <m/>
    <s v="UNTREF"/>
    <m/>
    <n v="22151"/>
  </r>
  <r>
    <s v="SFMyCP"/>
    <x v="0"/>
    <m/>
    <x v="0"/>
    <s v="TELEVISION DIGITAL ABIERTA"/>
    <s v="CIARA"/>
    <m/>
    <s v="TÉCNICA Y TRANSMISIÓN"/>
    <s v="ADMINISTRATIVO"/>
    <s v="CABILDO 65"/>
    <s v="CABILDO 65"/>
    <s v="D´AURIA LEONARDO"/>
    <s v="DNI"/>
    <n v="28800211"/>
    <s v="20288002119"/>
    <d v="1981-03-28T00:00:00"/>
    <m/>
    <m/>
    <m/>
    <m/>
    <x v="0"/>
    <x v="0"/>
    <d v="2013-03-01T00:00:00"/>
    <m/>
    <d v="2016-12-31T00:00:00"/>
    <m/>
    <s v="UNTREF"/>
    <s v="UNSAM- LADA"/>
    <n v="19353"/>
  </r>
  <r>
    <s v="SFMyCP"/>
    <x v="1"/>
    <m/>
    <x v="5"/>
    <s v="PRESUPUESTO"/>
    <m/>
    <m/>
    <s v="ADMINISTRACIÓN"/>
    <s v="ADMINISTRATIVO"/>
    <m/>
    <s v="CCK - Alem 351"/>
    <s v="D´HERS JUAN"/>
    <s v="DNI"/>
    <n v="32628904"/>
    <s v="20326289044"/>
    <d v="1986-12-19T00:00:00"/>
    <m/>
    <m/>
    <m/>
    <m/>
    <x v="0"/>
    <x v="0"/>
    <m/>
    <m/>
    <d v="2016-12-31T00:00:00"/>
    <m/>
    <s v="UNTREF"/>
    <m/>
    <n v="17102"/>
  </r>
  <r>
    <s v="SFMyCP"/>
    <x v="1"/>
    <m/>
    <x v="5"/>
    <s v="PRESUPUESTO"/>
    <m/>
    <m/>
    <m/>
    <m/>
    <m/>
    <m/>
    <s v="D´HERS TOMAS"/>
    <s v="DNI"/>
    <n v="34783483"/>
    <n v="20347834832"/>
    <m/>
    <m/>
    <m/>
    <m/>
    <m/>
    <x v="1"/>
    <x v="1"/>
    <d v="2008-04-01T00:00:00"/>
    <d v="2016-12-31T00:00:00"/>
    <d v="2016-12-31T00:00:00"/>
    <s v="A0"/>
    <m/>
    <m/>
    <n v="22812"/>
  </r>
  <r>
    <s v="SFMyCP"/>
    <x v="1"/>
    <m/>
    <x v="5"/>
    <s v="DIRECCION GENERAL"/>
    <m/>
    <m/>
    <s v="Asistente"/>
    <s v="Asistente"/>
    <s v="CCK"/>
    <s v="CCK - Alem 351"/>
    <s v="DAGUANNO FLORENCIA CAROLINA"/>
    <s v="DNI"/>
    <n v="35378165"/>
    <s v="27353781656"/>
    <d v="1990-12-29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s v="SUBSEC CENTROS TEMATICOS Y EXP FEDERALES"/>
    <x v="3"/>
    <s v="OPERATIVA"/>
    <m/>
    <m/>
    <m/>
    <m/>
    <s v="TECNÓPOLIS"/>
    <m/>
    <s v="DALIA Gonzalo Martin"/>
    <s v="DNI"/>
    <n v="33530306"/>
    <n v="20335303068"/>
    <m/>
    <m/>
    <m/>
    <m/>
    <m/>
    <x v="1"/>
    <x v="1"/>
    <d v="2011-07-01T00:00:00"/>
    <d v="2016-12-31T00:00:00"/>
    <d v="2016-12-31T00:00:00"/>
    <s v="D1"/>
    <m/>
    <m/>
    <n v="15838.72"/>
  </r>
  <r>
    <s v="SFMyCP"/>
    <x v="0"/>
    <s v="SUBSEC CENTROS TEMATICOS Y EXP FEDERALES"/>
    <x v="1"/>
    <s v="DIRECCION DE GESTION EDILICIA"/>
    <s v="SERVICIOS GENERALES"/>
    <s v="SOPORTE ADMINISTRATIVO"/>
    <s v="ADMINISTRATIVA"/>
    <s v="Auxiliar"/>
    <s v="CCK"/>
    <s v="CCK - Alem 351"/>
    <s v="DANIEL DANIRA"/>
    <s v="DNI"/>
    <n v="93355924"/>
    <s v="27933559241"/>
    <d v="1990-10-30T00:00:00"/>
    <m/>
    <m/>
    <m/>
    <m/>
    <x v="0"/>
    <x v="0"/>
    <d v="2015-07-20T00:00:00"/>
    <m/>
    <d v="2016-12-31T00:00:00"/>
    <m/>
    <s v="UNTREF"/>
    <s v="UNLAM- BICENTENARIO"/>
    <n v="15732"/>
  </r>
  <r>
    <s v="SFMyCP"/>
    <x v="0"/>
    <m/>
    <x v="6"/>
    <s v="ARTES VISUALES"/>
    <m/>
    <m/>
    <m/>
    <s v="ADMINISTRATIVO"/>
    <m/>
    <s v="CCK - Alem 351"/>
    <s v="DE ARTEAGA ALICIA MARIA"/>
    <s v="DNI"/>
    <n v="6398055"/>
    <n v="27063980558"/>
    <d v="1950-08-15T00:00:00"/>
    <m/>
    <m/>
    <m/>
    <m/>
    <x v="0"/>
    <x v="0"/>
    <m/>
    <m/>
    <d v="2016-12-31T00:00:00"/>
    <m/>
    <s v="UNTREF"/>
    <m/>
    <n v="17000"/>
  </r>
  <r>
    <s v="SFMyCP"/>
    <x v="0"/>
    <s v="SUBSEC CENTROS TEMATICOS Y EXP FEDERALES"/>
    <x v="3"/>
    <s v="OPERATIVA"/>
    <m/>
    <m/>
    <m/>
    <m/>
    <s v="TECNÓPOLIS"/>
    <m/>
    <s v="DE CESARE Martin Julian"/>
    <s v="DNI"/>
    <n v="36949353"/>
    <n v="20369493532"/>
    <m/>
    <m/>
    <m/>
    <m/>
    <m/>
    <x v="1"/>
    <x v="1"/>
    <d v="2013-05-01T00:00:00"/>
    <d v="2016-03-31T00:00:00"/>
    <d v="2016-12-31T00:00:00"/>
    <s v="D1"/>
    <m/>
    <m/>
    <n v="12908.93"/>
  </r>
  <r>
    <s v="SFMyCP"/>
    <x v="0"/>
    <m/>
    <x v="6"/>
    <s v="ARTES VISUALES"/>
    <m/>
    <m/>
    <m/>
    <s v="ADMINISTRATIVO"/>
    <m/>
    <s v="CCK - Alem 351"/>
    <s v="DE GANAY AGUSTINA"/>
    <s v="DNI"/>
    <n v="34434699"/>
    <s v="24344346999"/>
    <d v="1989-02-24T00:00:00"/>
    <m/>
    <m/>
    <m/>
    <m/>
    <x v="0"/>
    <x v="0"/>
    <d v="2016-01-01T00:00:00"/>
    <m/>
    <d v="2016-12-31T00:00:00"/>
    <m/>
    <s v="UNTREF"/>
    <m/>
    <n v="15000"/>
  </r>
  <r>
    <s v="SFMyCP"/>
    <x v="0"/>
    <s v="SUBSEC CENTROS TEMATICOS Y EXP FEDERALES"/>
    <x v="1"/>
    <s v="PRODUCCIÓN"/>
    <m/>
    <s v="(IGUALDAD CULTURAL)"/>
    <m/>
    <m/>
    <s v="CCK"/>
    <m/>
    <s v="DE GENNARO LUCÍA"/>
    <s v="DNI"/>
    <n v="26068613"/>
    <n v="27260686130"/>
    <m/>
    <m/>
    <m/>
    <m/>
    <m/>
    <x v="1"/>
    <x v="1"/>
    <d v="2011-10-10T00:00:00"/>
    <d v="2016-12-31T00:00:00"/>
    <d v="2016-12-31T00:00:00"/>
    <s v="A0"/>
    <m/>
    <m/>
    <n v="24516"/>
  </r>
  <r>
    <s v="SFMyCP"/>
    <x v="1"/>
    <m/>
    <x v="2"/>
    <s v="COMUNICACIONES"/>
    <m/>
    <m/>
    <s v="CONTENIDOS"/>
    <m/>
    <s v="CCK"/>
    <m/>
    <s v="DE LA CUADRA GONZALO"/>
    <s v="DNI"/>
    <n v="94251427"/>
    <n v="20942514272"/>
    <m/>
    <m/>
    <m/>
    <m/>
    <m/>
    <x v="1"/>
    <x v="1"/>
    <d v="2012-12-01T00:00:00"/>
    <d v="2016-12-31T00:00:00"/>
    <d v="2016-12-31T00:00:00"/>
    <s v="B2"/>
    <m/>
    <m/>
    <n v="21517"/>
  </r>
  <r>
    <s v="SFMyCP"/>
    <x v="0"/>
    <s v="SUBSEC CENTROS TEMATICOS Y EXP FEDERALES"/>
    <x v="7"/>
    <m/>
    <m/>
    <m/>
    <s v="PRIVADA"/>
    <s v="ADMINISTRATIVO"/>
    <m/>
    <s v="CCK - Alem 351"/>
    <s v="DE LA FUENTE SILVIA ANDREA"/>
    <s v="DNI"/>
    <n v="22061547"/>
    <n v="27220615478"/>
    <d v="1971-04-05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ADMINISTRACION- RECEPCION"/>
    <m/>
    <m/>
    <s v="RECEPCIONISTA"/>
    <s v="RECEPCION IBC"/>
    <s v="TECNÓPOLIS"/>
    <s v="TECNOPOLIS"/>
    <s v="DE MIGUEL NAHIR DEBORA"/>
    <s v="DNI"/>
    <n v="28927088"/>
    <s v="23289270884"/>
    <d v="1981-06-24T00:00:00"/>
    <m/>
    <m/>
    <m/>
    <m/>
    <x v="0"/>
    <x v="0"/>
    <d v="2014-07-01T00:00:00"/>
    <m/>
    <d v="2016-12-31T00:00:00"/>
    <m/>
    <s v="UNTREF"/>
    <s v="UNTREF"/>
    <n v="9995.51"/>
  </r>
  <r>
    <s v="SFMyCP"/>
    <x v="0"/>
    <s v="SUBSEC CENTROS TEMATICOS Y EXP FEDERALES"/>
    <x v="1"/>
    <s v="PRODUCCIÓN"/>
    <s v="TECNICA"/>
    <m/>
    <s v="Tecnica"/>
    <s v="ADMINISTRATIVA"/>
    <m/>
    <s v="CCK - Alem 351"/>
    <s v="DE SIMONE PABLO JAVIER"/>
    <s v="DNI"/>
    <n v="25940510"/>
    <s v="20259405107"/>
    <d v="1977-03-19T00:00:00"/>
    <m/>
    <m/>
    <m/>
    <m/>
    <x v="0"/>
    <x v="0"/>
    <d v="2016-04-15T00:00:00"/>
    <m/>
    <d v="2016-12-31T00:00:00"/>
    <m/>
    <s v="UNTREF"/>
    <m/>
    <s v="."/>
  </r>
  <r>
    <s v="SFMyCP"/>
    <x v="0"/>
    <s v="SUBSEC CENTROS TEMATICOS Y EXP FEDERALES"/>
    <x v="3"/>
    <m/>
    <m/>
    <m/>
    <s v="PRIVADA"/>
    <s v="ADMINISTRATIVO"/>
    <m/>
    <s v="TECNOPOLIS"/>
    <s v="DEL CASSALE DANIELA"/>
    <s v="DNI"/>
    <n v="26621498"/>
    <n v="27266214982"/>
    <d v="1978-06-09T00:00:00"/>
    <m/>
    <m/>
    <m/>
    <m/>
    <x v="0"/>
    <x v="0"/>
    <d v="2016-03-01T00:00:00"/>
    <m/>
    <d v="2016-12-31T00:00:00"/>
    <m/>
    <s v="UNTREF"/>
    <m/>
    <n v="20000"/>
  </r>
  <r>
    <s v="SFMyCP"/>
    <x v="0"/>
    <s v="SUBSEC CENTROS TEMATICOS Y EXP FEDERALES"/>
    <x v="3"/>
    <s v="TECNICA"/>
    <m/>
    <m/>
    <m/>
    <s v="OPERACIÓN/MONTAJE/MANTENIMIENTO"/>
    <s v="TECNÓPOLIS"/>
    <s v="TECNOPOLIS"/>
    <s v="DEL VALLE  LUCAS JAVIER"/>
    <s v="DNI"/>
    <n v="28916369"/>
    <s v="20289163698"/>
    <d v="1981-07-09T00:00:00"/>
    <m/>
    <m/>
    <m/>
    <m/>
    <x v="0"/>
    <x v="0"/>
    <d v="2015-01-01T00:00:00"/>
    <m/>
    <d v="2016-12-31T00:00:00"/>
    <m/>
    <s v="UNTREF"/>
    <s v="UNTREF"/>
    <n v="15000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DELGADO  ALICIA SUSANA"/>
    <s v="DNI"/>
    <n v="5930366"/>
    <s v="27059303665"/>
    <d v="1948-09-05T00:00:00"/>
    <m/>
    <m/>
    <m/>
    <m/>
    <x v="0"/>
    <x v="0"/>
    <d v="2012-07-01T00:00:00"/>
    <m/>
    <d v="2016-12-31T00:00:00"/>
    <m/>
    <s v="UNTREF"/>
    <s v="UNTREF"/>
    <n v="9955.51"/>
  </r>
  <r>
    <s v="SFMyCP"/>
    <x v="1"/>
    <m/>
    <x v="5"/>
    <s v="DIRECCION GENERAL"/>
    <m/>
    <m/>
    <s v="Analista"/>
    <s v="Asistente"/>
    <s v="CCK"/>
    <s v="CCK - Alem 351"/>
    <s v="DELGADO PAMELA ROMINA"/>
    <s v="DNI"/>
    <n v="31198044"/>
    <s v="27311980446"/>
    <d v="1984-09-06T00:00:00"/>
    <m/>
    <m/>
    <m/>
    <m/>
    <x v="0"/>
    <x v="0"/>
    <d v="2015-03-02T00:00:00"/>
    <m/>
    <d v="2016-12-31T00:00:00"/>
    <m/>
    <s v="UNTREF"/>
    <s v="UNSAM-MINPLAN"/>
    <n v="10000"/>
  </r>
  <r>
    <s v="SFMyCP"/>
    <x v="0"/>
    <m/>
    <x v="0"/>
    <s v="TELEVISION DIGITAL ABIERTA"/>
    <s v="CIARA"/>
    <m/>
    <s v="PRODUCCIÓN"/>
    <s v="PRODUCTOR de EXTERIORES"/>
    <s v="CABILDO 65"/>
    <s v="CABILDO 65"/>
    <s v="DELGADO PATRICIO"/>
    <s v="DNI"/>
    <n v="26953105"/>
    <s v="20269531054"/>
    <d v="1978-08-15T00:00:00"/>
    <m/>
    <m/>
    <m/>
    <m/>
    <x v="0"/>
    <x v="0"/>
    <d v="2012-04-01T00:00:00"/>
    <m/>
    <d v="2016-12-31T00:00:00"/>
    <m/>
    <s v="UNTREF"/>
    <s v="UNSAM- LADA"/>
    <n v="19100"/>
  </r>
  <r>
    <s v="SFMyCP"/>
    <x v="0"/>
    <m/>
    <x v="0"/>
    <s v="TELEVISION DIGITAL ABIERTA"/>
    <s v="CIARA"/>
    <m/>
    <s v="ACUA FEDERAL"/>
    <s v="ADMINISTRATIVO"/>
    <s v="CABILDO 65"/>
    <s v="CABILDO 65"/>
    <s v="DELUCA NICOLAS"/>
    <s v="DNI"/>
    <n v="30566485"/>
    <s v="20305664856"/>
    <d v="1985-01-12T00:00:00"/>
    <m/>
    <m/>
    <m/>
    <m/>
    <x v="0"/>
    <x v="0"/>
    <d v="2013-05-01T00:00:00"/>
    <m/>
    <d v="2016-12-31T00:00:00"/>
    <m/>
    <s v="UNTREF"/>
    <s v="UNSAM- LADA"/>
    <n v="29420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DEROTIER NORMA NOEMÍ"/>
    <s v="DNI"/>
    <n v="20375995"/>
    <n v="27203759954"/>
    <d v="1968-08-17T00:00:00"/>
    <m/>
    <m/>
    <m/>
    <m/>
    <x v="0"/>
    <x v="2"/>
    <m/>
    <m/>
    <d v="2016-12-31T00:00:00"/>
    <m/>
    <s v="UNTREF"/>
    <s v="UNTREF"/>
    <n v="1700"/>
  </r>
  <r>
    <s v="SFMyCP"/>
    <x v="1"/>
    <m/>
    <x v="5"/>
    <s v="PRESUPUESTO"/>
    <m/>
    <m/>
    <m/>
    <s v="ADMINISTRATIVO"/>
    <m/>
    <s v="CCK - Alem 351"/>
    <s v="DI BELLO LORENA"/>
    <s v="DNI"/>
    <n v="31413340"/>
    <n v="23314133404"/>
    <d v="1985-04-04T00:00:00"/>
    <m/>
    <m/>
    <m/>
    <m/>
    <x v="0"/>
    <x v="0"/>
    <d v="2016-07-12T00:00:00"/>
    <m/>
    <d v="2016-12-31T00:00:00"/>
    <m/>
    <s v="UNTREF"/>
    <m/>
    <m/>
  </r>
  <r>
    <s v="SFMyCP"/>
    <x v="0"/>
    <s v="SUBSEC CENTROS TEMATICOS Y EXP FEDERALES"/>
    <x v="3"/>
    <s v="INTENDENCIA - TALLERES"/>
    <m/>
    <m/>
    <m/>
    <s v="TRABAJO ADMINISTRATIVO/TRABAJO COSTURA A MAQUINA"/>
    <s v="TECNÓPOLIS"/>
    <s v="TECNOPOLIS"/>
    <s v="DI RENZO NANCY GABRIELA"/>
    <s v="DNI"/>
    <n v="32036474"/>
    <s v="23320364744"/>
    <d v="1985-12-07T00:00:00"/>
    <m/>
    <m/>
    <m/>
    <m/>
    <x v="0"/>
    <x v="0"/>
    <d v="2014-07-01T00:00:00"/>
    <m/>
    <d v="2016-12-31T00:00:00"/>
    <m/>
    <s v="UNTREF"/>
    <s v="UNTREF"/>
    <n v="11449.4"/>
  </r>
  <r>
    <s v="SFMyCP"/>
    <x v="0"/>
    <s v="SUBSEC CENTROS TEMATICOS Y EXP FEDERALES"/>
    <x v="1"/>
    <s v="DIRECCION DE GESTION EDILICIA"/>
    <s v="SERVICIOS GENERALES"/>
    <s v="LIMPIEZA (En comisión Tecnópolis)"/>
    <s v="Auxiliar"/>
    <s v="Auxiliar"/>
    <s v="CCK"/>
    <s v="CCK - Alem 351"/>
    <s v="DIALISANDRO JORGE"/>
    <s v="DNI"/>
    <n v="37041079"/>
    <s v="20370410799"/>
    <d v="1992-06-03T00:00:00"/>
    <m/>
    <m/>
    <m/>
    <m/>
    <x v="0"/>
    <x v="0"/>
    <d v="2015-06-10T00:00:00"/>
    <m/>
    <d v="2016-12-31T00:00:00"/>
    <m/>
    <s v="UNTREF"/>
    <s v="UNTREF"/>
    <n v="8500"/>
  </r>
  <r>
    <s v="SFMyCP"/>
    <x v="0"/>
    <s v="SUBSEC CENTROS TEMATICOS Y EXP FEDERALES"/>
    <x v="1"/>
    <s v="PRODUCCIÓN"/>
    <m/>
    <m/>
    <m/>
    <s v="ADMINISTRATIVA"/>
    <m/>
    <s v="CCK - Alem 351"/>
    <s v="DIAZ CARRASCO MANUEL"/>
    <s v="DNI"/>
    <n v="25997290"/>
    <s v="20259972907"/>
    <d v="1977-07-02T00:00:00"/>
    <m/>
    <m/>
    <m/>
    <m/>
    <x v="0"/>
    <x v="0"/>
    <d v="2016-04-01T00:00:00"/>
    <m/>
    <d v="2016-12-31T00:00:00"/>
    <m/>
    <s v="UNTREF"/>
    <m/>
    <n v="20000"/>
  </r>
  <r>
    <s v="SFMyCP"/>
    <x v="1"/>
    <m/>
    <x v="5"/>
    <s v="PLANIF  Y ADM DE REC HUMANOS"/>
    <s v="RECURSOS HUMANOS"/>
    <m/>
    <s v="Coordinador"/>
    <s v="COORDINADOR"/>
    <s v="CCK"/>
    <s v="CCK - Alem 351"/>
    <s v="DIAZ GABRIEL PABLO"/>
    <s v="DNI"/>
    <n v="20350247"/>
    <n v="20203502479"/>
    <d v="1968-06-29T00:00:00"/>
    <m/>
    <m/>
    <m/>
    <m/>
    <x v="0"/>
    <x v="0"/>
    <d v="2015-06-01T00:00:00"/>
    <m/>
    <d v="2016-12-31T00:00:00"/>
    <m/>
    <s v="UNTREF"/>
    <s v="UNSAM-MINPLAN"/>
    <n v="27000"/>
  </r>
  <r>
    <s v="SFMyCP"/>
    <x v="0"/>
    <m/>
    <x v="0"/>
    <s v="TELEVISION DIGITAL ABIERTA"/>
    <s v="CIARA"/>
    <m/>
    <s v="ACUA FEDERAL"/>
    <s v="ADMINISTRATIVO"/>
    <s v="CABILDO 65"/>
    <s v="CABILDO 65"/>
    <s v="DIAZ MARIA"/>
    <s v="DNI"/>
    <n v="30407450"/>
    <s v="27304074502"/>
    <d v="1983-07-16T00:00:00"/>
    <m/>
    <m/>
    <m/>
    <m/>
    <x v="0"/>
    <x v="0"/>
    <d v="2013-11-18T00:00:00"/>
    <m/>
    <d v="2016-12-31T00:00:00"/>
    <m/>
    <s v="UNTREF"/>
    <s v="UNSAM- LADA"/>
    <n v="29420"/>
  </r>
  <r>
    <s v="SFMyCP"/>
    <x v="0"/>
    <s v="SUBSEC CENTROS TEMATICOS Y EXP FEDERALES"/>
    <x v="7"/>
    <m/>
    <m/>
    <m/>
    <s v="ADMINISTRACION"/>
    <s v="ASISTENTE"/>
    <s v="CCK"/>
    <s v="CCK - Alem 351"/>
    <s v="DIAZ MARIA  VIRGINIA"/>
    <s v="DNI"/>
    <n v="33300296"/>
    <s v="27333002960"/>
    <d v="1987-10-28T00:00:00"/>
    <m/>
    <m/>
    <m/>
    <m/>
    <x v="0"/>
    <x v="0"/>
    <d v="2013-07-22T00:00:00"/>
    <m/>
    <d v="2016-12-31T00:00:00"/>
    <m/>
    <s v="UNTREF"/>
    <s v="UNSAM"/>
    <n v="24294"/>
  </r>
  <r>
    <s v="SFMyCP"/>
    <x v="1"/>
    <m/>
    <x v="5"/>
    <s v="COMPRAS Y CONTRATACIONES"/>
    <m/>
    <m/>
    <s v="Asistente"/>
    <m/>
    <s v="CCK"/>
    <m/>
    <s v="DIAZ ZULMA"/>
    <s v="DNI"/>
    <n v="21801576"/>
    <n v="27218015765"/>
    <m/>
    <m/>
    <m/>
    <m/>
    <m/>
    <x v="1"/>
    <x v="1"/>
    <d v="2011-06-01T00:00:00"/>
    <d v="2016-12-31T00:00:00"/>
    <d v="2016-12-31T00:00:00"/>
    <s v="C1"/>
    <m/>
    <m/>
    <n v="12500"/>
  </r>
  <r>
    <s v="SFMyCP"/>
    <x v="0"/>
    <s v="SUBSEC CENTROS TEMATICOS Y EXP FEDERALES"/>
    <x v="3"/>
    <s v="INTENDENCIA - LIMPIEZA"/>
    <m/>
    <m/>
    <m/>
    <s v="PRODUCCION GRAL DE RECETAS, MANIPULACIÓN DE INGREDIENTES, DESPCACHO DE ALIMENTOS"/>
    <s v="TECNÓPOLIS"/>
    <s v="TECNOPOLIS"/>
    <s v="DIEZ  IRENE MARCELA"/>
    <s v="DNI"/>
    <n v="25906662"/>
    <s v="27259066625"/>
    <d v="1977-04-14T00:00:00"/>
    <m/>
    <m/>
    <m/>
    <m/>
    <x v="0"/>
    <x v="0"/>
    <d v="2015-05-01T00:00:00"/>
    <m/>
    <d v="2016-12-31T00:00:00"/>
    <m/>
    <s v="UNTREF"/>
    <s v="UNTREF"/>
    <n v="8035.31"/>
  </r>
  <r>
    <s v="SFMyCP"/>
    <x v="0"/>
    <s v="SUBSEC CENTROS TEMATICOS Y EXP FEDERALES"/>
    <x v="1"/>
    <s v="INSTITUCIONALES"/>
    <m/>
    <m/>
    <m/>
    <s v="asistente funcional"/>
    <m/>
    <s v="CCK - Alem 351"/>
    <s v="DOBARRO ALEJANDRO"/>
    <s v="DNI"/>
    <n v="24962686"/>
    <n v="20249626865"/>
    <d v="1975-10-10T00:00:00"/>
    <m/>
    <m/>
    <m/>
    <m/>
    <x v="0"/>
    <x v="0"/>
    <d v="2016-06-15T00:00:00"/>
    <m/>
    <d v="2016-12-31T00:00:00"/>
    <m/>
    <s v="UNTREF"/>
    <m/>
    <m/>
  </r>
  <r>
    <s v="SFMyCP"/>
    <x v="0"/>
    <s v="SUBSEC CENTROS TEMATICOS Y EXP FEDERALES"/>
    <x v="3"/>
    <s v="PRODUCCIÓN"/>
    <m/>
    <m/>
    <m/>
    <m/>
    <s v="TECNÓPOLIS"/>
    <m/>
    <s v="DOMINGUEZ Diego Fernando"/>
    <s v="DNI"/>
    <n v="24837596"/>
    <n v="20248375966"/>
    <m/>
    <m/>
    <m/>
    <m/>
    <m/>
    <x v="1"/>
    <x v="1"/>
    <d v="2010-01-01T00:00:00"/>
    <d v="2016-12-31T00:00:00"/>
    <d v="2016-12-31T00:00:00"/>
    <s v="C1"/>
    <m/>
    <m/>
    <n v="27488.85"/>
  </r>
  <r>
    <s v="SFMyCP"/>
    <x v="0"/>
    <s v="SUBSEC CENTROS TEMATICOS Y EXP FEDERALES"/>
    <x v="1"/>
    <s v="DIRECCION DE GESTION EDILICIA"/>
    <s v="SERVICIOS GENERALES"/>
    <s v="LIMPIEZA (En comisión Tecnópolis)"/>
    <s v="Auxiliar"/>
    <s v="Auxiliar"/>
    <s v="CCK"/>
    <s v="CCK - Alem 351"/>
    <s v="DOMINGUEZ EMILIANO"/>
    <s v="DNI"/>
    <n v="25865315"/>
    <s v="20258653158"/>
    <d v="1977-06-02T00:00:00"/>
    <m/>
    <m/>
    <m/>
    <m/>
    <x v="0"/>
    <x v="0"/>
    <d v="2015-06-10T00:00:00"/>
    <m/>
    <d v="2016-12-31T00:00:00"/>
    <m/>
    <s v="UNTREF"/>
    <s v="UNTREF"/>
    <n v="10000"/>
  </r>
  <r>
    <s v="SFMyCP"/>
    <x v="0"/>
    <s v="SUBSEC CENTROS TEMATICOS Y EXP FEDERALES"/>
    <x v="1"/>
    <s v="PRODUCCIÓN"/>
    <m/>
    <m/>
    <m/>
    <s v="ADMINISTRATIVA"/>
    <m/>
    <s v="CCK - Alem 351"/>
    <s v="DONATI VALERIA"/>
    <s v="DNI"/>
    <n v="24963203"/>
    <s v="27249632037"/>
    <d v="1975-10-08T00:00:00"/>
    <m/>
    <m/>
    <m/>
    <m/>
    <x v="0"/>
    <x v="0"/>
    <d v="2016-05-01T00:00:00"/>
    <m/>
    <d v="2016-12-31T00:00:00"/>
    <m/>
    <s v="UNTREF"/>
    <m/>
    <s v="."/>
  </r>
  <r>
    <s v="SFMyCP"/>
    <x v="1"/>
    <m/>
    <x v="5"/>
    <s v="INFORMATICA Y SISTEMAS"/>
    <m/>
    <m/>
    <s v="Asistente Técnico"/>
    <m/>
    <s v="CCK"/>
    <m/>
    <s v="DOPICO FERNANDO"/>
    <s v="DNI"/>
    <n v="27273858"/>
    <n v="20272738581"/>
    <m/>
    <m/>
    <m/>
    <m/>
    <m/>
    <x v="1"/>
    <x v="1"/>
    <d v="2005-02-01T00:00:00"/>
    <d v="2016-12-31T00:00:00"/>
    <d v="2016-12-31T00:00:00"/>
    <s v="B2"/>
    <m/>
    <m/>
    <n v="19528"/>
  </r>
  <r>
    <s v="SFMyCP"/>
    <x v="0"/>
    <s v="SUBSEC CENTROS TEMATICOS Y EXP FEDERALES"/>
    <x v="1"/>
    <s v="ADMINISTRACION"/>
    <m/>
    <m/>
    <m/>
    <m/>
    <m/>
    <m/>
    <s v="DORATO MARIA SOLEDAD "/>
    <s v="DNI"/>
    <n v="31009442"/>
    <n v="27310094426"/>
    <m/>
    <m/>
    <m/>
    <m/>
    <m/>
    <x v="1"/>
    <x v="1"/>
    <d v="2012-12-01T00:00:00"/>
    <d v="2016-12-31T00:00:00"/>
    <d v="2016-12-31T00:00:00"/>
    <s v="D0"/>
    <m/>
    <m/>
    <n v="17107"/>
  </r>
  <r>
    <s v="SFMyCP"/>
    <x v="0"/>
    <s v="SUBSEC CENTROS TEMATICOS Y EXP FEDERALES"/>
    <x v="1"/>
    <s v="PRODUCCIÓN"/>
    <m/>
    <m/>
    <s v="Productor"/>
    <s v="ADMINISTRATIVA"/>
    <s v="CCK"/>
    <s v="CCK - Alem 351"/>
    <s v="DOTTA LETICIA"/>
    <s v="DNI"/>
    <n v="24856633"/>
    <s v="27248566332"/>
    <d v="1975-10-24T00:00:00"/>
    <m/>
    <m/>
    <m/>
    <m/>
    <x v="0"/>
    <x v="0"/>
    <d v="2013-04-01T00:00:00"/>
    <m/>
    <d v="2016-12-31T00:00:00"/>
    <m/>
    <s v="UNTREF"/>
    <s v="UNSAM-TDA"/>
    <n v="21255"/>
  </r>
  <r>
    <s v="SFMyCP"/>
    <x v="0"/>
    <s v="SUBSEC CENTROS TEMATICOS Y EXP FEDERALES"/>
    <x v="3"/>
    <s v="ARQUITECTURA Y OBRA"/>
    <m/>
    <m/>
    <m/>
    <m/>
    <s v="TECNÓPOLIS"/>
    <m/>
    <s v="DRAGO CUTELLE Andrea Fabiana"/>
    <s v="DNI"/>
    <n v="20742183"/>
    <n v="27207421834"/>
    <m/>
    <m/>
    <m/>
    <m/>
    <m/>
    <x v="1"/>
    <x v="1"/>
    <d v="2012-12-01T00:00:00"/>
    <d v="2016-12-31T00:00:00"/>
    <d v="2016-12-31T00:00:00"/>
    <s v="B5"/>
    <m/>
    <m/>
    <n v="25047.11"/>
  </r>
  <r>
    <s v="SFMyCP"/>
    <x v="0"/>
    <s v="SUBSEC CENTROS TEMATICOS Y EXP FEDERALES"/>
    <x v="3"/>
    <s v="INTENDENCIA - FERIAL"/>
    <m/>
    <m/>
    <m/>
    <s v="CONTROL DE DEPOSITOS/RELEVAMIENTOS"/>
    <s v="TECNÓPOLIS"/>
    <s v="TECNOPOLIS"/>
    <s v="DUARTE CARLOS DIONISIO"/>
    <s v="DNI"/>
    <n v="18220453"/>
    <n v="20182204537"/>
    <d v="1976-11-06T00:00:00"/>
    <m/>
    <m/>
    <m/>
    <m/>
    <x v="0"/>
    <x v="0"/>
    <d v="2013-06-01T00:00:00"/>
    <m/>
    <d v="2016-12-31T00:00:00"/>
    <m/>
    <s v="UNTREF"/>
    <s v="UNTREF"/>
    <n v="12273.52"/>
  </r>
  <r>
    <s v="SFMyCP"/>
    <x v="0"/>
    <m/>
    <x v="0"/>
    <s v="INV. AP. RECURSOS DIGITALES"/>
    <s v="CTRO INV PALPALA"/>
    <m/>
    <s v="GESTION DE PROYECTOS"/>
    <s v="ANALISTA"/>
    <s v="PALPALÁ-JUJUY"/>
    <s v="PALPALÁ-JUJUY"/>
    <s v="DUARTE MARIO ALEJANDRO"/>
    <s v="DNI"/>
    <n v="31858106"/>
    <n v="20318581062"/>
    <d v="1985-09-01T00:00:00"/>
    <m/>
    <m/>
    <m/>
    <m/>
    <x v="0"/>
    <x v="0"/>
    <d v="2015-09-01T00:00:00"/>
    <m/>
    <d v="2016-12-31T00:00:00"/>
    <m/>
    <s v="UNTREF"/>
    <s v="UNSAM"/>
    <n v="11500"/>
  </r>
  <r>
    <s v="SFMyCP"/>
    <x v="0"/>
    <m/>
    <x v="0"/>
    <s v="TELEVISION DIGITAL ABIERTA"/>
    <s v="CIARA"/>
    <m/>
    <s v="PANORAMA ARGENTINO"/>
    <s v="ADMINISTRATIVO"/>
    <s v="CABILDO 65"/>
    <s v="CABILDO 65"/>
    <s v="DUGO CHRISTIAN"/>
    <s v="DNI"/>
    <n v="20956958"/>
    <s v="20209569583"/>
    <d v="1969-08-28T00:00:00"/>
    <m/>
    <m/>
    <m/>
    <m/>
    <x v="0"/>
    <x v="0"/>
    <d v="2014-05-11T00:00:00"/>
    <m/>
    <d v="2016-12-31T00:00:00"/>
    <m/>
    <s v="UNTREF"/>
    <s v="UNSAM- LADA"/>
    <n v="20959"/>
  </r>
  <r>
    <s v="SFMyCP"/>
    <x v="0"/>
    <m/>
    <x v="0"/>
    <s v="INV. AP. RECURSOS DIGITALES"/>
    <s v="CTRO INV PALPALA"/>
    <m/>
    <s v="DISEÑO"/>
    <s v="ANALISTA"/>
    <s v="PALPALÁ-JUJUY"/>
    <s v="PALPALÁ-JUJUY"/>
    <s v="DURAN DANIEL AUGUSTO"/>
    <s v="DNI"/>
    <n v="29942530"/>
    <n v="20299425305"/>
    <d v="1982-12-23T00:00:00"/>
    <m/>
    <m/>
    <m/>
    <m/>
    <x v="0"/>
    <x v="0"/>
    <d v="2015-09-01T00:00:00"/>
    <m/>
    <d v="2016-12-31T00:00:00"/>
    <m/>
    <s v="UNTREF"/>
    <s v="UNSAM"/>
    <n v="13000"/>
  </r>
  <r>
    <s v="SFMyCP"/>
    <x v="0"/>
    <s v="SUBSEC CENTROS TEMATICOS Y EXP FEDERALES"/>
    <x v="1"/>
    <s v="INSTITUCIONALES"/>
    <m/>
    <m/>
    <m/>
    <m/>
    <m/>
    <m/>
    <s v="DVORKIN PABLO"/>
    <s v="DNI"/>
    <n v="30593086"/>
    <n v="20305930866"/>
    <m/>
    <m/>
    <m/>
    <m/>
    <m/>
    <x v="2"/>
    <x v="1"/>
    <d v="2005-08-01T00:00:00"/>
    <m/>
    <d v="2016-12-31T00:00:00"/>
    <s v="C0"/>
    <m/>
    <m/>
    <m/>
  </r>
  <r>
    <s v="SFMyCP"/>
    <x v="0"/>
    <m/>
    <x v="0"/>
    <s v="TELEVISION DIGITAL ABIERTA"/>
    <s v="CIARA"/>
    <m/>
    <s v="TÉCNICA Y TRANSMISIÓN"/>
    <s v="ADMINISTRATIVO"/>
    <s v="CABILDO 65"/>
    <s v="CABILDO 65"/>
    <s v="ECHEVERRIA LAUTARO"/>
    <s v="DNI"/>
    <n v="32188347"/>
    <s v="20321883479"/>
    <d v="1986-03-09T00:00:00"/>
    <m/>
    <m/>
    <m/>
    <m/>
    <x v="0"/>
    <x v="0"/>
    <d v="2015-07-01T00:00:00"/>
    <m/>
    <d v="2016-12-31T00:00:00"/>
    <m/>
    <s v="UNTREF"/>
    <s v="UNSAM- LADA"/>
    <n v="17849"/>
  </r>
  <r>
    <s v="SFMyCP"/>
    <x v="1"/>
    <m/>
    <x v="5"/>
    <s v="COMPRAS Y CONTRATACIONES"/>
    <m/>
    <m/>
    <s v=""/>
    <s v="ADMINISTRATIVO"/>
    <m/>
    <s v="CCK - Alem 351"/>
    <s v="ECHEVERRIA MARIANA"/>
    <s v="DNI"/>
    <n v="34207982"/>
    <s v="27342079828"/>
    <d v="1989-01-23T00:00:00"/>
    <m/>
    <m/>
    <m/>
    <m/>
    <x v="0"/>
    <x v="0"/>
    <d v="2015-03-01T00:00:00"/>
    <m/>
    <d v="2016-12-31T00:00:00"/>
    <m/>
    <s v="UNTREF"/>
    <s v="UNLAM -TDA"/>
    <n v="12231"/>
  </r>
  <r>
    <s v="SFMyCP"/>
    <x v="0"/>
    <s v="SUBSEC CENTROS TEMATICOS Y EXP FEDERALES"/>
    <x v="1"/>
    <s v="PRODUCCIÓN"/>
    <m/>
    <m/>
    <m/>
    <s v="ADMINISTRATIVA"/>
    <m/>
    <s v="CCK - Alem 351"/>
    <s v="EFRON HORACIO"/>
    <s v="DNI"/>
    <n v="17454322"/>
    <n v="20174543225"/>
    <d v="1965-10-19T00:00:00"/>
    <m/>
    <m/>
    <m/>
    <m/>
    <x v="0"/>
    <x v="0"/>
    <d v="2016-04-01T00:00:00"/>
    <m/>
    <d v="2016-12-31T00:00:00"/>
    <m/>
    <s v="UNTREF"/>
    <m/>
    <n v="26000"/>
  </r>
  <r>
    <s v="SFMyCP"/>
    <x v="0"/>
    <m/>
    <x v="0"/>
    <s v="TELEVISION DIGITAL ABIERTA"/>
    <s v="CIARA"/>
    <m/>
    <s v="PROMOCIONES"/>
    <s v="ADMINISTRATIVO"/>
    <s v="CABILDO 65"/>
    <s v="CABILDO 65"/>
    <s v="EILETZ CATALINA"/>
    <s v="DNI"/>
    <n v="32783953"/>
    <s v="27327839530"/>
    <d v="1986-12-28T00:00:00"/>
    <m/>
    <m/>
    <m/>
    <m/>
    <x v="0"/>
    <x v="0"/>
    <d v="2015-07-01T00:00:00"/>
    <m/>
    <d v="2016-12-31T00:00:00"/>
    <m/>
    <s v="UNTREF"/>
    <s v="UNSAM- LADA"/>
    <n v="15234"/>
  </r>
  <r>
    <s v="SFMyCP"/>
    <x v="0"/>
    <m/>
    <x v="8"/>
    <s v="COMUNICACIÓN"/>
    <m/>
    <m/>
    <m/>
    <s v="ADMINISTRATIVO"/>
    <m/>
    <s v="CCK - Alem 351"/>
    <s v="EKART KARINA"/>
    <s v="DNI"/>
    <n v="24903622"/>
    <s v="27249036221"/>
    <d v="1976-03-10T00:00:00"/>
    <m/>
    <m/>
    <m/>
    <m/>
    <x v="0"/>
    <x v="0"/>
    <m/>
    <m/>
    <d v="2016-12-31T00:00:00"/>
    <m/>
    <s v="UNTREF"/>
    <m/>
    <n v="19000"/>
  </r>
  <r>
    <s v="SFMyCP"/>
    <x v="0"/>
    <m/>
    <x v="0"/>
    <s v="TELEVISION DIGITAL ABIERTA"/>
    <s v="CIARA"/>
    <s v="CCK"/>
    <s v="PROGRAMA POLOS AUDIOVISUALES TECNOLÓGICOS"/>
    <m/>
    <s v="CABILDO 65"/>
    <m/>
    <s v="ELEM VIVIAN BEATRIZ"/>
    <s v="DNI"/>
    <n v="12633838"/>
    <n v="23126338384"/>
    <m/>
    <m/>
    <m/>
    <m/>
    <m/>
    <x v="1"/>
    <x v="1"/>
    <d v="2014-10-01T00:00:00"/>
    <d v="2016-03-31T00:00:00"/>
    <d v="2016-12-31T00:00:00"/>
    <s v="B0"/>
    <m/>
    <m/>
    <n v="17107"/>
  </r>
  <r>
    <s v="SFMyCP"/>
    <x v="0"/>
    <s v="SUBSEC CENTROS TEMATICOS Y EXP FEDERALES"/>
    <x v="3"/>
    <m/>
    <m/>
    <m/>
    <s v="PRIVADA"/>
    <s v="ADMINISTRATIVO"/>
    <s v="TECNÓPOLIS"/>
    <s v="TECNOPOLIS"/>
    <s v="ELMO, ALEJANDRA"/>
    <s v="DNI"/>
    <n v="28233579"/>
    <s v="23282335794"/>
    <d v="1980-07-02T00:00:00"/>
    <m/>
    <m/>
    <m/>
    <m/>
    <x v="0"/>
    <x v="0"/>
    <d v="2016-01-01T00:00:00"/>
    <m/>
    <d v="2016-12-31T00:00:00"/>
    <m/>
    <s v="UNTREF"/>
    <s v="UNSAM"/>
    <n v="15159.27"/>
  </r>
  <r>
    <s v="SFMyCP"/>
    <x v="0"/>
    <m/>
    <x v="0"/>
    <s v="TELEVISION DIGITAL ABIERTA"/>
    <s v="CIARA"/>
    <m/>
    <s v="TÉCNICA Y TRANSMISIÓN"/>
    <s v="ADMINISTRATIVO"/>
    <s v="CABILDO 65"/>
    <s v="CABILDO 65"/>
    <s v="EMBON GUSTAVO"/>
    <s v="DNI"/>
    <n v="23195541"/>
    <s v="20231955411"/>
    <d v="1973-02-19T00:00:00"/>
    <m/>
    <m/>
    <m/>
    <m/>
    <x v="0"/>
    <x v="0"/>
    <d v="2013-03-01T00:00:00"/>
    <m/>
    <d v="2016-12-31T00:00:00"/>
    <m/>
    <s v="UNTREF"/>
    <s v="UNSAM- LADA"/>
    <n v="22151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ENCIZO CRISTIAN RAMON"/>
    <s v="DNI"/>
    <n v="34363932"/>
    <s v="20343639326"/>
    <d v="1990-08-31T00:00:00"/>
    <m/>
    <m/>
    <m/>
    <m/>
    <x v="0"/>
    <x v="0"/>
    <d v="2014-07-01T00:00:00"/>
    <m/>
    <d v="2016-12-31T00:00:00"/>
    <m/>
    <s v="UNTREF"/>
    <s v="UNTREF"/>
    <n v="9995.51"/>
  </r>
  <r>
    <s v="SFMyCP"/>
    <x v="0"/>
    <m/>
    <x v="0"/>
    <s v="TELEVISION DIGITAL ABIERTA"/>
    <s v="CIARA"/>
    <m/>
    <s v="POSTPRODUCCIÓN"/>
    <s v="EDICION"/>
    <s v="CABILDO 65"/>
    <s v="CABILDO 65"/>
    <s v="ERBEA JUAN"/>
    <s v="DNI"/>
    <n v="30861963"/>
    <s v="20308619630"/>
    <d v="1984-08-04T00:00:00"/>
    <m/>
    <m/>
    <m/>
    <m/>
    <x v="0"/>
    <x v="0"/>
    <d v="2014-06-23T00:00:00"/>
    <m/>
    <d v="2016-12-31T00:00:00"/>
    <m/>
    <s v="UNTREF"/>
    <m/>
    <n v="20959"/>
  </r>
  <r>
    <s v="SFMyCP"/>
    <x v="0"/>
    <s v="SUBSEC CENTROS TEMATICOS Y EXP FEDERALES"/>
    <x v="3"/>
    <s v="GASTRONOMIA"/>
    <m/>
    <m/>
    <s v="COCINA"/>
    <s v="ORGANIZACIÓN DE MERCADERÍA DE DEPÓSITOS/COMANDO DE ACTIVIDADES/PRODUCCIÓN GRAL DE RECETAS"/>
    <s v="TECNÓPOLIS"/>
    <s v="TECNOPOLIS"/>
    <s v="ESCOBAR GONZALEZ  MARIO SEBASTIAN"/>
    <s v="DNI"/>
    <n v="94512322"/>
    <s v="20945123223"/>
    <d v="1993-01-19T00:00:00"/>
    <m/>
    <m/>
    <m/>
    <m/>
    <x v="0"/>
    <x v="0"/>
    <d v="2012-07-01T00:00:00"/>
    <m/>
    <d v="2016-12-31T00:00:00"/>
    <m/>
    <s v="UNTREF"/>
    <s v="UNTREF"/>
    <n v="11449.4"/>
  </r>
  <r>
    <s v="SFMyCP"/>
    <x v="0"/>
    <s v="SUBSEC CENTROS TEMATICOS Y EXP FEDERALES"/>
    <x v="3"/>
    <s v="INTENDENCIA - TALLERES"/>
    <m/>
    <m/>
    <m/>
    <m/>
    <s v="TECNÓPOLIS"/>
    <m/>
    <s v="ESCOBAR Hector Jorge"/>
    <s v="DNI"/>
    <n v="20718608"/>
    <n v="20207186083"/>
    <m/>
    <m/>
    <m/>
    <m/>
    <m/>
    <x v="1"/>
    <x v="1"/>
    <d v="2012-02-01T00:00:00"/>
    <d v="2016-12-31T00:00:00"/>
    <d v="2016-12-31T00:00:00"/>
    <s v="C0"/>
    <m/>
    <m/>
    <n v="14667.81"/>
  </r>
  <r>
    <s v="SFMyCP"/>
    <x v="0"/>
    <m/>
    <x v="9"/>
    <m/>
    <m/>
    <m/>
    <m/>
    <s v="ADMINISTRATIVO"/>
    <m/>
    <s v="CCK - Alem 351"/>
    <s v="ESCOBAR MARIA FERNANDA"/>
    <s v="DNI"/>
    <n v="23275418"/>
    <s v="23232754184"/>
    <d v="1973-06-28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MANTENIMIENTO"/>
    <m/>
    <m/>
    <m/>
    <m/>
    <s v="TECNÓPOLIS"/>
    <m/>
    <s v="ESCOBAR Raúl Eduardo"/>
    <s v="DNI"/>
    <n v="23109452"/>
    <n v="20231094521"/>
    <m/>
    <m/>
    <m/>
    <m/>
    <m/>
    <x v="1"/>
    <x v="1"/>
    <d v="2012-02-01T00:00:00"/>
    <d v="2016-12-31T00:00:00"/>
    <d v="2016-12-31T00:00:00"/>
    <s v="C0"/>
    <m/>
    <m/>
    <n v="16544.11"/>
  </r>
  <r>
    <s v="SFMyCP"/>
    <x v="0"/>
    <m/>
    <x v="8"/>
    <s v="COMUNICACIÓN"/>
    <m/>
    <m/>
    <m/>
    <m/>
    <s v="CCK"/>
    <s v="CCK - Alem 351"/>
    <s v="ESCRIÑA María Carmen"/>
    <s v="DNI"/>
    <n v="28334271"/>
    <n v="23283242714"/>
    <m/>
    <m/>
    <m/>
    <m/>
    <m/>
    <x v="1"/>
    <x v="1"/>
    <d v="2012-04-01T00:00:00"/>
    <d v="2016-12-31T00:00:00"/>
    <d v="2016-12-31T00:00:00"/>
    <s v="C0"/>
    <m/>
    <m/>
    <n v="15601"/>
  </r>
  <r>
    <s v="SFMyCP"/>
    <x v="1"/>
    <m/>
    <x v="5"/>
    <s v="PLANIF  Y ADM DE REC HUMANOS"/>
    <s v="S. GENERALES - AUTOMOTORES"/>
    <s v="AUTOMOTORES"/>
    <s v="CHOFER"/>
    <m/>
    <s v="CCK"/>
    <m/>
    <s v="ESNAOLA  JUAN JOSE"/>
    <s v="DNI"/>
    <n v="14890843"/>
    <n v="20148908436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m/>
    <x v="0"/>
    <s v="TELEVISION DIGITAL ABIERTA"/>
    <s v="CIARA"/>
    <m/>
    <s v="BACUA"/>
    <s v="ADMINISTRATIVO"/>
    <s v="CABILDO 65"/>
    <s v="CABILDO 65"/>
    <s v="ESPINOLA CINTIA"/>
    <s v="DNI"/>
    <n v="34529374"/>
    <s v="23345293744"/>
    <d v="1989-05-13T00:00:00"/>
    <m/>
    <m/>
    <m/>
    <m/>
    <x v="0"/>
    <x v="0"/>
    <d v="2012-12-01T00:00:00"/>
    <m/>
    <d v="2016-12-31T00:00:00"/>
    <m/>
    <s v="UNTREF"/>
    <s v="UNSAM- LADA"/>
    <n v="16465"/>
  </r>
  <r>
    <s v="SFMyCP"/>
    <x v="0"/>
    <s v="SUBSEC CENTROS TEMATICOS Y EXP FEDERALES"/>
    <x v="1"/>
    <s v="DIRECCION"/>
    <m/>
    <m/>
    <s v="ASESOR"/>
    <s v="ASESOR"/>
    <m/>
    <s v="CCK - Alem 351"/>
    <s v="ESQUIVEL GABRIELA ZULMA"/>
    <m/>
    <m/>
    <m/>
    <d v="1973-03-30T00:00:00"/>
    <m/>
    <m/>
    <m/>
    <m/>
    <x v="2"/>
    <x v="0"/>
    <d v="2016-07-01T00:00:00"/>
    <d v="2016-12-31T00:00:00"/>
    <d v="2016-12-31T00:00:00"/>
    <m/>
    <s v="UNTREF"/>
    <m/>
    <m/>
  </r>
  <r>
    <s v="SFMyCP"/>
    <x v="1"/>
    <m/>
    <x v="5"/>
    <s v="JURIDICOS"/>
    <m/>
    <m/>
    <m/>
    <s v="Asistencia Juridica"/>
    <m/>
    <s v="CCK - Alem 351"/>
    <s v="ESTANGA SARRAUA ANDRES"/>
    <s v="DNI"/>
    <n v="38861032"/>
    <n v="20388610329"/>
    <d v="1995-02-26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1"/>
    <s v="ADMINISTRACION"/>
    <m/>
    <m/>
    <s v="Administrativo"/>
    <s v="ADMINISTRATIVO"/>
    <s v="CCK"/>
    <s v="CCK - Alem 351"/>
    <s v="FACENTE VERONICA LUJAN"/>
    <s v="DNI"/>
    <n v="27822762"/>
    <s v="27278227621"/>
    <d v="1980-02-04T00:00:00"/>
    <m/>
    <m/>
    <m/>
    <m/>
    <x v="0"/>
    <x v="0"/>
    <d v="2013-11-16T00:00:00"/>
    <m/>
    <d v="2016-12-31T00:00:00"/>
    <m/>
    <s v="UNTREF"/>
    <s v="CULTURA"/>
    <n v="16000"/>
  </r>
  <r>
    <s v="SFMyCP"/>
    <x v="0"/>
    <s v="SUBSEC CENTROS TEMATICOS Y EXP FEDERALES"/>
    <x v="3"/>
    <s v="TECNICA"/>
    <m/>
    <m/>
    <m/>
    <m/>
    <s v="TECNÓPOLIS"/>
    <m/>
    <s v="FACHAL Esteban Federico"/>
    <s v="DNI"/>
    <n v="29635339"/>
    <n v="20296353397"/>
    <m/>
    <m/>
    <m/>
    <m/>
    <m/>
    <x v="1"/>
    <x v="1"/>
    <d v="2010-04-01T00:00:00"/>
    <d v="2016-12-31T00:00:00"/>
    <d v="2016-12-31T00:00:00"/>
    <s v="C1"/>
    <m/>
    <m/>
    <n v="31094"/>
  </r>
  <r>
    <s v="SFMyCP"/>
    <x v="0"/>
    <m/>
    <x v="8"/>
    <s v="COMUNICACIÓN"/>
    <m/>
    <m/>
    <m/>
    <s v="ADMINISTRATIVO"/>
    <m/>
    <s v="CCK - Alem 351"/>
    <s v="FAMA ANTONIO JULIAN"/>
    <s v="DNI"/>
    <n v="31559806"/>
    <n v="20315598061"/>
    <d v="1985-03-02T00:00:00"/>
    <m/>
    <m/>
    <m/>
    <m/>
    <x v="0"/>
    <x v="0"/>
    <m/>
    <m/>
    <d v="2016-12-31T00:00:00"/>
    <m/>
    <s v="UNTREF"/>
    <m/>
    <m/>
  </r>
  <r>
    <s v="SFMyCP"/>
    <x v="0"/>
    <m/>
    <x v="6"/>
    <s v="ARTES VISUALES"/>
    <m/>
    <m/>
    <m/>
    <s v="ADMINISTRATIVO"/>
    <m/>
    <s v="CCK - Alem 351"/>
    <s v="FAOUR MICHELLE"/>
    <s v="DNI"/>
    <n v="35368163"/>
    <n v="27353681635"/>
    <d v="1990-11-05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TECNICA"/>
    <m/>
    <m/>
    <m/>
    <m/>
    <s v="TECNÓPOLIS"/>
    <m/>
    <s v="FARA ERNESTO LEANDRO"/>
    <s v="DNI"/>
    <n v="30135252"/>
    <n v="20301352523"/>
    <m/>
    <m/>
    <m/>
    <m/>
    <m/>
    <x v="1"/>
    <x v="1"/>
    <d v="2013-04-01T00:00:00"/>
    <d v="2016-03-31T00:00:00"/>
    <d v="2016-12-31T00:00:00"/>
    <s v="D0"/>
    <m/>
    <m/>
    <n v="17672.34"/>
  </r>
  <r>
    <s v="SFMyCP"/>
    <x v="0"/>
    <s v="SUBSEC CENTROS TEMATICOS Y EXP FEDERALES"/>
    <x v="1"/>
    <s v="DIRECCION DE GESTION EDILICIA"/>
    <m/>
    <m/>
    <m/>
    <s v="Auxiliar"/>
    <m/>
    <s v="CCK - Alem 351"/>
    <s v="FARANNA OSCAR ALBERTO"/>
    <s v="DNI"/>
    <n v="28746454"/>
    <n v="20287464542"/>
    <d v="1970-12-15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ADMINISTRACION"/>
    <m/>
    <m/>
    <m/>
    <s v="ADMINISTRATIVO"/>
    <s v="CCK"/>
    <s v="CCK - Alem 351"/>
    <s v="FARINAZZO PAOLA ANDREA"/>
    <s v="DNI"/>
    <n v="23782289"/>
    <s v="27237822892"/>
    <d v="1974-01-18T00:00:00"/>
    <m/>
    <m/>
    <m/>
    <m/>
    <x v="0"/>
    <x v="0"/>
    <d v="2015-01-12T00:00:00"/>
    <m/>
    <d v="2016-12-31T00:00:00"/>
    <m/>
    <s v="UNTREF"/>
    <s v="UNSAM"/>
    <n v="10188"/>
  </r>
  <r>
    <s v="SFMyCP"/>
    <x v="0"/>
    <s v="SUBSEC CENTROS TEMATICOS Y EXP FEDERALES"/>
    <x v="3"/>
    <s v="COOPERATIVAS"/>
    <m/>
    <m/>
    <s v="Tareas Generales"/>
    <s v="MANTENIMIENTO DE ESPACIOS VERDES"/>
    <s v="TECNÓPOLIS"/>
    <m/>
    <s v="FARIÑA MARIELA NOEMI"/>
    <s v="DNI"/>
    <n v="27888389"/>
    <n v="27278883898"/>
    <m/>
    <m/>
    <m/>
    <m/>
    <m/>
    <x v="0"/>
    <x v="2"/>
    <m/>
    <m/>
    <d v="2016-12-31T00:00:00"/>
    <m/>
    <s v="UNTREF"/>
    <s v="UNTREF"/>
    <n v="4700"/>
  </r>
  <r>
    <s v="SFMyCP"/>
    <x v="0"/>
    <s v="SUBSEC CENTROS TEMATICOS Y EXP FEDERALES"/>
    <x v="3"/>
    <m/>
    <m/>
    <m/>
    <s v="PRIVADA"/>
    <s v="ADMINISTRATIVO"/>
    <m/>
    <s v="TECNOPOLIS"/>
    <s v="FAVERIO LAMOTHE ANTONIO"/>
    <s v="DNI"/>
    <n v="33423803"/>
    <n v="20334238035"/>
    <d v="1987-10-22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s v="CCK"/>
    <s v="FOMENTO"/>
    <s v="ADMINISTRATIVO"/>
    <s v="CABILDO 65"/>
    <s v="CABILDO 65"/>
    <s v="FAZIO NATALIA"/>
    <s v="DNI"/>
    <n v="27926754"/>
    <s v="27279267546"/>
    <d v="1980-02-25T00:00:00"/>
    <m/>
    <m/>
    <m/>
    <m/>
    <x v="0"/>
    <x v="0"/>
    <d v="2013-02-01T00:00:00"/>
    <m/>
    <d v="2016-12-31T00:00:00"/>
    <m/>
    <s v="UNTREF"/>
    <s v="UNSAM- LADA"/>
    <n v="16465"/>
  </r>
  <r>
    <s v="SFMyCP"/>
    <x v="0"/>
    <s v="SUBSEC CENTROS TEMATICOS Y EXP FEDERALES"/>
    <x v="1"/>
    <s v="INSTITUCIONALES"/>
    <s v="VISITAS GUIADAS"/>
    <m/>
    <m/>
    <s v="VISITAS GUIADAS"/>
    <m/>
    <s v="CCK - Alem 351"/>
    <s v="FAZZITO JUAN CARLOS"/>
    <s v="DNI"/>
    <n v="34641137"/>
    <n v="20346411377"/>
    <d v="1989-06-19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TELEVISION DIGITAL ABIERTA"/>
    <s v="CIARA"/>
    <m/>
    <s v="PROMOCIONES"/>
    <s v="ADMINISTRATIVO"/>
    <s v="CABILDO 65"/>
    <s v="CABILDO 65"/>
    <s v="FEIS MARA"/>
    <s v="DNI"/>
    <n v="33498759"/>
    <s v="27334987596"/>
    <d v="1987-12-02T00:00:00"/>
    <m/>
    <m/>
    <m/>
    <m/>
    <x v="0"/>
    <x v="0"/>
    <d v="2009-11-19T00:00:00"/>
    <m/>
    <d v="2016-12-31T00:00:00"/>
    <m/>
    <s v="UNTREF"/>
    <s v="UNSAM- LADA"/>
    <n v="20545"/>
  </r>
  <r>
    <s v="SFMyCP"/>
    <x v="1"/>
    <m/>
    <x v="5"/>
    <s v="INFORMATICA Y SISTEMAS"/>
    <m/>
    <m/>
    <s v="Analista"/>
    <s v="Analista"/>
    <s v="CCK"/>
    <s v="CCK - Alem 351"/>
    <s v="FERNANDEZ ALEJANDRO"/>
    <s v="DNI"/>
    <n v="35429157"/>
    <s v="20354291577"/>
    <d v="1993-02-09T00:00:00"/>
    <m/>
    <m/>
    <m/>
    <m/>
    <x v="0"/>
    <x v="0"/>
    <d v="2015-04-01T00:00:00"/>
    <m/>
    <d v="2016-12-31T00:00:00"/>
    <m/>
    <s v="UNTREF"/>
    <s v="UNLAM- INFO"/>
    <n v="9000"/>
  </r>
  <r>
    <s v="SFMyCP"/>
    <x v="1"/>
    <m/>
    <x v="5"/>
    <s v="PRESUPUESTO"/>
    <m/>
    <m/>
    <m/>
    <m/>
    <m/>
    <m/>
    <s v="FERNANDEZ CARLOS  "/>
    <s v="DNI"/>
    <n v="27311920"/>
    <n v="20273119206"/>
    <m/>
    <m/>
    <m/>
    <m/>
    <m/>
    <x v="1"/>
    <x v="1"/>
    <d v="2012-12-01T00:00:00"/>
    <d v="2016-12-31T00:00:00"/>
    <d v="2016-12-31T00:00:00"/>
    <s v="A0"/>
    <m/>
    <m/>
    <n v="22812"/>
  </r>
  <r>
    <s v="SFMyCP"/>
    <x v="0"/>
    <s v="SUBSEC CENTROS TEMATICOS Y EXP FEDERALES"/>
    <x v="3"/>
    <s v="INTENDENCIA- MANTENIMIENTO"/>
    <m/>
    <m/>
    <m/>
    <m/>
    <s v="TECNÓPOLIS"/>
    <m/>
    <s v="FERNANDEZ Carlos Germán"/>
    <s v="DNI"/>
    <n v="31135350"/>
    <m/>
    <m/>
    <m/>
    <m/>
    <m/>
    <m/>
    <x v="1"/>
    <x v="1"/>
    <d v="2011-06-01T00:00:00"/>
    <d v="2016-12-31T00:00:00"/>
    <d v="2016-12-31T00:00:00"/>
    <s v="C0"/>
    <m/>
    <m/>
    <n v="13533.35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FERNANDEZ CARLOS HORACIO"/>
    <s v="DNI"/>
    <n v="17928508"/>
    <s v="20179285089"/>
    <d v="1966-11-03T00:00:00"/>
    <m/>
    <m/>
    <m/>
    <m/>
    <x v="0"/>
    <x v="0"/>
    <d v="2011-07-01T00:00:00"/>
    <m/>
    <d v="2016-12-31T00:00:00"/>
    <m/>
    <s v="UNTREF"/>
    <s v="UNTREF"/>
    <n v="11449.4"/>
  </r>
  <r>
    <s v="SFMyCP"/>
    <x v="0"/>
    <m/>
    <x v="4"/>
    <m/>
    <m/>
    <m/>
    <s v="PRIVADA"/>
    <s v="ADMINISTRATIVO"/>
    <m/>
    <s v="CCK - Alem 351"/>
    <s v="FERNANDEZ DIEGO OSCAR "/>
    <s v="DNI"/>
    <n v="25177118"/>
    <m/>
    <m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1"/>
    <s v="DIRECCION"/>
    <m/>
    <m/>
    <s v="PRIVADA"/>
    <s v="ADMINISTRATIVO"/>
    <s v="CCK"/>
    <s v="CCK - Alem 351"/>
    <s v="FERNANDEZ FLORENCIA"/>
    <s v="DNI"/>
    <n v="39066240"/>
    <n v="27390662403"/>
    <d v="1995-07-21T00:00:00"/>
    <m/>
    <m/>
    <m/>
    <m/>
    <x v="0"/>
    <x v="0"/>
    <d v="2016-02-01T00:00:00"/>
    <m/>
    <d v="2016-12-31T00:00:00"/>
    <m/>
    <s v="UNTREF"/>
    <s v="UNSAM"/>
    <n v="28000"/>
  </r>
  <r>
    <s v="SFMyCP"/>
    <x v="0"/>
    <m/>
    <x v="0"/>
    <s v="TELEVISION DIGITAL ABIERTA"/>
    <s v="PRESIDENCIA"/>
    <m/>
    <s v="PRODUCCIÓN"/>
    <s v="PRODUCTOR de EXTERIORES"/>
    <s v="CABILDO 65"/>
    <s v="CABILDO 65"/>
    <s v="FERNANDEZ MACEDONIO"/>
    <s v="DNI"/>
    <n v="27946545"/>
    <s v="20279465459"/>
    <d v="1980-03-25T00:00:00"/>
    <m/>
    <m/>
    <m/>
    <m/>
    <x v="0"/>
    <x v="0"/>
    <d v="2013-04-01T00:00:00"/>
    <m/>
    <d v="2016-12-31T00:00:00"/>
    <m/>
    <s v="UNTREF"/>
    <m/>
    <n v="19353"/>
  </r>
  <r>
    <s v="SFMyCP"/>
    <x v="0"/>
    <s v="SUBSEC CENTROS TEMATICOS Y EXP FEDERALES"/>
    <x v="3"/>
    <s v="PRODUCCIÓN"/>
    <m/>
    <m/>
    <m/>
    <m/>
    <s v="TECNÓPOLIS"/>
    <m/>
    <s v="FERNANDEZ MANTEROLA Amalia"/>
    <s v="DNI"/>
    <n v="30571636"/>
    <n v="27305716362"/>
    <m/>
    <m/>
    <m/>
    <m/>
    <m/>
    <x v="1"/>
    <x v="1"/>
    <d v="2012-10-30T00:00:00"/>
    <d v="2016-12-31T00:00:00"/>
    <d v="2016-12-31T00:00:00"/>
    <s v="C0"/>
    <m/>
    <m/>
    <n v="27488.85"/>
  </r>
  <r>
    <s v="SFMyCP"/>
    <x v="0"/>
    <m/>
    <x v="0"/>
    <s v="TELEVISION DIGITAL ABIERTA"/>
    <s v="CIARA"/>
    <m/>
    <s v=""/>
    <s v="ADMINISTRATIVO"/>
    <s v="CABILDO 65"/>
    <s v="CABILDO 65"/>
    <s v="FERNANDEZ MARA"/>
    <s v="DNI"/>
    <n v="31343615"/>
    <s v="27313436158"/>
    <d v="1984-11-23T00:00:00"/>
    <m/>
    <m/>
    <m/>
    <m/>
    <x v="0"/>
    <x v="0"/>
    <d v="2012-12-01T00:00:00"/>
    <m/>
    <d v="2016-12-31T00:00:00"/>
    <m/>
    <s v="UNTREF"/>
    <s v="UNSAM- LADA"/>
    <n v="16465"/>
  </r>
  <r>
    <s v="SFMyCP"/>
    <x v="0"/>
    <s v="SUBSEC CENTROS TEMATICOS Y EXP FEDERALES"/>
    <x v="1"/>
    <s v="PRODUCCIÓN"/>
    <m/>
    <m/>
    <m/>
    <s v="ADMINISTRATIVA"/>
    <m/>
    <s v="CCK - Alem 351"/>
    <s v="FERNANDEZ NADALE LUCIA"/>
    <s v="DNI"/>
    <n v="32236578"/>
    <s v="27322365786"/>
    <d v="1986-03-07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FERNANDEZ VICENTA LUCIA"/>
    <s v="DNI"/>
    <n v="16253797"/>
    <s v="27162537976"/>
    <d v="1964-08-15T00:00:00"/>
    <m/>
    <m/>
    <m/>
    <m/>
    <x v="0"/>
    <x v="0"/>
    <d v="2012-07-01T00:00:00"/>
    <m/>
    <d v="2016-12-31T00:00:00"/>
    <m/>
    <s v="UNTREF"/>
    <s v="UNTREF"/>
    <n v="9955.51"/>
  </r>
  <r>
    <s v="SFMyCP"/>
    <x v="0"/>
    <s v="SUBSEC CENTROS TEMATICOS Y EXP FEDERALES"/>
    <x v="3"/>
    <s v="OPERATIVA (ADMINISTRACION)"/>
    <m/>
    <m/>
    <m/>
    <m/>
    <s v="TECNÓPOLIS"/>
    <m/>
    <s v="FERRANDO Andrea Bibiana"/>
    <s v="DNI"/>
    <n v="20965399"/>
    <n v="27209653996"/>
    <m/>
    <m/>
    <m/>
    <m/>
    <m/>
    <x v="1"/>
    <x v="1"/>
    <d v="2010-01-01T00:00:00"/>
    <d v="2016-12-31T00:00:00"/>
    <d v="2016-12-31T00:00:00"/>
    <s v="C1"/>
    <m/>
    <m/>
    <n v="17571.04"/>
  </r>
  <r>
    <s v="SFMyCP"/>
    <x v="0"/>
    <m/>
    <x v="0"/>
    <s v="TELEVISION DIGITAL ABIERTA"/>
    <s v="CIARA"/>
    <m/>
    <s v="BACUA"/>
    <s v="ADMINISTRATIVO"/>
    <s v="CABILDO 65"/>
    <s v="CABILDO 65"/>
    <s v="FERRANTE ANDRES"/>
    <s v="DNI"/>
    <n v="27537306"/>
    <s v="20275373061"/>
    <s v="14/08/1979"/>
    <m/>
    <m/>
    <m/>
    <m/>
    <x v="0"/>
    <x v="0"/>
    <d v="2011-05-09T00:00:00"/>
    <m/>
    <d v="2016-12-31T00:00:00"/>
    <m/>
    <s v="UNTREF"/>
    <s v="UNSAM- LADA"/>
    <n v="32782"/>
  </r>
  <r>
    <s v="SFMyCP"/>
    <x v="0"/>
    <s v="SUBSEC CENTROS TEMATICOS Y EXP FEDERALES"/>
    <x v="1"/>
    <s v="PRODUCCIÓN"/>
    <m/>
    <m/>
    <m/>
    <s v="ADMINISTRATIVA"/>
    <m/>
    <s v="CCK - Alem 351"/>
    <s v="FERRARI LUCAS"/>
    <s v="DNI"/>
    <n v="22825888"/>
    <s v="20228258882"/>
    <d v="1972-08-25T00:00:00"/>
    <m/>
    <m/>
    <m/>
    <m/>
    <x v="0"/>
    <x v="0"/>
    <d v="2016-06-01T00:00:00"/>
    <m/>
    <d v="2016-12-31T00:00:00"/>
    <m/>
    <s v="UNTREF"/>
    <m/>
    <m/>
  </r>
  <r>
    <s v="SFMyCP"/>
    <x v="1"/>
    <m/>
    <x v="2"/>
    <m/>
    <m/>
    <m/>
    <s v="PRIVADA"/>
    <s v="ADMINISTRATIVO"/>
    <m/>
    <s v="CCK - Alem 351"/>
    <s v="FERRARI SANDRA PATRICIA"/>
    <s v="DNI"/>
    <n v="37234433"/>
    <n v="23372344334"/>
    <d v="1973-07-05T00:00:00"/>
    <m/>
    <m/>
    <m/>
    <m/>
    <x v="0"/>
    <x v="0"/>
    <d v="2016-01-01T00:00:00"/>
    <m/>
    <d v="2016-12-31T00:00:00"/>
    <m/>
    <s v="UNTREF"/>
    <s v="UNSAM"/>
    <n v="17000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FERREIRA ESPINDOLA  MARIANA PAMELA"/>
    <s v="DNI"/>
    <n v="34669940"/>
    <s v="27346699405"/>
    <d v="1988-10-09T00:00:00"/>
    <m/>
    <m/>
    <m/>
    <m/>
    <x v="0"/>
    <x v="0"/>
    <d v="2013-07-01T00:00:00"/>
    <m/>
    <d v="2016-12-31T00:00:00"/>
    <m/>
    <s v="UNTREF"/>
    <s v="UNTREF"/>
    <n v="9995.51"/>
  </r>
  <r>
    <s v="SFMyCP"/>
    <x v="1"/>
    <m/>
    <x v="5"/>
    <s v="PLANIF  Y ADM DE REC HUMANOS"/>
    <s v="S. GENERALES - AUTOMOTORES"/>
    <s v="AUTOMOTORES"/>
    <s v="CHOFER"/>
    <m/>
    <s v="CCK"/>
    <m/>
    <s v="FERREIRA SERGIO "/>
    <s v="DNI"/>
    <n v="33928176"/>
    <n v="23339281769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m/>
    <x v="0"/>
    <s v="TELEVISION DIGITAL ABIERTA"/>
    <s v="CIARA"/>
    <s v="CCK"/>
    <s v="PROGRAMA POLOS AUDIOVISUALES TECNOLÓGICOS"/>
    <m/>
    <s v="CABILDO 65"/>
    <m/>
    <s v="FERREIRO PABLO DANIEL"/>
    <s v="DNI"/>
    <n v="35561266"/>
    <n v="20355612660"/>
    <m/>
    <m/>
    <m/>
    <m/>
    <m/>
    <x v="1"/>
    <x v="1"/>
    <d v="2011-03-01T00:00:00"/>
    <d v="2016-12-31T00:00:00"/>
    <d v="2016-12-31T00:00:00"/>
    <s v="C1"/>
    <m/>
    <m/>
    <n v="12000"/>
  </r>
  <r>
    <s v="SFMyCP"/>
    <x v="0"/>
    <m/>
    <x v="8"/>
    <s v="COMUNICACIÓN"/>
    <m/>
    <m/>
    <m/>
    <m/>
    <s v="CCK"/>
    <s v="CCK - Alem 351"/>
    <s v="FERRERES Juan Ignacio"/>
    <s v="DNI"/>
    <n v="23377687"/>
    <n v="20233776875"/>
    <m/>
    <m/>
    <m/>
    <m/>
    <m/>
    <x v="1"/>
    <x v="1"/>
    <d v="2012-11-30T00:00:00"/>
    <d v="2016-12-31T00:00:00"/>
    <d v="2016-12-31T00:00:00"/>
    <s v="B0"/>
    <m/>
    <m/>
    <n v="19096"/>
  </r>
  <r>
    <s v="SFMyCP"/>
    <x v="0"/>
    <s v="SUBSEC CENTROS TEMATICOS Y EXP FEDERALES"/>
    <x v="1"/>
    <s v="PRODUCCIÓN"/>
    <m/>
    <m/>
    <m/>
    <s v="ADMINISTRATIVA"/>
    <m/>
    <s v="CCK - Alem 351"/>
    <s v="FERRUFINO MARCO"/>
    <s v="DNI"/>
    <n v="23602538"/>
    <n v="20236025382"/>
    <d v="1973-11-09T00:00:00"/>
    <m/>
    <m/>
    <m/>
    <m/>
    <x v="0"/>
    <x v="0"/>
    <d v="2016-05-01T00:00:00"/>
    <m/>
    <d v="2016-12-31T00:00:00"/>
    <m/>
    <s v="UNTREF"/>
    <m/>
    <s v="."/>
  </r>
  <r>
    <s v="SFMyCP"/>
    <x v="0"/>
    <s v="SUBSEC CENTROS TEMATICOS Y EXP FEDERALES"/>
    <x v="1"/>
    <s v="INSTITUCIONALES"/>
    <s v="VISITAS GUIADAS"/>
    <m/>
    <m/>
    <s v="VISITAS GUIADAS"/>
    <m/>
    <s v="CCK - Alem 351"/>
    <s v="FEYLING ANA PAULINA"/>
    <s v="DNI"/>
    <n v="25736011"/>
    <n v="27257360119"/>
    <d v="1977-02-11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PRESIDENCIA"/>
    <m/>
    <s v="CONTENIDOS DIGITALES ABIERTOS CDA"/>
    <s v="PRODUCTOR de EXTERIORES"/>
    <s v="CABILDO 65"/>
    <s v="CABILDO 65"/>
    <s v="FIAMINGO YAGO"/>
    <s v="DNI"/>
    <n v="31061385"/>
    <s v="20310613852"/>
    <d v="1984-07-08T00:00:00"/>
    <m/>
    <m/>
    <m/>
    <m/>
    <x v="0"/>
    <x v="0"/>
    <d v="2015-08-13T00:00:00"/>
    <m/>
    <d v="2016-12-31T00:00:00"/>
    <m/>
    <s v="UNTREF"/>
    <s v="UNSAM- LADA"/>
    <n v="16465"/>
  </r>
  <r>
    <s v="SFMyCP"/>
    <x v="0"/>
    <m/>
    <x v="0"/>
    <s v="TELEVISION DIGITAL ABIERTA"/>
    <s v="CIARA"/>
    <m/>
    <s v="ADMINISTRACIÓN"/>
    <m/>
    <s v="CABILDO 65"/>
    <m/>
    <s v="FIDALME MARIA NATALIA"/>
    <s v="DNI"/>
    <n v="27769740"/>
    <n v="27277697403"/>
    <m/>
    <m/>
    <m/>
    <m/>
    <m/>
    <x v="1"/>
    <x v="1"/>
    <d v="2015-03-01T00:00:00"/>
    <d v="2016-03-31T00:00:00"/>
    <d v="2016-12-31T00:00:00"/>
    <s v="D0"/>
    <m/>
    <m/>
    <n v="10000"/>
  </r>
  <r>
    <s v="SFMyCP"/>
    <x v="0"/>
    <s v="SUBSEC CENTROS TEMATICOS Y EXP FEDERALES"/>
    <x v="1"/>
    <m/>
    <m/>
    <m/>
    <s v="COORD GESTIÓN FEDERAL "/>
    <s v="ADMINISTRATIVO"/>
    <m/>
    <s v="CCK - Alem 351"/>
    <s v="FIGLIOLIA OMAR"/>
    <s v="DNI"/>
    <n v="13654259"/>
    <n v="20136542592"/>
    <d v="1959-12-24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FIGUEROA  MIGUEL ANGEL"/>
    <s v="DNI"/>
    <n v="20354090"/>
    <s v="20203540907"/>
    <d v="1968-06-07T00:00:00"/>
    <m/>
    <m/>
    <m/>
    <m/>
    <x v="0"/>
    <x v="0"/>
    <d v="2011-09-01T00:00:00"/>
    <m/>
    <d v="2016-12-31T00:00:00"/>
    <m/>
    <s v="UNTREF"/>
    <s v="UNTREF"/>
    <n v="16139.51"/>
  </r>
  <r>
    <s v="SFMyCP"/>
    <x v="0"/>
    <s v="SUBSEC CENTROS TEMATICOS Y EXP FEDERALES"/>
    <x v="3"/>
    <s v="INTENDENCIA- MANTENIMIENTO"/>
    <m/>
    <m/>
    <m/>
    <m/>
    <s v="TECNÓPOLIS"/>
    <m/>
    <s v="FIGUEROA José Luis"/>
    <s v="DNI"/>
    <n v="23402784"/>
    <n v="20234027841"/>
    <m/>
    <m/>
    <m/>
    <m/>
    <m/>
    <x v="1"/>
    <x v="1"/>
    <d v="2012-10-31T00:00:00"/>
    <d v="2016-12-31T00:00:00"/>
    <d v="2016-12-31T00:00:00"/>
    <s v="C0"/>
    <m/>
    <m/>
    <n v="25954"/>
  </r>
  <r>
    <s v="SFMyCP"/>
    <x v="0"/>
    <s v="SUBSEC CENTROS TEMATICOS Y EXP FEDERALES"/>
    <x v="1"/>
    <s v="PRODUCCIÓN"/>
    <m/>
    <m/>
    <m/>
    <s v="ADMINISTRATIVA"/>
    <m/>
    <s v="CCK - Alem 351"/>
    <s v="FILIPPELLI GUIDO"/>
    <s v="DNI"/>
    <n v="32267824"/>
    <s v="20322678240"/>
    <d v="1986-04-04T00:00:00"/>
    <m/>
    <m/>
    <m/>
    <m/>
    <x v="0"/>
    <x v="0"/>
    <d v="2016-05-01T00:00:00"/>
    <m/>
    <d v="2016-12-31T00:00:00"/>
    <m/>
    <s v="UNTREF"/>
    <m/>
    <s v="."/>
  </r>
  <r>
    <s v="SFMyCP"/>
    <x v="0"/>
    <s v="SUBSEC CENTROS TEMATICOS Y EXP FEDERALES"/>
    <x v="1"/>
    <s v="TECNICA"/>
    <m/>
    <m/>
    <m/>
    <s v="OPERACIÓN/MONTAJE/MANTENIMIENTO"/>
    <m/>
    <s v="TECNOPOLIS"/>
    <s v="FIORRUCIO JOSE LUIS"/>
    <s v="DNI"/>
    <n v="7961336"/>
    <n v="20079613364"/>
    <d v="1949-09-08T00:00:00"/>
    <m/>
    <m/>
    <m/>
    <m/>
    <x v="0"/>
    <x v="0"/>
    <d v="2016-05-01T00:00:00"/>
    <m/>
    <d v="2016-12-31T00:00:00"/>
    <m/>
    <s v="UNTREF"/>
    <m/>
    <n v="15000"/>
  </r>
  <r>
    <s v="SFMyCP"/>
    <x v="0"/>
    <m/>
    <x v="0"/>
    <s v="TELEVISION DIGITAL ABIERTA"/>
    <s v="CIARA"/>
    <m/>
    <s v="POSTPRODUCCIÓN"/>
    <s v="EDICION"/>
    <s v="CABILDO 65"/>
    <s v="CABILDO 65"/>
    <s v="FLAMMINIO SERGIO"/>
    <s v="DNI"/>
    <n v="24881120"/>
    <s v="20248811200"/>
    <d v="1975-09-04T00:00:00"/>
    <m/>
    <m/>
    <m/>
    <m/>
    <x v="0"/>
    <x v="0"/>
    <d v="2012-09-01T00:00:00"/>
    <m/>
    <d v="2016-12-31T00:00:00"/>
    <m/>
    <s v="UNTREF"/>
    <s v="UNSAM- LADA"/>
    <n v="24741"/>
  </r>
  <r>
    <s v="SFMyCP"/>
    <x v="0"/>
    <s v="SUBSEC CENTROS TEMATICOS Y EXP FEDERALES"/>
    <x v="1"/>
    <s v="PRODUCCIÓN"/>
    <m/>
    <m/>
    <m/>
    <s v="ADMINISTRATIVA"/>
    <m/>
    <s v="CCK - Alem 351"/>
    <s v="FLEITAS MAGDALENA DELFINA"/>
    <s v="DNI"/>
    <n v="21834189"/>
    <n v="27218341891"/>
    <d v="1970-11-14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FLORENTIN JOSÉ GABRIEL"/>
    <s v="DNI"/>
    <n v="24319998"/>
    <n v="20243199981"/>
    <d v="1967-12-30T00:00:00"/>
    <m/>
    <m/>
    <m/>
    <m/>
    <x v="0"/>
    <x v="2"/>
    <d v="2011-11-03T00:00:00"/>
    <m/>
    <d v="2016-12-31T00:00:00"/>
    <m/>
    <s v="UNTREF"/>
    <s v="UNTREF"/>
    <n v="1700"/>
  </r>
  <r>
    <s v="SFMyCP"/>
    <x v="0"/>
    <s v="SUBSEC CENTROS TEMATICOS Y EXP FEDERALES"/>
    <x v="3"/>
    <s v="INTENDENCIA- MANTENIMIENTO"/>
    <m/>
    <m/>
    <m/>
    <m/>
    <s v="TECNÓPOLIS"/>
    <m/>
    <s v="FLORENTIN Marcelo Max Roy"/>
    <s v="DNI"/>
    <n v="35151859"/>
    <n v="20351518597"/>
    <m/>
    <m/>
    <m/>
    <m/>
    <m/>
    <x v="1"/>
    <x v="1"/>
    <d v="2011-06-01T00:00:00"/>
    <d v="2016-12-31T00:00:00"/>
    <d v="2016-12-31T00:00:00"/>
    <s v="D1"/>
    <m/>
    <m/>
    <n v="18324"/>
  </r>
  <r>
    <s v="SFMyCP"/>
    <x v="0"/>
    <s v="SUBSEC CENTROS TEMATICOS Y EXP FEDERALES"/>
    <x v="3"/>
    <s v="OPERATIVA"/>
    <m/>
    <m/>
    <m/>
    <m/>
    <s v="TECNÓPOLIS"/>
    <m/>
    <s v="FLORES Diego Alexis"/>
    <s v="DNI"/>
    <n v="35253895"/>
    <n v="20352538958"/>
    <m/>
    <m/>
    <m/>
    <m/>
    <m/>
    <x v="1"/>
    <x v="1"/>
    <d v="2012-11-01T00:00:00"/>
    <d v="2016-12-31T00:00:00"/>
    <d v="2016-12-31T00:00:00"/>
    <s v="C0"/>
    <m/>
    <m/>
    <n v="15043.07"/>
  </r>
  <r>
    <s v="SFMyCP"/>
    <x v="1"/>
    <m/>
    <x v="5"/>
    <s v="COMPRAS Y CONTRATACIONES"/>
    <m/>
    <m/>
    <s v="Administrativo"/>
    <s v="ADMINISTRATIVO"/>
    <m/>
    <s v="CCK - Alem 351"/>
    <s v="FLORES FLORENCIA CAROLINA"/>
    <s v="DNI"/>
    <n v="38997666"/>
    <s v="EN TRAMITE"/>
    <d v="1995-05-18T00:00:00"/>
    <m/>
    <m/>
    <m/>
    <m/>
    <x v="0"/>
    <x v="0"/>
    <d v="2016-07-18T00:00:00"/>
    <m/>
    <d v="2016-12-31T00:00:00"/>
    <m/>
    <s v="UNTREF"/>
    <m/>
    <m/>
  </r>
  <r>
    <s v="SFMyCP"/>
    <x v="0"/>
    <s v="SUBSEC CENTROS TEMATICOS Y EXP FEDERALES"/>
    <x v="1"/>
    <s v="DIRECCION DE GESTION EDILICIA"/>
    <s v="SERVICIOS GENERALES"/>
    <m/>
    <m/>
    <s v="Auxiliar"/>
    <m/>
    <s v="CCK - Alem 351"/>
    <s v="FONTANA LUCIANO"/>
    <s v="DNI"/>
    <n v="35255476"/>
    <s v="20352554767"/>
    <d v="1990-07-05T00:00:00"/>
    <m/>
    <m/>
    <m/>
    <m/>
    <x v="0"/>
    <x v="0"/>
    <d v="2014-08-01T00:00:00"/>
    <m/>
    <d v="2016-12-31T00:00:00"/>
    <m/>
    <s v="UNTREF"/>
    <m/>
    <n v="9479"/>
  </r>
  <r>
    <s v="SFMyCP"/>
    <x v="0"/>
    <m/>
    <x v="6"/>
    <s v="ARTES VISUALES"/>
    <m/>
    <m/>
    <m/>
    <s v="Orientador de Sala"/>
    <m/>
    <m/>
    <s v="FONTES SELVA"/>
    <s v="DNI"/>
    <n v="92436017"/>
    <n v="27924360173"/>
    <m/>
    <m/>
    <m/>
    <m/>
    <m/>
    <x v="0"/>
    <x v="0"/>
    <d v="2016-07-01T00:00:00"/>
    <m/>
    <d v="2016-12-31T00:00:00"/>
    <m/>
    <m/>
    <m/>
    <m/>
  </r>
  <r>
    <s v="SFMyCP"/>
    <x v="1"/>
    <m/>
    <x v="5"/>
    <s v="PLANIF  Y ADM DE REC HUMANOS"/>
    <s v="RECURSOS HUMANOS"/>
    <m/>
    <s v="Analista de RR.HH."/>
    <s v="ADMINISTRATIVO"/>
    <s v="CCK"/>
    <s v="CCK - Alem 351"/>
    <s v="FORNERO FABRICIO"/>
    <s v="DNI"/>
    <n v="26938300"/>
    <s v="20269383004"/>
    <d v="1978-12-07T00:00:00"/>
    <m/>
    <m/>
    <m/>
    <m/>
    <x v="0"/>
    <x v="0"/>
    <d v="2015-03-01T00:00:00"/>
    <m/>
    <d v="2016-12-31T00:00:00"/>
    <m/>
    <s v="UNTREF"/>
    <s v="UNSAM-MINPLAN"/>
    <n v="12000"/>
  </r>
  <r>
    <s v="SFMyCP"/>
    <x v="0"/>
    <s v="SUBSEC CENTROS TEMATICOS Y EXP FEDERALES"/>
    <x v="1"/>
    <s v="DIRECCION DE GESTION EDILICIA"/>
    <s v="MANTENIMIENTO"/>
    <s v="ELECTRICIDAD"/>
    <s v="ASISTENTE"/>
    <s v="ASISTENTE"/>
    <s v="CCK"/>
    <s v="CCK - Alem 351"/>
    <s v="FRANCESCHI SANTIAGO"/>
    <s v="DNI"/>
    <n v="14972197"/>
    <s v="20149721976"/>
    <d v="1962-07-27T00:00:00"/>
    <m/>
    <m/>
    <m/>
    <m/>
    <x v="0"/>
    <x v="0"/>
    <d v="2015-06-01T00:00:00"/>
    <m/>
    <d v="2016-12-31T00:00:00"/>
    <m/>
    <s v="UNTREF"/>
    <s v="UNLAM- BICENTENARIO"/>
    <n v="11388"/>
  </r>
  <r>
    <s v="SFMyCP"/>
    <x v="0"/>
    <s v="SUBSEC CENTROS TEMATICOS Y EXP FEDERALES"/>
    <x v="3"/>
    <s v="INTENDENCIA - TALLERES"/>
    <m/>
    <m/>
    <m/>
    <m/>
    <s v="TECNÓPOLIS"/>
    <m/>
    <s v="FRATTESI Gabriel Hernán"/>
    <s v="DNI"/>
    <n v="26965728"/>
    <n v="20269657287"/>
    <m/>
    <m/>
    <m/>
    <m/>
    <m/>
    <x v="1"/>
    <x v="1"/>
    <d v="2012-04-01T00:00:00"/>
    <d v="2016-12-31T00:00:00"/>
    <d v="2016-12-31T00:00:00"/>
    <s v="C0"/>
    <m/>
    <m/>
    <n v="20921.8"/>
  </r>
  <r>
    <s v="SFMyCP"/>
    <x v="1"/>
    <m/>
    <x v="2"/>
    <m/>
    <m/>
    <m/>
    <s v="PRIVADA"/>
    <s v="ADMINISTRATIVO"/>
    <m/>
    <s v="CCK - Alem 351"/>
    <s v="FREGA, DANIELA"/>
    <s v="DNI"/>
    <n v="35323287"/>
    <n v="27353232873"/>
    <d v="1990-06-02T00:00:00"/>
    <m/>
    <m/>
    <m/>
    <m/>
    <x v="0"/>
    <x v="0"/>
    <d v="2016-01-01T00:00:00"/>
    <m/>
    <d v="2016-12-31T00:00:00"/>
    <m/>
    <s v="UNTREF"/>
    <s v="UNSAM"/>
    <n v="27370"/>
  </r>
  <r>
    <s v="SFMyCP"/>
    <x v="0"/>
    <m/>
    <x v="6"/>
    <s v="ARTES VISUALES"/>
    <m/>
    <m/>
    <s v="ADMINISTRACION"/>
    <m/>
    <s v="CCK"/>
    <m/>
    <s v="FREIBERG INGRID"/>
    <s v="DNI"/>
    <n v="25555134"/>
    <n v="27255551340"/>
    <m/>
    <m/>
    <m/>
    <m/>
    <m/>
    <x v="1"/>
    <x v="1"/>
    <d v="2013-12-01T00:00:00"/>
    <d v="2016-03-31T00:00:00"/>
    <d v="2016-12-31T00:00:00"/>
    <s v="A2"/>
    <m/>
    <m/>
    <n v="30743"/>
  </r>
  <r>
    <s v="SFMyCP"/>
    <x v="0"/>
    <m/>
    <x v="0"/>
    <s v="TELEVISION DIGITAL ABIERTA"/>
    <s v="PRESIDENCIA"/>
    <m/>
    <s v="PRODUCCIÓN"/>
    <s v="PRODUCTOR de EXTERIORES"/>
    <s v="CABILDO 65"/>
    <s v="CABILDO 65"/>
    <s v="FRIEDENBACH MARTIN"/>
    <s v="DNI"/>
    <n v="34146409"/>
    <s v="23341464099"/>
    <d v="1988-10-14T00:00:00"/>
    <m/>
    <m/>
    <m/>
    <m/>
    <x v="0"/>
    <x v="0"/>
    <d v="2013-12-01T00:00:00"/>
    <m/>
    <d v="2016-12-31T00:00:00"/>
    <m/>
    <s v="UNTREF"/>
    <m/>
    <n v="16465"/>
  </r>
  <r>
    <s v="SFMyCP"/>
    <x v="0"/>
    <m/>
    <x v="0"/>
    <s v="TELEVISION DIGITAL ABIERTA"/>
    <s v="CIARA"/>
    <m/>
    <s v="PRODUCCIÓN"/>
    <s v="PRODUCTOR de EXTERIORES"/>
    <s v="CABILDO 65"/>
    <s v="CABILDO 65"/>
    <s v="FUENTES JUAN"/>
    <s v="DNI"/>
    <n v="29548353"/>
    <s v="23295483539"/>
    <d v="1982-10-24T00:00:00"/>
    <m/>
    <m/>
    <m/>
    <m/>
    <x v="0"/>
    <x v="0"/>
    <d v="2015-11-01T00:00:00"/>
    <m/>
    <d v="2016-12-31T00:00:00"/>
    <m/>
    <s v="UNTREF"/>
    <s v="UNSAM- LADA"/>
    <n v="16465"/>
  </r>
  <r>
    <s v="SFMyCP"/>
    <x v="0"/>
    <s v="SUBSEC CENTROS TEMATICOS Y EXP FEDERALES"/>
    <x v="1"/>
    <s v="DIRECCION DE GESTION EDILICIA"/>
    <s v="SERVICIOS GENERALES"/>
    <s v="CONTROL DE ACCESOS B"/>
    <s v="Asistente "/>
    <s v="Asistente "/>
    <s v="CCK"/>
    <s v="CCK - Alem 351"/>
    <s v="FUENTES LANESAN MANUEL"/>
    <s v="DNI"/>
    <n v="33426836"/>
    <s v="20334268366"/>
    <d v="1988-03-25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s v="SUBSEC CENTROS TEMATICOS Y EXP FEDERALES"/>
    <x v="1"/>
    <s v="DIRECCION DE GESTION EDILICIA"/>
    <s v="SERVICIOS GENERALES"/>
    <s v="CONTROL DE ACCESOS A"/>
    <s v="Responsable"/>
    <s v="Auxiliar"/>
    <s v="CCK"/>
    <s v="CCK - Alem 351"/>
    <s v="FUENTES LANESAN RUBEN"/>
    <s v="DNI"/>
    <n v="35569349"/>
    <s v="20355693490"/>
    <d v="1990-10-27T00:00:00"/>
    <m/>
    <m/>
    <m/>
    <m/>
    <x v="0"/>
    <x v="0"/>
    <d v="2015-02-23T00:00:00"/>
    <m/>
    <d v="2016-12-31T00:00:00"/>
    <m/>
    <s v="UNTREF"/>
    <s v="UNLAM -TDA"/>
    <n v="11721"/>
  </r>
  <r>
    <s v="SFMyCP"/>
    <x v="0"/>
    <s v="SUBSEC CENTROS TEMATICOS Y EXP FEDERALES"/>
    <x v="7"/>
    <m/>
    <m/>
    <m/>
    <s v="PRIVADA"/>
    <s v="ADMINISTRATIVO"/>
    <m/>
    <s v="CCK - Alem 351"/>
    <s v="FUERTES MARIA EUGENIA"/>
    <s v="DNI"/>
    <n v="31018424"/>
    <n v="27310184247"/>
    <d v="1984-07-14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INTENDENCIA- MANTENIMIENTO"/>
    <m/>
    <m/>
    <m/>
    <m/>
    <s v="TECNÓPOLIS"/>
    <m/>
    <s v="FUSCO Jenaro Hugo"/>
    <s v="DNI"/>
    <n v="12728703"/>
    <n v="20127287032"/>
    <m/>
    <m/>
    <m/>
    <m/>
    <m/>
    <x v="1"/>
    <x v="1"/>
    <d v="2011-03-01T00:00:00"/>
    <d v="2016-12-31T00:00:00"/>
    <d v="2016-12-31T00:00:00"/>
    <s v="C0"/>
    <m/>
    <m/>
    <n v="25915.89"/>
  </r>
  <r>
    <s v="SFMyCP"/>
    <x v="0"/>
    <s v="SUBSEC CENTROS TEMATICOS Y EXP FEDERALES"/>
    <x v="1"/>
    <s v="PRODUCCIÓN"/>
    <m/>
    <m/>
    <m/>
    <s v="ADMINISTRATIVO"/>
    <m/>
    <s v="CCK - Alem 351"/>
    <s v="GAERE CLAUDIA ALICIA"/>
    <s v="DNI"/>
    <n v="16037424"/>
    <n v="27160374247"/>
    <d v="1962-03-23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- LIMPIEZA/ PARQUIZACION"/>
    <s v="COOPERATIVAS"/>
    <m/>
    <m/>
    <s v="MANTENIMIENTO DE ESPACIOS VERDES"/>
    <s v="TECNÓPOLIS"/>
    <s v="TECNOPOLIS"/>
    <s v="GAILLARD  ADRIANA"/>
    <s v="DNI"/>
    <n v="22351485"/>
    <n v="27223514850"/>
    <d v="1972-01-15T00:00:00"/>
    <m/>
    <m/>
    <m/>
    <m/>
    <x v="0"/>
    <x v="0"/>
    <d v="2011-07-01T00:00:00"/>
    <m/>
    <d v="2016-12-31T00:00:00"/>
    <m/>
    <s v="UNTREF"/>
    <s v="UNTREF"/>
    <n v="6000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GAILLARD  NORMA BEATRIZ"/>
    <s v="DNI"/>
    <n v="17476516"/>
    <s v="27174765168"/>
    <d v="1965-07-25T00:00:00"/>
    <m/>
    <m/>
    <m/>
    <m/>
    <x v="0"/>
    <x v="0"/>
    <d v="2013-01-01T00:00:00"/>
    <m/>
    <d v="2016-12-31T00:00:00"/>
    <m/>
    <s v="UNTREF"/>
    <s v="UNTREF"/>
    <n v="11187.23"/>
  </r>
  <r>
    <s v="SFMyCP"/>
    <x v="0"/>
    <s v="SUBSEC CENTROS TEMATICOS Y EXP FEDERALES"/>
    <x v="1"/>
    <s v="DIRECCION DE GESTION EDILICIA"/>
    <s v="SERVICIOS GENERALES"/>
    <s v="CONTROL DE ACCESO B"/>
    <s v="Responsable"/>
    <s v="Auxiliar"/>
    <s v="CCK"/>
    <s v="CCK - Alem 351"/>
    <s v="GAITÁN MATÍAS ÁNGEL"/>
    <s v="DNI"/>
    <n v="35111771"/>
    <s v="20351117711"/>
    <d v="1990-02-04T00:00:00"/>
    <m/>
    <m/>
    <m/>
    <m/>
    <x v="0"/>
    <x v="0"/>
    <d v="2015-08-01T00:00:00"/>
    <m/>
    <d v="2016-12-31T00:00:00"/>
    <m/>
    <s v="UNTREF"/>
    <s v="UNLAM- BICENTENARIO"/>
    <n v="10807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GALARZA HUGO MARCELO"/>
    <s v="DNI"/>
    <n v="26053585"/>
    <s v="20260535855"/>
    <d v="1977-10-18T00:00:00"/>
    <m/>
    <m/>
    <m/>
    <m/>
    <x v="0"/>
    <x v="0"/>
    <m/>
    <m/>
    <d v="2016-12-31T00:00:00"/>
    <m/>
    <s v="UNTREF"/>
    <s v="UNTREF"/>
    <n v="9995.51"/>
  </r>
  <r>
    <s v="SFMyCP"/>
    <x v="1"/>
    <m/>
    <x v="2"/>
    <m/>
    <m/>
    <m/>
    <s v="PRIVADA"/>
    <s v="ADMINISTRATIVO"/>
    <m/>
    <s v="CCK - Alem 351"/>
    <s v="GALEOTTI, MONICA"/>
    <s v="DNI"/>
    <n v="10795536"/>
    <s v="23107955364"/>
    <d v="1953-09-18T00:00:00"/>
    <m/>
    <m/>
    <m/>
    <m/>
    <x v="0"/>
    <x v="0"/>
    <d v="2016-01-01T00:00:00"/>
    <m/>
    <d v="2016-12-31T00:00:00"/>
    <m/>
    <s v="UNTREF"/>
    <s v="UNSAM"/>
    <n v="36529"/>
  </r>
  <r>
    <s v="SFMyCP"/>
    <x v="0"/>
    <m/>
    <x v="8"/>
    <s v="COMUNICACIÓN"/>
    <m/>
    <m/>
    <m/>
    <s v="ADMINISTRATIVO"/>
    <m/>
    <s v="CCK - Alem 351"/>
    <s v="GALLIZZI MARIANO NAHUEL"/>
    <s v="DNI"/>
    <n v="31014183"/>
    <n v="20310141837"/>
    <d v="1984-09-10T00:00:00"/>
    <m/>
    <m/>
    <m/>
    <m/>
    <x v="0"/>
    <x v="0"/>
    <m/>
    <m/>
    <d v="2016-12-31T00:00:00"/>
    <m/>
    <s v="UNTREF"/>
    <m/>
    <n v="12000"/>
  </r>
  <r>
    <s v="SFMyCP"/>
    <x v="0"/>
    <s v="SUBSEC CENTROS TEMATICOS Y EXP FEDERALES"/>
    <x v="7"/>
    <m/>
    <m/>
    <m/>
    <s v="Asesor"/>
    <m/>
    <m/>
    <m/>
    <s v="GANCHEGUI MARTIN"/>
    <s v="DNI"/>
    <n v="31541032"/>
    <n v="20315410321"/>
    <m/>
    <m/>
    <m/>
    <m/>
    <m/>
    <x v="1"/>
    <x v="1"/>
    <d v="2010-07-01T00:00:00"/>
    <d v="2016-12-31T00:00:00"/>
    <d v="2016-12-31T00:00:00"/>
    <s v="C1"/>
    <m/>
    <m/>
    <n v="13638.95"/>
  </r>
  <r>
    <s v="SFMyCP"/>
    <x v="0"/>
    <s v="SUBSEC CENTROS TEMATICOS Y EXP FEDERALES"/>
    <x v="3"/>
    <s v="TECNICA"/>
    <m/>
    <m/>
    <m/>
    <m/>
    <s v="TECNÓPOLIS"/>
    <m/>
    <s v="GANEM Mariano"/>
    <s v="DNI"/>
    <n v="29117820"/>
    <n v="24291178207"/>
    <m/>
    <m/>
    <m/>
    <m/>
    <m/>
    <x v="1"/>
    <x v="1"/>
    <d v="2011-03-01T00:00:00"/>
    <d v="2016-12-31T00:00:00"/>
    <d v="2016-12-31T00:00:00"/>
    <s v="C0"/>
    <m/>
    <m/>
    <n v="29784"/>
  </r>
  <r>
    <s v="SFMyCP"/>
    <x v="0"/>
    <s v="SUBSEC CENTROS TEMATICOS Y EXP FEDERALES"/>
    <x v="3"/>
    <s v="INTENDENCIA- MANTENIMIENTO"/>
    <m/>
    <m/>
    <m/>
    <m/>
    <s v="TECNÓPOLIS"/>
    <m/>
    <s v="GARAY Walter Damian"/>
    <s v="DNI"/>
    <n v="34690282"/>
    <n v="20346902826"/>
    <m/>
    <m/>
    <m/>
    <m/>
    <m/>
    <x v="1"/>
    <x v="1"/>
    <d v="2013-07-01T00:00:00"/>
    <d v="2016-03-31T00:00:00"/>
    <d v="2016-12-31T00:00:00"/>
    <s v="D1"/>
    <m/>
    <m/>
    <n v="18324"/>
  </r>
  <r>
    <s v="SFMyCP"/>
    <x v="1"/>
    <m/>
    <x v="5"/>
    <s v="JURIDICOS"/>
    <m/>
    <s v="(IGUALDAD CULTURAL)"/>
    <s v="Analista"/>
    <m/>
    <s v="CCK"/>
    <m/>
    <s v="GARBE VERONICA"/>
    <s v="DNI"/>
    <n v="29894708"/>
    <n v="27298947086"/>
    <m/>
    <m/>
    <m/>
    <m/>
    <m/>
    <x v="1"/>
    <x v="1"/>
    <d v="2011-06-06T00:00:00"/>
    <d v="2016-12-31T00:00:00"/>
    <d v="2016-12-31T00:00:00"/>
    <s v="B0"/>
    <m/>
    <m/>
    <n v="19096"/>
  </r>
  <r>
    <s v="SFMyCP"/>
    <x v="0"/>
    <m/>
    <x v="0"/>
    <s v="TELEVISION DIGITAL ABIERTA"/>
    <s v="CIARA"/>
    <m/>
    <s v="PRENSA Y COMUNICACIÓN"/>
    <s v="ADMINISTRATIVO"/>
    <s v="CABILDO 65"/>
    <s v="CABILDO 65"/>
    <s v="GARCÍA BARLETTA SANTIAGO"/>
    <s v="DNI"/>
    <n v="38444374"/>
    <s v="20384443746"/>
    <d v="1994-08-09T00:00:00"/>
    <m/>
    <m/>
    <m/>
    <m/>
    <x v="0"/>
    <x v="0"/>
    <d v="2013-11-11T00:00:00"/>
    <m/>
    <d v="2016-12-31T00:00:00"/>
    <m/>
    <s v="UNTREF"/>
    <s v="UNSAM- LADA"/>
    <n v="10188"/>
  </r>
  <r>
    <s v="SFMyCP"/>
    <x v="0"/>
    <s v="SUBSEC CENTROS TEMATICOS Y EXP FEDERALES"/>
    <x v="1"/>
    <s v="PRODUCCIÓN"/>
    <m/>
    <m/>
    <s v="Analista"/>
    <s v="ADMINISTRATIVA"/>
    <s v="CCK"/>
    <s v="CCK - Alem 351"/>
    <s v="GARCIA CAFFI VICTORIA"/>
    <s v="DNI"/>
    <n v="35728494"/>
    <s v="27357284940"/>
    <d v="1991-01-23T00:00:00"/>
    <m/>
    <m/>
    <m/>
    <m/>
    <x v="0"/>
    <x v="0"/>
    <d v="2015-05-04T00:00:00"/>
    <m/>
    <d v="2016-12-31T00:00:00"/>
    <m/>
    <s v="UNTREF"/>
    <s v="UNSAM-MINPLAN"/>
    <n v="12000"/>
  </r>
  <r>
    <s v="SFMyCP"/>
    <x v="0"/>
    <s v="SUBSEC CENTROS TEMATICOS Y EXP FEDERALES"/>
    <x v="1"/>
    <m/>
    <m/>
    <m/>
    <s v="COORD GESTIÓN FEDERAL Z. NORTE"/>
    <s v="ADMINISTRATIVO"/>
    <m/>
    <s v="CCK - Alem 351"/>
    <s v="GARCIA CARDENAS MARTIN"/>
    <s v="DNI"/>
    <n v="10424747"/>
    <n v="20104247475"/>
    <d v="1952-04-13T00:00:00"/>
    <m/>
    <m/>
    <m/>
    <m/>
    <x v="0"/>
    <x v="0"/>
    <d v="2016-06-01T00:00:00"/>
    <m/>
    <d v="2016-12-31T00:00:00"/>
    <m/>
    <s v="UNTREF"/>
    <m/>
    <m/>
  </r>
  <r>
    <s v="SFMyCP"/>
    <x v="2"/>
    <m/>
    <x v="4"/>
    <m/>
    <m/>
    <m/>
    <s v="PRIVADA"/>
    <s v="ADMINISTRATIVO"/>
    <m/>
    <s v="CCK - Alem 351"/>
    <s v="GARCIA CONEJERO, MARIA LAURA"/>
    <s v="DNI"/>
    <n v="20372601"/>
    <n v="27203726010"/>
    <d v="1968-06-07T00:00:00"/>
    <m/>
    <m/>
    <m/>
    <m/>
    <x v="0"/>
    <x v="0"/>
    <d v="2016-01-01T00:00:00"/>
    <m/>
    <d v="2016-12-31T00:00:00"/>
    <m/>
    <s v="UNTREF"/>
    <s v="UNSAM"/>
    <n v="27370"/>
  </r>
  <r>
    <s v="SFMyCP"/>
    <x v="0"/>
    <s v="SUBSEC CENTROS TEMATICOS Y EXP FEDERALES"/>
    <x v="1"/>
    <s v="JEFATURA DE GABINETE"/>
    <m/>
    <m/>
    <s v="Asistente"/>
    <s v="Asistente"/>
    <s v="CCK"/>
    <s v="CCK - Alem 351"/>
    <s v="GARCIA DANIELA"/>
    <s v="DNI"/>
    <n v="32438452"/>
    <s v="27324384524"/>
    <d v="1986-06-29T00:00:00"/>
    <m/>
    <m/>
    <m/>
    <m/>
    <x v="0"/>
    <x v="0"/>
    <d v="2016-02-01T00:00:00"/>
    <m/>
    <d v="2016-12-31T00:00:00"/>
    <m/>
    <s v="UNTREF"/>
    <s v="UNSAM"/>
    <n v="13000"/>
  </r>
  <r>
    <s v="SFMyCP"/>
    <x v="0"/>
    <m/>
    <x v="6"/>
    <s v="ARTES VISUALES"/>
    <m/>
    <m/>
    <m/>
    <m/>
    <m/>
    <m/>
    <s v="GARCIA FERNANDO"/>
    <s v="DNI"/>
    <n v="18549052"/>
    <n v="20185490522"/>
    <m/>
    <m/>
    <m/>
    <m/>
    <m/>
    <x v="2"/>
    <x v="0"/>
    <d v="2016-08-01T00:00:00"/>
    <m/>
    <d v="2016-10-30T00:00:00"/>
    <m/>
    <s v="UNTREF"/>
    <m/>
    <m/>
  </r>
  <r>
    <s v="SFMyCP"/>
    <x v="0"/>
    <m/>
    <x v="0"/>
    <s v="TELEVISION DIGITAL ABIERTA"/>
    <s v="CIARA"/>
    <m/>
    <s v="POSTPRODUCCIÓN"/>
    <s v="ADMINISTRATIVO"/>
    <s v="CABILDO 65"/>
    <s v="CABILDO 65"/>
    <s v="GARCIA HORACIO"/>
    <s v="DNI"/>
    <n v="10476319"/>
    <s v="20104763198"/>
    <d v="1952-06-04T00:00:00"/>
    <m/>
    <m/>
    <m/>
    <m/>
    <x v="0"/>
    <x v="0"/>
    <d v="2012-11-01T00:00:00"/>
    <m/>
    <d v="2016-12-31T00:00:00"/>
    <m/>
    <s v="UNTREF"/>
    <s v="UNSAM- LADA"/>
    <n v="39000"/>
  </r>
  <r>
    <s v="SFMyCP"/>
    <x v="1"/>
    <m/>
    <x v="10"/>
    <m/>
    <m/>
    <m/>
    <s v="ASISTENTE"/>
    <s v="Administrativo"/>
    <s v="CCK"/>
    <s v="CCK - Alem 351"/>
    <s v="GARCIA SANTIAGO ANDRES"/>
    <s v="DNI"/>
    <n v="33780682"/>
    <s v="20337806822"/>
    <d v="1988-08-26T00:00:00"/>
    <m/>
    <m/>
    <m/>
    <m/>
    <x v="0"/>
    <x v="0"/>
    <d v="2015-09-21T00:00:00"/>
    <m/>
    <d v="2016-12-31T00:00:00"/>
    <m/>
    <s v="UNTREF"/>
    <s v="UNSAM-MINPLAN"/>
    <n v="10000"/>
  </r>
  <r>
    <s v="SFMyCP"/>
    <x v="0"/>
    <m/>
    <x v="0"/>
    <s v="TELEVISION DIGITAL ABIERTA"/>
    <s v="CIARA"/>
    <m/>
    <s v="ADMINISTRACIÓN"/>
    <m/>
    <s v="CABILDO 65"/>
    <m/>
    <s v="GAUNA MARIA LUCILA"/>
    <s v="DNI"/>
    <n v="30035347"/>
    <n v="27300353474"/>
    <m/>
    <m/>
    <m/>
    <m/>
    <m/>
    <x v="1"/>
    <x v="1"/>
    <d v="2013-12-01T00:00:00"/>
    <d v="2016-03-31T00:00:00"/>
    <d v="2016-12-31T00:00:00"/>
    <s v="B1"/>
    <m/>
    <m/>
    <n v="20266"/>
  </r>
  <r>
    <s v="SFMyCP"/>
    <x v="0"/>
    <s v="SUBSEC CENTROS TEMATICOS Y EXP FEDERALES"/>
    <x v="1"/>
    <s v="INSTITUCIONALES"/>
    <s v="VISITAS GUIADAS"/>
    <m/>
    <m/>
    <s v="VISITAS GUIADAS"/>
    <m/>
    <s v="CCK - Alem 351"/>
    <s v="GAVIOLI SANTIAGO"/>
    <s v="DNI"/>
    <n v="35109083"/>
    <n v="23351090839"/>
    <d v="1990-06-19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1"/>
    <s v="AUDIOVISUALES"/>
    <m/>
    <s v="(GESTIÓN OPERATIVA)"/>
    <m/>
    <s v="ADMINISTRATIVO"/>
    <s v="CCK"/>
    <s v="CCK - Alem 351"/>
    <s v="GERBINO MARIANO"/>
    <s v="DNI"/>
    <n v="25936671"/>
    <s v="20259366713"/>
    <d v="1977-07-08T00:00:00"/>
    <m/>
    <m/>
    <m/>
    <m/>
    <x v="0"/>
    <x v="0"/>
    <d v="2013-05-01T00:00:00"/>
    <m/>
    <d v="2016-12-31T00:00:00"/>
    <m/>
    <s v="UNTREF"/>
    <s v="UNSAM"/>
    <n v="24333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GERVASIO MONICA LAURA"/>
    <s v="DNI"/>
    <n v="11958625"/>
    <s v="27119586254"/>
    <d v="1958-01-11T00:00:00"/>
    <m/>
    <m/>
    <m/>
    <m/>
    <x v="0"/>
    <x v="0"/>
    <d v="2014-07-01T00:00:00"/>
    <m/>
    <d v="2016-12-31T00:00:00"/>
    <m/>
    <s v="UNTREF"/>
    <s v="UNTREF"/>
    <n v="9995.51"/>
  </r>
  <r>
    <s v="SFMyCP"/>
    <x v="0"/>
    <m/>
    <x v="0"/>
    <s v="TELEVISION DIGITAL ABIERTA"/>
    <s v="CIARA"/>
    <s v="CCK"/>
    <s v="PROGRAMA POLOS AUDIOVISUALES TECNOLÓGICOS"/>
    <m/>
    <s v="CABILDO 65"/>
    <m/>
    <s v="GIBEAUD ELIANA JACQELINE"/>
    <s v="DNI"/>
    <n v="29019894"/>
    <n v="27290198947"/>
    <m/>
    <m/>
    <m/>
    <m/>
    <m/>
    <x v="1"/>
    <x v="1"/>
    <d v="2012-12-01T00:00:00"/>
    <d v="2016-12-31T00:00:00"/>
    <d v="2016-12-31T00:00:00"/>
    <s v="B1"/>
    <m/>
    <m/>
    <n v="20266"/>
  </r>
  <r>
    <s v="SFMyCP"/>
    <x v="0"/>
    <s v="SUBSEC CENTROS TEMATICOS Y EXP FEDERALES"/>
    <x v="3"/>
    <s v="INTENDENCIA - TALLERES"/>
    <m/>
    <m/>
    <m/>
    <m/>
    <s v="TECNÓPOLIS"/>
    <m/>
    <s v="GIL RIVERA Borja Santiago"/>
    <s v="DNI"/>
    <n v="37339485"/>
    <n v="20373394859"/>
    <m/>
    <m/>
    <m/>
    <m/>
    <m/>
    <x v="1"/>
    <x v="1"/>
    <d v="2012-11-30T00:00:00"/>
    <d v="2016-12-31T00:00:00"/>
    <d v="2016-12-31T00:00:00"/>
    <s v="F0"/>
    <m/>
    <m/>
    <n v="13135.25"/>
  </r>
  <r>
    <s v="SFMyCP"/>
    <x v="0"/>
    <m/>
    <x v="0"/>
    <s v="TELEVISION DIGITAL ABIERTA"/>
    <s v="CIARA"/>
    <m/>
    <s v="TÉCNICA Y TRANSMISIÓN"/>
    <s v="ADMINISTRATIVO"/>
    <s v="CABILDO 65"/>
    <s v="CABILDO 65"/>
    <s v="GIMENEZ FABIAN"/>
    <s v="DNI"/>
    <n v="16895479"/>
    <s v="20168954795"/>
    <d v="1964-06-16T00:00:00"/>
    <m/>
    <m/>
    <m/>
    <m/>
    <x v="0"/>
    <x v="0"/>
    <d v="2015-04-01T00:00:00"/>
    <m/>
    <d v="2016-12-31T00:00:00"/>
    <m/>
    <s v="UNTREF"/>
    <s v="UNSAM- LADA"/>
    <n v="20545"/>
  </r>
  <r>
    <s v="SFMyCP"/>
    <x v="0"/>
    <m/>
    <x v="8"/>
    <s v="COMUNICACIÓN"/>
    <m/>
    <m/>
    <m/>
    <s v="ADMINISTRATIVO"/>
    <m/>
    <s v="CCK - Alem 351"/>
    <s v="GIMENEZ JAZMIN"/>
    <s v="DNI"/>
    <n v="36904627"/>
    <n v="27369046271"/>
    <d v="1992-06-08T00:00:00"/>
    <m/>
    <m/>
    <m/>
    <m/>
    <x v="0"/>
    <x v="0"/>
    <d v="2016-06-21T00:00:00"/>
    <m/>
    <d v="2016-12-31T00:00:00"/>
    <m/>
    <s v="UNTREF"/>
    <m/>
    <m/>
  </r>
  <r>
    <s v="SFMyCP"/>
    <x v="0"/>
    <s v="SUBSEC CENTROS TEMATICOS Y EXP FEDERALES"/>
    <x v="1"/>
    <s v="DIRECCION"/>
    <m/>
    <m/>
    <s v="PRIVADA"/>
    <s v="ADMINISTRATIVO"/>
    <s v="CCK"/>
    <s v="CCK - Alem 351"/>
    <s v="GIMENEZ JERONIMO"/>
    <s v="DNI"/>
    <n v="33768361"/>
    <n v="20337683615"/>
    <d v="1988-05-15T00:00:00"/>
    <m/>
    <m/>
    <m/>
    <m/>
    <x v="0"/>
    <x v="0"/>
    <d v="2016-02-01T00:00:00"/>
    <m/>
    <d v="2016-12-31T00:00:00"/>
    <m/>
    <s v="UNTREF"/>
    <s v="UNSAM"/>
    <n v="28000"/>
  </r>
  <r>
    <s v="SFMyCP"/>
    <x v="1"/>
    <m/>
    <x v="5"/>
    <s v="INFORMATICA Y SISTEMAS"/>
    <m/>
    <s v="operaciones"/>
    <s v="Analista"/>
    <s v="Analista"/>
    <s v="CCK"/>
    <s v="CCK - Alem 351"/>
    <s v="GIMENEZ JORGE"/>
    <s v="DNI"/>
    <n v="34771528"/>
    <s v="20347715280"/>
    <d v="1989-11-27T00:00:00"/>
    <m/>
    <m/>
    <m/>
    <m/>
    <x v="0"/>
    <x v="0"/>
    <d v="2014-03-21T00:00:00"/>
    <m/>
    <d v="2016-12-31T00:00:00"/>
    <m/>
    <s v="UNTREF"/>
    <s v="UNLAM- INFO"/>
    <n v="12246"/>
  </r>
  <r>
    <s v="SFMyCP"/>
    <x v="0"/>
    <s v="SUBSEC CENTROS TEMATICOS Y EXP FEDERALES"/>
    <x v="3"/>
    <s v="OPERATIVA"/>
    <m/>
    <m/>
    <m/>
    <m/>
    <s v="TECNÓPOLIS"/>
    <m/>
    <s v="GIMENEZ Leonel Guillermo"/>
    <s v="DNI"/>
    <n v="29753648"/>
    <n v="20297536487"/>
    <m/>
    <m/>
    <m/>
    <m/>
    <m/>
    <x v="1"/>
    <x v="1"/>
    <d v="2011-07-01T00:00:00"/>
    <d v="2016-12-31T00:00:00"/>
    <d v="2016-12-31T00:00:00"/>
    <s v="D1"/>
    <m/>
    <m/>
    <n v="19334"/>
  </r>
  <r>
    <s v="SFMyCP"/>
    <x v="1"/>
    <m/>
    <x v="5"/>
    <s v="COMPRAS Y CONTRATACIONES"/>
    <m/>
    <m/>
    <s v="Asistente"/>
    <m/>
    <s v="CCK"/>
    <m/>
    <s v="GIRODO LORENA"/>
    <s v="DNI"/>
    <n v="21111727"/>
    <n v="27211117279"/>
    <m/>
    <m/>
    <m/>
    <m/>
    <m/>
    <x v="1"/>
    <x v="1"/>
    <d v="2011-06-29T00:00:00"/>
    <d v="2016-12-31T00:00:00"/>
    <d v="2016-12-31T00:00:00"/>
    <s v="C1"/>
    <m/>
    <m/>
    <n v="13500"/>
  </r>
  <r>
    <s v="SFMyCP"/>
    <x v="0"/>
    <s v="SUBSEC CENTROS TEMATICOS Y EXP FEDERALES"/>
    <x v="1"/>
    <s v="DIRECCION DE GESTION EDILICIA"/>
    <m/>
    <m/>
    <m/>
    <s v="ADMINISTRATIVO"/>
    <m/>
    <s v="CCK - Alem 351"/>
    <s v="GISFREDI GABRIEL ESTEBAN"/>
    <s v="DNI"/>
    <n v="22472515"/>
    <n v="23224725159"/>
    <d v="1972-12-02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CIARA"/>
    <s v="CCK"/>
    <s v="FOMENTO"/>
    <s v="ADMINISTRATIVO"/>
    <s v="CABILDO 65"/>
    <s v="CABILDO 65"/>
    <s v="GOFMAN MARIA"/>
    <s v="DNI"/>
    <n v="26805036"/>
    <s v="27268050367"/>
    <d v="1978-07-20T00:00:00"/>
    <m/>
    <m/>
    <m/>
    <m/>
    <x v="0"/>
    <x v="0"/>
    <d v="2012-06-01T00:00:00"/>
    <m/>
    <d v="2016-12-31T00:00:00"/>
    <m/>
    <s v="UNTREF"/>
    <s v="UNSAM- LADA"/>
    <n v="21056"/>
  </r>
  <r>
    <s v="SFMyCP"/>
    <x v="0"/>
    <m/>
    <x v="0"/>
    <s v="TELEVISION DIGITAL ABIERTA"/>
    <s v="CIARA"/>
    <m/>
    <s v="POSTPRODUCCIÓN"/>
    <s v="EDICION"/>
    <s v="CABILDO 65"/>
    <s v="CABILDO 65"/>
    <s v="GOLDEMBERG PAMINA"/>
    <s v="DNI"/>
    <n v="32224230"/>
    <s v="27322242307"/>
    <d v="1986-03-11T00:00:00"/>
    <m/>
    <m/>
    <m/>
    <m/>
    <x v="0"/>
    <x v="0"/>
    <d v="2011-09-22T00:00:00"/>
    <m/>
    <d v="2016-12-31T00:00:00"/>
    <m/>
    <s v="UNTREF"/>
    <s v="UNSAM- LADA"/>
    <n v="21056"/>
  </r>
  <r>
    <s v="SFMyCP"/>
    <x v="0"/>
    <s v="SUBSEC CENTROS TEMATICOS Y EXP FEDERALES"/>
    <x v="3"/>
    <s v="ARQUITECTURA Y OBRA"/>
    <m/>
    <m/>
    <m/>
    <m/>
    <s v="TECNÓPOLIS"/>
    <m/>
    <s v="GOMA Mariángeles"/>
    <s v="DNI"/>
    <n v="24515335"/>
    <n v="27245153355"/>
    <m/>
    <m/>
    <m/>
    <m/>
    <m/>
    <x v="1"/>
    <x v="1"/>
    <d v="2013-11-01T00:00:00"/>
    <d v="2016-03-31T00:00:00"/>
    <d v="2016-12-31T00:00:00"/>
    <s v="C0"/>
    <m/>
    <m/>
    <n v="22829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GOMEZ ALICIA"/>
    <s v="DNI"/>
    <n v="34556569"/>
    <n v="27345565693"/>
    <d v="1989-12-15T00:00:00"/>
    <m/>
    <m/>
    <m/>
    <m/>
    <x v="0"/>
    <x v="2"/>
    <m/>
    <m/>
    <d v="2016-12-31T00:00:00"/>
    <m/>
    <s v="UNTREF"/>
    <s v="UNTREF"/>
    <n v="1700"/>
  </r>
  <r>
    <s v="SFMyCP"/>
    <x v="0"/>
    <s v="SUBSEC CENTROS TEMATICOS Y EXP FEDERALES"/>
    <x v="1"/>
    <s v="INSTITUCIONALES"/>
    <s v="MONTAJE"/>
    <m/>
    <m/>
    <s v="Tecnico"/>
    <m/>
    <s v="CCK - Alem 351"/>
    <s v="GOMEZ CARLOS LUIS"/>
    <s v="DNI"/>
    <n v="13976769"/>
    <n v="20139767692"/>
    <d v="1960-01-13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CIARA"/>
    <m/>
    <s v="TÉCNICA Y TRANSMISIÓN"/>
    <s v="ADMINISTRATIVO"/>
    <s v="CABILDO 65"/>
    <s v="CABILDO 65"/>
    <s v="GOMEZ FABIAN"/>
    <s v="DNI"/>
    <n v="17815852"/>
    <s v="20178158520"/>
    <d v="1966-06-16T00:00:00"/>
    <m/>
    <m/>
    <m/>
    <m/>
    <x v="0"/>
    <x v="0"/>
    <d v="2013-03-01T00:00:00"/>
    <m/>
    <d v="2016-12-31T00:00:00"/>
    <m/>
    <s v="UNTREF"/>
    <s v="UNSAM- LADA"/>
    <n v="19353"/>
  </r>
  <r>
    <s v="SFMyCP"/>
    <x v="0"/>
    <m/>
    <x v="0"/>
    <s v="TELEVISION DIGITAL ABIERTA"/>
    <s v="CIARA"/>
    <m/>
    <s v="BACUA"/>
    <s v="ADMINISTRATIVO"/>
    <s v="CABILDO 65"/>
    <s v="CABILDO 65"/>
    <s v="GOMEZ FERNANDEZ ANDREA"/>
    <s v="DNI"/>
    <n v="33700374"/>
    <s v="27337003740"/>
    <d v="1988-04-07T00:00:00"/>
    <m/>
    <m/>
    <m/>
    <m/>
    <x v="0"/>
    <x v="0"/>
    <d v="2013-03-01T00:00:00"/>
    <m/>
    <d v="2016-12-31T00:00:00"/>
    <m/>
    <s v="UNTREF"/>
    <s v="UNSAM- LADA"/>
    <n v="16465"/>
  </r>
  <r>
    <s v="SFMyCP"/>
    <x v="0"/>
    <s v="SUBSEC CENTROS TEMATICOS Y EXP FEDERALES"/>
    <x v="3"/>
    <s v="INTENDENCIA - LIMPIEZA"/>
    <m/>
    <m/>
    <m/>
    <m/>
    <s v="TECNÓPOLIS"/>
    <m/>
    <s v="GOMEZ Flavia Romina"/>
    <s v="DNI"/>
    <n v="23551187"/>
    <n v="27235511873"/>
    <m/>
    <m/>
    <m/>
    <m/>
    <m/>
    <x v="1"/>
    <x v="1"/>
    <d v="2012-10-31T00:00:00"/>
    <d v="2016-12-31T00:00:00"/>
    <d v="2016-12-31T00:00:00"/>
    <s v="D1"/>
    <m/>
    <m/>
    <n v="14242.4"/>
  </r>
  <r>
    <s v="SFMyCP"/>
    <x v="0"/>
    <s v="SUBSEC CENTROS TEMATICOS Y EXP FEDERALES"/>
    <x v="3"/>
    <s v="COOPERATIVAS"/>
    <m/>
    <m/>
    <s v="Tareas Generales"/>
    <s v="TAREAS EN GENERAL PAÑOL"/>
    <s v="TECNÓPOLIS"/>
    <m/>
    <s v="GOMEZ GABRIELA"/>
    <s v="DNI"/>
    <n v="28328515"/>
    <n v="23283285154"/>
    <m/>
    <m/>
    <m/>
    <m/>
    <m/>
    <x v="0"/>
    <x v="2"/>
    <m/>
    <m/>
    <d v="2016-12-31T00:00:00"/>
    <m/>
    <s v="UNTREF"/>
    <s v="UNTREF"/>
    <n v="1700"/>
  </r>
  <r>
    <s v="SFMyCP"/>
    <x v="0"/>
    <s v="SUBSEC CENTROS TEMATICOS Y EXP FEDERALES"/>
    <x v="1"/>
    <s v="DIRECCION DE GESTION EDILICIA"/>
    <s v="SERVICIOS GENERALES"/>
    <m/>
    <s v="Asistente"/>
    <s v="Asistente "/>
    <s v="CCK"/>
    <s v="CCK - Alem 351"/>
    <s v="GOMEZ GARNERO IGNACIO"/>
    <s v="DNI"/>
    <n v="36086487"/>
    <s v="20360864872"/>
    <d v="1991-10-30T00:00:00"/>
    <m/>
    <m/>
    <m/>
    <m/>
    <x v="0"/>
    <x v="0"/>
    <d v="2015-08-03T00:00:00"/>
    <m/>
    <d v="2016-12-31T00:00:00"/>
    <m/>
    <s v="UNTREF"/>
    <s v="UNLAM- BICENTENARIO"/>
    <n v="10096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GOMEZ HECTOR ANDRES"/>
    <s v="DNI"/>
    <n v="38629669"/>
    <s v="20386296694"/>
    <d v="1994-04-06T00:00:00"/>
    <m/>
    <m/>
    <m/>
    <m/>
    <x v="0"/>
    <x v="0"/>
    <d v="2013-06-01T00:00:00"/>
    <m/>
    <d v="2016-12-31T00:00:00"/>
    <m/>
    <s v="UNTREF"/>
    <s v="UNTREF"/>
    <n v="11449.4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GOMEZ JUAN LEONARDO"/>
    <s v="DNI"/>
    <n v="23356117"/>
    <s v="20233561178"/>
    <d v="1973-09-15T00:00:00"/>
    <m/>
    <m/>
    <m/>
    <m/>
    <x v="0"/>
    <x v="0"/>
    <d v="2011-07-01T00:00:00"/>
    <m/>
    <d v="2016-12-31T00:00:00"/>
    <m/>
    <s v="UNTREF"/>
    <s v="UNTREF"/>
    <n v="11449.4"/>
  </r>
  <r>
    <s v="SFMyCP"/>
    <x v="0"/>
    <s v="SUBSEC CENTROS TEMATICOS Y EXP FEDERALES"/>
    <x v="3"/>
    <s v="INTENDENCIA - LIMPIEZA"/>
    <m/>
    <m/>
    <m/>
    <m/>
    <s v="TECNÓPOLIS"/>
    <m/>
    <s v="GOMEZ Marta Margarita"/>
    <s v="DNI"/>
    <n v="20405235"/>
    <n v="27204052358"/>
    <m/>
    <m/>
    <m/>
    <m/>
    <m/>
    <x v="1"/>
    <x v="1"/>
    <d v="2011-08-01T00:00:00"/>
    <d v="2016-12-31T00:00:00"/>
    <d v="2016-12-31T00:00:00"/>
    <s v="F0"/>
    <m/>
    <m/>
    <n v="23039"/>
  </r>
  <r>
    <s v="SFMyCP"/>
    <x v="0"/>
    <s v="SUBSEC CENTROS TEMATICOS Y EXP FEDERALES"/>
    <x v="1"/>
    <s v="COMUNICACIÓN"/>
    <s v="PRENSA"/>
    <m/>
    <m/>
    <s v="ADMINISTRATIVO"/>
    <m/>
    <s v="CCK - Alem 351"/>
    <s v="GOMEZ NADIA CAROLINA"/>
    <s v="DNI"/>
    <n v="31114117"/>
    <n v="27311141177"/>
    <d v="1984-09-04T00:00:00"/>
    <m/>
    <m/>
    <m/>
    <m/>
    <x v="0"/>
    <x v="0"/>
    <d v="2016-05-15T00:00:00"/>
    <m/>
    <d v="2016-12-31T00:00:00"/>
    <m/>
    <s v="UNTREF"/>
    <m/>
    <n v="17000"/>
  </r>
  <r>
    <s v="SFMyCP"/>
    <x v="0"/>
    <m/>
    <x v="8"/>
    <s v="COMUNICACIÓN"/>
    <m/>
    <m/>
    <m/>
    <s v="ADMINISTRATIVO"/>
    <m/>
    <s v="CCK - Alem 351"/>
    <s v="GOMEZ SABRINA"/>
    <s v="DNI"/>
    <n v="28080987"/>
    <n v="27280809875"/>
    <d v="1980-05-01T00:00:00"/>
    <m/>
    <m/>
    <m/>
    <m/>
    <x v="0"/>
    <x v="0"/>
    <d v="2016-06-21T00:00:00"/>
    <m/>
    <d v="2016-12-31T00:00:00"/>
    <m/>
    <s v="UNTREF"/>
    <m/>
    <m/>
  </r>
  <r>
    <s v="SFMyCP"/>
    <x v="0"/>
    <s v="SUBSEC CENTROS TEMATICOS Y EXP FEDERALES"/>
    <x v="1"/>
    <s v="DIRECCION DE GESTION EDILICIA"/>
    <s v="MANTENIMIENTO"/>
    <s v="LOGISTICA OPERATIVA"/>
    <s v="Técnico"/>
    <s v="Técnico"/>
    <s v="CCK"/>
    <s v="CCK - Alem 351"/>
    <s v="GOMEZ WILSON"/>
    <s v="DNI"/>
    <n v="94929982"/>
    <s v="20949299822"/>
    <d v="1990-01-04T00:00:00"/>
    <m/>
    <m/>
    <m/>
    <m/>
    <x v="0"/>
    <x v="0"/>
    <m/>
    <m/>
    <d v="2016-12-31T00:00:00"/>
    <m/>
    <s v="UNTREF"/>
    <s v="UNSAM-MINPLAN"/>
    <n v="12500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GOMEZ YÉSICA MABEL"/>
    <s v="DNI"/>
    <n v="31750830"/>
    <m/>
    <d v="1985-08-15T00:00:00"/>
    <m/>
    <m/>
    <m/>
    <m/>
    <x v="0"/>
    <x v="2"/>
    <m/>
    <m/>
    <d v="2016-12-31T00:00:00"/>
    <m/>
    <s v="UNTREF"/>
    <s v="UNTREF"/>
    <n v="1700"/>
  </r>
  <r>
    <s v="SFMyCP"/>
    <x v="0"/>
    <s v="SUBSEC CENTROS TEMATICOS Y EXP FEDERALES"/>
    <x v="3"/>
    <s v="TECNICA"/>
    <m/>
    <m/>
    <m/>
    <m/>
    <s v="TECNÓPOLIS"/>
    <m/>
    <s v="GONZALEZ Aníbal Adrián"/>
    <s v="DNI"/>
    <n v="24220906"/>
    <n v="20242209061"/>
    <m/>
    <m/>
    <m/>
    <m/>
    <m/>
    <x v="1"/>
    <x v="1"/>
    <d v="2012-01-01T00:00:00"/>
    <d v="2016-12-31T00:00:00"/>
    <d v="2016-12-31T00:00:00"/>
    <s v="C0"/>
    <m/>
    <m/>
    <n v="27576"/>
  </r>
  <r>
    <s v="SFMyCP"/>
    <x v="0"/>
    <s v="SUBSEC CENTROS TEMATICOS Y EXP FEDERALES"/>
    <x v="1"/>
    <s v="INSTITUCIONALES"/>
    <s v="VISITAS GUIADAS"/>
    <m/>
    <m/>
    <s v="VISITAS GUIADAS"/>
    <m/>
    <s v="CCK - Alem 351"/>
    <s v="GONZALEZ ARCE DANIEL"/>
    <s v="DNI"/>
    <n v="40747726"/>
    <n v="20407477260"/>
    <d v="1997-10-21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3"/>
    <m/>
    <m/>
    <m/>
    <s v="PRIVADA"/>
    <s v="ADMINISTRATIVO"/>
    <m/>
    <s v="TECNOPOLIS"/>
    <s v="GONZALEZ DIEGO"/>
    <s v="DNI"/>
    <n v="31215701"/>
    <n v="20312157013"/>
    <d v="1985-02-07T00:00:00"/>
    <m/>
    <m/>
    <m/>
    <m/>
    <x v="0"/>
    <x v="0"/>
    <m/>
    <m/>
    <d v="2016-12-31T00:00:00"/>
    <m/>
    <s v="UNTREF"/>
    <m/>
    <n v="20000"/>
  </r>
  <r>
    <s v="SFMyCP"/>
    <x v="1"/>
    <m/>
    <x v="2"/>
    <m/>
    <m/>
    <m/>
    <s v="PRIVADA"/>
    <s v="ADMINISTRATIVO"/>
    <m/>
    <s v="CCK - Alem 351"/>
    <s v="GONZALEZ HEREDIA, GUILLERMO"/>
    <s v="DNI"/>
    <n v="22825030"/>
    <s v="23228250309"/>
    <d v="1972-07-29T00:00:00"/>
    <m/>
    <m/>
    <m/>
    <m/>
    <x v="0"/>
    <x v="0"/>
    <d v="2016-01-01T00:00:00"/>
    <m/>
    <d v="2016-12-31T00:00:00"/>
    <m/>
    <s v="UNTREF"/>
    <s v="UNSAM"/>
    <n v="27370"/>
  </r>
  <r>
    <s v="SFMyCP"/>
    <x v="0"/>
    <s v="SUBSEC CENTROS TEMATICOS Y EXP FEDERALES"/>
    <x v="1"/>
    <s v="INSTITUCIONALES"/>
    <m/>
    <m/>
    <s v="Asistente funcional"/>
    <s v="asistente funcional"/>
    <s v="CCK"/>
    <s v="CCK - Alem 351"/>
    <s v="GONZALEZ HORACIO"/>
    <s v="DNI"/>
    <n v="13852028"/>
    <s v="20138520286"/>
    <d v="1960-04-11T00:00:00"/>
    <m/>
    <m/>
    <m/>
    <m/>
    <x v="0"/>
    <x v="0"/>
    <d v="2009-04-01T00:00:00"/>
    <m/>
    <d v="2016-12-31T00:00:00"/>
    <m/>
    <s v="UNTREF"/>
    <s v="UNLAM- BICENTENARIO"/>
    <n v="18500"/>
  </r>
  <r>
    <s v="SFMyCP"/>
    <x v="0"/>
    <s v="SUBSEC CENTROS TEMATICOS Y EXP FEDERALES"/>
    <x v="3"/>
    <s v="INTENDENCIA - LIMPIEZA"/>
    <m/>
    <m/>
    <m/>
    <m/>
    <s v="TECNÓPOLIS"/>
    <m/>
    <s v="GONZALEZ Juan Carlos"/>
    <s v="DNI"/>
    <n v="36251926"/>
    <n v="20362519269"/>
    <m/>
    <m/>
    <m/>
    <m/>
    <m/>
    <x v="1"/>
    <x v="1"/>
    <d v="2013-05-01T00:00:00"/>
    <d v="2016-03-31T00:00:00"/>
    <d v="2016-12-31T00:00:00"/>
    <s v="D0"/>
    <m/>
    <m/>
    <n v="10731"/>
  </r>
  <r>
    <s v="SFMyCP"/>
    <x v="0"/>
    <m/>
    <x v="0"/>
    <s v="TELEVISION DIGITAL ABIERTA"/>
    <s v="CIARA"/>
    <m/>
    <s v="BACUA"/>
    <s v="ADMINISTRATIVO"/>
    <s v="CABILDO 65"/>
    <s v="CABILDO 65"/>
    <s v="GONZALEZ MARIA"/>
    <s v="DNI"/>
    <n v="31292772"/>
    <s v="27312927727"/>
    <d v="1984-12-07T00:00:00"/>
    <m/>
    <m/>
    <m/>
    <m/>
    <x v="0"/>
    <x v="0"/>
    <d v="2013-08-01T00:00:00"/>
    <m/>
    <d v="2016-12-31T00:00:00"/>
    <m/>
    <s v="UNTREF"/>
    <s v="UNSAM- LADA"/>
    <n v="16465"/>
  </r>
  <r>
    <s v="SFMyCP"/>
    <x v="0"/>
    <s v="SUBSEC CENTROS TEMATICOS Y EXP FEDERALES"/>
    <x v="3"/>
    <s v="INTENDENCIA - LIMPIEZA"/>
    <m/>
    <m/>
    <m/>
    <m/>
    <s v="TECNÓPOLIS"/>
    <m/>
    <s v="GONZALEZ Mariela"/>
    <s v="DNI"/>
    <n v="29624857"/>
    <n v="27296248571"/>
    <m/>
    <m/>
    <m/>
    <m/>
    <m/>
    <x v="1"/>
    <x v="1"/>
    <d v="2011-07-01T00:00:00"/>
    <d v="2016-12-31T00:00:00"/>
    <d v="2016-12-31T00:00:00"/>
    <s v="D0"/>
    <m/>
    <m/>
    <n v="22640"/>
  </r>
  <r>
    <s v="SFMyCP"/>
    <x v="0"/>
    <s v="SUBSEC CENTROS TEMATICOS Y EXP FEDERALES"/>
    <x v="1"/>
    <s v="DIRECCION DE GESTION EDILICIA"/>
    <s v="OPERATIVA Y LOGISTICA"/>
    <s v="LOGISTICA OPERATIVA"/>
    <s v="Técnico"/>
    <s v="OPERATIVA Y LOGISTICA"/>
    <s v="CCK"/>
    <s v="CCK - Alem 351"/>
    <s v="GONZALEZ NELSON"/>
    <s v="DNI"/>
    <n v="22609036"/>
    <s v="20226090364"/>
    <d v="1972-02-18T00:00:00"/>
    <m/>
    <m/>
    <m/>
    <m/>
    <x v="0"/>
    <x v="0"/>
    <d v="2015-06-10T00:00:00"/>
    <m/>
    <d v="2016-12-31T00:00:00"/>
    <m/>
    <s v="UNTREF"/>
    <s v="UNTREF"/>
    <n v="12500"/>
  </r>
  <r>
    <s v="SFMyCP"/>
    <x v="1"/>
    <m/>
    <x v="2"/>
    <m/>
    <m/>
    <m/>
    <s v="PRIVADA"/>
    <s v="ADMINISTRATIVO"/>
    <m/>
    <s v="CCK - Alem 351"/>
    <s v="GONZALEZ NICOLÁS"/>
    <s v="DNI"/>
    <n v="34975868"/>
    <s v="20349758688"/>
    <d v="1989-11-21T00:00:00"/>
    <m/>
    <m/>
    <m/>
    <m/>
    <x v="0"/>
    <x v="0"/>
    <d v="2016-01-01T00:00:00"/>
    <m/>
    <d v="2016-12-31T00:00:00"/>
    <m/>
    <s v="UNTREF"/>
    <s v="UNSAM"/>
    <n v="17000"/>
  </r>
  <r>
    <s v="SFMyCP"/>
    <x v="0"/>
    <s v="SUBSEC CENTROS TEMATICOS Y EXP FEDERALES"/>
    <x v="1"/>
    <s v="PRODUCCIÓN"/>
    <m/>
    <m/>
    <s v="PRIVADA"/>
    <s v="ADMINISTRATIVA"/>
    <s v="CCK"/>
    <s v="CCK - Alem 351"/>
    <s v="GONZALEZ NOGUERA, MICHELLE"/>
    <s v="DNI"/>
    <n v="25495401"/>
    <s v="27254954018"/>
    <d v="1976-01-27T00:00:00"/>
    <m/>
    <m/>
    <m/>
    <m/>
    <x v="0"/>
    <x v="0"/>
    <d v="2016-02-01T00:00:00"/>
    <m/>
    <d v="2016-12-31T00:00:00"/>
    <m/>
    <s v="UNTREF"/>
    <s v="UNSAM"/>
    <n v="15000"/>
  </r>
  <r>
    <s v="SFMyCP"/>
    <x v="1"/>
    <m/>
    <x v="5"/>
    <s v="DIRECCION GENERAL"/>
    <m/>
    <s v="SOPORTE ADMINISTRATIVO"/>
    <s v="SECRETARIA"/>
    <s v="Asistente"/>
    <s v="CCK"/>
    <s v="CCK - Alem 351"/>
    <s v="GONZALEZ ROCIO CRISTAL"/>
    <s v="DNI"/>
    <n v="38399930"/>
    <s v="27383999303"/>
    <d v="1994-06-30T00:00:00"/>
    <m/>
    <m/>
    <m/>
    <m/>
    <x v="0"/>
    <x v="0"/>
    <d v="2015-09-01T00:00:00"/>
    <m/>
    <d v="2016-12-31T00:00:00"/>
    <m/>
    <s v="UNTREF"/>
    <s v="UNLAM- BICENTENARIO"/>
    <n v="10807"/>
  </r>
  <r>
    <s v="SFMyCP"/>
    <x v="0"/>
    <s v="SUBSEC CENTROS TEMATICOS Y EXP FEDERALES"/>
    <x v="1"/>
    <s v="PRODUCCIÓN"/>
    <s v="TECNICA"/>
    <m/>
    <m/>
    <s v="ADMINISTRATIVA"/>
    <m/>
    <s v="CCK - Alem 351"/>
    <s v="GONZALEZ SANTIAGO MANUEL"/>
    <s v="DNI"/>
    <n v="36596267"/>
    <n v="20365962678"/>
    <d v="1991-11-14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DIRECCION DE GESTION EDILICIA"/>
    <s v="OPERATIVA Y LOGISTICA"/>
    <s v="LIMPIEZA (En comisión Tecnópolis)"/>
    <s v="Auxiliar"/>
    <s v="OPERATIVA Y LOGISTICA"/>
    <s v="CCK"/>
    <s v="CCK - Alem 351"/>
    <s v="GOÑI HERNAN"/>
    <s v="DNI"/>
    <n v="36660968"/>
    <s v="20366609688"/>
    <d v="1991-11-29T00:00:00"/>
    <m/>
    <m/>
    <m/>
    <m/>
    <x v="0"/>
    <x v="0"/>
    <d v="2015-06-10T00:00:00"/>
    <m/>
    <d v="2016-12-31T00:00:00"/>
    <m/>
    <s v="UNTREF"/>
    <s v="UNTREF"/>
    <n v="10495"/>
  </r>
  <r>
    <s v="SFMyCP"/>
    <x v="0"/>
    <s v="SUBSEC CENTROS TEMATICOS Y EXP FEDERALES"/>
    <x v="3"/>
    <s v="OPERATIVA"/>
    <m/>
    <m/>
    <m/>
    <m/>
    <s v="TECNÓPOLIS"/>
    <m/>
    <s v="GORGONE Adrian"/>
    <s v="DNI"/>
    <n v="23672087"/>
    <n v="20236720870"/>
    <m/>
    <m/>
    <m/>
    <m/>
    <m/>
    <x v="1"/>
    <x v="1"/>
    <d v="2011-07-01T00:00:00"/>
    <d v="2016-12-31T00:00:00"/>
    <d v="2016-12-31T00:00:00"/>
    <s v="D1"/>
    <m/>
    <m/>
    <n v="26690"/>
  </r>
  <r>
    <s v="SFMyCP"/>
    <x v="0"/>
    <s v="SUBSEC CENTROS TEMATICOS Y EXP FEDERALES"/>
    <x v="3"/>
    <s v="INTENDENCIA - PREDIO FERIAL"/>
    <m/>
    <m/>
    <m/>
    <m/>
    <s v="TECNÓPOLIS"/>
    <m/>
    <s v="GORGONE Vanesa Andrea"/>
    <s v="DNI"/>
    <n v="22503320"/>
    <n v="27225033205"/>
    <m/>
    <m/>
    <m/>
    <m/>
    <m/>
    <x v="1"/>
    <x v="1"/>
    <d v="2011-07-01T00:00:00"/>
    <d v="2016-12-31T00:00:00"/>
    <d v="2016-12-31T00:00:00"/>
    <s v="C0"/>
    <m/>
    <m/>
    <n v="29747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GORNO  CLEMENTE ERNESTO"/>
    <s v="DNI"/>
    <n v="23656609"/>
    <s v="23236566099"/>
    <d v="1973-08-08T00:00:00"/>
    <m/>
    <m/>
    <m/>
    <m/>
    <x v="0"/>
    <x v="0"/>
    <d v="2014-04-01T00:00:00"/>
    <m/>
    <d v="2016-12-31T00:00:00"/>
    <m/>
    <s v="UNTREF"/>
    <s v="UNTREF"/>
    <n v="9995.51"/>
  </r>
  <r>
    <s v="SFMyCP"/>
    <x v="0"/>
    <m/>
    <x v="0"/>
    <m/>
    <m/>
    <m/>
    <m/>
    <s v="ADMINISTRATIVO"/>
    <m/>
    <s v="CCK - Alem 351"/>
    <s v="GRANDINETTI CLAUDIO"/>
    <s v="DNI"/>
    <n v="20611734"/>
    <n v="2026117347"/>
    <d v="1969-03-08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1"/>
    <s v="DIRECCION DE GESTION EDILICIA"/>
    <s v="SERVICIOS GENERALES"/>
    <m/>
    <s v="Asistente"/>
    <s v="Asistente "/>
    <s v="CCK"/>
    <s v="CCK - Alem 351"/>
    <s v="GRANERO MARIA NOEL"/>
    <s v="DNI"/>
    <n v="33426846"/>
    <s v="27334268468"/>
    <d v="1988-05-02T00:00:00"/>
    <m/>
    <m/>
    <m/>
    <m/>
    <x v="0"/>
    <x v="0"/>
    <d v="2015-08-02T00:00:00"/>
    <m/>
    <d v="2016-12-31T00:00:00"/>
    <m/>
    <s v="UNTREF"/>
    <s v="UNLAM- BICENTENARIO"/>
    <n v="10096"/>
  </r>
  <r>
    <s v="SFMyCP"/>
    <x v="0"/>
    <s v="SUBSEC CENTROS TEMATICOS Y EXP FEDERALES"/>
    <x v="3"/>
    <s v="ADMINISTRACION- RRHH"/>
    <m/>
    <m/>
    <s v="ADMINISTRATIVO"/>
    <m/>
    <s v="TECNÓPOLIS"/>
    <m/>
    <s v="GRASSO María Inés"/>
    <s v="DNI"/>
    <n v="27457003"/>
    <n v="27274570046"/>
    <m/>
    <m/>
    <m/>
    <m/>
    <m/>
    <x v="1"/>
    <x v="1"/>
    <d v="2012-05-01T00:00:00"/>
    <d v="2016-12-31T00:00:00"/>
    <d v="2016-12-31T00:00:00"/>
    <s v="C0"/>
    <m/>
    <m/>
    <n v="29747"/>
  </r>
  <r>
    <s v="SFMyCP"/>
    <x v="0"/>
    <s v="SUBSEC CENTROS TEMATICOS Y EXP FEDERALES"/>
    <x v="7"/>
    <m/>
    <m/>
    <m/>
    <s v="PRIVADA"/>
    <s v="ADMINISTRATIVO"/>
    <m/>
    <s v="CCK - Alem 351"/>
    <s v="GREGORIC LUIS"/>
    <s v="DNI"/>
    <n v="11735933"/>
    <s v="20117359337"/>
    <d v="1938-08-03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ADMINISTRACION- RELACIONES INSTITUCIONALES"/>
    <m/>
    <m/>
    <s v="ADMINISTRATIVO"/>
    <m/>
    <s v="TECNÓPOLIS"/>
    <m/>
    <s v="GRIMBLAT IANINA"/>
    <s v="DNI"/>
    <n v="16225344"/>
    <n v="27162253447"/>
    <m/>
    <m/>
    <m/>
    <m/>
    <m/>
    <x v="1"/>
    <x v="1"/>
    <d v="2013-07-01T00:00:00"/>
    <d v="2016-03-31T00:00:00"/>
    <d v="2016-12-31T00:00:00"/>
    <s v="C1"/>
    <m/>
    <m/>
    <n v="27262"/>
  </r>
  <r>
    <s v="SFMyCP"/>
    <x v="0"/>
    <s v="SUBSEC CENTROS TEMATICOS Y EXP FEDERALES"/>
    <x v="3"/>
    <s v="INTENDENCIA - TALLERES"/>
    <m/>
    <m/>
    <m/>
    <m/>
    <s v="TECNÓPOLIS"/>
    <m/>
    <s v="GUELBERT BENJAMIN DAVID"/>
    <s v="DNI"/>
    <n v="14689931"/>
    <n v="20146899316"/>
    <m/>
    <m/>
    <m/>
    <m/>
    <m/>
    <x v="1"/>
    <x v="1"/>
    <d v="2012-10-31T00:00:00"/>
    <d v="2016-12-31T00:00:00"/>
    <d v="2016-12-31T00:00:00"/>
    <s v="C0"/>
    <m/>
    <m/>
    <n v="27420"/>
  </r>
  <r>
    <s v="SFMyCP"/>
    <x v="1"/>
    <m/>
    <x v="5"/>
    <s v="PRESUPUESTO"/>
    <m/>
    <m/>
    <m/>
    <m/>
    <s v="CCK"/>
    <m/>
    <s v="GUELET MUÑOZ JOHANA ANAHI"/>
    <s v="DNI"/>
    <n v="34712943"/>
    <n v="27347129432"/>
    <m/>
    <m/>
    <m/>
    <m/>
    <m/>
    <x v="1"/>
    <x v="1"/>
    <d v="2015-09-01T00:00:00"/>
    <d v="2016-03-31T00:00:00"/>
    <d v="2016-12-31T00:00:00"/>
    <s v="B0"/>
    <m/>
    <m/>
    <n v="17107"/>
  </r>
  <r>
    <s v="SFMyCP"/>
    <x v="0"/>
    <s v="SUBSEC CENTROS TEMATICOS Y EXP FEDERALES"/>
    <x v="1"/>
    <s v="PRODUCCIÓN"/>
    <s v="TECNICA"/>
    <m/>
    <m/>
    <m/>
    <m/>
    <m/>
    <s v="GUERRA LUCAS"/>
    <s v="DNI"/>
    <n v="24600825"/>
    <n v="20246008257"/>
    <m/>
    <m/>
    <m/>
    <m/>
    <m/>
    <x v="2"/>
    <x v="1"/>
    <d v="2012-12-01T00:00:00"/>
    <m/>
    <d v="2016-12-31T00:00:00"/>
    <s v="B3"/>
    <m/>
    <m/>
    <m/>
  </r>
  <r>
    <s v="SFMyCP"/>
    <x v="0"/>
    <m/>
    <x v="0"/>
    <m/>
    <m/>
    <m/>
    <s v="PRIVADA"/>
    <s v="ADMINISTRATIVO"/>
    <m/>
    <s v="CCK - Alem 351"/>
    <s v="GUERRERO IGNACIO"/>
    <s v="DNI"/>
    <n v="22796345"/>
    <s v="20227963450"/>
    <d v="1972-09-27T00:00:00"/>
    <m/>
    <m/>
    <m/>
    <m/>
    <x v="0"/>
    <x v="0"/>
    <d v="2016-04-01T00:00:00"/>
    <m/>
    <d v="2016-12-31T00:00:00"/>
    <m/>
    <s v="UNTREF"/>
    <m/>
    <n v="22000"/>
  </r>
  <r>
    <s v="SFMyCP"/>
    <x v="0"/>
    <s v="SUBSEC CENTROS TEMATICOS Y EXP FEDERALES"/>
    <x v="1"/>
    <s v="PRODUCCIÓN"/>
    <m/>
    <m/>
    <s v="Analista"/>
    <s v="ADMINISTRATIVA"/>
    <s v="CCK"/>
    <s v="CCK - Alem 351"/>
    <s v="GUINSBURG DANIELA"/>
    <s v="DNI"/>
    <n v="35320893"/>
    <s v="23353208934"/>
    <d v="1990-09-28T00:00:00"/>
    <m/>
    <m/>
    <m/>
    <m/>
    <x v="0"/>
    <x v="0"/>
    <d v="2015-05-15T00:00:00"/>
    <m/>
    <d v="2016-12-31T00:00:00"/>
    <m/>
    <s v="UNTREF"/>
    <s v="UNSAM-MINPLAN"/>
    <n v="12000"/>
  </r>
  <r>
    <s v="SFMyCP"/>
    <x v="0"/>
    <s v="SUBSEC CENTROS TEMATICOS Y EXP FEDERALES"/>
    <x v="1"/>
    <s v="DIRECCION DE GESTION EDILICIA"/>
    <m/>
    <m/>
    <m/>
    <s v="ADMINISTRATIVO"/>
    <m/>
    <s v="CCK - Alem 351"/>
    <s v="GUTIERRE SERGIO EDUARDO"/>
    <s v="DNI"/>
    <n v="24222400"/>
    <n v="20242224001"/>
    <d v="1975-01-27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GUTIERREZ GABRIEL ALBERTO"/>
    <s v="DNI"/>
    <n v="25838929"/>
    <s v="20258389299"/>
    <d v="1977-02-23T00:00:00"/>
    <m/>
    <m/>
    <m/>
    <m/>
    <x v="0"/>
    <x v="0"/>
    <d v="2014-07-01T00:00:00"/>
    <m/>
    <d v="2016-12-31T00:00:00"/>
    <m/>
    <s v="UNTREF"/>
    <s v="UNTREF"/>
    <n v="9995.51"/>
  </r>
  <r>
    <s v="SFMyCP"/>
    <x v="1"/>
    <m/>
    <x v="2"/>
    <m/>
    <m/>
    <m/>
    <s v="PRIVADA"/>
    <s v="ADMINISTRATIVO"/>
    <m/>
    <s v="CCK - Alem 351"/>
    <s v="GUTIERREZ RODRIGO"/>
    <s v="DNI"/>
    <n v="26819198"/>
    <s v="20268191985"/>
    <d v="1978-08-25T00:00:00"/>
    <m/>
    <m/>
    <m/>
    <m/>
    <x v="0"/>
    <x v="0"/>
    <d v="2016-01-01T00:00:00"/>
    <m/>
    <d v="2016-12-31T00:00:00"/>
    <m/>
    <s v="UNTREF"/>
    <s v="UNSAM"/>
    <n v="17000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GUZMAN  MAXIMILIANO JOSUE"/>
    <s v="DNI"/>
    <n v="32595983"/>
    <s v="20325959836"/>
    <d v="1987-04-03T00:00:00"/>
    <m/>
    <m/>
    <m/>
    <m/>
    <x v="0"/>
    <x v="0"/>
    <d v="2013-06-01T00:00:00"/>
    <m/>
    <d v="2016-12-31T00:00:00"/>
    <m/>
    <s v="UNTREF"/>
    <s v="UNTREF"/>
    <n v="11449.4"/>
  </r>
  <r>
    <s v="SFMyCP"/>
    <x v="1"/>
    <m/>
    <x v="2"/>
    <m/>
    <m/>
    <m/>
    <s v="PRIVADA"/>
    <s v="ADMINISTRATIVO"/>
    <m/>
    <s v="CCK - Alem 351"/>
    <s v="GUZMÁN WALTER"/>
    <s v="DNI"/>
    <n v="14314816"/>
    <s v="20143148166"/>
    <d v="1961-07-10T00:00:00"/>
    <m/>
    <m/>
    <m/>
    <m/>
    <x v="0"/>
    <x v="0"/>
    <d v="2016-01-01T00:00:00"/>
    <m/>
    <d v="2016-12-31T00:00:00"/>
    <m/>
    <s v="UNTREF"/>
    <s v="UNSAM"/>
    <n v="17000"/>
  </r>
  <r>
    <s v="SFMyCP"/>
    <x v="0"/>
    <s v="SUBSEC CENTROS TEMATICOS Y EXP FEDERALES"/>
    <x v="1"/>
    <s v="DIRECCION DE GESTION EDILICIA"/>
    <s v="CONTROL Y PLANIFICACION"/>
    <m/>
    <m/>
    <m/>
    <m/>
    <m/>
    <s v="HABERMEHL ANDRES"/>
    <s v="DNI"/>
    <n v="35970957"/>
    <m/>
    <m/>
    <m/>
    <m/>
    <m/>
    <m/>
    <x v="2"/>
    <x v="1"/>
    <m/>
    <m/>
    <d v="2016-12-31T00:00:00"/>
    <s v="C0"/>
    <m/>
    <m/>
    <m/>
  </r>
  <r>
    <s v="SFMyCP"/>
    <x v="1"/>
    <m/>
    <x v="2"/>
    <m/>
    <m/>
    <m/>
    <s v="PRIVADA"/>
    <s v="ADMINISTRATIVO"/>
    <m/>
    <s v="CCK - Alem 351"/>
    <s v="HAMILTON, FEDERICO"/>
    <s v="DNI"/>
    <n v="24962533"/>
    <s v="20249625338"/>
    <d v="1975-09-24T00:00:00"/>
    <m/>
    <m/>
    <m/>
    <m/>
    <x v="0"/>
    <x v="0"/>
    <d v="2016-01-01T00:00:00"/>
    <m/>
    <d v="2016-12-31T00:00:00"/>
    <m/>
    <s v="UNTREF"/>
    <s v="UNSAM"/>
    <n v="12275"/>
  </r>
  <r>
    <s v="SFMyCP"/>
    <x v="0"/>
    <s v="SUBSEC CENTROS TEMATICOS Y EXP FEDERALES"/>
    <x v="3"/>
    <s v="ADMINISTRACION"/>
    <m/>
    <m/>
    <s v="ADMINISTRATIVO"/>
    <m/>
    <s v="TECNÓPOLIS"/>
    <m/>
    <s v="HENCEK ANDREA MARIANA"/>
    <s v="DNI"/>
    <n v="25144136"/>
    <n v="27251441362"/>
    <m/>
    <m/>
    <m/>
    <m/>
    <m/>
    <x v="1"/>
    <x v="1"/>
    <d v="2010-03-01T00:00:00"/>
    <d v="2016-12-31T00:00:00"/>
    <d v="2016-12-31T00:00:00"/>
    <s v="C1"/>
    <m/>
    <m/>
    <n v="31056"/>
  </r>
  <r>
    <s v="SFMyCP"/>
    <x v="0"/>
    <s v="SUBSEC CENTROS TEMATICOS Y EXP FEDERALES"/>
    <x v="3"/>
    <s v="ADMINISTRACION"/>
    <m/>
    <m/>
    <s v="ADMINISTRATIVO"/>
    <m/>
    <s v="TECNÓPOLIS"/>
    <m/>
    <s v="HENCEK FERNANDA GABRIELA"/>
    <s v="DNI"/>
    <n v="26019114"/>
    <n v="23260191144"/>
    <m/>
    <m/>
    <m/>
    <m/>
    <m/>
    <x v="1"/>
    <x v="1"/>
    <d v="2010-04-01T00:00:00"/>
    <d v="2016-12-31T00:00:00"/>
    <d v="2016-12-31T00:00:00"/>
    <s v="B1"/>
    <m/>
    <m/>
    <n v="20266.82"/>
  </r>
  <r>
    <s v="SFMyCP"/>
    <x v="0"/>
    <m/>
    <x v="0"/>
    <s v="TELEVISION DIGITAL ABIERTA"/>
    <s v="CIARA"/>
    <m/>
    <m/>
    <s v="ADMINISTRATIVO"/>
    <s v="CABILDO 65"/>
    <s v="CABILDO 65"/>
    <s v="HERAS MAURICIO"/>
    <s v="DNI"/>
    <n v="27027265"/>
    <s v="20270272658"/>
    <d v="1978-12-17T00:00:00"/>
    <m/>
    <m/>
    <m/>
    <m/>
    <x v="0"/>
    <x v="0"/>
    <d v="2010-04-01T00:00:00"/>
    <m/>
    <d v="2016-12-31T00:00:00"/>
    <m/>
    <s v="UNTREF"/>
    <s v="UNSAM- LADA"/>
    <n v="20545"/>
  </r>
  <r>
    <s v="SFMyCP"/>
    <x v="0"/>
    <m/>
    <x v="0"/>
    <m/>
    <m/>
    <s v="(GESTIÓN OPERATIVA)"/>
    <m/>
    <m/>
    <s v="CCK"/>
    <m/>
    <s v="HERMOSA SILVINA"/>
    <s v="DNI"/>
    <n v="24159112"/>
    <n v="27241591129"/>
    <m/>
    <m/>
    <m/>
    <m/>
    <m/>
    <x v="1"/>
    <x v="1"/>
    <d v="2010-04-01T00:00:00"/>
    <d v="2016-12-31T00:00:00"/>
    <d v="2016-12-31T00:00:00"/>
    <s v="B1"/>
    <m/>
    <m/>
    <n v="18277"/>
  </r>
  <r>
    <s v="SFMyCP"/>
    <x v="0"/>
    <m/>
    <x v="0"/>
    <s v="FOMENTO"/>
    <m/>
    <m/>
    <s v=""/>
    <m/>
    <s v="CCK"/>
    <m/>
    <s v="HERNANDEZ MAXIMILIANO PABLO"/>
    <s v="DNI"/>
    <n v="34681893"/>
    <n v="20346818930"/>
    <m/>
    <m/>
    <m/>
    <m/>
    <m/>
    <x v="1"/>
    <x v="1"/>
    <d v="2011-11-01T00:00:00"/>
    <d v="2016-12-31T00:00:00"/>
    <d v="2016-12-31T00:00:00"/>
    <s v="C0"/>
    <m/>
    <m/>
    <n v="12274"/>
  </r>
  <r>
    <s v="SFMyCP"/>
    <x v="1"/>
    <m/>
    <x v="5"/>
    <s v="COMPRAS Y CONTRATACIONES"/>
    <m/>
    <s v="CONTROL DE ACCESOS  B"/>
    <s v="Asistente"/>
    <s v="ADMINISTRATIVO"/>
    <s v="CCK"/>
    <s v="CCK - Alem 351"/>
    <s v="HERRERA LARA MARIELA"/>
    <s v="DNI"/>
    <n v="37023551"/>
    <s v="27370235517"/>
    <d v="1992-11-25T00:00:00"/>
    <m/>
    <m/>
    <m/>
    <m/>
    <x v="0"/>
    <x v="0"/>
    <m/>
    <m/>
    <d v="2016-12-31T00:00:00"/>
    <m/>
    <s v="UNTREF"/>
    <s v="UNLAM- BICENTENARIO"/>
    <n v="10096"/>
  </r>
  <r>
    <s v="SFMyCP"/>
    <x v="0"/>
    <s v="SUBSEC CENTROS TEMATICOS Y EXP FEDERALES"/>
    <x v="1"/>
    <s v="DIRECCION DE GESTION EDILICIA"/>
    <s v="SERVICIOS GENERALES"/>
    <m/>
    <s v="Asistente"/>
    <s v="Asistente "/>
    <s v="CCK"/>
    <s v="CCK - Alem 351"/>
    <s v="HERRERA MARIA DEL MAR"/>
    <s v="DNI"/>
    <n v="37900697"/>
    <s v="27379006979"/>
    <d v="1994-06-15T00:00:00"/>
    <m/>
    <m/>
    <m/>
    <m/>
    <x v="0"/>
    <x v="0"/>
    <d v="2015-06-01T00:00:00"/>
    <m/>
    <d v="2016-12-31T00:00:00"/>
    <m/>
    <s v="UNTREF"/>
    <s v="UNLAM- BICENTENARIO"/>
    <n v="10807"/>
  </r>
  <r>
    <s v="SFMyCP"/>
    <x v="1"/>
    <m/>
    <x v="5"/>
    <s v="PLANIF  Y ADM DE REC HUMANOS"/>
    <s v="MEDICINA DEL TRABAJO"/>
    <m/>
    <s v="Enfermera/o"/>
    <m/>
    <s v="CCK"/>
    <m/>
    <s v="HERRERA MARIA EUGENIA"/>
    <s v="DNI"/>
    <n v="28633654"/>
    <n v="27286336545"/>
    <m/>
    <m/>
    <m/>
    <m/>
    <m/>
    <x v="1"/>
    <x v="1"/>
    <d v="2015-06-01T00:00:00"/>
    <d v="2016-03-31T00:00:00"/>
    <d v="2016-12-31T00:00:00"/>
    <s v="C0"/>
    <m/>
    <m/>
    <n v="11730"/>
  </r>
  <r>
    <s v="SFMyCP"/>
    <x v="1"/>
    <m/>
    <x v="5"/>
    <s v="PLANIF  Y ADM DE REC HUMANOS"/>
    <s v="MEDICINA DEL TRABAJO"/>
    <m/>
    <s v="Enfermera/o"/>
    <m/>
    <s v="CCK"/>
    <m/>
    <s v="HERRERA CLAUDIA MARCELA"/>
    <s v="DNI"/>
    <n v="27493096"/>
    <n v="27274930964"/>
    <d v="1979-06-09T00:00:00"/>
    <m/>
    <m/>
    <m/>
    <m/>
    <x v="0"/>
    <x v="0"/>
    <d v="2016-08-02T00:00:00"/>
    <m/>
    <d v="2016-12-31T00:00:00"/>
    <m/>
    <m/>
    <m/>
    <m/>
  </r>
  <r>
    <s v="SFMyCP"/>
    <x v="0"/>
    <s v="SUBSEC CENTROS TEMATICOS Y EXP FEDERALES"/>
    <x v="3"/>
    <s v="INTENDENCIA - LIMPIEZA"/>
    <m/>
    <m/>
    <m/>
    <m/>
    <s v="TECNÓPOLIS"/>
    <m/>
    <s v="HERRERA VERONICA LORENA"/>
    <s v="DNI"/>
    <n v="28496920"/>
    <n v="27284969206"/>
    <m/>
    <m/>
    <m/>
    <m/>
    <m/>
    <x v="1"/>
    <x v="1"/>
    <d v="2012-10-31T00:00:00"/>
    <d v="2016-12-31T00:00:00"/>
    <d v="2016-12-31T00:00:00"/>
    <s v="F0"/>
    <m/>
    <m/>
    <n v="13783.6"/>
  </r>
  <r>
    <s v="SFMyCP"/>
    <x v="0"/>
    <s v="SUBSEC CENTROS TEMATICOS Y EXP FEDERALES"/>
    <x v="3"/>
    <s v="OPERATIVA"/>
    <m/>
    <m/>
    <m/>
    <m/>
    <s v="TECNÓPOLIS"/>
    <m/>
    <s v="HERRERA WALTER NICOLAS"/>
    <s v="DNI"/>
    <n v="30277829"/>
    <n v="23302778299"/>
    <m/>
    <m/>
    <m/>
    <m/>
    <m/>
    <x v="1"/>
    <x v="1"/>
    <d v="2012-10-31T00:00:00"/>
    <d v="2016-12-31T00:00:00"/>
    <d v="2016-12-31T00:00:00"/>
    <s v="C0"/>
    <m/>
    <m/>
    <n v="29747"/>
  </r>
  <r>
    <s v="SFMyCP"/>
    <x v="1"/>
    <m/>
    <x v="5"/>
    <s v="PLANIF  Y ADM DE REC HUMANOS"/>
    <s v="RECURSOS HUMANOS"/>
    <s v="COMUNICACIÓN"/>
    <s v="COMUNICACIÓN"/>
    <m/>
    <m/>
    <m/>
    <s v="HOROVITZ HERNAN"/>
    <s v="DNI"/>
    <n v="31641802"/>
    <n v="20316418024"/>
    <m/>
    <m/>
    <m/>
    <m/>
    <m/>
    <x v="1"/>
    <x v="1"/>
    <d v="2011-07-28T00:00:00"/>
    <d v="2016-12-31T00:00:00"/>
    <d v="2016-12-31T00:00:00"/>
    <s v="C1"/>
    <m/>
    <m/>
    <n v="12003"/>
  </r>
  <r>
    <s v="SFMyCP"/>
    <x v="1"/>
    <m/>
    <x v="5"/>
    <s v="COMPRAS Y CONTRATACIONES"/>
    <m/>
    <m/>
    <m/>
    <s v="ADMINISTRATIVO"/>
    <m/>
    <s v="CCK - Alem 351"/>
    <s v="HORTAS, DANIEL"/>
    <s v="DNI"/>
    <n v="14289145"/>
    <s v="20142891450"/>
    <d v="1960-11-16T00:00:00"/>
    <m/>
    <m/>
    <m/>
    <m/>
    <x v="0"/>
    <x v="0"/>
    <d v="2016-01-01T00:00:00"/>
    <m/>
    <d v="2016-12-31T00:00:00"/>
    <m/>
    <s v="UNTREF"/>
    <s v="UNSAM"/>
    <n v="27000"/>
  </r>
  <r>
    <s v="SFMyCP"/>
    <x v="1"/>
    <m/>
    <x v="5"/>
    <s v="PRESUPUESTO"/>
    <m/>
    <m/>
    <m/>
    <s v="ADMINISTRATIVO"/>
    <m/>
    <s v="CCK - Alem 351"/>
    <s v="HURTADO DENIS"/>
    <s v="DNI"/>
    <n v="35569357"/>
    <s v="20355693571"/>
    <d v="1990-11-14T00:00:00"/>
    <m/>
    <m/>
    <m/>
    <m/>
    <x v="0"/>
    <x v="0"/>
    <m/>
    <m/>
    <d v="2016-12-31T00:00:00"/>
    <m/>
    <s v="UNTREF"/>
    <m/>
    <n v="12246"/>
  </r>
  <r>
    <s v="SFMyCP"/>
    <x v="0"/>
    <s v="SUBSEC CENTROS TEMATICOS Y EXP FEDERALES"/>
    <x v="1"/>
    <s v="DIRECCION DE GESTION EDILICIA"/>
    <s v="MANTENIMIENTO"/>
    <s v="LOGISTICA OPERATIVA"/>
    <s v="Auxiliar de Mantenimiento"/>
    <s v="Auxiliar de Mantenimiento"/>
    <s v="CCK"/>
    <s v="CCK - Alem 351"/>
    <s v="HURTADO RICARDO"/>
    <s v="DNI"/>
    <n v="35897670"/>
    <s v="20358976701"/>
    <d v="1992-10-02T00:00:00"/>
    <m/>
    <m/>
    <m/>
    <m/>
    <x v="0"/>
    <x v="0"/>
    <d v="2015-06-01T00:00:00"/>
    <m/>
    <d v="2016-12-31T00:00:00"/>
    <m/>
    <s v="UNTREF"/>
    <s v="UNSAM-MINPLAN"/>
    <n v="10188"/>
  </r>
  <r>
    <s v="SFMyCP"/>
    <x v="1"/>
    <m/>
    <x v="5"/>
    <s v="PLANIF  Y ADM DE REC HUMANOS"/>
    <s v="S. GENERALES - AUTOMOTORES"/>
    <s v="AUTOMOTORES"/>
    <s v="CHOFER"/>
    <m/>
    <s v="CCK"/>
    <m/>
    <s v="HUTCHINSON RICARDO"/>
    <s v="DNI"/>
    <n v="14619813"/>
    <n v="23146198139"/>
    <m/>
    <m/>
    <m/>
    <m/>
    <m/>
    <x v="1"/>
    <x v="1"/>
    <d v="2014-12-01T00:00:00"/>
    <d v="2016-03-31T00:00:00"/>
    <d v="2016-12-31T00:00:00"/>
    <s v="D0"/>
    <m/>
    <m/>
    <n v="18000"/>
  </r>
  <r>
    <s v="SFMyCP"/>
    <x v="1"/>
    <m/>
    <x v="5"/>
    <s v="PLANIF  Y ADM DE REC HUMANOS"/>
    <s v="RECURSOS HUMANOS"/>
    <m/>
    <m/>
    <m/>
    <m/>
    <m/>
    <s v="IALUNER HÜLSEN GABRIELA"/>
    <s v="DNI"/>
    <n v="30762932"/>
    <n v="27307629327"/>
    <m/>
    <m/>
    <m/>
    <m/>
    <m/>
    <x v="2"/>
    <x v="1"/>
    <d v="2008-10-01T00:00:00"/>
    <m/>
    <d v="2016-12-31T00:00:00"/>
    <s v="C1"/>
    <m/>
    <m/>
    <m/>
  </r>
  <r>
    <s v="SFMyCP"/>
    <x v="1"/>
    <m/>
    <x v="5"/>
    <s v="COMPRAS Y CONTRATACIONES"/>
    <m/>
    <m/>
    <m/>
    <m/>
    <s v="CCK"/>
    <m/>
    <s v="IBAÑEZ ORLANDO"/>
    <s v="DNI"/>
    <n v="18780444"/>
    <n v="20187804443"/>
    <m/>
    <m/>
    <m/>
    <m/>
    <m/>
    <x v="1"/>
    <x v="1"/>
    <d v="2007-01-01T00:00:00"/>
    <d v="2016-12-31T00:00:00"/>
    <d v="2016-12-31T00:00:00"/>
    <s v="A3"/>
    <m/>
    <m/>
    <n v="32195"/>
  </r>
  <r>
    <s v="SFMyCP"/>
    <x v="0"/>
    <m/>
    <x v="8"/>
    <s v="COMUNICACIÓN"/>
    <m/>
    <m/>
    <m/>
    <s v="ADMINISTRATIVO"/>
    <m/>
    <s v="CCK - Alem 351"/>
    <s v="IBARGUREN MANUELA"/>
    <s v="DNI"/>
    <n v="35962369"/>
    <n v="27359623696"/>
    <d v="1991-03-26T00:00:00"/>
    <m/>
    <m/>
    <m/>
    <m/>
    <x v="0"/>
    <x v="0"/>
    <d v="2016-07-04T00:00:00"/>
    <m/>
    <d v="2016-12-31T00:00:00"/>
    <m/>
    <s v="UNTREF"/>
    <m/>
    <m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IGARTUA  SEBASTIAN"/>
    <s v="DNI"/>
    <n v="35766149"/>
    <s v="20357661499"/>
    <d v="1989-07-13T00:00:00"/>
    <m/>
    <m/>
    <m/>
    <m/>
    <x v="0"/>
    <x v="0"/>
    <d v="2014-04-01T00:00:00"/>
    <m/>
    <d v="2016-12-31T00:00:00"/>
    <m/>
    <s v="UNTREF"/>
    <s v="UNTREF"/>
    <n v="9995.51"/>
  </r>
  <r>
    <s v="SFMyCP"/>
    <x v="0"/>
    <m/>
    <x v="0"/>
    <s v="TELEVISION DIGITAL ABIERTA"/>
    <s v="PRESIDENCIA"/>
    <m/>
    <s v="POSTPRODUCCIÓN"/>
    <s v="ADMINISTRATIVO"/>
    <s v="CABILDO 65"/>
    <s v="CABILDO 65"/>
    <s v="IGLESIAS ANA "/>
    <s v="DNI"/>
    <n v="27264874"/>
    <s v="27272648749"/>
    <d v="1979-07-27T00:00:00"/>
    <m/>
    <m/>
    <m/>
    <m/>
    <x v="0"/>
    <x v="0"/>
    <d v="2013-09-09T00:00:00"/>
    <m/>
    <d v="2016-12-31T00:00:00"/>
    <m/>
    <s v="UNTREF"/>
    <m/>
    <n v="25252"/>
  </r>
  <r>
    <s v="SFMyCP"/>
    <x v="0"/>
    <s v="SUBSEC CENTROS TEMATICOS Y EXP FEDERALES"/>
    <x v="1"/>
    <s v="DIRECCION"/>
    <m/>
    <m/>
    <s v="Sub Director"/>
    <m/>
    <m/>
    <m/>
    <s v="IGLESIAS LEANDRO"/>
    <s v="DNI"/>
    <m/>
    <m/>
    <m/>
    <m/>
    <m/>
    <m/>
    <m/>
    <x v="2"/>
    <x v="3"/>
    <m/>
    <m/>
    <d v="2016-12-31T00:00:00"/>
    <m/>
    <m/>
    <m/>
    <s v="."/>
  </r>
  <r>
    <s v="SFMyCP"/>
    <x v="0"/>
    <m/>
    <x v="6"/>
    <s v="ARTES VISUALES"/>
    <m/>
    <m/>
    <m/>
    <s v="ADMINISTRATIVO"/>
    <m/>
    <s v="CCK - Alem 351"/>
    <s v="IGNATTI GUIDO"/>
    <s v="DNI"/>
    <n v="28950634"/>
    <s v="23289506349"/>
    <d v="1981-08-14T00:00:00"/>
    <m/>
    <m/>
    <m/>
    <m/>
    <x v="0"/>
    <x v="0"/>
    <d v="2016-01-01T00:00:00"/>
    <m/>
    <d v="2016-12-31T00:00:00"/>
    <m/>
    <s v="UNTREF"/>
    <m/>
    <n v="17000"/>
  </r>
  <r>
    <s v="SFMyCP"/>
    <x v="1"/>
    <m/>
    <x v="5"/>
    <s v="INFORMATICA Y SISTEMAS"/>
    <m/>
    <m/>
    <s v="Técnico"/>
    <s v="Analista"/>
    <s v="CCK"/>
    <s v="CCK - Alem 351"/>
    <s v="ILLANES SANTIAGO"/>
    <s v="DNI"/>
    <n v="26580826"/>
    <s v="20265808264"/>
    <d v="1977-12-26T00:00:00"/>
    <m/>
    <m/>
    <m/>
    <m/>
    <x v="0"/>
    <x v="0"/>
    <d v="2013-11-26T00:00:00"/>
    <m/>
    <d v="2016-12-31T00:00:00"/>
    <m/>
    <s v="UNTREF"/>
    <s v="UNLAM- INFO"/>
    <n v="13062"/>
  </r>
  <r>
    <s v="SFMyCP"/>
    <x v="1"/>
    <m/>
    <x v="5"/>
    <s v="PLANIF  Y ADM DE REC HUMANOS"/>
    <s v="MEDICINA DEL TRABAJO"/>
    <m/>
    <s v="Enfermera/o"/>
    <m/>
    <s v="CCK"/>
    <m/>
    <s v="IMAZ KARINA PAOLA"/>
    <s v="DNI"/>
    <n v="23120215"/>
    <n v="27231202159"/>
    <m/>
    <m/>
    <m/>
    <m/>
    <m/>
    <x v="1"/>
    <x v="1"/>
    <d v="2015-05-21T00:00:00"/>
    <d v="2016-03-31T00:00:00"/>
    <d v="2016-12-31T00:00:00"/>
    <s v="C0"/>
    <m/>
    <m/>
    <n v="12000"/>
  </r>
  <r>
    <s v="SFMyCP"/>
    <x v="0"/>
    <s v="SUBSEC CENTROS TEMATICOS Y EXP FEDERALES"/>
    <x v="1"/>
    <s v="INSTITUCIONALES"/>
    <s v="VISITAS GUIADAS"/>
    <m/>
    <m/>
    <s v="VISITAS GUIADAS"/>
    <m/>
    <s v="CCK - Alem 351"/>
    <s v="INGEGNIERI FRANCISCO"/>
    <s v="DNI"/>
    <n v="39910014"/>
    <n v="20399100144"/>
    <d v="1996-08-16T00:00:00"/>
    <m/>
    <m/>
    <m/>
    <m/>
    <x v="0"/>
    <x v="0"/>
    <d v="2016-05-15T00:00:00"/>
    <m/>
    <d v="2016-12-31T00:00:00"/>
    <m/>
    <s v="UNTREF"/>
    <m/>
    <m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IÑIGO  MARIA CRISTINA"/>
    <s v="DNI"/>
    <n v="22228890"/>
    <n v="27222288903"/>
    <d v="1971-06-09T00:00:00"/>
    <m/>
    <m/>
    <m/>
    <m/>
    <x v="0"/>
    <x v="2"/>
    <m/>
    <m/>
    <d v="2016-12-31T00:00:00"/>
    <m/>
    <s v="UNTREF"/>
    <s v="UNTREF"/>
    <n v="1700"/>
  </r>
  <r>
    <s v="SFMyCP"/>
    <x v="1"/>
    <m/>
    <x v="5"/>
    <s v="MESA DE ENTRADA"/>
    <m/>
    <m/>
    <s v="Asistente administrativo."/>
    <m/>
    <s v="CCK"/>
    <m/>
    <s v="IRIART, SERGIO"/>
    <s v="DNI"/>
    <n v="33546747"/>
    <n v="20335467478"/>
    <m/>
    <m/>
    <m/>
    <m/>
    <m/>
    <x v="1"/>
    <x v="1"/>
    <d v="2013-01-02T00:00:00"/>
    <d v="2016-03-31T00:00:00"/>
    <d v="2016-12-31T00:00:00"/>
    <s v="D0"/>
    <m/>
    <m/>
    <n v="10190"/>
  </r>
  <r>
    <s v="SFMyCP"/>
    <x v="0"/>
    <m/>
    <x v="0"/>
    <s v="TELEVISION DIGITAL ABIERTA"/>
    <s v="CIARA"/>
    <m/>
    <s v="POSTPRODUCCIÓN"/>
    <s v="EDICION"/>
    <s v="CABILDO 65"/>
    <s v="CABILDO 65"/>
    <s v="IRIONDO MATIAS"/>
    <s v="DNI"/>
    <n v="24921752"/>
    <s v="20249217523"/>
    <d v="1975-10-12T00:00:00"/>
    <m/>
    <m/>
    <m/>
    <m/>
    <x v="0"/>
    <x v="0"/>
    <d v="2014-04-01T00:00:00"/>
    <m/>
    <d v="2016-12-31T00:00:00"/>
    <m/>
    <s v="UNTREF"/>
    <s v="UNSAM- LADA"/>
    <n v="24060"/>
  </r>
  <r>
    <s v="SFMyCP"/>
    <x v="0"/>
    <m/>
    <x v="0"/>
    <s v="TELEVISION DIGITAL ABIERTA"/>
    <s v="CIARA"/>
    <m/>
    <s v="POSTPRODUCCIÓN"/>
    <s v="EDICION"/>
    <s v="CABILDO 65"/>
    <s v="CABILDO 65"/>
    <s v="ITURRALDE ADRIAN"/>
    <s v="DNI"/>
    <n v="16237010"/>
    <s v="20162370104"/>
    <d v="1963-01-12T00:00:00"/>
    <m/>
    <m/>
    <m/>
    <m/>
    <x v="0"/>
    <x v="0"/>
    <d v="2013-06-01T00:00:00"/>
    <m/>
    <d v="2016-12-31T00:00:00"/>
    <m/>
    <s v="UNTREF"/>
    <m/>
    <n v="32782"/>
  </r>
  <r>
    <s v="SFMyCP"/>
    <x v="0"/>
    <s v="SUBSEC CENTROS TEMATICOS Y EXP FEDERALES"/>
    <x v="1"/>
    <s v="COMUNICACIÓN"/>
    <s v="PRENSA"/>
    <m/>
    <m/>
    <s v="ADMINISTRATIVO"/>
    <m/>
    <s v="CCK - Alem 351"/>
    <s v="IVANOSKI MARIA LUCILA"/>
    <s v="DNI"/>
    <n v="28778937"/>
    <n v="27287789373"/>
    <d v="1981-05-15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JACOBO LOLA MARIA"/>
    <s v="DNI"/>
    <m/>
    <m/>
    <m/>
    <m/>
    <m/>
    <m/>
    <m/>
    <x v="2"/>
    <x v="0"/>
    <m/>
    <m/>
    <d v="2016-12-31T00:00:00"/>
    <m/>
    <s v="UNTREF"/>
    <m/>
    <m/>
  </r>
  <r>
    <s v="SFMyCP"/>
    <x v="0"/>
    <m/>
    <x v="6"/>
    <s v="ARTES VISUALES"/>
    <m/>
    <m/>
    <m/>
    <s v="Orientador de Sala"/>
    <m/>
    <m/>
    <s v="JALIL CAROLINA"/>
    <s v="DNI"/>
    <n v="26392514"/>
    <n v="27263925144"/>
    <m/>
    <m/>
    <m/>
    <m/>
    <m/>
    <x v="0"/>
    <x v="0"/>
    <d v="2016-07-01T00:00:00"/>
    <m/>
    <d v="2016-12-31T00:00:00"/>
    <m/>
    <m/>
    <m/>
    <m/>
  </r>
  <r>
    <s v="SFMyCP"/>
    <x v="0"/>
    <m/>
    <x v="0"/>
    <s v="TELEVISION DIGITAL ABIERTA"/>
    <s v="CIARA"/>
    <m/>
    <s v="PANORAMA ARGENTINO"/>
    <s v="ADMINISTRATIVO"/>
    <s v="CABILDO 65"/>
    <s v="CABILDO 65"/>
    <s v="JECHSMAYR HERNAN"/>
    <s v="DNI"/>
    <n v="17964747"/>
    <s v="20179647479"/>
    <d v="1966-10-13T00:00:00"/>
    <m/>
    <m/>
    <m/>
    <m/>
    <x v="0"/>
    <x v="0"/>
    <d v="2012-03-01T00:00:00"/>
    <m/>
    <d v="2016-12-31T00:00:00"/>
    <m/>
    <s v="UNTREF"/>
    <s v="UNSAM- LADA"/>
    <n v="10829"/>
  </r>
  <r>
    <s v="SFMyCP"/>
    <x v="0"/>
    <s v="SUBSEC CENTROS TEMATICOS Y EXP FEDERALES"/>
    <x v="3"/>
    <s v="ADMINISTRACION -LEGALES"/>
    <m/>
    <m/>
    <s v="Administrativo"/>
    <m/>
    <s v="TECNÓPOLIS"/>
    <m/>
    <s v="JIMENEZ ALEGRE NELLY GLADYS"/>
    <s v="DNI"/>
    <n v="28814776"/>
    <n v="27288147766"/>
    <m/>
    <m/>
    <m/>
    <m/>
    <m/>
    <x v="1"/>
    <x v="1"/>
    <d v="2015-03-01T00:00:00"/>
    <d v="2016-03-31T00:00:00"/>
    <d v="2016-12-31T00:00:00"/>
    <s v="C0"/>
    <m/>
    <m/>
    <n v="17065"/>
  </r>
  <r>
    <s v="SFMyCP"/>
    <x v="1"/>
    <m/>
    <x v="5"/>
    <s v="COMPRAS Y CONTRATACIONES"/>
    <m/>
    <m/>
    <s v="Asistente"/>
    <m/>
    <s v="CCK"/>
    <m/>
    <s v="JIMENEZ LUIS"/>
    <s v="DNI"/>
    <n v="29192074"/>
    <n v="20291920749"/>
    <m/>
    <m/>
    <m/>
    <m/>
    <m/>
    <x v="1"/>
    <x v="1"/>
    <d v="2010-06-01T00:00:00"/>
    <d v="2016-12-31T00:00:00"/>
    <d v="2016-12-31T00:00:00"/>
    <s v="C1"/>
    <m/>
    <m/>
    <n v="11730"/>
  </r>
  <r>
    <s v="SFMyCP"/>
    <x v="0"/>
    <m/>
    <x v="0"/>
    <s v="TELEVISION DIGITAL ABIERTA"/>
    <s v="CIARA"/>
    <m/>
    <s v="PANORAMA ARGENTINO"/>
    <s v="PRODUCTOR de EXTERIORES"/>
    <s v="CABILDO 65"/>
    <s v="CABILDO 65"/>
    <s v="JORDAN MARIANO"/>
    <s v="DNI"/>
    <n v="28080101"/>
    <s v="20280801012"/>
    <d v="1980-04-14T00:00:00"/>
    <m/>
    <m/>
    <m/>
    <m/>
    <x v="0"/>
    <x v="0"/>
    <d v="2015-04-15T00:00:00"/>
    <m/>
    <d v="2016-12-31T00:00:00"/>
    <m/>
    <s v="UNTREF"/>
    <s v="UNSAM- LADA"/>
    <n v="18795"/>
  </r>
  <r>
    <s v="SFMyCP"/>
    <x v="0"/>
    <s v="SUBSEC CENTROS TEMATICOS Y EXP FEDERALES"/>
    <x v="1"/>
    <s v="INSTITUCIONALES"/>
    <m/>
    <m/>
    <m/>
    <m/>
    <s v="CCK"/>
    <m/>
    <s v="JORGE MARTHA"/>
    <s v="DNI"/>
    <n v="16765329"/>
    <n v="24167653290"/>
    <m/>
    <m/>
    <m/>
    <m/>
    <m/>
    <x v="1"/>
    <x v="1"/>
    <d v="2010-06-01T00:00:00"/>
    <d v="2016-12-31T00:00:00"/>
    <d v="2016-12-31T00:00:00"/>
    <s v="C0"/>
    <m/>
    <m/>
    <n v="12000"/>
  </r>
  <r>
    <s v="SFMyCP"/>
    <x v="0"/>
    <s v="SUBSEC CENTROS TEMATICOS Y EXP FEDERALES"/>
    <x v="3"/>
    <s v="OPERATIVA"/>
    <m/>
    <m/>
    <m/>
    <s v="CONTROL DE ACCESOS/DIGITALIZACION VEHICULAR"/>
    <s v="TECNÓPOLIS"/>
    <s v="TECNOPOLIS"/>
    <s v="JOSA ANDREA FABIANA"/>
    <s v="DNI"/>
    <n v="17802888"/>
    <s v="27178028885"/>
    <d v="1965-10-25T00:00:00"/>
    <m/>
    <m/>
    <m/>
    <m/>
    <x v="0"/>
    <x v="0"/>
    <d v="2013-07-01T00:00:00"/>
    <m/>
    <d v="2016-12-31T00:00:00"/>
    <m/>
    <s v="UNTREF"/>
    <s v="UNTREF"/>
    <n v="11289.69"/>
  </r>
  <r>
    <s v="SFMyCP"/>
    <x v="0"/>
    <s v="SUBSEC CENTROS TEMATICOS Y EXP FEDERALES"/>
    <x v="1"/>
    <s v="TECNICA"/>
    <m/>
    <m/>
    <m/>
    <s v="OPERACIÓN/MONTAJE/MANTENIMIENTO"/>
    <m/>
    <s v="TECNOPOLIS"/>
    <s v="JUAREZ CLAUDIO NESTOR"/>
    <s v="DNI"/>
    <n v="14596714"/>
    <n v="20145967148"/>
    <d v="1961-07-03T00:00:00"/>
    <m/>
    <m/>
    <m/>
    <m/>
    <x v="0"/>
    <x v="0"/>
    <d v="2016-05-01T00:00:00"/>
    <m/>
    <d v="2016-12-31T00:00:00"/>
    <m/>
    <s v="UNTREF"/>
    <m/>
    <n v="15000"/>
  </r>
  <r>
    <s v="SFMyCP"/>
    <x v="0"/>
    <s v="SUBSEC CENTROS TEMATICOS Y EXP FEDERALES"/>
    <x v="1"/>
    <s v="DIRECCION DE GESTION EDILICIA"/>
    <s v="CONTROL Y PLANIFICACION"/>
    <m/>
    <m/>
    <m/>
    <m/>
    <m/>
    <s v="JUAREZ JESUS EMMANUEL MARIO"/>
    <s v="DNI"/>
    <n v="33194188"/>
    <m/>
    <m/>
    <m/>
    <m/>
    <m/>
    <m/>
    <x v="2"/>
    <x v="1"/>
    <m/>
    <m/>
    <d v="2016-12-31T00:00:00"/>
    <s v="C1"/>
    <m/>
    <m/>
    <m/>
  </r>
  <r>
    <s v="SFMyCP"/>
    <x v="0"/>
    <s v="SUBSEC CENTROS TEMATICOS Y EXP FEDERALES"/>
    <x v="1"/>
    <s v="INSTITUCIONALES"/>
    <s v="VISITAS GUIADAS"/>
    <m/>
    <m/>
    <s v="VISITAS GUIADAS"/>
    <m/>
    <s v="CCK - Alem 351"/>
    <s v="JUAREZ JUAQUIN NEMESIO"/>
    <s v="DNI"/>
    <n v="39624844"/>
    <n v="20396248442"/>
    <d v="1996-03-31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10"/>
    <m/>
    <m/>
    <m/>
    <s v="PRIVADA"/>
    <m/>
    <s v="CCK"/>
    <m/>
    <s v="JUAREZ JULIAN"/>
    <s v="DNI"/>
    <n v="38357064"/>
    <n v="20383570647"/>
    <m/>
    <m/>
    <m/>
    <m/>
    <m/>
    <x v="0"/>
    <x v="0"/>
    <m/>
    <m/>
    <m/>
    <m/>
    <m/>
    <m/>
    <m/>
  </r>
  <r>
    <s v="SFMyCP"/>
    <x v="0"/>
    <m/>
    <x v="0"/>
    <s v="TELEVISION DIGITAL ABIERTA"/>
    <s v="CIARA"/>
    <m/>
    <s v="PANORAMA ARGENTINO"/>
    <s v="ADMINISTRATIVO"/>
    <s v="CABILDO 65"/>
    <s v="CABILDO 65"/>
    <s v="JURI GABRIEL"/>
    <s v="DNI"/>
    <n v="22478193"/>
    <s v="20224781939"/>
    <d v="1970-04-30T00:00:00"/>
    <m/>
    <m/>
    <m/>
    <m/>
    <x v="0"/>
    <x v="0"/>
    <d v="2011-06-01T00:00:00"/>
    <m/>
    <d v="2016-12-31T00:00:00"/>
    <m/>
    <s v="UNTREF"/>
    <s v="UNSAM- LADA"/>
    <n v="16465"/>
  </r>
  <r>
    <s v="SFMyCP"/>
    <x v="0"/>
    <m/>
    <x v="0"/>
    <s v="TELEVISION DIGITAL ABIERTA"/>
    <s v="CIARA"/>
    <m/>
    <s v="PANORAMA ARGENTINO"/>
    <m/>
    <s v="CABILDO 65"/>
    <m/>
    <s v="JUSTO MARIA DEL ROSARIO"/>
    <s v="DNI"/>
    <n v="32890956"/>
    <n v="27328909567"/>
    <m/>
    <m/>
    <m/>
    <m/>
    <m/>
    <x v="1"/>
    <x v="1"/>
    <d v="2011-05-01T00:00:00"/>
    <d v="2016-12-31T00:00:00"/>
    <d v="2016-12-31T00:00:00"/>
    <s v="C1"/>
    <m/>
    <m/>
    <n v="12000"/>
  </r>
  <r>
    <s v="SFMyCP"/>
    <x v="1"/>
    <m/>
    <x v="2"/>
    <m/>
    <m/>
    <m/>
    <s v="PRIVADA"/>
    <s v="ADMINISTRATIVO"/>
    <m/>
    <s v="CCK - Alem 351"/>
    <s v="KACANAS VALERIA ANA"/>
    <s v="DNI"/>
    <n v="21850394"/>
    <n v="27218503948"/>
    <d v="1970-10-17T00:00:00"/>
    <m/>
    <m/>
    <m/>
    <m/>
    <x v="0"/>
    <x v="0"/>
    <m/>
    <m/>
    <d v="2016-12-31T00:00:00"/>
    <m/>
    <s v="UNTREF"/>
    <m/>
    <m/>
  </r>
  <r>
    <s v="SFMyCP"/>
    <x v="1"/>
    <m/>
    <x v="5"/>
    <s v="JURIDICOS"/>
    <m/>
    <m/>
    <s v=""/>
    <s v="Asistencia Juridica"/>
    <m/>
    <s v="CCK - Alem 351"/>
    <s v="KAIRUZ GISELA VANINA "/>
    <s v="DNI"/>
    <n v="33839983"/>
    <s v="27338399834"/>
    <d v="1989-03-16T00:00:00"/>
    <m/>
    <m/>
    <m/>
    <m/>
    <x v="0"/>
    <x v="0"/>
    <d v="2015-09-01T00:00:00"/>
    <m/>
    <d v="2016-12-31T00:00:00"/>
    <m/>
    <s v="UNTREF"/>
    <s v="UNLAM -TDA"/>
    <n v="12063"/>
  </r>
  <r>
    <s v="SFMyCP"/>
    <x v="0"/>
    <s v="SUBSEC CENTROS TEMATICOS Y EXP FEDERALES"/>
    <x v="1"/>
    <s v="INSTITUCIONALES"/>
    <s v="VISITAS GUIADAS"/>
    <m/>
    <m/>
    <s v="VISITAS GUIADAS"/>
    <m/>
    <s v="CCK - Alem 351"/>
    <s v="KALOC JULIETA SOLEDAD"/>
    <s v="DNI"/>
    <n v="40734118"/>
    <n v="27407341185"/>
    <d v="1997-11-13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INSTITUCIONALES"/>
    <s v="VISITAS GUIADAS"/>
    <m/>
    <m/>
    <s v="VISITAS GUIADAS"/>
    <m/>
    <s v="CCK - Alem 351"/>
    <s v="KALOC PABLO DAMIAN"/>
    <s v="DNI"/>
    <n v="39214117"/>
    <n v="20392141171"/>
    <d v="1995-09-14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COMUNICACIÓN"/>
    <m/>
    <m/>
    <m/>
    <m/>
    <s v="CCK"/>
    <m/>
    <s v="KAPLUN FEDERICO BRUNO"/>
    <s v="DNI"/>
    <n v="27860764"/>
    <n v="20278607640"/>
    <m/>
    <m/>
    <m/>
    <m/>
    <m/>
    <x v="1"/>
    <x v="1"/>
    <d v="2011-11-01T00:00:00"/>
    <d v="2016-12-31T00:00:00"/>
    <d v="2016-12-31T00:00:00"/>
    <s v="B0"/>
    <m/>
    <m/>
    <n v="17107"/>
  </r>
  <r>
    <s v="SFMyCP"/>
    <x v="0"/>
    <m/>
    <x v="0"/>
    <s v="TELEVISION DIGITAL ABIERTA"/>
    <s v="CIARA"/>
    <s v="CCK"/>
    <s v="ADMINISTRACIÓN"/>
    <s v="ADMINISTRATIVO"/>
    <s v="CABILDO 65"/>
    <s v="CCK - Alem 351"/>
    <s v="KAPLUN NICOLAS"/>
    <s v="DNI"/>
    <n v="26365492"/>
    <s v="20263654928"/>
    <d v="1978-02-26T00:00:00"/>
    <m/>
    <m/>
    <m/>
    <m/>
    <x v="0"/>
    <x v="0"/>
    <d v="2015-09-01T00:00:00"/>
    <m/>
    <d v="2016-12-31T00:00:00"/>
    <m/>
    <s v="UNTREF"/>
    <s v="UNSAM- LADA"/>
    <n v="10188"/>
  </r>
  <r>
    <s v="SFMyCP"/>
    <x v="1"/>
    <m/>
    <x v="2"/>
    <m/>
    <m/>
    <m/>
    <s v="PRIVADA"/>
    <s v="ADMINISTRATIVO"/>
    <m/>
    <s v="CCK - Alem 351"/>
    <s v="KAPSIUK, ELIO"/>
    <s v="DNI"/>
    <n v="18393076"/>
    <s v="20183930762"/>
    <d v="1967-11-16T00:00:00"/>
    <m/>
    <m/>
    <m/>
    <m/>
    <x v="0"/>
    <x v="0"/>
    <d v="2016-01-01T00:00:00"/>
    <m/>
    <d v="2016-12-31T00:00:00"/>
    <m/>
    <s v="UNTREF"/>
    <s v="UNSAM"/>
    <n v="19000"/>
  </r>
  <r>
    <s v="SFMyCP"/>
    <x v="0"/>
    <s v="SUBSEC CENTROS TEMATICOS Y EXP FEDERALES"/>
    <x v="1"/>
    <s v="INSTITUCIONALES"/>
    <m/>
    <m/>
    <m/>
    <s v="asistente funcional"/>
    <s v="CCK"/>
    <s v="CCK - Alem 351"/>
    <s v="KARAVAITIS, ALEJANDRA"/>
    <s v="DNI"/>
    <n v="25248374"/>
    <n v="27252483743"/>
    <d v="1976-07-03T00:00:00"/>
    <m/>
    <m/>
    <m/>
    <m/>
    <x v="0"/>
    <x v="0"/>
    <d v="2016-01-01T00:00:00"/>
    <m/>
    <d v="2016-12-31T00:00:00"/>
    <m/>
    <s v="UNTREF"/>
    <s v="UNSAM"/>
    <n v="19000"/>
  </r>
  <r>
    <s v="SFMyCP"/>
    <x v="1"/>
    <m/>
    <x v="5"/>
    <s v="PLANIF  Y ADM DE REC HUMANOS"/>
    <s v="S. GENERALES - AUTOMOTORES"/>
    <s v="AUTOMOTORES"/>
    <s v="CHOFER"/>
    <m/>
    <s v="CCK"/>
    <m/>
    <s v="KARMASÍN  MARTÍN"/>
    <s v="DNI"/>
    <n v="25974116"/>
    <n v="20259741166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m/>
    <x v="0"/>
    <s v="TELEVISION DIGITAL ABIERTA"/>
    <s v="CIARA"/>
    <m/>
    <s v="ACUA MAYOR"/>
    <s v="ADMINISTRATIVO"/>
    <s v="CABILDO 65"/>
    <s v="CABILDO 65"/>
    <s v="KATZ GABRIEL"/>
    <s v="DNI"/>
    <n v="23510339"/>
    <s v="20235103398"/>
    <d v="1973-08-15T00:00:00"/>
    <m/>
    <m/>
    <m/>
    <m/>
    <x v="0"/>
    <x v="0"/>
    <d v="2010-11-01T00:00:00"/>
    <m/>
    <d v="2016-12-31T00:00:00"/>
    <m/>
    <s v="UNTREF"/>
    <s v="UNSAM- LADA"/>
    <n v="28909"/>
  </r>
  <r>
    <s v="SFMyCP"/>
    <x v="0"/>
    <m/>
    <x v="8"/>
    <s v="COMUNICACIÓN"/>
    <m/>
    <m/>
    <m/>
    <s v="ADMINISTRATIVO"/>
    <m/>
    <s v="CCK - Alem 351"/>
    <s v="KATZ LAURA"/>
    <s v="DNI"/>
    <n v="27680627"/>
    <n v="27276806276"/>
    <d v="1979-09-17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CIARA"/>
    <m/>
    <s v="CONTENIDOS DIGITALES ABIERTOS CDA"/>
    <s v="ADMINISTRATIVO"/>
    <s v="CABILDO 65"/>
    <s v="CABILDO 65"/>
    <s v="KEEGAN MARY"/>
    <s v="DNI"/>
    <n v="24261523"/>
    <s v="27242615234"/>
    <d v="1974-12-29T00:00:00"/>
    <m/>
    <m/>
    <m/>
    <m/>
    <x v="0"/>
    <x v="0"/>
    <d v="2015-04-01T00:00:00"/>
    <m/>
    <d v="2016-12-31T00:00:00"/>
    <m/>
    <s v="UNTREF"/>
    <s v="UNSAM- LADA"/>
    <n v="19353"/>
  </r>
  <r>
    <s v="SFMyCP"/>
    <x v="1"/>
    <m/>
    <x v="5"/>
    <s v="PLANIF  Y ADM DE REC HUMANOS"/>
    <s v="S. GENERALES - AUTOMOTORES"/>
    <s v="AUTOMOTORES"/>
    <s v="CHOFER"/>
    <m/>
    <s v="CCK"/>
    <m/>
    <s v="KLIMASEK CLAUIDO"/>
    <s v="DNI"/>
    <n v="17380002"/>
    <n v="23173800029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s v="SUBSEC CENTROS TEMATICOS Y EXP FEDERALES"/>
    <x v="3"/>
    <s v="PRODUCCIÓN"/>
    <m/>
    <m/>
    <m/>
    <m/>
    <s v="TECNÓPOLIS"/>
    <m/>
    <s v="KOTIK GUSTAVO SERGIO"/>
    <s v="DNI"/>
    <n v="21671582"/>
    <n v="23216715829"/>
    <m/>
    <m/>
    <m/>
    <m/>
    <m/>
    <x v="1"/>
    <x v="1"/>
    <d v="2011-07-01T00:00:00"/>
    <d v="2016-12-31T00:00:00"/>
    <d v="2016-12-31T00:00:00"/>
    <s v="C0"/>
    <m/>
    <m/>
    <n v="29206.37"/>
  </r>
  <r>
    <s v="SFMyCP"/>
    <x v="0"/>
    <s v="SUBSEC CENTROS TEMATICOS Y EXP FEDERALES"/>
    <x v="1"/>
    <s v="COMUNICACIÓN"/>
    <s v="PRENSA"/>
    <m/>
    <m/>
    <s v="ADMINISTRATIVO"/>
    <m/>
    <s v="CCK - Alem 351"/>
    <s v="KUPFERMAN MAXIMILIANO"/>
    <s v="DNI"/>
    <n v="29591878"/>
    <n v="20295918781"/>
    <d v="1982-06-24T00:00:00"/>
    <m/>
    <m/>
    <m/>
    <m/>
    <x v="0"/>
    <x v="0"/>
    <d v="2016-06-01T00:00:00"/>
    <m/>
    <d v="2016-12-31T00:00:00"/>
    <m/>
    <s v="UNTREF"/>
    <m/>
    <n v="20000"/>
  </r>
  <r>
    <s v="SFMyCP"/>
    <x v="0"/>
    <s v="SUBSEC CENTROS TEMATICOS Y EXP FEDERALES"/>
    <x v="1"/>
    <s v="DIRECCION DE GESTION EDILICIA"/>
    <s v="MANTENIMIENTO"/>
    <m/>
    <m/>
    <s v="Auxiliar de Mantenimiento"/>
    <m/>
    <s v="CCK - Alem 351"/>
    <s v="KUTALEK GERMAN"/>
    <s v="DNI"/>
    <n v="37878033"/>
    <n v="20378780331"/>
    <d v="1993-07-12T00:00:00"/>
    <m/>
    <m/>
    <m/>
    <m/>
    <x v="0"/>
    <x v="0"/>
    <d v="2016-07-01T00:00:00"/>
    <m/>
    <d v="2016-12-31T00:00:00"/>
    <m/>
    <s v="UNTREF"/>
    <m/>
    <m/>
  </r>
  <r>
    <s v="SFMyCP"/>
    <x v="0"/>
    <m/>
    <x v="4"/>
    <m/>
    <m/>
    <m/>
    <s v="PRIVADA"/>
    <s v="ADMINISTRATIVO"/>
    <m/>
    <s v="CCK - Alem 351"/>
    <s v="LA TORELLA, MARIANA"/>
    <s v="DNI"/>
    <n v="29353203"/>
    <n v="27293532031"/>
    <d v="1982-02-06T00:00:00"/>
    <m/>
    <m/>
    <m/>
    <m/>
    <x v="0"/>
    <x v="0"/>
    <d v="2016-01-01T00:00:00"/>
    <m/>
    <d v="2016-12-31T00:00:00"/>
    <m/>
    <s v="UNTREF"/>
    <s v="UNSAM"/>
    <n v="19000"/>
  </r>
  <r>
    <s v="SFMyCP"/>
    <x v="0"/>
    <m/>
    <x v="0"/>
    <s v="TELEVISION DIGITAL ABIERTA"/>
    <s v="CIARA"/>
    <s v="CCK"/>
    <s v="PROGRAMA POLOS AUDIOVISUALES TECNOLÓGICOS"/>
    <m/>
    <s v="CABILDO 65"/>
    <m/>
    <s v="LABORDE ERICA SOLEDAD"/>
    <s v="DNI"/>
    <n v="30060661"/>
    <n v="27300606615"/>
    <m/>
    <m/>
    <m/>
    <m/>
    <m/>
    <x v="1"/>
    <x v="1"/>
    <d v="2011-03-01T00:00:00"/>
    <d v="2016-12-31T00:00:00"/>
    <d v="2016-12-31T00:00:00"/>
    <s v="C1"/>
    <m/>
    <m/>
    <n v="12547"/>
  </r>
  <r>
    <s v="SFMyCP"/>
    <x v="1"/>
    <m/>
    <x v="5"/>
    <s v="PRESUPUESTO"/>
    <m/>
    <s v="REFERENTE"/>
    <m/>
    <m/>
    <s v="CCK"/>
    <m/>
    <s v="LADA ALEJANDRO"/>
    <s v="DNI"/>
    <n v="34253941"/>
    <n v="20342539417"/>
    <m/>
    <m/>
    <m/>
    <m/>
    <m/>
    <x v="1"/>
    <x v="1"/>
    <d v="2012-12-01T00:00:00"/>
    <d v="2016-12-31T00:00:00"/>
    <d v="2016-12-31T00:00:00"/>
    <s v="A1"/>
    <m/>
    <m/>
    <n v="26237"/>
  </r>
  <r>
    <s v="SFMyCP"/>
    <x v="1"/>
    <m/>
    <x v="5"/>
    <s v="PRESUPUESTO"/>
    <m/>
    <m/>
    <m/>
    <s v="ADMINISTRATIVO"/>
    <m/>
    <s v="CCK - Alem 351"/>
    <s v="LADA SANTIAGO RUBEN"/>
    <s v="DNI"/>
    <n v="35569382"/>
    <n v="20355693822"/>
    <d v="1990-12-19T00:00:00"/>
    <m/>
    <m/>
    <m/>
    <m/>
    <x v="0"/>
    <x v="0"/>
    <d v="2016-07-01T00:00:00"/>
    <m/>
    <d v="2016-12-31T00:00:00"/>
    <m/>
    <s v="UNTREF"/>
    <m/>
    <m/>
  </r>
  <r>
    <s v="SFMyCP"/>
    <x v="0"/>
    <m/>
    <x v="8"/>
    <s v="COMUNICACIÓN"/>
    <m/>
    <m/>
    <m/>
    <s v="ADMINISTRATIVO"/>
    <s v="CCK"/>
    <s v="CCK - Alem 351"/>
    <s v="LAMARQUE EUGENIO"/>
    <s v="DNI"/>
    <n v="32949122"/>
    <s v="24329491222"/>
    <d v="1987-02-05T00:00:00"/>
    <m/>
    <m/>
    <m/>
    <m/>
    <x v="0"/>
    <x v="0"/>
    <d v="2014-06-01T00:00:00"/>
    <m/>
    <d v="2016-12-31T00:00:00"/>
    <m/>
    <s v="UNTREF"/>
    <s v="UNTREF"/>
    <n v="13593.330000000002"/>
  </r>
  <r>
    <s v="SFMyCP"/>
    <x v="0"/>
    <m/>
    <x v="0"/>
    <s v="TELEVISION DIGITAL ABIERTA"/>
    <s v="CIARA"/>
    <m/>
    <s v="BACUA"/>
    <s v="ADMINISTRATIVO"/>
    <s v="CABILDO 65"/>
    <s v="CABILDO 65"/>
    <s v="LAMAS AGUSTIN MATEO"/>
    <s v="DNI"/>
    <n v="32603492"/>
    <s v="20326034925"/>
    <d v="1986-09-19T00:00:00"/>
    <m/>
    <m/>
    <m/>
    <m/>
    <x v="0"/>
    <x v="0"/>
    <d v="2013-02-01T00:00:00"/>
    <m/>
    <d v="2016-12-31T00:00:00"/>
    <m/>
    <s v="UNTREF"/>
    <s v="UNSAM- LADA"/>
    <n v="16465"/>
  </r>
  <r>
    <s v="SFMyCP"/>
    <x v="0"/>
    <s v="SUBSEC CENTROS TEMATICOS Y EXP FEDERALES"/>
    <x v="3"/>
    <s v="ARQUITECTURA Y OBRA"/>
    <m/>
    <m/>
    <m/>
    <m/>
    <s v="TECNÓPOLIS"/>
    <m/>
    <s v="LAMPART GABRIEL NICOLAS"/>
    <s v="DNI"/>
    <n v="24646302"/>
    <n v="20246463027"/>
    <m/>
    <m/>
    <m/>
    <m/>
    <m/>
    <x v="1"/>
    <x v="1"/>
    <d v="2012-04-01T00:00:00"/>
    <d v="2016-12-31T00:00:00"/>
    <d v="2016-12-31T00:00:00"/>
    <s v="C0"/>
    <m/>
    <m/>
    <n v="16242.17"/>
  </r>
  <r>
    <s v="SFMyCP"/>
    <x v="0"/>
    <m/>
    <x v="4"/>
    <m/>
    <m/>
    <m/>
    <s v="PRIVADA"/>
    <s v="ADMINISTRATIVO"/>
    <m/>
    <s v="CCK - Alem 351"/>
    <s v="LANARI EUGENIA"/>
    <s v="DNI"/>
    <n v="34653242"/>
    <n v="23346532424"/>
    <d v="1986-10-22T00:00:00"/>
    <m/>
    <m/>
    <m/>
    <m/>
    <x v="2"/>
    <x v="0"/>
    <m/>
    <m/>
    <d v="2016-12-31T00:00:00"/>
    <m/>
    <s v="UNTREF"/>
    <m/>
    <m/>
  </r>
  <r>
    <s v="SFMyCP"/>
    <x v="0"/>
    <m/>
    <x v="4"/>
    <m/>
    <m/>
    <m/>
    <s v="PRIVADA"/>
    <s v="ADMINISTRATIVO"/>
    <m/>
    <s v="CCK - Alem 351"/>
    <s v="LANARI SOFIA"/>
    <s v="DNI"/>
    <n v="32677592"/>
    <n v="23326775924"/>
    <d v="1986-10-22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m/>
    <s v="PANORAMA ARGENTINO"/>
    <s v="ADMINISTRATIVO"/>
    <s v="CABILDO 65"/>
    <s v="CABILDO 65"/>
    <s v="LANDONI DIEGO"/>
    <s v="DNI"/>
    <n v="26338210"/>
    <s v="20263382103"/>
    <d v="1977-11-25T00:00:00"/>
    <m/>
    <m/>
    <m/>
    <m/>
    <x v="0"/>
    <x v="0"/>
    <d v="2013-03-01T00:00:00"/>
    <m/>
    <d v="2016-12-31T00:00:00"/>
    <m/>
    <s v="UNTREF"/>
    <s v="UNSAM- LADA"/>
    <n v="16465"/>
  </r>
  <r>
    <s v="SFMyCP"/>
    <x v="1"/>
    <m/>
    <x v="5"/>
    <s v="PRESUPUESTO"/>
    <m/>
    <m/>
    <m/>
    <s v="ADMINISTRATIVO"/>
    <m/>
    <s v="CCK - Alem 351"/>
    <s v="LANDRIEL AGUSTIN"/>
    <s v="DNI"/>
    <n v="35634548"/>
    <n v="20356345488"/>
    <d v="1990-08-31T00:00:00"/>
    <m/>
    <m/>
    <m/>
    <m/>
    <x v="0"/>
    <x v="0"/>
    <d v="2016-06-01T00:00:00"/>
    <m/>
    <d v="2016-12-31T00:00:00"/>
    <m/>
    <s v="UNTREF"/>
    <m/>
    <m/>
  </r>
  <r>
    <s v="SFMyCP"/>
    <x v="1"/>
    <m/>
    <x v="5"/>
    <s v="PLANIF  Y ADM DE REC HUMANOS"/>
    <s v="MEDICINA DEL TRABAJO"/>
    <m/>
    <s v="Enfermera/o"/>
    <m/>
    <s v="CCK"/>
    <m/>
    <s v="LANNO LORENA"/>
    <s v="DNI"/>
    <n v="27948229"/>
    <n v="27279482293"/>
    <m/>
    <m/>
    <m/>
    <m/>
    <m/>
    <x v="1"/>
    <x v="1"/>
    <d v="2015-06-01T00:00:00"/>
    <d v="2016-03-31T00:00:00"/>
    <d v="2016-12-31T00:00:00"/>
    <s v="B0"/>
    <s v="U. LA MATANZA"/>
    <s v="LEY MARCO "/>
    <n v="19096"/>
  </r>
  <r>
    <s v="SFMyCP"/>
    <x v="0"/>
    <m/>
    <x v="0"/>
    <m/>
    <m/>
    <m/>
    <m/>
    <s v="ADMINISTRATIVO"/>
    <m/>
    <s v="CCK - Alem 351"/>
    <s v="LANSON DANIEL"/>
    <s v="DNI"/>
    <n v="92485428"/>
    <n v="20924854287"/>
    <d v="1976-09-29T00:00:00"/>
    <m/>
    <m/>
    <m/>
    <m/>
    <x v="0"/>
    <x v="0"/>
    <m/>
    <m/>
    <d v="2016-12-31T00:00:00"/>
    <m/>
    <s v="UNTREF"/>
    <m/>
    <n v="32363"/>
  </r>
  <r>
    <s v="SFMyCP"/>
    <x v="0"/>
    <m/>
    <x v="4"/>
    <s v="PROYECTOS ESPECIALES"/>
    <s v="SUPERMAX"/>
    <m/>
    <s v="PRIVADA"/>
    <s v="ADMINISTRATIVO"/>
    <m/>
    <s v="NO ENTREGAR"/>
    <s v="LARRALDE FRANCISCO"/>
    <s v="DNI"/>
    <n v="29998060"/>
    <n v="20299980605"/>
    <d v="1983-02-17T00:00:00"/>
    <m/>
    <m/>
    <m/>
    <m/>
    <x v="0"/>
    <x v="0"/>
    <d v="2016-03-15T00:00:00"/>
    <m/>
    <d v="2016-08-31T00:00:00"/>
    <m/>
    <s v="UNTREF"/>
    <m/>
    <m/>
  </r>
  <r>
    <s v="SFMyCP"/>
    <x v="0"/>
    <m/>
    <x v="0"/>
    <s v="TELEVISION DIGITAL ABIERTA"/>
    <s v="CIARA"/>
    <m/>
    <s v="PRODUCCIÓN"/>
    <s v="PRODUCTOR de EXTERIORES"/>
    <s v="CABILDO 65"/>
    <s v="CABILDO 65"/>
    <s v="LARREGINA FLORENCIA"/>
    <s v="DNI"/>
    <n v="34482878"/>
    <s v="23344828784"/>
    <d v="1989-04-17T00:00:00"/>
    <m/>
    <m/>
    <m/>
    <m/>
    <x v="0"/>
    <x v="0"/>
    <d v="2015-06-01T00:00:00"/>
    <m/>
    <d v="2016-12-31T00:00:00"/>
    <m/>
    <s v="UNTREF"/>
    <s v="UNSAM- LADA"/>
    <n v="17564"/>
  </r>
  <r>
    <s v="SFMyCP"/>
    <x v="0"/>
    <m/>
    <x v="0"/>
    <s v="TELEVISION DIGITAL ABIERTA"/>
    <s v="CIARA"/>
    <m/>
    <s v="POSTPRODUCCIÓN"/>
    <s v="EDICION"/>
    <s v="CABILDO 65"/>
    <s v="CABILDO 65"/>
    <s v="LARROSA FEDERICO"/>
    <s v="DNI"/>
    <n v="31772426"/>
    <s v="20317724269"/>
    <d v="1985-02-25T00:00:00"/>
    <m/>
    <m/>
    <m/>
    <m/>
    <x v="0"/>
    <x v="0"/>
    <d v="2013-12-12T00:00:00"/>
    <m/>
    <d v="2016-12-31T00:00:00"/>
    <m/>
    <s v="UNTREF"/>
    <s v="UNSAM- LADA"/>
    <n v="24060"/>
  </r>
  <r>
    <s v="SFMyCP"/>
    <x v="0"/>
    <m/>
    <x v="0"/>
    <s v="TELEVISION DIGITAL ABIERTA"/>
    <s v="CIARA"/>
    <m/>
    <s v="PRODUCCIÓN"/>
    <s v="PRODUCTOR de EXTERIORES"/>
    <s v="CABILDO 65"/>
    <s v="CABILDO 65"/>
    <s v="LASAGNI AGUSTINA"/>
    <s v="DNI"/>
    <n v="35269809"/>
    <s v="27352698097"/>
    <d v="1990-07-21T00:00:00"/>
    <m/>
    <m/>
    <m/>
    <m/>
    <x v="0"/>
    <x v="0"/>
    <d v="2015-05-04T00:00:00"/>
    <m/>
    <d v="2016-12-31T00:00:00"/>
    <m/>
    <s v="UNTREF"/>
    <s v="UNSAM- LADA"/>
    <n v="18795"/>
  </r>
  <r>
    <s v="SFMyCP"/>
    <x v="0"/>
    <s v="SUBSEC CENTROS TEMATICOS Y EXP FEDERALES"/>
    <x v="3"/>
    <m/>
    <m/>
    <m/>
    <s v="PRIVADA"/>
    <s v="ADMINISTRATIVO"/>
    <m/>
    <s v="TECNOPOLIS"/>
    <s v="LASTRA CLAUDIO"/>
    <s v="DNI"/>
    <n v="14957725"/>
    <n v="20149577255"/>
    <d v="1962-08-06T00:00:00"/>
    <m/>
    <m/>
    <m/>
    <m/>
    <x v="0"/>
    <x v="0"/>
    <d v="2016-03-01T00:00:00"/>
    <m/>
    <d v="2016-12-31T00:00:00"/>
    <m/>
    <s v="UNTREF"/>
    <m/>
    <n v="35000"/>
  </r>
  <r>
    <s v="SFMyCP"/>
    <x v="0"/>
    <s v="SUBSEC CENTROS TEMATICOS Y EXP FEDERALES"/>
    <x v="7"/>
    <m/>
    <m/>
    <m/>
    <s v="PRIVADA"/>
    <s v="ADMINISTRATIVO"/>
    <m/>
    <s v="CCK - Alem 351"/>
    <s v="LATTANZIO AITA"/>
    <s v="DNI"/>
    <n v="24524414"/>
    <s v="27245244148"/>
    <d v="1975-08-09T00:00:00"/>
    <m/>
    <m/>
    <m/>
    <m/>
    <x v="0"/>
    <x v="0"/>
    <m/>
    <m/>
    <d v="2016-12-31T00:00:00"/>
    <m/>
    <s v="UNTREF"/>
    <m/>
    <m/>
  </r>
  <r>
    <s v="SFMyCP"/>
    <x v="0"/>
    <m/>
    <x v="0"/>
    <s v="INV. AP. RECURSOS DIGITALES"/>
    <s v="CTRO INV PALPALA"/>
    <m/>
    <s v="DESARROLLOS"/>
    <s v="ANALISTA"/>
    <s v="PALPALÁ-JUJUY"/>
    <s v="PALPALÁ-JUJUY"/>
    <s v="LAVAYEN FRANCO BRUNO"/>
    <s v="DNI"/>
    <n v="35931200"/>
    <n v="20359312009"/>
    <d v="1991-07-16T00:00:00"/>
    <m/>
    <m/>
    <m/>
    <m/>
    <x v="0"/>
    <x v="0"/>
    <d v="2015-09-01T00:00:00"/>
    <m/>
    <d v="2016-12-31T00:00:00"/>
    <m/>
    <s v="UNTREF"/>
    <s v="UNSAM"/>
    <n v="10000"/>
  </r>
  <r>
    <s v="SFMyCP"/>
    <x v="0"/>
    <m/>
    <x v="0"/>
    <s v="INV. AP. RECURSOS DIGITALES"/>
    <s v="CTRO INV PALPALA"/>
    <m/>
    <s v="DISEÑO"/>
    <s v="ANALISTA"/>
    <s v="PALPALÁ-JUJUY"/>
    <s v="PALPALÁ-JUJUY"/>
    <s v="LAZARTE ARMANDO FABIO"/>
    <s v="DNI"/>
    <n v="29419234"/>
    <n v="20294192345"/>
    <d v="1982-07-07T00:00:00"/>
    <m/>
    <m/>
    <m/>
    <m/>
    <x v="0"/>
    <x v="0"/>
    <d v="2015-09-01T00:00:00"/>
    <m/>
    <d v="2016-12-31T00:00:00"/>
    <m/>
    <s v="UNTREF"/>
    <s v="UNSAM"/>
    <n v="10000"/>
  </r>
  <r>
    <s v="SFMyCP"/>
    <x v="0"/>
    <s v="SUBSEC CENTROS TEMATICOS Y EXP FEDERALES"/>
    <x v="1"/>
    <s v="DIRECCION DE GESTION EDILICIA"/>
    <s v="SERVICIOS GENERALES"/>
    <s v="LIMPIEZA (En comisión Tecnópolis)"/>
    <s v="Auxiliar"/>
    <s v="Auxiliar"/>
    <s v="CCK"/>
    <s v="CCK - Alem 351"/>
    <s v="LEAL CAMILA"/>
    <s v="DNI"/>
    <n v="39000432"/>
    <s v="27390004325"/>
    <d v="1986-04-26T00:00:00"/>
    <m/>
    <m/>
    <m/>
    <m/>
    <x v="0"/>
    <x v="0"/>
    <d v="2015-06-10T00:00:00"/>
    <m/>
    <d v="2016-12-31T00:00:00"/>
    <m/>
    <s v="UNTREF"/>
    <s v="UNTREF"/>
    <n v="10495"/>
  </r>
  <r>
    <s v="SFMyCP"/>
    <x v="0"/>
    <m/>
    <x v="0"/>
    <s v="TELEVISION DIGITAL ABIERTA"/>
    <s v="CIARA"/>
    <m/>
    <s v="POSTPRODUCCIÓN"/>
    <s v="EDICION"/>
    <s v="CABILDO 65"/>
    <s v="CABILDO 65"/>
    <s v="LECH SOSINSKI ADAM"/>
    <s v="DNI"/>
    <n v="92778623"/>
    <s v="20927786231"/>
    <d v="1982-11-22T00:00:00"/>
    <m/>
    <m/>
    <m/>
    <m/>
    <x v="0"/>
    <x v="0"/>
    <d v="2013-04-20T00:00:00"/>
    <m/>
    <d v="2016-12-31T00:00:00"/>
    <m/>
    <s v="UNTREF"/>
    <m/>
    <n v="24060"/>
  </r>
  <r>
    <s v="SFMyCP"/>
    <x v="0"/>
    <s v="SUBSEC CENTROS TEMATICOS Y EXP FEDERALES"/>
    <x v="3"/>
    <s v="INTENDENCIA- MANTENIMIENTO"/>
    <m/>
    <m/>
    <m/>
    <m/>
    <s v="TECNÓPOLIS"/>
    <m/>
    <s v="LEDESMA NESTOR DAMIAN"/>
    <s v="DNI"/>
    <n v="39761602"/>
    <n v="23397616029"/>
    <m/>
    <m/>
    <m/>
    <m/>
    <m/>
    <x v="1"/>
    <x v="1"/>
    <d v="2011-07-01T00:00:00"/>
    <d v="2016-12-31T00:00:00"/>
    <d v="2016-12-31T00:00:00"/>
    <s v="D0"/>
    <m/>
    <m/>
    <n v="13786"/>
  </r>
  <r>
    <s v="SFMyCP"/>
    <x v="0"/>
    <s v="SUBSEC CENTROS TEMATICOS Y EXP FEDERALES"/>
    <x v="3"/>
    <s v="COOPERATIVAS"/>
    <m/>
    <m/>
    <s v="Tareas Generales"/>
    <s v="CARPINTERO"/>
    <s v="TECNÓPOLIS"/>
    <m/>
    <s v="LEGUIZAMON  RODRIGO"/>
    <s v="DNI"/>
    <n v="36175840"/>
    <n v="20361758405"/>
    <m/>
    <m/>
    <m/>
    <m/>
    <m/>
    <x v="0"/>
    <x v="2"/>
    <m/>
    <m/>
    <d v="2016-12-31T00:00:00"/>
    <m/>
    <s v="UNTREF"/>
    <s v="UNTREF"/>
    <n v="4700"/>
  </r>
  <r>
    <s v="SFMyCP"/>
    <x v="0"/>
    <s v="SUBSEC CENTROS TEMATICOS Y EXP FEDERALES"/>
    <x v="3"/>
    <s v="COOPERATIVAS"/>
    <m/>
    <m/>
    <s v="Tareas Generales"/>
    <s v="Tareas Generales"/>
    <s v="TECNÓPOLIS"/>
    <m/>
    <s v="LEGUIZAMON MARGARITA"/>
    <s v="DNI"/>
    <n v="23033997"/>
    <m/>
    <m/>
    <m/>
    <m/>
    <m/>
    <m/>
    <x v="0"/>
    <x v="2"/>
    <m/>
    <m/>
    <d v="2016-12-31T00:00:00"/>
    <m/>
    <s v="UNTREF"/>
    <s v="UNTREF"/>
    <n v="4700"/>
  </r>
  <r>
    <s v="SFMyCP"/>
    <x v="0"/>
    <s v="SUBSEC CENTROS TEMATICOS Y EXP FEDERALES"/>
    <x v="1"/>
    <m/>
    <m/>
    <m/>
    <m/>
    <s v="asistente funcional"/>
    <s v="CCK"/>
    <s v="CCK - Alem 351"/>
    <s v="LEIBOUSKI ELIZABETH"/>
    <s v="DNI"/>
    <n v="23447824"/>
    <s v="27234478244"/>
    <d v="1973-07-25T00:00:00"/>
    <m/>
    <m/>
    <m/>
    <m/>
    <x v="0"/>
    <x v="0"/>
    <d v="2013-09-02T00:00:00"/>
    <m/>
    <d v="2016-12-31T00:00:00"/>
    <m/>
    <s v="UNTREF"/>
    <s v="UNLAM -TDA"/>
    <n v="16292"/>
  </r>
  <r>
    <s v="SFMyCP"/>
    <x v="0"/>
    <s v="SUBSEC CENTROS TEMATICOS Y EXP FEDERALES"/>
    <x v="1"/>
    <s v="AUDIOVISUALES"/>
    <m/>
    <m/>
    <m/>
    <m/>
    <s v="CCK"/>
    <s v="CCK - Alem 351"/>
    <s v="LEMME JOSE MARIA"/>
    <s v="DNI"/>
    <n v="29191202"/>
    <n v="20291912029"/>
    <m/>
    <m/>
    <m/>
    <m/>
    <m/>
    <x v="1"/>
    <x v="1"/>
    <d v="2012-07-01T00:00:00"/>
    <d v="2016-12-31T00:00:00"/>
    <d v="2016-12-31T00:00:00"/>
    <s v="C0"/>
    <m/>
    <m/>
    <n v="25021.33"/>
  </r>
  <r>
    <s v="SFMyCP"/>
    <x v="1"/>
    <m/>
    <x v="5"/>
    <s v="PLANIF  Y ADM DE REC HUMANOS"/>
    <s v="TDA"/>
    <m/>
    <s v="RECURSOS HUMANOS"/>
    <m/>
    <s v="CABILDO 65"/>
    <m/>
    <s v="LENCINAS MARIA LAURA"/>
    <s v="DNI"/>
    <n v="27382228"/>
    <n v="27273822289"/>
    <m/>
    <m/>
    <m/>
    <m/>
    <m/>
    <x v="1"/>
    <x v="1"/>
    <d v="2010-04-01T00:00:00"/>
    <d v="2016-12-31T00:00:00"/>
    <d v="2016-12-31T00:00:00"/>
    <s v="B1"/>
    <m/>
    <m/>
    <n v="20266"/>
  </r>
  <r>
    <s v="SFMyCP"/>
    <x v="0"/>
    <m/>
    <x v="0"/>
    <s v="TELEVISION DIGITAL ABIERTA"/>
    <s v="PRESIDENCIA"/>
    <m/>
    <s v="PRODUCCIÓN"/>
    <s v="PRODUCTOR de EXTERIORES"/>
    <s v="CABILDO 65"/>
    <s v="CABILDO 65"/>
    <s v="LENTINI DIEGO"/>
    <s v="DNI"/>
    <n v="31732531"/>
    <s v="20317325313"/>
    <d v="1985-06-05T00:00:00"/>
    <m/>
    <m/>
    <m/>
    <m/>
    <x v="0"/>
    <x v="0"/>
    <d v="2013-12-10T00:00:00"/>
    <m/>
    <d v="2016-12-31T00:00:00"/>
    <m/>
    <s v="UNTREF"/>
    <m/>
    <n v="18795"/>
  </r>
  <r>
    <s v="SFMyCP"/>
    <x v="1"/>
    <m/>
    <x v="5"/>
    <s v="JURIDICOS"/>
    <m/>
    <m/>
    <m/>
    <m/>
    <s v="CCK"/>
    <m/>
    <s v="LENTIS JHONATAN"/>
    <s v="DNI"/>
    <n v="32576720"/>
    <n v="20325767201"/>
    <m/>
    <m/>
    <m/>
    <m/>
    <m/>
    <x v="1"/>
    <x v="1"/>
    <d v="2013-01-01T00:00:00"/>
    <d v="2016-03-31T00:00:00"/>
    <d v="2016-12-31T00:00:00"/>
    <s v="B0"/>
    <m/>
    <m/>
    <n v="17107"/>
  </r>
  <r>
    <s v="SFMyCP"/>
    <x v="0"/>
    <m/>
    <x v="0"/>
    <s v="TELEVISION DIGITAL ABIERTA"/>
    <s v="CIARA"/>
    <m/>
    <s v="PROMOCIONES"/>
    <s v="ADMINISTRATIVO"/>
    <s v="CABILDO 65"/>
    <s v="CABILDO 65"/>
    <s v="LENZBERG JULIA"/>
    <s v="DNI"/>
    <n v="29951587"/>
    <s v="27299515872"/>
    <d v="1982-12-03T00:00:00"/>
    <m/>
    <m/>
    <m/>
    <m/>
    <x v="0"/>
    <x v="0"/>
    <d v="2012-08-01T00:00:00"/>
    <m/>
    <d v="2016-12-31T00:00:00"/>
    <m/>
    <s v="UNTREF"/>
    <s v="UNSAM- LADA"/>
    <n v="20545"/>
  </r>
  <r>
    <s v="SFMyCP"/>
    <x v="0"/>
    <s v="SUBSEC CENTROS TEMATICOS Y EXP FEDERALES"/>
    <x v="3"/>
    <s v="COOPERATIVAS"/>
    <m/>
    <m/>
    <s v="Tareas Generales"/>
    <s v="MANTENIMIENTO DE ESPACIOS VERDES"/>
    <s v="TECNÓPOLIS"/>
    <m/>
    <s v="LEON MERCEDES MABEL"/>
    <s v="DNI"/>
    <n v="14620292"/>
    <n v="27146202921"/>
    <m/>
    <m/>
    <m/>
    <m/>
    <m/>
    <x v="0"/>
    <x v="2"/>
    <m/>
    <m/>
    <d v="2016-12-31T00:00:00"/>
    <m/>
    <s v="UNTREF"/>
    <s v="UNTREF"/>
    <n v="1700"/>
  </r>
  <r>
    <s v="SFMyCP"/>
    <x v="0"/>
    <m/>
    <x v="0"/>
    <s v="TELEVISION DIGITAL ABIERTA"/>
    <s v="CIARA"/>
    <m/>
    <s v="TÉCNICA Y TRANSMISIÓN"/>
    <s v="ADMINISTRATIVO"/>
    <s v="CABILDO 65"/>
    <s v="CABILDO 65"/>
    <s v="LEONE AGOSTINA"/>
    <s v="DNI"/>
    <n v="34001226"/>
    <s v="27340012262"/>
    <d v="1988-07-29T00:00:00"/>
    <m/>
    <m/>
    <m/>
    <m/>
    <x v="0"/>
    <x v="0"/>
    <d v="2015-10-01T00:00:00"/>
    <m/>
    <d v="2016-12-31T00:00:00"/>
    <m/>
    <s v="UNTREF"/>
    <s v="UNSAM- LADA"/>
    <n v="16465"/>
  </r>
  <r>
    <s v="SFMyCP"/>
    <x v="0"/>
    <m/>
    <x v="0"/>
    <s v="TELEVISION DIGITAL ABIERTA"/>
    <s v="CIARA"/>
    <m/>
    <s v="POSTPRODUCCIÓN"/>
    <s v="EDICION"/>
    <s v="CABILDO 65"/>
    <s v="CABILDO 65"/>
    <s v="LEVY ALEJANDRO"/>
    <s v="DNI"/>
    <n v="18205034"/>
    <s v="20182050343"/>
    <d v="1966-06-17T00:00:00"/>
    <m/>
    <m/>
    <m/>
    <m/>
    <x v="0"/>
    <x v="0"/>
    <d v="2012-05-08T00:00:00"/>
    <m/>
    <d v="2016-12-31T00:00:00"/>
    <m/>
    <s v="UNTREF"/>
    <s v="UNSAM- LADA"/>
    <n v="24060"/>
  </r>
  <r>
    <s v="SFMyCP"/>
    <x v="0"/>
    <s v="SUBSEC CENTROS TEMATICOS Y EXP FEDERALES"/>
    <x v="1"/>
    <s v="DIRECCION DE GESTION EDILICIA"/>
    <s v="MESA DE AYUDA"/>
    <m/>
    <s v="SECRETARÍA"/>
    <m/>
    <s v="CCK"/>
    <m/>
    <s v="LEYES SABRINA"/>
    <s v="LC"/>
    <n v="27642766"/>
    <n v="27276427666"/>
    <m/>
    <m/>
    <m/>
    <m/>
    <m/>
    <x v="1"/>
    <x v="1"/>
    <d v="2006-04-01T00:00:00"/>
    <d v="2016-12-31T00:00:00"/>
    <d v="2016-12-31T00:00:00"/>
    <s v="B3"/>
    <m/>
    <m/>
    <n v="20839"/>
  </r>
  <r>
    <s v="SFMyCP"/>
    <x v="0"/>
    <s v="SUBSEC CENTROS TEMATICOS Y EXP FEDERALES"/>
    <x v="3"/>
    <m/>
    <m/>
    <m/>
    <s v="PRIVADA"/>
    <s v="ADMINISTRATIVO"/>
    <m/>
    <s v="TECNOPOLIS"/>
    <s v="LIPARI KARIN"/>
    <s v="DNI"/>
    <n v="22792210"/>
    <n v="27227922104"/>
    <d v="1972-08-02T00:00:00"/>
    <m/>
    <m/>
    <m/>
    <m/>
    <x v="0"/>
    <x v="0"/>
    <d v="2016-03-01T00:00:00"/>
    <m/>
    <d v="2016-12-31T00:00:00"/>
    <m/>
    <s v="UNTREF"/>
    <m/>
    <n v="20000"/>
  </r>
  <r>
    <s v="SFMyCP"/>
    <x v="0"/>
    <s v="SUBSEC CENTROS TEMATICOS Y EXP FEDERALES"/>
    <x v="1"/>
    <s v="DIRECCION DE GESTION EDILICIA"/>
    <s v="SEGURIDAD E HIGIENE"/>
    <m/>
    <s v="Ing Seguridad e Higiene"/>
    <s v="Ing Seguridad e Higiene"/>
    <s v="CCK"/>
    <s v="CCK - Alem 351"/>
    <s v="LIRUSSO RAUL"/>
    <s v="DNI"/>
    <n v="11387784"/>
    <n v="20113877848"/>
    <d v="1955-07-23T00:00:00"/>
    <m/>
    <m/>
    <m/>
    <m/>
    <x v="0"/>
    <x v="0"/>
    <d v="2015-05-02T00:00:00"/>
    <m/>
    <d v="2016-12-31T00:00:00"/>
    <m/>
    <s v="UNTREF"/>
    <s v="UNLAM- BICENTENARIO"/>
    <n v="27366"/>
  </r>
  <r>
    <s v="SFMyCP"/>
    <x v="0"/>
    <s v="SUBSEC CENTROS TEMATICOS Y EXP FEDERALES"/>
    <x v="3"/>
    <s v="INTENDENCIA - MANTENIMIENTO"/>
    <m/>
    <m/>
    <m/>
    <m/>
    <s v="TECNÓPOLIS"/>
    <m/>
    <s v="LISERA MARIANO HUGO"/>
    <s v="DNI"/>
    <n v="27344679"/>
    <n v="20273446797"/>
    <m/>
    <m/>
    <m/>
    <m/>
    <m/>
    <x v="1"/>
    <x v="1"/>
    <d v="2011-03-01T00:00:00"/>
    <d v="2016-12-31T00:00:00"/>
    <d v="2016-12-31T00:00:00"/>
    <s v="C0"/>
    <m/>
    <m/>
    <n v="20628.54"/>
  </r>
  <r>
    <s v="SFMyCP"/>
    <x v="0"/>
    <m/>
    <x v="0"/>
    <s v="TELEVISION DIGITAL ABIERTA"/>
    <s v="CIARA"/>
    <m/>
    <s v="ADMINISTRACIÓN"/>
    <m/>
    <s v="CABILDO 65"/>
    <m/>
    <s v="LIZARRAGA CARLOS ALBERTO"/>
    <s v="DNI"/>
    <n v="31376447"/>
    <n v="20313764479"/>
    <m/>
    <m/>
    <m/>
    <m/>
    <m/>
    <x v="1"/>
    <x v="1"/>
    <d v="2011-03-01T00:00:00"/>
    <d v="2016-12-31T00:00:00"/>
    <d v="2016-12-31T00:00:00"/>
    <s v="D1"/>
    <m/>
    <m/>
    <n v="10553"/>
  </r>
  <r>
    <s v="SFMyCP"/>
    <x v="0"/>
    <m/>
    <x v="0"/>
    <s v="INV. AP. RECURSOS DIGITALES"/>
    <s v="CTRO INV PALPALA"/>
    <m/>
    <s v="ANIMACION"/>
    <s v="ANALISTA"/>
    <s v="PALPALÁ-JUJUY"/>
    <s v="PALPALÁ-JUJUY"/>
    <s v="LIZARRAGA MARIO DEL VALLE"/>
    <s v="DNI"/>
    <n v="31961383"/>
    <n v="20319613839"/>
    <d v="1986-03-22T00:00:00"/>
    <m/>
    <m/>
    <m/>
    <m/>
    <x v="0"/>
    <x v="0"/>
    <d v="2015-09-01T00:00:00"/>
    <m/>
    <d v="2016-12-31T00:00:00"/>
    <m/>
    <s v="UNTREF"/>
    <s v="UNSAM"/>
    <n v="11500"/>
  </r>
  <r>
    <s v="SFMyCP"/>
    <x v="1"/>
    <m/>
    <x v="5"/>
    <s v="INFORMATICA Y SISTEMAS"/>
    <m/>
    <m/>
    <m/>
    <m/>
    <s v="CCK"/>
    <s v="CCK - Alem 351"/>
    <s v="LOBO ABELLA NORA BELEN"/>
    <s v="DNI"/>
    <n v="34489609"/>
    <n v="27344896092"/>
    <m/>
    <m/>
    <m/>
    <m/>
    <m/>
    <x v="1"/>
    <x v="1"/>
    <d v="2013-08-01T00:00:00"/>
    <d v="2016-03-31T00:00:00"/>
    <d v="2016-12-31T00:00:00"/>
    <s v="B0"/>
    <m/>
    <m/>
    <n v="17107"/>
  </r>
  <r>
    <s v="SFMyCP"/>
    <x v="0"/>
    <m/>
    <x v="0"/>
    <s v="TELEVISION DIGITAL ABIERTA"/>
    <s v="PRESIDENCIA"/>
    <m/>
    <s v="POSTPRODUCCIÓN"/>
    <s v="ADMINISTRATIVO"/>
    <s v="CABILDO 65"/>
    <s v="CABILDO 65"/>
    <s v="LOJO MATIAS"/>
    <s v="DNI"/>
    <n v="28801969"/>
    <s v="20288019690"/>
    <d v="1981-04-18T00:00:00"/>
    <m/>
    <m/>
    <m/>
    <m/>
    <x v="0"/>
    <x v="0"/>
    <d v="2012-01-01T00:00:00"/>
    <m/>
    <d v="2016-12-31T00:00:00"/>
    <m/>
    <s v="UNTREF"/>
    <m/>
    <n v="24060"/>
  </r>
  <r>
    <s v="SFMyCP"/>
    <x v="0"/>
    <s v="SUBSEC CENTROS TEMATICOS Y EXP FEDERALES"/>
    <x v="1"/>
    <s v="PRODUCCIÓN"/>
    <m/>
    <m/>
    <m/>
    <s v="ADMINISTRATIVA"/>
    <m/>
    <s v="CCK - Alem 351"/>
    <s v="LOMBARDI MARTIN"/>
    <s v="DNI"/>
    <n v="34411918"/>
    <n v="20344119180"/>
    <d v="1988-10-16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ARQUITECTURA Y OBRA"/>
    <m/>
    <m/>
    <m/>
    <s v="ARQUITECTO"/>
    <s v="TECNÓPOLIS"/>
    <s v="TECNOPOLIS"/>
    <s v="LOPEZ  EDMUNDO EUGENIO"/>
    <s v="DNI"/>
    <n v="4607118"/>
    <s v="20046071183"/>
    <d v="1944-11-26T00:00:00"/>
    <m/>
    <m/>
    <m/>
    <m/>
    <x v="0"/>
    <x v="0"/>
    <d v="2012-04-01T00:00:00"/>
    <m/>
    <d v="2016-12-31T00:00:00"/>
    <m/>
    <s v="UNTREF"/>
    <s v="UNTREF"/>
    <n v="21963.653000000002"/>
  </r>
  <r>
    <s v="SFMyCP"/>
    <x v="0"/>
    <s v="SUBSEC CENTROS TEMATICOS Y EXP FEDERALES"/>
    <x v="3"/>
    <s v="ADMINISTRACION- RRHH"/>
    <m/>
    <m/>
    <s v="ADMINISTRATIVO"/>
    <m/>
    <s v="TECNÓPOLIS"/>
    <m/>
    <s v="LOPEZ IBAÑEZ SOLEDAD ROMINA"/>
    <s v="DNI"/>
    <n v="36741755"/>
    <n v="27367417558"/>
    <m/>
    <m/>
    <m/>
    <m/>
    <m/>
    <x v="1"/>
    <x v="1"/>
    <d v="2011-11-01T00:00:00"/>
    <d v="2016-12-31T00:00:00"/>
    <d v="2016-12-31T00:00:00"/>
    <s v="C0"/>
    <m/>
    <m/>
    <n v="23810"/>
  </r>
  <r>
    <s v="SFMyCP"/>
    <x v="0"/>
    <s v="SUBSEC CENTROS TEMATICOS Y EXP FEDERALES"/>
    <x v="7"/>
    <m/>
    <m/>
    <m/>
    <s v="PRIVADA"/>
    <s v="ADMINISTRATIVO"/>
    <m/>
    <s v="CCK - Alem 351"/>
    <s v="LOPEZ LARRAQUY FLORENCIA"/>
    <s v="DNI"/>
    <n v="29319713"/>
    <n v="27293197135"/>
    <d v="1981-02-13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m/>
    <s v="ACUA FEDERAL"/>
    <s v="ADMINISTRATIVO"/>
    <s v="CABILDO 65"/>
    <s v="CABILDO 65"/>
    <s v="LOPEZ LAURA"/>
    <s v="DNI"/>
    <n v="27576288"/>
    <s v="27275762887"/>
    <d v="1979-04-27T00:00:00"/>
    <m/>
    <m/>
    <m/>
    <m/>
    <x v="0"/>
    <x v="0"/>
    <d v="2013-10-01T00:00:00"/>
    <m/>
    <d v="2016-12-31T00:00:00"/>
    <m/>
    <s v="UNTREF"/>
    <s v="UNSAM- LADA"/>
    <n v="29420"/>
  </r>
  <r>
    <s v="SFMyCP"/>
    <x v="0"/>
    <m/>
    <x v="6"/>
    <s v="ARTES VISUALES"/>
    <m/>
    <m/>
    <m/>
    <m/>
    <m/>
    <m/>
    <s v="LOPEZ MARCOS"/>
    <s v="DNI"/>
    <n v="12471569"/>
    <n v="20124715696"/>
    <m/>
    <m/>
    <m/>
    <m/>
    <m/>
    <x v="2"/>
    <x v="0"/>
    <d v="2016-07-01T00:00:00"/>
    <m/>
    <d v="2016-08-31T00:00:00"/>
    <m/>
    <s v="UNTREF"/>
    <m/>
    <m/>
  </r>
  <r>
    <s v="SFMyCP"/>
    <x v="1"/>
    <m/>
    <x v="5"/>
    <s v="PLANIF  Y ADM DE REC HUMANOS"/>
    <s v="RECURSOS HUMANOS"/>
    <m/>
    <m/>
    <m/>
    <m/>
    <m/>
    <s v="LOPEZ MARIA LUCILA"/>
    <s v="DNI"/>
    <n v="3243932"/>
    <n v="27324397324"/>
    <m/>
    <m/>
    <m/>
    <m/>
    <m/>
    <x v="2"/>
    <x v="1"/>
    <d v="2006-12-01T00:00:00"/>
    <m/>
    <d v="2016-12-31T00:00:00"/>
    <s v="D2"/>
    <m/>
    <m/>
    <m/>
  </r>
  <r>
    <s v="SFMyCP"/>
    <x v="0"/>
    <m/>
    <x v="0"/>
    <s v="TELEVISION DIGITAL ABIERTA"/>
    <s v="CIARA"/>
    <m/>
    <s v="CONTENIDOS DIGITALES ABIERTOS CDA"/>
    <s v="ADMINISTRATIVO"/>
    <s v="CABILDO 65"/>
    <s v="CABILDO 65"/>
    <s v="LOPEZ NUÑEZ MARIA"/>
    <s v="DNI"/>
    <n v="30927415"/>
    <s v="27309274151"/>
    <d v="1984-04-29T00:00:00"/>
    <m/>
    <m/>
    <m/>
    <m/>
    <x v="0"/>
    <x v="0"/>
    <d v="2012-08-01T00:00:00"/>
    <m/>
    <d v="2016-12-31T00:00:00"/>
    <m/>
    <s v="UNTREF"/>
    <s v="UNSAM- LADA"/>
    <n v="25981"/>
  </r>
  <r>
    <s v="SFMyCP"/>
    <x v="0"/>
    <s v="SUBSEC CENTROS TEMATICOS Y EXP FEDERALES"/>
    <x v="3"/>
    <s v="INTENDENCIA - TALLERES"/>
    <m/>
    <m/>
    <m/>
    <m/>
    <s v="TECNÓPOLIS"/>
    <m/>
    <s v="LOPEZ QUIROZ  ADRIAN HORACIO"/>
    <s v="DNI"/>
    <n v="94048478"/>
    <n v="20940484783"/>
    <m/>
    <m/>
    <m/>
    <m/>
    <m/>
    <x v="1"/>
    <x v="1"/>
    <d v="2012-05-01T00:00:00"/>
    <d v="2016-12-31T00:00:00"/>
    <d v="2016-12-31T00:00:00"/>
    <s v="D0"/>
    <m/>
    <m/>
    <n v="10731"/>
  </r>
  <r>
    <s v="SFMyCP"/>
    <x v="0"/>
    <m/>
    <x v="0"/>
    <s v="TELEVISION DIGITAL ABIERTA"/>
    <s v="CIARA"/>
    <m/>
    <s v="CONTENIDOS DIGITALES ABIERTOS CDA"/>
    <s v="ADMINISTRATIVO"/>
    <s v="CABILDO 65"/>
    <s v="CABILDO 65"/>
    <s v="LORENZO AGUSTIN"/>
    <s v="DNI"/>
    <n v="38402296"/>
    <s v="20384022961"/>
    <d v="1994-11-08T00:00:00"/>
    <m/>
    <m/>
    <m/>
    <m/>
    <x v="0"/>
    <x v="0"/>
    <d v="2015-09-01T00:00:00"/>
    <m/>
    <d v="2016-12-31T00:00:00"/>
    <m/>
    <s v="UNTREF"/>
    <s v="UNSAM- LADA"/>
    <n v="15234"/>
  </r>
  <r>
    <s v="SFMyCP"/>
    <x v="0"/>
    <m/>
    <x v="8"/>
    <s v="COMUNICACIÓN"/>
    <m/>
    <m/>
    <m/>
    <m/>
    <s v="CCK"/>
    <s v="CCK - Alem 351"/>
    <s v="LORENZO MARIANA"/>
    <s v="DNI"/>
    <n v="29040990"/>
    <n v="27290409905"/>
    <m/>
    <m/>
    <m/>
    <m/>
    <m/>
    <x v="1"/>
    <x v="1"/>
    <d v="2012-06-11T00:00:00"/>
    <d v="2016-12-31T00:00:00"/>
    <d v="2016-12-31T00:00:00"/>
    <s v="B0"/>
    <m/>
    <m/>
    <n v="19096"/>
  </r>
  <r>
    <s v="SFMyCP"/>
    <x v="0"/>
    <s v="SUBSEC CENTROS TEMATICOS Y EXP FEDERALES"/>
    <x v="3"/>
    <s v="INTENDENCIA - TALLERES"/>
    <m/>
    <m/>
    <m/>
    <s v="HERRERO"/>
    <s v="TECNÓPOLIS"/>
    <s v="TECNOPOLIS"/>
    <s v="LOTO  RENE ANTONIO"/>
    <s v="DNI"/>
    <n v="12803975"/>
    <s v="23128039759"/>
    <d v="1957-02-13T00:00:00"/>
    <m/>
    <m/>
    <m/>
    <m/>
    <x v="0"/>
    <x v="0"/>
    <d v="2014-06-01T00:00:00"/>
    <m/>
    <d v="2016-12-31T00:00:00"/>
    <m/>
    <s v="UNTREF"/>
    <s v="UNTREF"/>
    <n v="11289.69"/>
  </r>
  <r>
    <s v="SFMyCP"/>
    <x v="0"/>
    <s v="SUBSEC CENTROS TEMATICOS Y EXP FEDERALES"/>
    <x v="1"/>
    <s v="DIRECCION DE GESTION EDILICIA"/>
    <s v="OPERATIVA Y LOGISTICA"/>
    <s v="LIMPIEZA (En comisión Tecnópolis)"/>
    <s v="Auxiliar"/>
    <s v="OPERATIVA Y LOGISTICA"/>
    <s v="CCK"/>
    <s v="CCK - Alem 351"/>
    <s v="LOTZ GUILLERMO"/>
    <s v="DNI"/>
    <n v="16095673"/>
    <s v="23160956739"/>
    <d v="1963-01-15T00:00:00"/>
    <m/>
    <m/>
    <m/>
    <m/>
    <x v="0"/>
    <x v="0"/>
    <d v="2015-06-10T00:00:00"/>
    <m/>
    <d v="2016-12-31T00:00:00"/>
    <m/>
    <s v="UNTREF"/>
    <s v="UNTREF"/>
    <n v="10500"/>
  </r>
  <r>
    <s v="SFMyCP"/>
    <x v="0"/>
    <s v="SUBSEC CENTROS TEMATICOS Y EXP FEDERALES"/>
    <x v="1"/>
    <s v="DIRECCION DE GESTION EDILICIA"/>
    <s v="MESA DE AYUDA"/>
    <s v="SOPORTE ADMINISTRATIVO"/>
    <s v="Administrativo"/>
    <s v="ADMINISTRATIVO"/>
    <s v="CCK"/>
    <s v="CCK - Alem 351"/>
    <s v="LUCANO SANDRA"/>
    <s v="DNI"/>
    <n v="17332501"/>
    <s v="27173325016"/>
    <d v="1964-12-07T00:00:00"/>
    <m/>
    <m/>
    <m/>
    <m/>
    <x v="0"/>
    <x v="0"/>
    <d v="2015-07-01T00:00:00"/>
    <m/>
    <d v="2016-12-31T00:00:00"/>
    <m/>
    <s v="UNTREF"/>
    <s v="UNLAM- BICENTENARIO"/>
    <n v="15730"/>
  </r>
  <r>
    <s v="SFMyCP"/>
    <x v="0"/>
    <m/>
    <x v="4"/>
    <m/>
    <m/>
    <m/>
    <s v="PRIVADA"/>
    <m/>
    <m/>
    <m/>
    <s v="LUCAS, MARTÍN"/>
    <s v="DNI"/>
    <n v="26333383"/>
    <m/>
    <d v="1977-11-15T00:00:00"/>
    <m/>
    <m/>
    <m/>
    <m/>
    <x v="2"/>
    <x v="3"/>
    <d v="2016-01-01T00:00:00"/>
    <m/>
    <d v="2016-12-31T00:00:00"/>
    <m/>
    <s v="U. SAN MARTÍN"/>
    <s v="UNSAM"/>
    <n v="36000"/>
  </r>
  <r>
    <s v="SFMyCP"/>
    <x v="1"/>
    <m/>
    <x v="5"/>
    <s v="PRESUPUESTO"/>
    <m/>
    <m/>
    <m/>
    <s v="ADMINISTRATIVO"/>
    <m/>
    <m/>
    <s v="LUDUEÑA MAXIMILIANO"/>
    <s v="DNI"/>
    <n v="33897153"/>
    <m/>
    <m/>
    <m/>
    <m/>
    <m/>
    <m/>
    <x v="1"/>
    <x v="1"/>
    <m/>
    <m/>
    <d v="2016-12-31T00:00:00"/>
    <s v="C1"/>
    <m/>
    <m/>
    <m/>
  </r>
  <r>
    <s v="SFMyCP"/>
    <x v="0"/>
    <m/>
    <x v="0"/>
    <s v="TELEVISION DIGITAL ABIERTA"/>
    <s v="CIARA"/>
    <m/>
    <s v="POSTPRODUCCIÓN"/>
    <s v="EDICION"/>
    <s v="CABILDO 65"/>
    <s v="CABILDO 65"/>
    <s v="LUIS HERNAN"/>
    <s v="DNI"/>
    <n v="29359743"/>
    <s v="20293597430"/>
    <d v="1982-03-26T00:00:00"/>
    <m/>
    <m/>
    <m/>
    <m/>
    <x v="0"/>
    <x v="0"/>
    <d v="2015-07-01T00:00:00"/>
    <m/>
    <d v="2016-12-31T00:00:00"/>
    <m/>
    <s v="UNTREF"/>
    <s v="UNSAM- LADA"/>
    <n v="19353"/>
  </r>
  <r>
    <s v="SFMyCP"/>
    <x v="0"/>
    <m/>
    <x v="0"/>
    <s v="TELEVISION DIGITAL ABIERTA"/>
    <s v="CIARA"/>
    <m/>
    <s v="Responsable Radio Igualdad"/>
    <m/>
    <s v="CABILDO 65"/>
    <m/>
    <s v="LUNA ROMAN DARIO"/>
    <s v="DNI"/>
    <n v="23889942"/>
    <n v="20238899428"/>
    <m/>
    <m/>
    <m/>
    <m/>
    <m/>
    <x v="1"/>
    <x v="1"/>
    <d v="2015-01-01T00:00:00"/>
    <d v="2016-03-31T00:00:00"/>
    <d v="2016-12-31T00:00:00"/>
    <s v="A1"/>
    <m/>
    <m/>
    <n v="29089"/>
  </r>
  <r>
    <s v="SFMyCP"/>
    <x v="1"/>
    <m/>
    <x v="5"/>
    <s v="PRESUPUESTO"/>
    <m/>
    <m/>
    <m/>
    <s v="ADMINISTRATIVO"/>
    <m/>
    <s v="CCK - Alem 351"/>
    <s v="LYNCH EMANUEL"/>
    <s v="DNI"/>
    <n v="38551275"/>
    <s v="23385512759"/>
    <d v="1994-12-05T00:00:00"/>
    <m/>
    <m/>
    <m/>
    <m/>
    <x v="0"/>
    <x v="0"/>
    <m/>
    <m/>
    <d v="2016-12-31T00:00:00"/>
    <m/>
    <s v="UNTREF"/>
    <m/>
    <n v="12500"/>
  </r>
  <r>
    <s v="SFMyCP"/>
    <x v="1"/>
    <m/>
    <x v="5"/>
    <s v="COMPRAS Y CONTRATACIONES"/>
    <m/>
    <m/>
    <s v="Analista"/>
    <s v="ADMINISTRATIVO"/>
    <m/>
    <s v="CCK - Alem 351"/>
    <s v="MAC DONALD LINDA"/>
    <s v="DNI"/>
    <n v="32102678"/>
    <s v="27321026783"/>
    <d v="1987-01-22T00:00:00"/>
    <m/>
    <m/>
    <m/>
    <m/>
    <x v="0"/>
    <x v="0"/>
    <d v="2016-05-02T00:00:00"/>
    <m/>
    <d v="2016-12-31T00:00:00"/>
    <m/>
    <s v="UNTREF"/>
    <m/>
    <s v="."/>
  </r>
  <r>
    <s v="SFMyCP"/>
    <x v="0"/>
    <s v="SUBSEC CENTROS TEMATICOS Y EXP FEDERALES"/>
    <x v="1"/>
    <s v="ADMINISTRACION"/>
    <m/>
    <m/>
    <s v="Administrativo"/>
    <s v="ADMINISTRATIVO"/>
    <s v="CCK"/>
    <s v="CCK - Alem 351"/>
    <s v="MACAGNI IRINA MARÍA NELLY"/>
    <s v="DNI"/>
    <n v="28077190"/>
    <s v="27280771908"/>
    <d v="1980-03-25T00:00:00"/>
    <m/>
    <m/>
    <m/>
    <m/>
    <x v="0"/>
    <x v="0"/>
    <d v="2014-12-15T00:00:00"/>
    <m/>
    <d v="2016-12-31T00:00:00"/>
    <m/>
    <s v="UNTREF"/>
    <s v="CULTURA"/>
    <n v="14000"/>
  </r>
  <r>
    <s v="SFMyCP"/>
    <x v="0"/>
    <s v="SUBSEC CENTROS TEMATICOS Y EXP FEDERALES"/>
    <x v="1"/>
    <s v="DIRECCION DE GESTION EDILICIA"/>
    <s v="EQUIPO CONTROL Y PLANIFICACION"/>
    <m/>
    <s v="INVESTIGACION APLICADA"/>
    <s v="ADMINISTRATIVO"/>
    <s v="CCK"/>
    <s v="CCK - Alem 351"/>
    <s v="MACCARI PABLO"/>
    <s v="DNI"/>
    <n v="23179837"/>
    <s v="20231798375"/>
    <d v="1973-05-28T00:00:00"/>
    <m/>
    <m/>
    <m/>
    <m/>
    <x v="0"/>
    <x v="0"/>
    <m/>
    <m/>
    <d v="2016-12-31T00:00:00"/>
    <m/>
    <s v="UNTREF"/>
    <s v="UNSAM"/>
    <n v="30145"/>
  </r>
  <r>
    <s v="SFMyCP"/>
    <x v="1"/>
    <m/>
    <x v="5"/>
    <s v="COMPRAS Y CONTRATACIONES"/>
    <m/>
    <m/>
    <s v="Administración"/>
    <s v="ADMINISTRATIVO"/>
    <s v="CCK"/>
    <s v="CCK - Alem 351"/>
    <s v="MACCHI SEBASTIAN"/>
    <s v="DNI"/>
    <n v="32478554"/>
    <s v="20324785540"/>
    <d v="1986-07-27T00:00:00"/>
    <m/>
    <m/>
    <m/>
    <m/>
    <x v="0"/>
    <x v="0"/>
    <d v="2015-04-20T00:00:00"/>
    <m/>
    <d v="2016-12-31T00:00:00"/>
    <m/>
    <s v="UNTREF"/>
    <s v="UNSAM"/>
    <n v="17102"/>
  </r>
  <r>
    <s v="SFMyCP"/>
    <x v="0"/>
    <s v="SUBSEC CENTROS TEMATICOS Y EXP FEDERALES"/>
    <x v="3"/>
    <s v="INTENDENCIA- ACREDITACIONES"/>
    <m/>
    <m/>
    <m/>
    <m/>
    <s v="TECNÓPOLIS"/>
    <m/>
    <s v="MACHADO Carmen Noemi"/>
    <s v="DNI"/>
    <n v="29014857"/>
    <n v="27290148575"/>
    <m/>
    <m/>
    <m/>
    <m/>
    <m/>
    <x v="1"/>
    <x v="1"/>
    <d v="2011-07-01T00:00:00"/>
    <d v="2016-12-31T00:00:00"/>
    <d v="2016-12-31T00:00:00"/>
    <s v="D1"/>
    <m/>
    <m/>
    <n v="13106"/>
  </r>
  <r>
    <s v="SFMyCP"/>
    <x v="0"/>
    <m/>
    <x v="0"/>
    <s v="TELEVISION DIGITAL ABIERTA"/>
    <s v="CIARA"/>
    <m/>
    <s v="POSTPRODUCCIÓN"/>
    <s v="EDICION"/>
    <s v="CABILDO 65"/>
    <s v="CABILDO 65"/>
    <s v="MACHO VIRGINIA"/>
    <s v="DNI"/>
    <n v="27113656"/>
    <s v="27271136566"/>
    <d v="1978-12-22T00:00:00"/>
    <m/>
    <m/>
    <m/>
    <m/>
    <x v="0"/>
    <x v="0"/>
    <d v="2012-08-01T00:00:00"/>
    <m/>
    <d v="2016-12-31T00:00:00"/>
    <m/>
    <s v="UNTREF"/>
    <m/>
    <n v="21640"/>
  </r>
  <r>
    <s v="SFMyCP"/>
    <x v="0"/>
    <s v="SUBSEC CENTROS TEMATICOS Y EXP FEDERALES"/>
    <x v="1"/>
    <s v="DIRECCION DE GESTION EDILICIA"/>
    <s v="ESPACIOS FISICOS"/>
    <m/>
    <s v="Asistente Técnico"/>
    <s v="ADMINISTRATIVO"/>
    <s v="CCK"/>
    <s v="CCK - Alem 351"/>
    <s v="MACIÁ PABLO ARIEL"/>
    <s v="DNI"/>
    <n v="33403626"/>
    <s v="20334036260"/>
    <d v="1987-11-21T00:00:00"/>
    <m/>
    <m/>
    <m/>
    <m/>
    <x v="0"/>
    <x v="0"/>
    <d v="2015-06-02T00:00:00"/>
    <m/>
    <d v="2016-12-31T00:00:00"/>
    <m/>
    <s v="UNTREF"/>
    <s v="UNLAM- BICENTENARIO"/>
    <n v="10807"/>
  </r>
  <r>
    <s v="SFMyCP"/>
    <x v="1"/>
    <m/>
    <x v="5"/>
    <s v="INFORMATICA Y SISTEMAS"/>
    <m/>
    <m/>
    <s v="Analista"/>
    <s v="Analista"/>
    <s v="CCK"/>
    <s v="CCK - Alem 351"/>
    <s v="MAHAFUD JOEL"/>
    <s v="DNI"/>
    <n v="37007907"/>
    <s v="20370079073"/>
    <d v="1992-06-23T00:00:00"/>
    <m/>
    <m/>
    <m/>
    <m/>
    <x v="0"/>
    <x v="0"/>
    <d v="2015-10-01T00:00:00"/>
    <m/>
    <d v="2016-12-31T00:00:00"/>
    <m/>
    <s v="UNTREF"/>
    <s v="UNLAM- INFO"/>
    <n v="7500"/>
  </r>
  <r>
    <s v="SFMyCP"/>
    <x v="1"/>
    <m/>
    <x v="2"/>
    <m/>
    <m/>
    <m/>
    <s v="PRIVADA"/>
    <s v="ADMINISTRATIVO"/>
    <m/>
    <s v="CCK - Alem 351"/>
    <s v="MALAGRABA, MARIA GABRIELA"/>
    <s v="DNI"/>
    <n v="24963883"/>
    <n v="27249638833"/>
    <d v="1975-11-02T00:00:00"/>
    <m/>
    <m/>
    <m/>
    <m/>
    <x v="0"/>
    <x v="0"/>
    <d v="2016-01-01T00:00:00"/>
    <m/>
    <d v="2016-12-31T00:00:00"/>
    <m/>
    <s v="UNTREF"/>
    <s v="UNSAM"/>
    <n v="12275"/>
  </r>
  <r>
    <s v="SFMyCP"/>
    <x v="0"/>
    <m/>
    <x v="0"/>
    <s v="TELEVISION DIGITAL ABIERTA"/>
    <s v="CIARA"/>
    <m/>
    <s v="BACUA"/>
    <m/>
    <s v="CABILDO 65"/>
    <m/>
    <s v="MALASPINA ISABEL"/>
    <s v="DNI"/>
    <n v="29193974"/>
    <n v="27291939746"/>
    <m/>
    <m/>
    <m/>
    <m/>
    <m/>
    <x v="1"/>
    <x v="1"/>
    <d v="2013-12-01T00:00:00"/>
    <d v="2016-03-31T00:00:00"/>
    <d v="2016-12-31T00:00:00"/>
    <s v="A1"/>
    <m/>
    <m/>
    <n v="29089"/>
  </r>
  <r>
    <s v="SFMyCP"/>
    <x v="0"/>
    <s v="SUBSEC CENTROS TEMATICOS Y EXP FEDERALES"/>
    <x v="3"/>
    <m/>
    <m/>
    <m/>
    <m/>
    <s v="MANTENIMIENTO DE ESPACIOS VERDES"/>
    <m/>
    <s v="TECNOPOLIS"/>
    <s v="MALDONADO JONATHAN "/>
    <s v="DNI"/>
    <n v="36492782"/>
    <s v="20364927828"/>
    <d v="1991-11-24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GASTRONOMIA"/>
    <m/>
    <m/>
    <s v="COCINA"/>
    <s v="CHEF EJECUTIVO"/>
    <m/>
    <s v="TECNOPOLIS"/>
    <s v="MALOWICKI ZOLKWER GABRIEL"/>
    <s v="DNI"/>
    <n v="31764002"/>
    <n v="20317640022"/>
    <d v="1985-08-04T00:00:00"/>
    <m/>
    <m/>
    <m/>
    <m/>
    <x v="0"/>
    <x v="0"/>
    <d v="2016-05-01T00:00:00"/>
    <m/>
    <d v="2016-12-31T00:00:00"/>
    <m/>
    <s v="UNTREF"/>
    <m/>
    <m/>
  </r>
  <r>
    <s v="SFMyCP"/>
    <x v="1"/>
    <m/>
    <x v="5"/>
    <s v="COMPRAS Y CONTRATACIONES"/>
    <m/>
    <m/>
    <m/>
    <s v="ADMINISTRATIVO"/>
    <m/>
    <s v="CCK - Alem 351"/>
    <s v="MANELLI MATÍAS NAHUEL"/>
    <s v="DNI"/>
    <n v="37755992"/>
    <s v="20377559925"/>
    <d v="1993-06-17T00:00:00"/>
    <m/>
    <m/>
    <m/>
    <m/>
    <x v="0"/>
    <x v="0"/>
    <m/>
    <m/>
    <d v="2016-12-31T00:00:00"/>
    <m/>
    <s v="UNTREF"/>
    <m/>
    <n v="10910"/>
  </r>
  <r>
    <s v="SFMyCP"/>
    <x v="0"/>
    <s v="SUBSEC CENTROS TEMATICOS Y EXP FEDERALES"/>
    <x v="1"/>
    <s v="INSTITUCIONALES"/>
    <s v="VISITAS GUIADAS"/>
    <m/>
    <m/>
    <s v="VISITAS GUIADAS"/>
    <m/>
    <s v="CCK - Alem 351"/>
    <s v="MANSILLA PILAR MURIEL"/>
    <s v="DNI"/>
    <n v="37424425"/>
    <n v="27374244251"/>
    <d v="1993-04-28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CIARA"/>
    <m/>
    <s v="CONTENIDOS DIGITALES ABIERTOS CDA"/>
    <s v="ADMINISTRATIVO"/>
    <s v="CABILDO 65"/>
    <s v="CABILDO 65"/>
    <s v="MANZIONE BIANCA"/>
    <s v="DNI"/>
    <n v="37806458"/>
    <s v="27378064584"/>
    <d v="1993-08-13T00:00:00"/>
    <m/>
    <m/>
    <m/>
    <m/>
    <x v="0"/>
    <x v="0"/>
    <d v="2012-10-01T00:00:00"/>
    <m/>
    <d v="2016-12-31T00:00:00"/>
    <m/>
    <s v="UNTREF"/>
    <s v="UNSAM- LADA"/>
    <n v="15234"/>
  </r>
  <r>
    <s v="SFMyCP"/>
    <x v="1"/>
    <m/>
    <x v="5"/>
    <s v="PRESUPUESTO"/>
    <s v="VIATICOS"/>
    <m/>
    <s v="Asistente"/>
    <s v="ADMINISTRATIVO"/>
    <s v="CCK"/>
    <s v="CCK - Alem 351"/>
    <s v="MARA FRANCO"/>
    <s v="DNI"/>
    <n v="32969084"/>
    <s v="23329690849"/>
    <d v="1987-10-28T00:00:00"/>
    <m/>
    <m/>
    <m/>
    <m/>
    <x v="0"/>
    <x v="0"/>
    <d v="2014-12-10T00:00:00"/>
    <m/>
    <d v="2016-12-31T00:00:00"/>
    <m/>
    <s v="UNTREF"/>
    <s v="UNLAM- DGA"/>
    <n v="10187"/>
  </r>
  <r>
    <s v="SFMyCP"/>
    <x v="0"/>
    <s v="SUBSEC CENTROS TEMATICOS Y EXP FEDERALES"/>
    <x v="1"/>
    <s v="DIRECCION DE GESTION EDILICIA"/>
    <s v="OPERATIVA Y LOGISTICA"/>
    <s v="LOGISTICA OPERATIVA"/>
    <s v="Asistente Técnico Operativo"/>
    <s v="OPERATIVA Y LOGISTICA"/>
    <s v="CCK"/>
    <s v="CCK - Alem 351"/>
    <s v="MARCOTE MARIANO"/>
    <s v="DNI"/>
    <n v="30920038"/>
    <s v="20309200382"/>
    <d v="1984-06-26T00:00:00"/>
    <m/>
    <m/>
    <m/>
    <m/>
    <x v="0"/>
    <x v="0"/>
    <d v="2015-07-13T00:00:00"/>
    <m/>
    <d v="2016-12-31T00:00:00"/>
    <m/>
    <s v="UNTREF"/>
    <s v="UNLAM- BICENTENARIO"/>
    <n v="10807"/>
  </r>
  <r>
    <s v="SFMyCP"/>
    <x v="0"/>
    <s v="SUBSEC CENTROS TEMATICOS Y EXP FEDERALES"/>
    <x v="3"/>
    <s v="INTENDENCIA - TALLERES"/>
    <m/>
    <m/>
    <m/>
    <m/>
    <s v="TECNÓPOLIS"/>
    <m/>
    <s v="MARECOS Roberto Carlos"/>
    <s v="DNI"/>
    <n v="23331504"/>
    <n v="20233315045"/>
    <m/>
    <m/>
    <m/>
    <m/>
    <m/>
    <x v="1"/>
    <x v="1"/>
    <d v="2013-05-01T00:00:00"/>
    <d v="2016-03-31T00:00:00"/>
    <d v="2016-12-31T00:00:00"/>
    <s v="C0"/>
    <m/>
    <m/>
    <n v="20106.650000000001"/>
  </r>
  <r>
    <s v="SFMyCP"/>
    <x v="0"/>
    <m/>
    <x v="0"/>
    <s v="TELEVISION DIGITAL ABIERTA"/>
    <s v="CIARA"/>
    <m/>
    <s v="BACUA"/>
    <m/>
    <s v="CABILDO 65"/>
    <m/>
    <s v="MAREQUE MORENO MARIA PAULA"/>
    <s v="DNI"/>
    <n v="34152110"/>
    <n v="27341521101"/>
    <m/>
    <m/>
    <m/>
    <m/>
    <m/>
    <x v="1"/>
    <x v="1"/>
    <d v="2009-01-01T00:00:00"/>
    <d v="2016-12-31T00:00:00"/>
    <d v="2016-12-31T00:00:00"/>
    <s v="C2"/>
    <m/>
    <m/>
    <n v="12960"/>
  </r>
  <r>
    <s v="SFMyCP"/>
    <x v="0"/>
    <m/>
    <x v="4"/>
    <m/>
    <m/>
    <m/>
    <s v="PRIVADA"/>
    <s v="ADMINISTRATIVO"/>
    <m/>
    <s v="CCK - Alem 351"/>
    <s v="MARICH EKEL "/>
    <s v="DNI"/>
    <n v="24230223"/>
    <n v="20242302231"/>
    <d v="1975-03-30T00:00:00"/>
    <m/>
    <m/>
    <m/>
    <m/>
    <x v="0"/>
    <x v="0"/>
    <m/>
    <m/>
    <d v="2016-12-31T00:00:00"/>
    <m/>
    <s v="UNTREF"/>
    <m/>
    <m/>
  </r>
  <r>
    <s v="SFMyCP"/>
    <x v="0"/>
    <m/>
    <x v="0"/>
    <m/>
    <m/>
    <m/>
    <m/>
    <s v="ADMINISTRATIVO"/>
    <m/>
    <s v="CCK - Alem 351"/>
    <s v="MARIN JAVIER ALEJANDRO"/>
    <s v="DNI"/>
    <n v="21731906"/>
    <n v="20217319065"/>
    <d v="1970-09-12T00:00:00"/>
    <m/>
    <m/>
    <m/>
    <m/>
    <x v="0"/>
    <x v="0"/>
    <d v="2016-04-01T00:00:00"/>
    <m/>
    <d v="2016-08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MARINCOVIK, PABLO"/>
    <s v="DNI"/>
    <n v="21167373"/>
    <s v="20211673738"/>
    <d v="1969-12-04T00:00:00"/>
    <m/>
    <m/>
    <m/>
    <m/>
    <x v="0"/>
    <x v="0"/>
    <d v="2016-01-01T00:00:00"/>
    <m/>
    <d v="2016-12-31T00:00:00"/>
    <m/>
    <s v="UNTREF"/>
    <s v="UNSAM"/>
    <n v="19000"/>
  </r>
  <r>
    <s v="SFMyCP"/>
    <x v="0"/>
    <s v="SUBSEC CENTROS TEMATICOS Y EXP FEDERALES"/>
    <x v="1"/>
    <s v="PRODUCCIÓN"/>
    <m/>
    <m/>
    <m/>
    <s v="ADMINISTRATIVA"/>
    <m/>
    <s v="CCK - Alem 351"/>
    <s v="MARQUEZ CARLOS ANTONIO"/>
    <s v="DNI"/>
    <n v="16988106"/>
    <n v="20169881066"/>
    <d v="1963-02-03T00:00:00"/>
    <m/>
    <m/>
    <m/>
    <m/>
    <x v="0"/>
    <x v="0"/>
    <d v="2016-04-15T00:00:00"/>
    <m/>
    <d v="2016-12-31T00:00:00"/>
    <m/>
    <s v="UNTREF"/>
    <m/>
    <s v="."/>
  </r>
  <r>
    <s v="SFMyCP"/>
    <x v="0"/>
    <s v="SUBSEC CENTROS TEMATICOS Y EXP FEDERALES"/>
    <x v="1"/>
    <s v="INSTITUCIONALES"/>
    <m/>
    <m/>
    <m/>
    <m/>
    <s v="CCK"/>
    <m/>
    <s v="MARTIN EMILIANO"/>
    <s v="DNI"/>
    <n v="29946823"/>
    <n v="27292468933"/>
    <m/>
    <m/>
    <m/>
    <m/>
    <m/>
    <x v="1"/>
    <x v="1"/>
    <d v="2012-12-01T00:00:00"/>
    <d v="2016-12-31T00:00:00"/>
    <d v="2016-12-31T00:00:00"/>
    <s v="A1"/>
    <m/>
    <m/>
    <n v="26237"/>
  </r>
  <r>
    <s v="SFMyCP"/>
    <x v="0"/>
    <s v="SUBSEC CENTROS TEMATICOS Y EXP FEDERALES"/>
    <x v="3"/>
    <s v="INTENDENCIA- PARQUIZACION"/>
    <m/>
    <m/>
    <m/>
    <s v="MANTENIMIENTO DE ESPACIOS VERDES"/>
    <s v="TECNÓPOLIS"/>
    <s v="TECNOPOLIS"/>
    <s v="MARTINEZ  HECTOR MARCELO"/>
    <s v="DNI"/>
    <n v="39706510"/>
    <s v="20397065104"/>
    <d v="1995-08-24T00:00:00"/>
    <m/>
    <m/>
    <m/>
    <m/>
    <x v="0"/>
    <x v="0"/>
    <d v="2014-06-01T00:00:00"/>
    <m/>
    <d v="2016-12-31T00:00:00"/>
    <m/>
    <s v="UNTREF"/>
    <s v="UNTREF"/>
    <n v="9995.51"/>
  </r>
  <r>
    <s v="SFMyCP"/>
    <x v="0"/>
    <s v="SUBSEC CENTROS TEMATICOS Y EXP FEDERALES"/>
    <x v="1"/>
    <s v="DIRECCION DE GESTION EDILICIA"/>
    <s v="DIRECCION"/>
    <s v="REFERENTE"/>
    <s v="Coordinador de DTO"/>
    <s v="ADMINISTRATIVO"/>
    <s v="CCK"/>
    <s v="CCK - Alem 351"/>
    <s v="MARTINEZ ALBERTO"/>
    <s v="DNI"/>
    <n v="32944728"/>
    <s v="20329447287"/>
    <d v="1987-03-06T00:00:00"/>
    <m/>
    <m/>
    <m/>
    <m/>
    <x v="0"/>
    <x v="0"/>
    <d v="2015-02-01T00:00:00"/>
    <m/>
    <d v="2016-12-31T00:00:00"/>
    <m/>
    <s v="UNTREF"/>
    <s v="UNLAM- BICENTENARIO"/>
    <n v="24500"/>
  </r>
  <r>
    <s v="SFMyCP"/>
    <x v="0"/>
    <s v="SUBSEC CENTROS TEMATICOS Y EXP FEDERALES"/>
    <x v="3"/>
    <m/>
    <m/>
    <m/>
    <s v="PRIVADA"/>
    <s v="ADMINISTRATIVO"/>
    <s v="TECNÓPOLIS"/>
    <s v="TECNOPOLIS"/>
    <s v="MARTINEZ ANAHÍ"/>
    <s v="DNI"/>
    <n v="23415236"/>
    <n v="27234152365"/>
    <d v="1973-09-13T00:00:00"/>
    <m/>
    <m/>
    <m/>
    <m/>
    <x v="0"/>
    <x v="0"/>
    <d v="2016-01-01T00:00:00"/>
    <m/>
    <d v="2016-12-31T00:00:00"/>
    <m/>
    <s v="UNTREF"/>
    <s v="UNSAM"/>
    <n v="30000"/>
  </r>
  <r>
    <s v="SFMyCP"/>
    <x v="0"/>
    <s v="SUBSEC CENTROS TEMATICOS Y EXP FEDERALES"/>
    <x v="3"/>
    <s v="GASTRONOMIA"/>
    <m/>
    <m/>
    <m/>
    <s v="ADMINISTRATIVO"/>
    <s v="TECNÓPOLIS"/>
    <m/>
    <s v="MARTINEZ MARIA MAGDALENA"/>
    <s v="DNI"/>
    <n v="28972145"/>
    <n v="27289721458"/>
    <d v="1981-05-08T00:00:00"/>
    <m/>
    <m/>
    <m/>
    <m/>
    <x v="0"/>
    <x v="0"/>
    <m/>
    <m/>
    <m/>
    <m/>
    <m/>
    <m/>
    <m/>
  </r>
  <r>
    <s v="SFMyCP"/>
    <x v="0"/>
    <m/>
    <x v="0"/>
    <s v="INV. AP. RECURSOS DIGITALES"/>
    <s v="CTRO INV PALPALA"/>
    <m/>
    <s v="DESARROLLOS"/>
    <s v="ANALISTA"/>
    <s v="PALPALÁ-JUJUY"/>
    <s v="PALPALÁ-JUJUY"/>
    <s v="MARTINEZ ARIEL GUSTAVO"/>
    <s v="DNI"/>
    <n v="26451548"/>
    <n v="20264515484"/>
    <d v="1978-04-17T00:00:00"/>
    <m/>
    <m/>
    <m/>
    <m/>
    <x v="0"/>
    <x v="0"/>
    <d v="2015-09-01T00:00:00"/>
    <m/>
    <d v="2016-12-31T00:00:00"/>
    <m/>
    <s v="UNTREF"/>
    <s v="UNSAM"/>
    <n v="10000"/>
  </r>
  <r>
    <s v="SFMyCP"/>
    <x v="0"/>
    <m/>
    <x v="6"/>
    <s v="ARTES VISUALES"/>
    <m/>
    <m/>
    <m/>
    <s v="Orientador de Sala"/>
    <m/>
    <m/>
    <s v="MARTINEZ DAVILA FIORELLA"/>
    <s v="DNI"/>
    <n v="94779981"/>
    <n v="27947799814"/>
    <m/>
    <m/>
    <m/>
    <m/>
    <m/>
    <x v="0"/>
    <x v="0"/>
    <d v="2016-07-01T00:00:00"/>
    <m/>
    <d v="2016-12-31T00:00:00"/>
    <m/>
    <m/>
    <m/>
    <m/>
  </r>
  <r>
    <s v="SFMyCP"/>
    <x v="1"/>
    <m/>
    <x v="5"/>
    <s v="PLANIF  Y ADM DE REC HUMANOS"/>
    <s v="RECURSOS HUMANOS"/>
    <m/>
    <m/>
    <m/>
    <m/>
    <m/>
    <s v="MARTINEZ DIEGO"/>
    <s v="DNI"/>
    <n v="31985771"/>
    <n v="20319857711"/>
    <m/>
    <m/>
    <m/>
    <m/>
    <m/>
    <x v="1"/>
    <x v="1"/>
    <d v="2015-03-01T00:00:00"/>
    <m/>
    <d v="2016-12-31T00:00:00"/>
    <s v="B1"/>
    <m/>
    <m/>
    <m/>
  </r>
  <r>
    <s v="SFMyCP"/>
    <x v="0"/>
    <s v="SUBSEC CENTROS TEMATICOS Y EXP FEDERALES"/>
    <x v="1"/>
    <s v="ADMINISTRACION"/>
    <m/>
    <m/>
    <s v="Administrativo"/>
    <s v="ADMINISTRATIVO"/>
    <s v="CCK"/>
    <s v="CCK - Alem 351"/>
    <s v="MARTINEZ JAVIER MARCELO"/>
    <s v="DNI"/>
    <n v="27704110"/>
    <s v="20277041104"/>
    <d v="1979-12-12T00:00:00"/>
    <m/>
    <m/>
    <m/>
    <m/>
    <x v="0"/>
    <x v="0"/>
    <d v="2014-10-01T00:00:00"/>
    <m/>
    <d v="2016-12-31T00:00:00"/>
    <m/>
    <s v="UNTREF"/>
    <s v="CULTURA"/>
    <n v="20000"/>
  </r>
  <r>
    <s v="SFMyCP"/>
    <x v="0"/>
    <m/>
    <x v="0"/>
    <s v="TELEVISION DIGITAL ABIERTA"/>
    <s v="PRESIDENCIA"/>
    <m/>
    <s v="PRODUCCIÓN"/>
    <s v="PRODUCTOR de EXTERIORES"/>
    <s v="CABILDO 65"/>
    <s v="CABILDO 65"/>
    <s v="MARTINEZ MELINA"/>
    <s v="DNI"/>
    <n v="30278656"/>
    <s v="27302786564"/>
    <d v="1983-04-06T00:00:00"/>
    <m/>
    <m/>
    <m/>
    <m/>
    <x v="0"/>
    <x v="0"/>
    <d v="2015-03-16T00:00:00"/>
    <m/>
    <d v="2016-12-31T00:00:00"/>
    <m/>
    <s v="UNTREF"/>
    <s v="UNSAM- LADA"/>
    <n v="18795"/>
  </r>
  <r>
    <s v="SFMyCP"/>
    <x v="1"/>
    <m/>
    <x v="5"/>
    <s v="PLANIF  Y ADM DE REC HUMANOS"/>
    <s v="RECURSOS HUMANOS"/>
    <s v="COMUNICACIÓN"/>
    <s v="COMUNICACIÓN"/>
    <m/>
    <s v="CCK"/>
    <m/>
    <s v="MARTINO MARCELA NATALIA"/>
    <s v="DNI"/>
    <n v="28807853"/>
    <n v="27288078535"/>
    <m/>
    <m/>
    <m/>
    <m/>
    <m/>
    <x v="1"/>
    <x v="1"/>
    <d v="2013-12-01T00:00:00"/>
    <d v="2016-03-31T00:00:00"/>
    <d v="2016-12-31T00:00:00"/>
    <s v="B1"/>
    <m/>
    <m/>
    <n v="20266"/>
  </r>
  <r>
    <s v="SFMyCP"/>
    <x v="1"/>
    <m/>
    <x v="5"/>
    <s v="PLANIF  Y ADM DE REC HUMANOS"/>
    <s v="S. GENERALES - AUTOMOTORES"/>
    <s v="AUTOMOTORES"/>
    <s v="CHOFER"/>
    <m/>
    <s v="CCK"/>
    <m/>
    <s v="MASÑUK  JUAN CARLOS"/>
    <s v="DNI"/>
    <n v="17513017"/>
    <n v="23175130179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m/>
    <x v="0"/>
    <s v="TELEVISION DIGITAL ABIERTA"/>
    <s v="CIARA"/>
    <m/>
    <s v="POSTPRODUCCIÓN"/>
    <s v="EDICION"/>
    <s v="CABILDO 65"/>
    <s v="CABILDO 65"/>
    <s v="MASTANDREA SERGIO"/>
    <s v="DNI"/>
    <n v="29414541"/>
    <s v="23294145419"/>
    <d v="1982-03-30T00:00:00"/>
    <m/>
    <m/>
    <m/>
    <m/>
    <x v="0"/>
    <x v="0"/>
    <d v="2015-11-01T00:00:00"/>
    <m/>
    <d v="2016-12-31T00:00:00"/>
    <m/>
    <s v="UNTREF"/>
    <m/>
    <n v="19353"/>
  </r>
  <r>
    <s v="SFMyCP"/>
    <x v="0"/>
    <m/>
    <x v="0"/>
    <s v="INV. AP. RECURSOS DIGITALES"/>
    <s v="CTRO INV PALPALA"/>
    <m/>
    <s v="DESARROLLOS"/>
    <s v="ANALISTA"/>
    <s v="PALPALÁ-JUJUY"/>
    <s v="PALPALÁ-JUJUY"/>
    <s v="MATEOS CARLOS ALFONSO"/>
    <s v="DNI"/>
    <n v="23053676"/>
    <n v="20230536768"/>
    <d v="1972-09-23T00:00:00"/>
    <m/>
    <m/>
    <m/>
    <m/>
    <x v="0"/>
    <x v="0"/>
    <d v="2015-09-01T00:00:00"/>
    <m/>
    <d v="2016-12-31T00:00:00"/>
    <m/>
    <s v="UNTREF"/>
    <s v="UNSAM"/>
    <n v="11500"/>
  </r>
  <r>
    <s v="SFMyCP"/>
    <x v="0"/>
    <s v="SUBSEC CENTROS TEMATICOS Y EXP FEDERALES"/>
    <x v="1"/>
    <s v="INSTITUCIONALES"/>
    <s v="VISITAS GUIADAS"/>
    <m/>
    <m/>
    <s v="VISITAS GUIADAS"/>
    <m/>
    <s v="CCK - Alem 351"/>
    <s v="MATUK SEBASTIAN"/>
    <s v="DNI"/>
    <n v="34304285"/>
    <n v="20343042850"/>
    <d v="1989-02-07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TELEVISION DIGITAL ABIERTA"/>
    <s v="CIARA"/>
    <m/>
    <s v="PROGRAMA POLOS AUDIOVISUALES TECNOLÓGICOS"/>
    <m/>
    <s v="CABILDO 65"/>
    <m/>
    <s v="MAZU OSCAR EDUARDO"/>
    <s v="DNI"/>
    <n v="16598752"/>
    <n v="20165987528"/>
    <m/>
    <m/>
    <m/>
    <m/>
    <m/>
    <x v="1"/>
    <x v="1"/>
    <d v="2013-12-01T00:00:00"/>
    <d v="2016-03-31T00:00:00"/>
    <d v="2016-12-31T00:00:00"/>
    <s v="B1"/>
    <m/>
    <m/>
    <n v="18277"/>
  </r>
  <r>
    <s v="SFMyCP"/>
    <x v="0"/>
    <s v="SUBSEC CENTROS TEMATICOS Y EXP FEDERALES"/>
    <x v="1"/>
    <s v="PRODUCCIÓN"/>
    <m/>
    <m/>
    <m/>
    <s v="ADMINISTRATIVO"/>
    <m/>
    <s v="CCK - Alem 351"/>
    <s v="MAZZEI LAURA"/>
    <s v="DNI"/>
    <n v="27113663"/>
    <n v="27271136639"/>
    <d v="1978-12-25T00:00:00"/>
    <m/>
    <m/>
    <m/>
    <m/>
    <x v="0"/>
    <x v="0"/>
    <d v="2016-05-15T00:00:00"/>
    <m/>
    <d v="2016-12-31T00:00:00"/>
    <m/>
    <s v="UNTREF"/>
    <m/>
    <m/>
  </r>
  <r>
    <s v="SFMyCP"/>
    <x v="0"/>
    <m/>
    <x v="6"/>
    <s v="ARTES VISUALES"/>
    <m/>
    <m/>
    <m/>
    <s v="Orientador de Sala"/>
    <m/>
    <m/>
    <s v="MC CARTHY VICTORIA"/>
    <s v="DNI"/>
    <n v="38865071"/>
    <n v="27388650716"/>
    <m/>
    <m/>
    <m/>
    <m/>
    <m/>
    <x v="0"/>
    <x v="0"/>
    <d v="2016-07-01T00:00:00"/>
    <m/>
    <d v="2016-12-31T00:00:00"/>
    <m/>
    <m/>
    <m/>
    <m/>
  </r>
  <r>
    <s v="SFMyCP"/>
    <x v="0"/>
    <s v="SUBSEC CENTROS TEMATICOS Y EXP FEDERALES"/>
    <x v="1"/>
    <s v="DIRECCION DE GESTION EDILICIA"/>
    <s v="OPERATIVA Y LOGISTICA"/>
    <s v="LOGISTICA OPERATIVA"/>
    <s v="Asistente Técnico Operativo"/>
    <s v="OPERATIVA Y LOGISTICA"/>
    <s v="CCK"/>
    <s v="CCK - Alem 351"/>
    <s v="MEANA ADRIAN"/>
    <s v="DNI"/>
    <n v="29704359"/>
    <s v="20297043596"/>
    <d v="1982-10-28T00:00:00"/>
    <m/>
    <m/>
    <m/>
    <m/>
    <x v="0"/>
    <x v="0"/>
    <d v="2015-07-01T00:00:00"/>
    <m/>
    <d v="2016-12-31T00:00:00"/>
    <m/>
    <s v="UNTREF"/>
    <s v="UNLAM- BICENTENARIO"/>
    <n v="10807"/>
  </r>
  <r>
    <s v="SFMyCP"/>
    <x v="0"/>
    <s v="SUBSEC CENTROS TEMATICOS Y EXP FEDERALES"/>
    <x v="1"/>
    <s v="DIRECCION DE GESTION EDILICIA"/>
    <s v="AUDITORIA Y CONTROL"/>
    <m/>
    <m/>
    <m/>
    <m/>
    <m/>
    <s v="MEDINA SUSANA EDIT"/>
    <s v="DNI"/>
    <n v="10776913"/>
    <m/>
    <m/>
    <m/>
    <m/>
    <m/>
    <m/>
    <x v="2"/>
    <x v="1"/>
    <m/>
    <m/>
    <d v="2016-12-31T00:00:00"/>
    <s v="B3"/>
    <m/>
    <m/>
    <m/>
  </r>
  <r>
    <s v="SFMyCP"/>
    <x v="0"/>
    <m/>
    <x v="0"/>
    <s v="INV. AP. RECURSOS DIGITALES"/>
    <s v="CTRO INV PALPALA"/>
    <m/>
    <s v="DESARROLLOS"/>
    <s v="ANALISTA"/>
    <s v="PALPALÁ-JUJUY"/>
    <s v="PALPALÁ-JUJUY"/>
    <s v="MEDRANO ORTIZ GONZALO"/>
    <s v="DNI"/>
    <n v="34524500"/>
    <s v="20345245007"/>
    <d v="1989-05-08T00:00:00"/>
    <m/>
    <m/>
    <m/>
    <m/>
    <x v="0"/>
    <x v="0"/>
    <d v="2015-09-01T00:00:00"/>
    <m/>
    <d v="2016-12-31T00:00:00"/>
    <m/>
    <s v="UNTREF"/>
    <s v="UNSAM"/>
    <n v="10000"/>
  </r>
  <r>
    <s v="SFMyCP"/>
    <x v="0"/>
    <m/>
    <x v="0"/>
    <s v="TELEVISION DIGITAL ABIERTA"/>
    <s v="CIARA"/>
    <m/>
    <s v="ACUA FEDERAL"/>
    <s v="ADMINISTRATIVO"/>
    <s v="CABILDO 65"/>
    <s v="CABILDO 65"/>
    <s v="MEGALOECONOMOS SOFIA"/>
    <s v="DNI"/>
    <n v="31632162"/>
    <s v="27316321629"/>
    <d v="1985-06-11T00:00:00"/>
    <m/>
    <m/>
    <m/>
    <m/>
    <x v="0"/>
    <x v="0"/>
    <d v="2015-05-15T00:00:00"/>
    <m/>
    <d v="2016-12-31T00:00:00"/>
    <m/>
    <s v="UNTREF"/>
    <s v="UNSAM- LADA"/>
    <n v="17849"/>
  </r>
  <r>
    <s v="SFMyCP"/>
    <x v="1"/>
    <m/>
    <x v="5"/>
    <s v="COMPRAS Y CONTRATACIONES"/>
    <m/>
    <m/>
    <s v="Administrativo"/>
    <m/>
    <s v="CCK"/>
    <m/>
    <s v="MEGIAS MANUEL"/>
    <s v="DNI"/>
    <n v="30652310"/>
    <n v="20306523105"/>
    <m/>
    <m/>
    <m/>
    <m/>
    <m/>
    <x v="1"/>
    <x v="1"/>
    <d v="2009-08-01T00:00:00"/>
    <d v="2016-12-31T00:00:00"/>
    <d v="2016-12-31T00:00:00"/>
    <s v="D0"/>
    <m/>
    <m/>
    <n v="10190"/>
  </r>
  <r>
    <s v="SFMyCP"/>
    <x v="0"/>
    <m/>
    <x v="8"/>
    <s v="COMUNICACIÓN"/>
    <m/>
    <m/>
    <m/>
    <m/>
    <s v="CCK"/>
    <s v="CCK - Alem 351"/>
    <s v="MELILLO LUCIA"/>
    <s v="DNI"/>
    <n v="33850467"/>
    <n v="27338504670"/>
    <m/>
    <m/>
    <m/>
    <m/>
    <m/>
    <x v="1"/>
    <x v="1"/>
    <d v="2012-07-01T00:00:00"/>
    <d v="2016-12-31T00:00:00"/>
    <d v="2016-12-31T00:00:00"/>
    <s v="C0"/>
    <m/>
    <m/>
    <n v="16470.8"/>
  </r>
  <r>
    <s v="SFMyCP"/>
    <x v="1"/>
    <m/>
    <x v="5"/>
    <s v="PRESUPUESTO"/>
    <m/>
    <m/>
    <m/>
    <s v="ADMINISTRATIVO"/>
    <m/>
    <s v="CCK - Alem 351"/>
    <s v="MELITA ELEONORA"/>
    <s v="DNI"/>
    <n v="36735601"/>
    <n v="27367356019"/>
    <d v="1991-12-26T00:00:00"/>
    <m/>
    <m/>
    <m/>
    <m/>
    <x v="0"/>
    <x v="0"/>
    <d v="2016-07-01T00:00:00"/>
    <m/>
    <d v="2016-12-31T00:00:00"/>
    <m/>
    <s v="UNTREF"/>
    <m/>
    <m/>
  </r>
  <r>
    <s v="SFMyCP"/>
    <x v="1"/>
    <m/>
    <x v="5"/>
    <s v="COMPRAS Y CONTRATACIONES"/>
    <m/>
    <m/>
    <s v="Administrativo"/>
    <m/>
    <s v="CCK"/>
    <m/>
    <s v="MENA CAROLINA"/>
    <s v="DNI"/>
    <n v="23587261"/>
    <n v="27235872612"/>
    <m/>
    <m/>
    <m/>
    <m/>
    <m/>
    <x v="1"/>
    <x v="1"/>
    <d v="2014-10-01T00:00:00"/>
    <d v="2016-03-31T00:00:00"/>
    <d v="2016-12-31T00:00:00"/>
    <s v="B1"/>
    <m/>
    <m/>
    <n v="20266"/>
  </r>
  <r>
    <s v="SFMyCP"/>
    <x v="1"/>
    <m/>
    <x v="5"/>
    <s v="COMPRAS Y CONTRATACIONES"/>
    <m/>
    <m/>
    <s v="Analista"/>
    <s v="ADMINISTRATIVO"/>
    <m/>
    <s v="CCK - Alem 351"/>
    <s v="MENA GRISELDA"/>
    <s v="DNI"/>
    <n v="27664255"/>
    <s v="27276642559"/>
    <d v="1979-10-13T00:00:00"/>
    <m/>
    <m/>
    <m/>
    <m/>
    <x v="0"/>
    <x v="0"/>
    <d v="2016-05-02T00:00:00"/>
    <m/>
    <d v="2016-12-31T00:00:00"/>
    <m/>
    <s v="UNTREF"/>
    <m/>
    <s v="."/>
  </r>
  <r>
    <s v="SFMyCP"/>
    <x v="0"/>
    <m/>
    <x v="0"/>
    <s v="INV. AP. RECURSOS DIGITALES"/>
    <s v="CTRO INV PALPALA"/>
    <m/>
    <s v="DISEÑO"/>
    <s v="ANALISTA"/>
    <s v="PALPALÁ-JUJUY"/>
    <s v="PALPALÁ-JUJUY"/>
    <s v="MENDEZ RUBEN HECTOR"/>
    <s v="DNI"/>
    <n v="28036334"/>
    <n v="20280363341"/>
    <d v="1980-04-30T00:00:00"/>
    <m/>
    <m/>
    <m/>
    <m/>
    <x v="0"/>
    <x v="0"/>
    <d v="2015-09-01T00:00:00"/>
    <m/>
    <d v="2016-12-31T00:00:00"/>
    <m/>
    <s v="UNTREF"/>
    <s v="UNSAM"/>
    <n v="10000"/>
  </r>
  <r>
    <s v="SFMyCP"/>
    <x v="0"/>
    <s v="SUBSEC CENTROS TEMATICOS Y EXP FEDERALES"/>
    <x v="3"/>
    <m/>
    <m/>
    <m/>
    <m/>
    <s v="SUPERVISORA DE LIMPIEZA"/>
    <m/>
    <s v="TECNOPOLIS"/>
    <s v="MENDOZA MARIA ZULEMA"/>
    <s v="DNI"/>
    <n v="23037805"/>
    <s v="27230378059"/>
    <d v="1972-12-28T00:00:00"/>
    <m/>
    <m/>
    <m/>
    <m/>
    <x v="0"/>
    <x v="0"/>
    <m/>
    <m/>
    <d v="2016-12-31T00:00:00"/>
    <m/>
    <s v="UNTREF"/>
    <m/>
    <m/>
  </r>
  <r>
    <s v="SFMyCP"/>
    <x v="1"/>
    <m/>
    <x v="5"/>
    <s v="PLANIF  Y ADM DE REC HUMANOS"/>
    <s v="S. GENERALES - AUTOMOTORES"/>
    <s v="AUTOMOTORES"/>
    <s v="CHOFER"/>
    <m/>
    <s v="CCK"/>
    <m/>
    <s v="MENER ALEJANDRO"/>
    <s v="DNI"/>
    <n v="34738717"/>
    <n v="20347387178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s v="SUBSEC CENTROS TEMATICOS Y EXP FEDERALES"/>
    <x v="3"/>
    <s v="OPERATIVA"/>
    <m/>
    <m/>
    <m/>
    <m/>
    <s v="TECNÓPOLIS"/>
    <m/>
    <s v="MENNA LEANDRO ARIEL"/>
    <s v="DNI"/>
    <n v="23313220"/>
    <n v="23233132209"/>
    <m/>
    <m/>
    <m/>
    <m/>
    <m/>
    <x v="1"/>
    <x v="1"/>
    <d v="2011-07-01T00:00:00"/>
    <d v="2016-12-31T00:00:00"/>
    <d v="2016-12-31T00:00:00"/>
    <s v="D1"/>
    <m/>
    <m/>
    <n v="21576.62"/>
  </r>
  <r>
    <s v="SFMyCP"/>
    <x v="0"/>
    <s v="SUBSEC CENTROS TEMATICOS Y EXP FEDERALES"/>
    <x v="3"/>
    <s v="INTENDENCIA - TALLERES"/>
    <m/>
    <m/>
    <m/>
    <s v="MANEJO DE IMPRESORA DIGITAL PLOTTER MIMAKI DE MATERIALES DE GRAFICA PARA COLOCACIÓN. MANTENIMIENTO DÉPOSITO/CARTELERÍA"/>
    <s v="TECNÓPOLIS"/>
    <s v="TECNOPOLIS"/>
    <s v="MERA MAURICIO VALENTIN"/>
    <s v="DNI"/>
    <n v="35348638"/>
    <s v="20353486382"/>
    <d v="1990-06-10T00:00:00"/>
    <m/>
    <m/>
    <m/>
    <m/>
    <x v="0"/>
    <x v="0"/>
    <d v="2013-07-01T00:00:00"/>
    <m/>
    <d v="2016-12-31T00:00:00"/>
    <m/>
    <s v="UNTREF"/>
    <s v="UNTREF"/>
    <n v="11449.4"/>
  </r>
  <r>
    <s v="SFMyCP"/>
    <x v="0"/>
    <m/>
    <x v="0"/>
    <s v="TELEVISION DIGITAL ABIERTA"/>
    <s v="CIARA"/>
    <m/>
    <s v="ACUA MAYOR"/>
    <s v="ADMINISTRATIVO"/>
    <s v="CABILDO 65"/>
    <s v="CABILDO 65"/>
    <s v="MEREÑUK TATIANA"/>
    <s v="DNI"/>
    <n v="23326986"/>
    <s v="27233269862"/>
    <d v="1973-05-05T00:00:00"/>
    <m/>
    <m/>
    <m/>
    <m/>
    <x v="0"/>
    <x v="0"/>
    <d v="2011-04-01T00:00:00"/>
    <m/>
    <d v="2016-12-31T00:00:00"/>
    <m/>
    <s v="UNTREF"/>
    <s v="UNSAM- LADA"/>
    <n v="22151"/>
  </r>
  <r>
    <s v="SFMyCP"/>
    <x v="0"/>
    <m/>
    <x v="0"/>
    <s v="TELEVISION DIGITAL ABIERTA"/>
    <s v="CIARA"/>
    <m/>
    <s v="CONTENIDOS DIGITALES ABIERTOS CDA"/>
    <s v="ADMINISTRATIVO"/>
    <s v="CABILDO 65"/>
    <s v="CABILDO 65"/>
    <s v="MESTROCRISTINO MARTINA"/>
    <s v="DNI"/>
    <n v="38995191"/>
    <s v="27389951914"/>
    <d v="1995-05-03T00:00:00"/>
    <m/>
    <m/>
    <m/>
    <m/>
    <x v="0"/>
    <x v="0"/>
    <d v="2015-08-01T00:00:00"/>
    <m/>
    <d v="2016-12-31T00:00:00"/>
    <m/>
    <s v="UNTREF"/>
    <s v="UNSAM- LADA"/>
    <n v="16465"/>
  </r>
  <r>
    <s v="SFMyCP"/>
    <x v="0"/>
    <s v="SUBSEC CENTROS TEMATICOS Y EXP FEDERALES"/>
    <x v="7"/>
    <m/>
    <m/>
    <m/>
    <s v="PRIVADA"/>
    <s v="ADMINISTRATIVO"/>
    <m/>
    <s v="CCK - Alem 351"/>
    <s v="MIHANOVICH CAROLINA INES"/>
    <s v="DNI"/>
    <n v="16161406"/>
    <n v="27161614063"/>
    <d v="1962-07-04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1"/>
    <s v="DIRECCION DE GESTION EDILICIA"/>
    <s v="SERVICIOS GENERALES"/>
    <s v="SOPORTE ADMINISTRATIVO"/>
    <s v="Responsable"/>
    <s v="Responsable"/>
    <s v="CCK"/>
    <s v="CCK - Alem 351"/>
    <s v="MILANESE FERNANDO"/>
    <s v="DNI"/>
    <n v="32422072"/>
    <s v="20324220721"/>
    <d v="1986-03-25T00:00:00"/>
    <m/>
    <m/>
    <m/>
    <m/>
    <x v="0"/>
    <x v="0"/>
    <d v="2011-07-01T00:00:00"/>
    <m/>
    <d v="2016-12-31T00:00:00"/>
    <m/>
    <s v="UNTREF"/>
    <s v="UNLAM -TDA"/>
    <n v="12246"/>
  </r>
  <r>
    <s v="SFMyCP"/>
    <x v="0"/>
    <m/>
    <x v="4"/>
    <m/>
    <m/>
    <m/>
    <s v="PRIVADA"/>
    <s v="ADMINISTRATIVO"/>
    <s v="TECNÓPOLIS"/>
    <s v="CCK - Alem 351"/>
    <s v="MILIONE, MARCELA"/>
    <s v="DNI"/>
    <n v="12610450"/>
    <n v="27126104508"/>
    <d v="1958-05-22T00:00:00"/>
    <m/>
    <m/>
    <m/>
    <m/>
    <x v="0"/>
    <x v="0"/>
    <d v="2016-01-01T00:00:00"/>
    <m/>
    <d v="2016-12-31T00:00:00"/>
    <m/>
    <s v="UNTREF"/>
    <s v="UNSAM"/>
    <n v="10533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MIÑO  FERNANDO  LUIS"/>
    <s v="DNI"/>
    <n v="37969951"/>
    <s v="20379699511"/>
    <d v="1993-03-13T00:00:00"/>
    <m/>
    <m/>
    <m/>
    <m/>
    <x v="0"/>
    <x v="0"/>
    <d v="2014-04-01T00:00:00"/>
    <m/>
    <d v="2016-12-31T00:00:00"/>
    <m/>
    <s v="UNTREF"/>
    <s v="UNTREF"/>
    <n v="10497.15"/>
  </r>
  <r>
    <s v="SFMyCP"/>
    <x v="0"/>
    <s v="SUBSEC CENTROS TEMATICOS Y EXP FEDERALES"/>
    <x v="3"/>
    <s v="COOPERATIVAS"/>
    <m/>
    <m/>
    <s v="Tareas Generales"/>
    <s v="Tareas Generales"/>
    <s v="TECNÓPOLIS"/>
    <m/>
    <s v="MIÑO  JUAN RAMON"/>
    <s v="DNI"/>
    <n v="25001961"/>
    <m/>
    <d v="1993-03-13T00:00:00"/>
    <m/>
    <m/>
    <m/>
    <m/>
    <x v="0"/>
    <x v="2"/>
    <m/>
    <m/>
    <d v="2016-12-31T00:00:00"/>
    <m/>
    <s v="UNTREF"/>
    <s v="UNTREF"/>
    <n v="4700"/>
  </r>
  <r>
    <s v="SFMyCP"/>
    <x v="0"/>
    <s v="SUBSEC CENTROS TEMATICOS Y EXP FEDERALES"/>
    <x v="3"/>
    <s v="INTENDENCIA - MANTENIMIENTO"/>
    <m/>
    <m/>
    <m/>
    <m/>
    <s v="TECNÓPOLIS"/>
    <m/>
    <s v="MIÑO RAFAEL DIEGO"/>
    <s v="DNI"/>
    <n v="29026896"/>
    <n v="20290268967"/>
    <m/>
    <m/>
    <m/>
    <m/>
    <m/>
    <x v="1"/>
    <x v="1"/>
    <d v="2012-10-31T00:00:00"/>
    <d v="2016-12-31T00:00:00"/>
    <d v="2016-12-31T00:00:00"/>
    <s v="C0"/>
    <m/>
    <m/>
    <n v="13990"/>
  </r>
  <r>
    <s v="SFMyCP"/>
    <x v="0"/>
    <s v="SUBSEC CENTROS TEMATICOS Y EXP FEDERALES"/>
    <x v="1"/>
    <s v="DIRECCION DE GESTION EDILICIA"/>
    <s v="ESPACIOS FISICOS"/>
    <m/>
    <s v="Asistente"/>
    <s v="ADMINISTRATIVO"/>
    <s v="CCK"/>
    <s v="CCK - Alem 351"/>
    <s v="MIZZAU CAROLINA"/>
    <s v="DNI"/>
    <n v="25190198"/>
    <s v="27251901983"/>
    <d v="1976-03-02T00:00:00"/>
    <m/>
    <m/>
    <m/>
    <m/>
    <x v="0"/>
    <x v="0"/>
    <d v="2015-06-01T00:00:00"/>
    <m/>
    <d v="2016-12-31T00:00:00"/>
    <m/>
    <s v="UNTREF"/>
    <s v="UNLAM- BICENTENARIO"/>
    <n v="15732"/>
  </r>
  <r>
    <s v="SFMyCP"/>
    <x v="0"/>
    <m/>
    <x v="4"/>
    <m/>
    <m/>
    <m/>
    <s v="PRIVADA"/>
    <s v="ADMINISTRATIVO"/>
    <m/>
    <s v="CCK - Alem 351"/>
    <s v="MLADINEO IVANA"/>
    <s v="DNI"/>
    <n v="32956861"/>
    <n v="27329568615"/>
    <d v="1987-06-04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PRESIDENCIA"/>
    <m/>
    <s v="PRODUCCIÓN"/>
    <s v="PRODUCTOR de EXTERIORES"/>
    <s v="CABILDO 65"/>
    <s v="CABILDO 65"/>
    <s v="MOLINA ANAHI "/>
    <s v="DNI"/>
    <n v="18847242"/>
    <s v="27188472422"/>
    <d v="1981-06-05T00:00:00"/>
    <m/>
    <m/>
    <m/>
    <m/>
    <x v="0"/>
    <x v="0"/>
    <d v="2013-04-01T00:00:00"/>
    <m/>
    <d v="2016-12-31T00:00:00"/>
    <m/>
    <s v="UNTREF"/>
    <s v="UNSAM- LADA"/>
    <n v="23386"/>
  </r>
  <r>
    <s v="SFMyCP"/>
    <x v="0"/>
    <m/>
    <x v="0"/>
    <s v="TELEVISION DIGITAL ABIERTA"/>
    <s v="CIARA"/>
    <m/>
    <s v="POSTPRODUCCIÓN"/>
    <s v="EDICION"/>
    <s v="CABILDO 65"/>
    <s v="CABILDO 65"/>
    <s v="MOLLER JENSEN RAÚL"/>
    <s v="DNI"/>
    <n v="32500963"/>
    <s v="20325009633"/>
    <d v="1986-12-10T00:00:00"/>
    <m/>
    <m/>
    <m/>
    <m/>
    <x v="0"/>
    <x v="0"/>
    <d v="2011-09-01T00:00:00"/>
    <m/>
    <d v="2016-12-31T00:00:00"/>
    <m/>
    <s v="UNTREF"/>
    <s v="UNSAM- LADA"/>
    <n v="25763"/>
  </r>
  <r>
    <s v="SFMyCP"/>
    <x v="0"/>
    <s v="SUBSEC CENTROS TEMATICOS Y EXP FEDERALES"/>
    <x v="7"/>
    <m/>
    <m/>
    <m/>
    <s v="Asistente"/>
    <s v="Asistente"/>
    <s v="CCK"/>
    <s v="CCK - Alem 351"/>
    <s v="MOLLO MELISA ALEJANDRA "/>
    <s v="DNI"/>
    <n v="30516545"/>
    <s v="27305165455"/>
    <d v="1983-09-06T00:00:00"/>
    <m/>
    <m/>
    <m/>
    <m/>
    <x v="0"/>
    <x v="0"/>
    <d v="2013-07-01T00:00:00"/>
    <m/>
    <d v="2016-12-31T00:00:00"/>
    <m/>
    <s v="UNTREF"/>
    <s v="UNLAM -TDA"/>
    <n v="12740"/>
  </r>
  <r>
    <s v="SFMyCP"/>
    <x v="0"/>
    <s v="SUBSEC CENTROS TEMATICOS Y EXP FEDERALES"/>
    <x v="3"/>
    <s v="TECNICA"/>
    <m/>
    <m/>
    <m/>
    <m/>
    <s v="TECNÓPOLIS"/>
    <m/>
    <s v="MONACO ELIAS GERMAN"/>
    <s v="DNI"/>
    <n v="33188115"/>
    <n v="20331881156"/>
    <m/>
    <m/>
    <m/>
    <m/>
    <m/>
    <x v="1"/>
    <x v="1"/>
    <d v="2013-05-01T00:00:00"/>
    <d v="2016-03-31T00:00:00"/>
    <d v="2016-12-31T00:00:00"/>
    <s v="C0"/>
    <m/>
    <m/>
    <n v="23901"/>
  </r>
  <r>
    <s v="SFMyCP"/>
    <x v="1"/>
    <m/>
    <x v="5"/>
    <s v="COMPRAS Y CONTRATACIONES"/>
    <m/>
    <m/>
    <m/>
    <s v="ADMINISTRATIVO"/>
    <m/>
    <s v="CCK - Alem 351"/>
    <s v="MONGANO GUIDO NICOLAS"/>
    <s v="DNI"/>
    <n v="32636605"/>
    <n v="20326366057"/>
    <d v="1986-10-05T00:00:00"/>
    <m/>
    <m/>
    <m/>
    <m/>
    <x v="0"/>
    <x v="0"/>
    <d v="2016-06-01T00:00:00"/>
    <m/>
    <d v="2016-12-31T00:00:00"/>
    <m/>
    <s v="UNTREF"/>
    <m/>
    <m/>
  </r>
  <r>
    <s v="SFMyCP"/>
    <x v="1"/>
    <m/>
    <x v="5"/>
    <s v="PLANIF  Y ADM DE REC HUMANOS"/>
    <s v="RECURSOS HUMANOS"/>
    <m/>
    <s v="Analista"/>
    <s v="ADMINISTRATIVO"/>
    <s v="CCK"/>
    <s v="CCK - Alem 351"/>
    <s v="MONOCHIO GINO"/>
    <s v="DNI"/>
    <n v="33792938"/>
    <s v="23337929389"/>
    <d v="1988-10-05T00:00:00"/>
    <m/>
    <m/>
    <m/>
    <m/>
    <x v="0"/>
    <x v="0"/>
    <d v="2014-01-13T00:00:00"/>
    <m/>
    <d v="2016-12-31T00:00:00"/>
    <m/>
    <s v="UNTREF"/>
    <s v="UNSAM- LADA"/>
    <n v="10188"/>
  </r>
  <r>
    <s v="SFMyCP"/>
    <x v="0"/>
    <s v="SUBSEC CENTROS TEMATICOS Y EXP FEDERALES"/>
    <x v="3"/>
    <s v="INTENDENCIA - TALLERES"/>
    <m/>
    <m/>
    <m/>
    <m/>
    <s v="TECNÓPOLIS"/>
    <m/>
    <s v="MONSERRAT RICARDO"/>
    <s v="DNI"/>
    <n v="10760860"/>
    <n v="20107608606"/>
    <m/>
    <m/>
    <m/>
    <m/>
    <m/>
    <x v="1"/>
    <x v="1"/>
    <d v="2012-11-30T00:00:00"/>
    <d v="2016-12-31T00:00:00"/>
    <d v="2016-12-31T00:00:00"/>
    <s v="F0"/>
    <m/>
    <m/>
    <n v="13783.6"/>
  </r>
  <r>
    <s v="SFMyCP"/>
    <x v="0"/>
    <s v="SUBSEC CENTROS TEMATICOS Y EXP FEDERALES"/>
    <x v="3"/>
    <s v="OPERATIVA"/>
    <m/>
    <m/>
    <m/>
    <s v="CONTROL DE ACCESOS/DEPOSITOS DEL PREDIO TURNO NOCHE"/>
    <s v="TECNÓPOLIS"/>
    <s v="TECNOPOLIS"/>
    <s v="MONTENEGRO  CARLOS ALBERTO"/>
    <s v="DNI"/>
    <n v="33084823"/>
    <s v="20330848236"/>
    <d v="1987-05-17T00:00:00"/>
    <m/>
    <m/>
    <m/>
    <m/>
    <x v="0"/>
    <x v="0"/>
    <d v="2013-04-01T00:00:00"/>
    <m/>
    <d v="2016-12-31T00:00:00"/>
    <m/>
    <s v="UNTREF"/>
    <s v="UNTREF"/>
    <n v="11657.4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MONTENEGRO  CARLOS MARCELO"/>
    <s v="DNI"/>
    <n v="36560622"/>
    <s v="20365606227"/>
    <d v="1991-12-29T00:00:00"/>
    <m/>
    <m/>
    <m/>
    <m/>
    <x v="0"/>
    <x v="0"/>
    <d v="2013-07-01T00:00:00"/>
    <m/>
    <d v="2016-12-31T00:00:00"/>
    <m/>
    <s v="UNTREF"/>
    <s v="UNTREF"/>
    <n v="9995.51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MONTENEGRO  JOSE MAXIMILANO"/>
    <s v="DNI"/>
    <n v="35713189"/>
    <s v="20357131899"/>
    <d v="1990-06-29T00:00:00"/>
    <m/>
    <m/>
    <m/>
    <m/>
    <x v="0"/>
    <x v="0"/>
    <d v="2014-07-01T00:00:00"/>
    <m/>
    <d v="2016-12-31T00:00:00"/>
    <m/>
    <s v="UNTREF"/>
    <s v="UNTREF"/>
    <n v="9995.51"/>
  </r>
  <r>
    <s v="SFMyCP"/>
    <x v="0"/>
    <s v="SUBSEC CENTROS TEMATICOS Y EXP FEDERALES"/>
    <x v="3"/>
    <m/>
    <m/>
    <m/>
    <s v="PRIVADA"/>
    <s v="ADMINISTRATIVO"/>
    <m/>
    <s v="TECNOPOLIS"/>
    <s v="MONTERO FLORENCIA"/>
    <s v="DNI"/>
    <n v="92565540"/>
    <n v="27925655401"/>
    <d v="1981-11-05T00:00:00"/>
    <m/>
    <m/>
    <m/>
    <m/>
    <x v="0"/>
    <x v="0"/>
    <d v="2016-03-01T00:00:00"/>
    <m/>
    <d v="2016-12-31T00:00:00"/>
    <m/>
    <s v="UNTREF"/>
    <m/>
    <n v="15000"/>
  </r>
  <r>
    <s v="SFMyCP"/>
    <x v="2"/>
    <m/>
    <x v="4"/>
    <m/>
    <m/>
    <m/>
    <m/>
    <s v="ADMINISTRATIVO"/>
    <m/>
    <s v="CCK - Alem 351"/>
    <s v="MONTES ANA LAURA"/>
    <s v="DNI"/>
    <n v="18752447"/>
    <n v="23187524474"/>
    <d v="1970-08-27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1"/>
    <s v="TECNICA"/>
    <m/>
    <m/>
    <m/>
    <s v="ADMINISTRATIVO"/>
    <m/>
    <s v="CCK - Alem 351"/>
    <s v="MONTES DE OCA YESICA"/>
    <s v="DNI"/>
    <n v="33017958"/>
    <n v="27330179584"/>
    <d v="1987-04-14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CIARA"/>
    <m/>
    <s v="ACUA MAYOR"/>
    <s v="ADMINISTRATIVO"/>
    <s v="CABILDO 65"/>
    <s v="CABILDO 65"/>
    <s v="MONTES ROJAS MICAELA"/>
    <s v="DNI"/>
    <n v="32359444"/>
    <s v="27323594444"/>
    <d v="1986-04-30T00:00:00"/>
    <m/>
    <m/>
    <m/>
    <m/>
    <x v="0"/>
    <x v="0"/>
    <d v="2012-04-23T00:00:00"/>
    <m/>
    <d v="2016-12-31T00:00:00"/>
    <m/>
    <s v="UNTREF"/>
    <s v="UNSAM- LADA"/>
    <n v="18168"/>
  </r>
  <r>
    <s v="SFMyCP"/>
    <x v="0"/>
    <s v="SUBSEC CENTROS TEMATICOS Y EXP FEDERALES"/>
    <x v="1"/>
    <s v="INSTITUCIONALES"/>
    <s v="VISITAS GUIADAS"/>
    <m/>
    <m/>
    <s v="VISITAS GUIADAS"/>
    <m/>
    <s v="CCK - Alem 351"/>
    <s v="MONZON ROCIO MACARENA"/>
    <s v="DNI"/>
    <n v="39696295"/>
    <n v="27396962956"/>
    <d v="1996-07-19T00:00:00"/>
    <m/>
    <m/>
    <m/>
    <m/>
    <x v="0"/>
    <x v="0"/>
    <d v="2016-05-15T00:00:00"/>
    <m/>
    <d v="2016-12-31T00:00:00"/>
    <m/>
    <s v="UNTREF"/>
    <m/>
    <m/>
  </r>
  <r>
    <s v="SFMyCP"/>
    <x v="0"/>
    <m/>
    <x v="0"/>
    <s v="TELEVISION DIGITAL ABIERTA"/>
    <s v="CIARA"/>
    <m/>
    <s v="ACUA MAYOR"/>
    <s v="ADMINISTRATIVO"/>
    <s v="CABILDO 65"/>
    <s v="CABILDO 65"/>
    <s v="MOÑINO ALEJO"/>
    <s v="DNI"/>
    <n v="26580860"/>
    <s v="20265808604"/>
    <d v="1977-12-24T00:00:00"/>
    <m/>
    <m/>
    <m/>
    <m/>
    <x v="0"/>
    <x v="0"/>
    <d v="2010-10-01T00:00:00"/>
    <m/>
    <d v="2016-12-31T00:00:00"/>
    <m/>
    <s v="UNTREF"/>
    <s v="UNSAM- LADA"/>
    <n v="28909"/>
  </r>
  <r>
    <s v="SFMyCP"/>
    <x v="0"/>
    <s v="SUBSEC CENTROS TEMATICOS Y EXP FEDERALES"/>
    <x v="1"/>
    <m/>
    <m/>
    <m/>
    <s v="ASISTENTE COORD SUR"/>
    <s v="ADMINISTRATIVO"/>
    <m/>
    <s v="CCK - Alem 351"/>
    <s v="MORADO MARIA CLAUDIA"/>
    <s v="DNI"/>
    <n v="13275295"/>
    <n v="27132752953"/>
    <d v="1957-05-10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INV. AP. RECURSOS DIGITALES"/>
    <s v="CTRO INV PALPALA"/>
    <m/>
    <s v="ANIMACION"/>
    <s v="ANALISTA"/>
    <s v="PALPALÁ-JUJUY"/>
    <s v="PALPALÁ-JUJUY"/>
    <s v="MORALES GOMEZ JIMENA MAGALÍ"/>
    <s v="DNI"/>
    <n v="32930419"/>
    <n v="27329304197"/>
    <d v="1987-02-12T00:00:00"/>
    <m/>
    <m/>
    <m/>
    <m/>
    <x v="0"/>
    <x v="0"/>
    <d v="2015-09-01T00:00:00"/>
    <m/>
    <d v="2016-12-31T00:00:00"/>
    <m/>
    <s v="UNTREF"/>
    <s v="UNSAM"/>
    <n v="8000"/>
  </r>
  <r>
    <s v="SFMyCP"/>
    <x v="1"/>
    <m/>
    <x v="5"/>
    <s v="COMPRAS Y CONTRATACIONES"/>
    <m/>
    <m/>
    <s v="Analista"/>
    <s v="ADMINISTRATIVO"/>
    <m/>
    <s v="CCK - Alem 351"/>
    <s v="MORAN MELINA"/>
    <s v="DNI"/>
    <n v="30277471"/>
    <s v="23302774714"/>
    <d v="1983-05-16T00:00:00"/>
    <m/>
    <m/>
    <m/>
    <m/>
    <x v="0"/>
    <x v="0"/>
    <d v="2016-05-02T00:00:00"/>
    <m/>
    <d v="2016-12-31T00:00:00"/>
    <m/>
    <s v="UNTREF"/>
    <m/>
    <s v="."/>
  </r>
  <r>
    <s v="SFMyCP"/>
    <x v="0"/>
    <s v="SUBSEC CENTROS TEMATICOS Y EXP FEDERALES"/>
    <x v="3"/>
    <s v="INTENDENCIA - LIMPIEZA"/>
    <m/>
    <m/>
    <m/>
    <s v="ENCARGADO DE LIMPIEZA"/>
    <s v="TECNÓPOLIS"/>
    <s v="TECNOPOLIS"/>
    <s v="MORENO  VERA TEODORA"/>
    <s v="DNI"/>
    <n v="94654784"/>
    <s v="27946547846"/>
    <d v="1979-09-17T00:00:00"/>
    <m/>
    <m/>
    <m/>
    <m/>
    <x v="0"/>
    <x v="0"/>
    <d v="2011-12-01T00:00:00"/>
    <m/>
    <d v="2016-12-31T00:00:00"/>
    <m/>
    <s v="UNTREF"/>
    <s v="UNTREF"/>
    <n v="13079.52"/>
  </r>
  <r>
    <s v="SFMyCP"/>
    <x v="1"/>
    <m/>
    <x v="5"/>
    <s v="PLANIF  Y ADM DE REC HUMANOS"/>
    <s v="MEDICINA DEL TRABAJO"/>
    <m/>
    <s v="Enfermera/o"/>
    <s v="ADMINISTRATIVO"/>
    <m/>
    <s v="CCK - Alem 351"/>
    <s v="MORENO KARINA MERCEDES"/>
    <s v="DNI"/>
    <n v="28618309"/>
    <m/>
    <d v="1981-01-20T00:00:00"/>
    <m/>
    <m/>
    <m/>
    <m/>
    <x v="0"/>
    <x v="0"/>
    <d v="2016-07-14T00:00:00"/>
    <m/>
    <d v="2016-12-31T00:00:00"/>
    <m/>
    <s v="UNTREF"/>
    <m/>
    <m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MORENO MARIA LAURA"/>
    <s v="DNI"/>
    <n v="32575288"/>
    <n v="27325752888"/>
    <d v="1986-09-24T00:00:00"/>
    <m/>
    <m/>
    <m/>
    <m/>
    <x v="0"/>
    <x v="2"/>
    <m/>
    <m/>
    <d v="2016-12-31T00:00:00"/>
    <m/>
    <s v="UNTREF"/>
    <s v="UNTREF"/>
    <n v="1700"/>
  </r>
  <r>
    <s v="SFMyCP"/>
    <x v="0"/>
    <m/>
    <x v="0"/>
    <s v="TELEVISION DIGITAL ABIERTA"/>
    <s v="PRESIDENCIA"/>
    <m/>
    <s v="POSTPRODUCCIÓN"/>
    <s v="ADMINISTRATIVO"/>
    <s v="CABILDO 65"/>
    <s v="CABILDO 65"/>
    <s v="MORENO MELISA"/>
    <s v="DNI"/>
    <n v="29130054"/>
    <s v="27291300540"/>
    <d v="1982-01-13T00:00:00"/>
    <m/>
    <m/>
    <m/>
    <m/>
    <x v="0"/>
    <x v="0"/>
    <d v="2013-09-16T00:00:00"/>
    <m/>
    <d v="2016-12-31T00:00:00"/>
    <m/>
    <s v="UNTREF"/>
    <s v="UNSAM- LADA"/>
    <n v="24060"/>
  </r>
  <r>
    <s v="SFMyCP"/>
    <x v="0"/>
    <s v="SUBSEC CENTROS TEMATICOS Y EXP FEDERALES"/>
    <x v="3"/>
    <s v="INTENDENCIA - MESA DE AYUDA"/>
    <m/>
    <m/>
    <m/>
    <m/>
    <s v="TECNÓPOLIS"/>
    <m/>
    <s v="MOREYRA EDUARDO HERNAN"/>
    <s v="DNI"/>
    <n v="35561238"/>
    <n v="20355612385"/>
    <m/>
    <m/>
    <m/>
    <m/>
    <m/>
    <x v="1"/>
    <x v="1"/>
    <d v="2013-04-01T00:00:00"/>
    <d v="2016-03-31T00:00:00"/>
    <d v="2016-12-31T00:00:00"/>
    <s v="C0"/>
    <m/>
    <m/>
    <n v="17074"/>
  </r>
  <r>
    <s v="SFMyCP"/>
    <x v="0"/>
    <s v="SUBSEC CENTROS TEMATICOS Y EXP FEDERALES"/>
    <x v="3"/>
    <s v="INTENDENCIA - PREDIO FERIAL"/>
    <m/>
    <m/>
    <m/>
    <m/>
    <s v="TECNÓPOLIS"/>
    <m/>
    <s v="MOREYRA MARTIN EZEQUIEL"/>
    <s v="DNI"/>
    <n v="33258936"/>
    <n v="23332589369"/>
    <m/>
    <m/>
    <m/>
    <m/>
    <m/>
    <x v="1"/>
    <x v="1"/>
    <d v="2012-07-01T00:00:00"/>
    <d v="2016-12-31T00:00:00"/>
    <d v="2016-12-31T00:00:00"/>
    <s v="D1"/>
    <m/>
    <m/>
    <n v="16053"/>
  </r>
  <r>
    <s v="SFMyCP"/>
    <x v="0"/>
    <s v="SUBSEC CENTROS TEMATICOS Y EXP FEDERALES"/>
    <x v="1"/>
    <s v="PRODUCCIÓN"/>
    <s v="TECNICA"/>
    <m/>
    <s v="Analista"/>
    <m/>
    <s v="CCK"/>
    <m/>
    <s v="MORRONE LUCRECIA IVANA"/>
    <s v="DNI"/>
    <n v="29393244"/>
    <n v="27293932447"/>
    <m/>
    <m/>
    <m/>
    <m/>
    <m/>
    <x v="1"/>
    <x v="1"/>
    <d v="2015-06-01T00:00:00"/>
    <d v="2016-03-31T00:00:00"/>
    <d v="2016-12-31T00:00:00"/>
    <s v="B1"/>
    <m/>
    <m/>
    <n v="20266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MOYA  JUAN ABEL"/>
    <s v="DNI"/>
    <n v="32842913"/>
    <s v="20328429137"/>
    <d v="1987-01-22T00:00:00"/>
    <m/>
    <m/>
    <m/>
    <m/>
    <x v="0"/>
    <x v="0"/>
    <d v="2014-07-01T00:00:00"/>
    <m/>
    <d v="2016-12-31T00:00:00"/>
    <m/>
    <s v="UNTREF"/>
    <s v="UNTREF"/>
    <n v="9995.51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MOYA  PATRICIA"/>
    <s v="DNI"/>
    <n v="28628292"/>
    <s v="27286282925"/>
    <d v="1981-02-18T00:00:00"/>
    <m/>
    <m/>
    <m/>
    <m/>
    <x v="0"/>
    <x v="0"/>
    <d v="2014-10-01T00:00:00"/>
    <m/>
    <d v="2016-12-31T00:00:00"/>
    <m/>
    <s v="UNTREF"/>
    <s v="UNTREF"/>
    <n v="9995.51"/>
  </r>
  <r>
    <s v="SFMyCP"/>
    <x v="0"/>
    <s v="SUBSEC CENTROS TEMATICOS Y EXP FEDERALES"/>
    <x v="1"/>
    <s v="DIRECCION"/>
    <m/>
    <m/>
    <s v="Director"/>
    <m/>
    <m/>
    <m/>
    <s v="MOZZI GUSTAVO"/>
    <s v="DNI"/>
    <m/>
    <m/>
    <m/>
    <m/>
    <m/>
    <m/>
    <m/>
    <x v="2"/>
    <x v="3"/>
    <m/>
    <m/>
    <d v="2016-12-31T00:00:00"/>
    <m/>
    <m/>
    <m/>
    <s v="."/>
  </r>
  <r>
    <s v="SFMyCP"/>
    <x v="0"/>
    <s v="SUBSEC CENTROS TEMATICOS Y EXP FEDERALES"/>
    <x v="1"/>
    <m/>
    <m/>
    <m/>
    <s v="ASISTENTE COORD NORTE"/>
    <s v="ADMINISTRATIVO"/>
    <m/>
    <s v="CCK - Alem 351"/>
    <s v="MUINELLO NORMA"/>
    <s v="DNI"/>
    <n v="6410816"/>
    <n v="27064108161"/>
    <d v="1950-11-16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AUDIOVISUALES"/>
    <m/>
    <m/>
    <m/>
    <s v="ADMINISTRATIVO"/>
    <m/>
    <s v="CCK - Alem 351"/>
    <s v="MUIÑO JUAN PABLO"/>
    <s v="DNI"/>
    <n v="24569258"/>
    <n v="20245692588"/>
    <d v="1975-06-26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PRODUCCIÓN"/>
    <m/>
    <m/>
    <m/>
    <s v="ADMINISTRATIVA"/>
    <m/>
    <s v="CCK - Alem 351"/>
    <s v="MUJICA JULIAN"/>
    <s v="DNI"/>
    <n v="20294419"/>
    <s v="20202944192"/>
    <d v="1968-11-06T00:00:00"/>
    <m/>
    <m/>
    <m/>
    <m/>
    <x v="0"/>
    <x v="0"/>
    <d v="2016-04-01T00:00:00"/>
    <m/>
    <d v="2016-12-31T00:00:00"/>
    <m/>
    <s v="UNTREF"/>
    <m/>
    <n v="20000"/>
  </r>
  <r>
    <s v="SFMyCP"/>
    <x v="1"/>
    <m/>
    <x v="10"/>
    <m/>
    <m/>
    <m/>
    <m/>
    <m/>
    <m/>
    <m/>
    <s v="EGNER SERGIO DANIEL"/>
    <s v="DNI"/>
    <n v="24170797"/>
    <n v="20241707971"/>
    <d v="1974-09-24T00:00:00"/>
    <m/>
    <m/>
    <m/>
    <m/>
    <x v="0"/>
    <x v="0"/>
    <d v="2016-08-01T00:00:00"/>
    <m/>
    <d v="2016-12-31T00:00:00"/>
    <m/>
    <m/>
    <m/>
    <m/>
  </r>
  <r>
    <s v="SFMyCP"/>
    <x v="1"/>
    <m/>
    <x v="10"/>
    <m/>
    <m/>
    <m/>
    <m/>
    <m/>
    <m/>
    <m/>
    <s v="DIAZ WLODKOWSKI JANO"/>
    <s v="DNI"/>
    <n v="36791184"/>
    <n v="20367911847"/>
    <d v="1992-01-09T00:00:00"/>
    <m/>
    <m/>
    <m/>
    <m/>
    <x v="0"/>
    <x v="0"/>
    <d v="2016-08-01T00:00:00"/>
    <m/>
    <d v="2016-12-31T00:00:00"/>
    <m/>
    <m/>
    <m/>
    <m/>
  </r>
  <r>
    <s v="SFMyCP"/>
    <x v="1"/>
    <m/>
    <x v="10"/>
    <m/>
    <m/>
    <m/>
    <m/>
    <m/>
    <m/>
    <m/>
    <s v="FONTANA JUAN CARLOS"/>
    <s v="DNI"/>
    <n v="8557802"/>
    <n v="20085578023"/>
    <d v="1951-03-11T00:00:00"/>
    <m/>
    <m/>
    <m/>
    <m/>
    <x v="0"/>
    <x v="0"/>
    <d v="2016-08-01T00:00:00"/>
    <m/>
    <d v="2016-09-30T00:00:00"/>
    <m/>
    <m/>
    <m/>
    <m/>
  </r>
  <r>
    <s v="SFMyCP"/>
    <x v="1"/>
    <m/>
    <x v="10"/>
    <m/>
    <m/>
    <m/>
    <m/>
    <m/>
    <m/>
    <m/>
    <s v="FERRARI GRACIELA CARMEN"/>
    <s v="DNI"/>
    <n v="29497455"/>
    <n v="27294974550"/>
    <d v="1982-06-14T00:00:00"/>
    <m/>
    <m/>
    <m/>
    <m/>
    <x v="0"/>
    <x v="0"/>
    <d v="2016-08-01T00:00:00"/>
    <m/>
    <d v="2016-12-31T00:00:00"/>
    <m/>
    <m/>
    <m/>
    <m/>
  </r>
  <r>
    <s v="SFMyCP"/>
    <x v="1"/>
    <m/>
    <x v="10"/>
    <m/>
    <m/>
    <m/>
    <m/>
    <m/>
    <m/>
    <m/>
    <s v="SOTO CLAUDIA"/>
    <s v="DNI"/>
    <n v="16345393"/>
    <n v="27163453938"/>
    <d v="1963-01-14T00:00:00"/>
    <m/>
    <m/>
    <m/>
    <m/>
    <x v="0"/>
    <x v="0"/>
    <d v="2016-08-01T00:00:00"/>
    <m/>
    <d v="2016-12-30T00:00:00"/>
    <m/>
    <m/>
    <m/>
    <m/>
  </r>
  <r>
    <s v="SFMyCP"/>
    <x v="0"/>
    <m/>
    <x v="8"/>
    <s v="COMUNICACIÓN"/>
    <m/>
    <m/>
    <s v="DIRECTOR"/>
    <s v="ADMINISTRATIVO"/>
    <m/>
    <s v="CCK - Alem 351"/>
    <s v="MUÑIZ, GONZALO"/>
    <s v="DNI"/>
    <n v="29040298"/>
    <s v="20290402981"/>
    <d v="1981-09-01T00:00:00"/>
    <m/>
    <m/>
    <m/>
    <m/>
    <x v="0"/>
    <x v="0"/>
    <d v="2016-01-01T00:00:00"/>
    <m/>
    <d v="2016-12-31T00:00:00"/>
    <m/>
    <s v="UNTREF"/>
    <s v="UNSAM"/>
    <n v="36000"/>
  </r>
  <r>
    <s v="SFMyCP"/>
    <x v="0"/>
    <m/>
    <x v="0"/>
    <s v="TELEVISION DIGITAL ABIERTA"/>
    <s v="CIARA"/>
    <m/>
    <s v="PRODUCCIÓN"/>
    <s v="PAÑOL"/>
    <s v="CABILDO 65"/>
    <s v="CABILDO 65"/>
    <s v="MUÑOZ VICTOR"/>
    <s v="DNI"/>
    <n v="30411280"/>
    <s v="20304112809"/>
    <d v="1983-07-16T00:00:00"/>
    <m/>
    <m/>
    <m/>
    <m/>
    <x v="0"/>
    <x v="0"/>
    <d v="2015-02-02T00:00:00"/>
    <m/>
    <d v="2016-12-31T00:00:00"/>
    <m/>
    <s v="UNTREF"/>
    <s v="UNSAM- LADA"/>
    <n v="15234"/>
  </r>
  <r>
    <s v="SFMyCP"/>
    <x v="0"/>
    <m/>
    <x v="0"/>
    <s v="TELEVISION DIGITAL ABIERTA"/>
    <s v="CIARA"/>
    <m/>
    <s v="POSTPRODUCCIÓN"/>
    <s v="EDICION"/>
    <s v="CABILDO 65"/>
    <s v="CABILDO 65"/>
    <s v="NANYO FEDERICO"/>
    <s v="DNI"/>
    <n v="28644032"/>
    <s v="20286440321"/>
    <d v="1980-12-03T00:00:00"/>
    <m/>
    <m/>
    <m/>
    <m/>
    <x v="0"/>
    <x v="0"/>
    <d v="2013-03-01T00:00:00"/>
    <m/>
    <d v="2016-12-31T00:00:00"/>
    <m/>
    <s v="UNTREF"/>
    <m/>
    <n v="20959"/>
  </r>
  <r>
    <s v="SFMyCP"/>
    <x v="0"/>
    <m/>
    <x v="0"/>
    <s v="TELEVISION DIGITAL ABIERTA"/>
    <s v="CIARA"/>
    <m/>
    <s v="TÉCNICA Y TRANSMISIÓN"/>
    <s v="PRODUCTOR de EXTERIORES"/>
    <s v="CABILDO 65"/>
    <s v="CABILDO 65"/>
    <s v="NAVEIRA OSCAR"/>
    <s v="DNI"/>
    <n v="23426521"/>
    <s v="20234265211"/>
    <d v="1973-11-12T00:00:00"/>
    <m/>
    <m/>
    <m/>
    <m/>
    <x v="0"/>
    <x v="0"/>
    <d v="2010-04-20T00:00:00"/>
    <m/>
    <d v="2016-12-31T00:00:00"/>
    <m/>
    <s v="UNTREF"/>
    <s v="UNSAM- LADA"/>
    <n v="16465"/>
  </r>
  <r>
    <s v="SFMyCP"/>
    <x v="0"/>
    <s v="SUBSEC CENTROS TEMATICOS Y EXP FEDERALES"/>
    <x v="7"/>
    <m/>
    <m/>
    <m/>
    <s v="PRIVADA"/>
    <s v="ADMINISTRATIVO"/>
    <m/>
    <s v="CCK - Alem 351"/>
    <s v="NEYRA CATALINA"/>
    <s v="DNI"/>
    <n v="34203786"/>
    <n v="27342037866"/>
    <d v="1988-12-26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NIELSEN, OSCAR"/>
    <s v="DNI"/>
    <n v="14156490"/>
    <n v="20141564901"/>
    <d v="1960-02-11T00:00:00"/>
    <m/>
    <m/>
    <m/>
    <m/>
    <x v="0"/>
    <x v="0"/>
    <d v="2016-01-01T00:00:00"/>
    <m/>
    <d v="2016-12-31T00:00:00"/>
    <m/>
    <s v="UNTREF"/>
    <s v="UNSAM"/>
    <n v="27370"/>
  </r>
  <r>
    <s v="SFMyCP"/>
    <x v="0"/>
    <m/>
    <x v="0"/>
    <s v="TELEVISION DIGITAL ABIERTA"/>
    <s v="CIARA"/>
    <m/>
    <s v="ACUA FEDERAL"/>
    <s v="ADMINISTRATIVO"/>
    <s v="CABILDO 65"/>
    <s v="CABILDO 65"/>
    <s v="NIETO JULIETA"/>
    <s v="DNI"/>
    <n v="31425968"/>
    <s v="27314259683"/>
    <d v="1985-03-14T00:00:00"/>
    <m/>
    <m/>
    <m/>
    <m/>
    <x v="0"/>
    <x v="0"/>
    <d v="2012-05-01T00:00:00"/>
    <m/>
    <d v="2016-12-31T00:00:00"/>
    <m/>
    <s v="UNTREF"/>
    <s v="UNSAM- LADA"/>
    <n v="7680"/>
  </r>
  <r>
    <s v="SFMyCP"/>
    <x v="0"/>
    <s v="SUBSEC CENTROS TEMATICOS Y EXP FEDERALES"/>
    <x v="3"/>
    <s v="GASTRONOMIA"/>
    <m/>
    <m/>
    <s v="COCINA"/>
    <s v="SUPERVISIÓN DEL ESTADO DE MODULOS GASTRONOMICOS INTERIOR Y EXTERIOR"/>
    <s v="TECNÓPOLIS"/>
    <s v="TECNOPOLIS"/>
    <s v="NIEVAS  SERGIO ALEJANDRO"/>
    <s v="DNI"/>
    <n v="31725315"/>
    <n v="20317253150"/>
    <d v="1985-07-04T00:00:00"/>
    <m/>
    <m/>
    <m/>
    <m/>
    <x v="0"/>
    <x v="0"/>
    <d v="2015-05-01T00:00:00"/>
    <m/>
    <d v="2016-12-31T00:00:00"/>
    <m/>
    <s v="UNTREF"/>
    <s v="UNTREF"/>
    <n v="18000"/>
  </r>
  <r>
    <s v="SFMyCP"/>
    <x v="0"/>
    <s v="SUBSEC CENTROS TEMATICOS Y EXP FEDERALES"/>
    <x v="1"/>
    <s v="INSTITUCIONALES"/>
    <m/>
    <m/>
    <m/>
    <s v="ADMINISTRATIVO"/>
    <m/>
    <s v="CCK - Alem 351"/>
    <s v="NOBILO GRACIELA"/>
    <s v="DNI"/>
    <n v="14106221"/>
    <s v="27141062218"/>
    <d v="1960-06-03T00:00:00"/>
    <m/>
    <m/>
    <m/>
    <m/>
    <x v="0"/>
    <x v="0"/>
    <m/>
    <m/>
    <d v="2016-12-31T00:00:00"/>
    <m/>
    <s v="UNTREF"/>
    <m/>
    <n v="15000"/>
  </r>
  <r>
    <s v="SFMyCP"/>
    <x v="1"/>
    <m/>
    <x v="2"/>
    <m/>
    <m/>
    <m/>
    <s v="PRIVADA"/>
    <s v="ADMINISTRATIVO"/>
    <m/>
    <s v="CCK - Alem 351"/>
    <s v="NOVIK, FLORENCIA"/>
    <s v="DNI"/>
    <n v="30742365"/>
    <n v="27307423656"/>
    <d v="1983-12-30T00:00:00"/>
    <m/>
    <m/>
    <m/>
    <m/>
    <x v="0"/>
    <x v="0"/>
    <d v="2016-01-01T00:00:00"/>
    <m/>
    <d v="2016-12-31T00:00:00"/>
    <m/>
    <s v="UNTREF"/>
    <s v="UNSAM"/>
    <n v="27370"/>
  </r>
  <r>
    <s v="SFMyCP"/>
    <x v="0"/>
    <m/>
    <x v="0"/>
    <s v="TELEVISION DIGITAL ABIERTA"/>
    <s v="PRESIDENCIA"/>
    <m/>
    <s v="PRODUCCIÓN"/>
    <s v="PRODUCTOR de EXTERIORES"/>
    <s v="CABILDO 65"/>
    <s v="CABILDO 65"/>
    <s v="NOVILLO IGNACIO "/>
    <s v="DNI"/>
    <n v="26844495"/>
    <s v="20268444956"/>
    <d v="1978-10-10T00:00:00"/>
    <m/>
    <m/>
    <m/>
    <m/>
    <x v="0"/>
    <x v="0"/>
    <d v="2011-08-01T00:00:00"/>
    <m/>
    <d v="2016-12-31T00:00:00"/>
    <m/>
    <s v="UNTREF"/>
    <m/>
    <n v="24060"/>
  </r>
  <r>
    <s v="SFMyCP"/>
    <x v="0"/>
    <s v="SUBSEC CENTROS TEMATICOS Y EXP FEDERALES"/>
    <x v="7"/>
    <m/>
    <m/>
    <m/>
    <s v="PRIVADA"/>
    <s v="ADMINISTRATIVO"/>
    <m/>
    <s v="CCK - Alem 351"/>
    <s v="NOVOTNY YANINA"/>
    <s v="DNI"/>
    <n v="23764787"/>
    <n v="23237647874"/>
    <d v="1974-12-02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NUÑEZ  CELIA NOEMI"/>
    <s v="DNI"/>
    <n v="17972399"/>
    <s v="27179723994"/>
    <d v="1966-03-11T00:00:00"/>
    <m/>
    <m/>
    <m/>
    <m/>
    <x v="0"/>
    <x v="0"/>
    <d v="2013-07-01T00:00:00"/>
    <m/>
    <d v="2016-12-31T00:00:00"/>
    <m/>
    <s v="UNTREF"/>
    <s v="UNTREF"/>
    <n v="9995.51"/>
  </r>
  <r>
    <s v="SFMyCP"/>
    <x v="0"/>
    <s v="SUBSEC CENTROS TEMATICOS Y EXP FEDERALES"/>
    <x v="7"/>
    <m/>
    <m/>
    <m/>
    <s v="Secretaria"/>
    <s v="Secretaria"/>
    <s v="CCK"/>
    <s v="CCK - Alem 351"/>
    <s v="NUÑEZ MARÍA GABRIELA"/>
    <s v="DNI"/>
    <n v="38464250"/>
    <s v="27384642506"/>
    <d v="1994-08-02T00:00:00"/>
    <m/>
    <m/>
    <m/>
    <m/>
    <x v="0"/>
    <x v="0"/>
    <d v="2015-08-01T00:00:00"/>
    <m/>
    <d v="2016-12-31T00:00:00"/>
    <m/>
    <s v="UNTREF"/>
    <s v="UNLAM- BICENTENARIO"/>
    <n v="10096"/>
  </r>
  <r>
    <s v="SFMyCP"/>
    <x v="0"/>
    <s v="SUBSEC CENTROS TEMATICOS Y EXP FEDERALES"/>
    <x v="1"/>
    <s v="INSTITUCIONALES"/>
    <m/>
    <m/>
    <s v="Asistente funcional"/>
    <s v="asistente funcional"/>
    <s v="CCK"/>
    <s v="CCK - Alem 351"/>
    <s v="ÑAMANDÚ FACUNDO"/>
    <s v="DNI"/>
    <n v="38176579"/>
    <s v="20381765793"/>
    <d v="1994-06-07T00:00:00"/>
    <m/>
    <m/>
    <m/>
    <m/>
    <x v="0"/>
    <x v="0"/>
    <d v="2014-03-01T00:00:00"/>
    <m/>
    <d v="2016-12-31T00:00:00"/>
    <m/>
    <s v="UNTREF"/>
    <s v="UNLAM- FUSION"/>
    <n v="10614"/>
  </r>
  <r>
    <s v="SFMyCP"/>
    <x v="1"/>
    <m/>
    <x v="5"/>
    <s v="PRESUPUESTO"/>
    <m/>
    <m/>
    <s v="Analista"/>
    <m/>
    <m/>
    <m/>
    <s v="OCHOA GERMAN EMILIANO"/>
    <s v="DNI"/>
    <n v="30724860"/>
    <n v="20307249600"/>
    <m/>
    <m/>
    <m/>
    <m/>
    <m/>
    <x v="1"/>
    <x v="1"/>
    <d v="2013-12-01T00:00:00"/>
    <m/>
    <d v="2016-12-31T00:00:00"/>
    <s v="B1"/>
    <m/>
    <m/>
    <m/>
  </r>
  <r>
    <s v="SFMyCP"/>
    <x v="0"/>
    <s v="SUBSEC CENTROS TEMATICOS Y EXP FEDERALES"/>
    <x v="1"/>
    <s v="DIRECCION DE GESTION EDILICIA"/>
    <s v="SEGURIDAD  "/>
    <m/>
    <s v="ASISTENTE"/>
    <s v="ASISTENTE"/>
    <s v="CCK"/>
    <s v="CCK - Alem 351"/>
    <s v="OCHOA, SERGIO MIGUEL"/>
    <s v="DNI"/>
    <n v="16965144"/>
    <s v="20169651443"/>
    <d v="1964-07-26T00:00:00"/>
    <m/>
    <m/>
    <m/>
    <m/>
    <x v="0"/>
    <x v="0"/>
    <d v="2015-08-01T00:00:00"/>
    <m/>
    <d v="2016-12-31T00:00:00"/>
    <m/>
    <s v="UNTREF"/>
    <s v="UNLAM- BICENTENARIO"/>
    <n v="10900"/>
  </r>
  <r>
    <s v="SFMyCP"/>
    <x v="0"/>
    <s v="SUBSEC CENTROS TEMATICOS Y EXP FEDERALES"/>
    <x v="3"/>
    <s v="INTENDENCIA - LIMPIEZA"/>
    <m/>
    <m/>
    <m/>
    <m/>
    <s v="TECNÓPOLIS"/>
    <m/>
    <s v="OLIVA ALDANA GIMENA"/>
    <s v="DNI"/>
    <n v="32911473"/>
    <n v="27329114738"/>
    <m/>
    <m/>
    <m/>
    <m/>
    <m/>
    <x v="1"/>
    <x v="1"/>
    <d v="2011-07-01T00:00:00"/>
    <d v="2016-12-31T00:00:00"/>
    <d v="2016-12-31T00:00:00"/>
    <s v="D0"/>
    <m/>
    <m/>
    <n v="15679.55"/>
  </r>
  <r>
    <s v="SFMyCP"/>
    <x v="0"/>
    <m/>
    <x v="0"/>
    <s v="TELEVISION DIGITAL ABIERTA"/>
    <s v="CIARA"/>
    <m/>
    <m/>
    <s v="PRODUCTOR de EXTERIORES"/>
    <s v="CABILDO 65"/>
    <s v="CABILDO 65"/>
    <s v="OLIVA JUAN"/>
    <s v="DNI"/>
    <n v="39372456"/>
    <n v="20393724561"/>
    <d v="1996-01-09T00:00:00"/>
    <m/>
    <m/>
    <m/>
    <m/>
    <x v="0"/>
    <x v="0"/>
    <d v="2015-08-01T00:00:00"/>
    <m/>
    <d v="2016-12-31T00:00:00"/>
    <m/>
    <s v="UNTREF"/>
    <s v="UNSAM- LADA"/>
    <n v="14027"/>
  </r>
  <r>
    <s v="SFMyCP"/>
    <x v="0"/>
    <m/>
    <x v="0"/>
    <s v="TELEVISION DIGITAL ABIERTA"/>
    <s v="CIARA"/>
    <m/>
    <s v="PRODUCCIÓN"/>
    <s v="PRODUCTOR de EXTERIORES"/>
    <s v="CABILDO 65"/>
    <s v="CABILDO 65"/>
    <s v="OLIVA MARTIN"/>
    <s v="DNI"/>
    <n v="33486041"/>
    <s v="20334860419"/>
    <d v="1987-12-09T00:00:00"/>
    <m/>
    <m/>
    <m/>
    <m/>
    <x v="0"/>
    <x v="0"/>
    <d v="2013-06-13T00:00:00"/>
    <m/>
    <d v="2016-12-31T00:00:00"/>
    <m/>
    <s v="UNTREF"/>
    <m/>
    <n v="18795"/>
  </r>
  <r>
    <s v="SFMyCP"/>
    <x v="0"/>
    <s v="SUBSEC CENTROS TEMATICOS Y EXP FEDERALES"/>
    <x v="7"/>
    <m/>
    <m/>
    <m/>
    <s v="PRIVADA"/>
    <s v="ADMINISTRATIVO"/>
    <m/>
    <s v="CCK - Alem 351"/>
    <s v="OLIVA VELEZ MANUEL"/>
    <s v="DNI"/>
    <n v="30335285"/>
    <n v="20303352857"/>
    <d v="1983-06-12T00:00:00"/>
    <m/>
    <m/>
    <m/>
    <m/>
    <x v="0"/>
    <x v="0"/>
    <m/>
    <m/>
    <d v="2016-12-31T00:00:00"/>
    <m/>
    <s v="UNTREF"/>
    <m/>
    <m/>
  </r>
  <r>
    <s v="SFMyCP"/>
    <x v="0"/>
    <m/>
    <x v="0"/>
    <m/>
    <m/>
    <m/>
    <m/>
    <s v="ADMINISTRATIVO"/>
    <m/>
    <s v="CCK - Alem 351"/>
    <s v="OLOCCO, LEANDRO"/>
    <s v="DNI"/>
    <n v="31041736"/>
    <s v="20310417360"/>
    <d v="1984-06-28T00:00:00"/>
    <m/>
    <m/>
    <m/>
    <m/>
    <x v="0"/>
    <x v="0"/>
    <d v="2016-01-01T00:00:00"/>
    <m/>
    <d v="2016-12-31T00:00:00"/>
    <m/>
    <s v="UNTREF"/>
    <s v="UNSAM"/>
    <n v="36000"/>
  </r>
  <r>
    <s v="SFMyCP"/>
    <x v="0"/>
    <m/>
    <x v="0"/>
    <s v="TELEVISION DIGITAL ABIERTA"/>
    <s v="CIARA"/>
    <m/>
    <s v="PRODUCCIÓN"/>
    <s v="PRODUCTOR de EXTERIORES"/>
    <s v="CABILDO 65"/>
    <s v="CABILDO 65"/>
    <s v="ONS MAXIMILIANO"/>
    <s v="DNI"/>
    <n v="32823856"/>
    <s v="20328238560"/>
    <d v="1987-01-28T00:00:00"/>
    <m/>
    <m/>
    <m/>
    <m/>
    <x v="0"/>
    <x v="0"/>
    <d v="2011-07-01T00:00:00"/>
    <m/>
    <d v="2016-12-31T00:00:00"/>
    <m/>
    <s v="UNTREF"/>
    <s v="UNSAM- LADA"/>
    <n v="21683"/>
  </r>
  <r>
    <s v="SFMyCP"/>
    <x v="1"/>
    <m/>
    <x v="5"/>
    <s v="MESA DE ENTRADA"/>
    <m/>
    <m/>
    <s v="Responsable"/>
    <s v="Administrativo"/>
    <s v="CCK"/>
    <s v="CCK - Alem 351"/>
    <s v="ORLANDO PABLO MARTIN"/>
    <s v="DNI"/>
    <n v="24756319"/>
    <s v="23247563199"/>
    <d v="1976-01-14T00:00:00"/>
    <m/>
    <m/>
    <m/>
    <m/>
    <x v="0"/>
    <x v="0"/>
    <d v="2015-07-12T00:00:00"/>
    <m/>
    <d v="2016-12-31T00:00:00"/>
    <m/>
    <s v="UNTREF"/>
    <s v="UNLAM -TDA"/>
    <n v="17098"/>
  </r>
  <r>
    <s v="SFMyCP"/>
    <x v="0"/>
    <m/>
    <x v="8"/>
    <s v="COMUNICACIÓN"/>
    <m/>
    <m/>
    <m/>
    <s v="ADMINISTRATIVO"/>
    <m/>
    <s v="CCK - Alem 351"/>
    <s v="ORTEGA VINCENT"/>
    <s v="DNI"/>
    <n v="36931486"/>
    <n v="20369314867"/>
    <d v="1992-08-17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m/>
    <m/>
    <m/>
    <s v="PRIVADA"/>
    <s v="ADMINISTRATIVO"/>
    <m/>
    <s v="TECNOPOLIS"/>
    <s v="ORTIZ FRANK NICOLAS"/>
    <s v="DNI"/>
    <n v="33672652"/>
    <n v="20336726523"/>
    <d v="1998-03-29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DIRECCION DE GESTION EDILICIA"/>
    <s v="SERVICIOS GENERALES"/>
    <m/>
    <m/>
    <s v="Asistente"/>
    <m/>
    <s v="CCK - Alem 351"/>
    <s v="ORTIZ JOANA DENISSE"/>
    <s v="DNI"/>
    <n v="34417823"/>
    <s v="27344178238"/>
    <d v="1989-12-30T00:00:00"/>
    <m/>
    <m/>
    <m/>
    <m/>
    <x v="0"/>
    <x v="0"/>
    <d v="2013-11-01T00:00:00"/>
    <m/>
    <d v="2016-12-31T00:00:00"/>
    <m/>
    <s v="UNTREF"/>
    <m/>
    <n v="9479"/>
  </r>
  <r>
    <s v="SFMyCP"/>
    <x v="0"/>
    <s v="SUBSEC CENTROS TEMATICOS Y EXP FEDERALES"/>
    <x v="3"/>
    <s v="PRODUCCIÓN"/>
    <m/>
    <m/>
    <m/>
    <m/>
    <s v="TECNÓPOLIS"/>
    <m/>
    <s v="ORTIZ PEREZ PLATA PATRICIO LISANDRO"/>
    <s v="DNI"/>
    <n v="33507251"/>
    <n v="20335072511"/>
    <m/>
    <m/>
    <m/>
    <m/>
    <m/>
    <x v="1"/>
    <x v="1"/>
    <d v="2010-03-01T00:00:00"/>
    <d v="2016-12-31T00:00:00"/>
    <d v="2016-12-31T00:00:00"/>
    <s v="C1"/>
    <m/>
    <m/>
    <n v="18118.63"/>
  </r>
  <r>
    <s v="SFMyCP"/>
    <x v="0"/>
    <s v="SUBSEC CENTROS TEMATICOS Y EXP FEDERALES"/>
    <x v="3"/>
    <s v="GASTRONOMIA"/>
    <m/>
    <m/>
    <s v="PRIVADA"/>
    <s v="Coordinador"/>
    <m/>
    <s v="TECNOPOLIS"/>
    <s v="ORZALI GRETA"/>
    <s v="DNI"/>
    <n v="27641729"/>
    <n v="27276417296"/>
    <d v="1979-03-01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3"/>
    <s v="ARQUITECTURA Y OBRA"/>
    <m/>
    <m/>
    <m/>
    <m/>
    <s v="TECNÓPOLIS"/>
    <m/>
    <s v="OVADIA MARCELO NURY"/>
    <s v="DNI"/>
    <n v="11078343"/>
    <n v="20110783435"/>
    <m/>
    <m/>
    <m/>
    <m/>
    <m/>
    <x v="1"/>
    <x v="1"/>
    <d v="2012-12-01T00:00:00"/>
    <d v="2016-12-31T00:00:00"/>
    <d v="2016-12-31T00:00:00"/>
    <s v="C0"/>
    <m/>
    <m/>
    <n v="24716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OVEJERO JOSE ALEJANDRO"/>
    <s v="DNI"/>
    <n v="22232165"/>
    <n v="20222321655"/>
    <d v="1971-07-21T00:00:00"/>
    <m/>
    <m/>
    <m/>
    <m/>
    <x v="0"/>
    <x v="2"/>
    <m/>
    <m/>
    <d v="2016-12-31T00:00:00"/>
    <m/>
    <s v="UNTREF"/>
    <s v="UNTREF"/>
    <n v="1700"/>
  </r>
  <r>
    <s v="SFMyCP"/>
    <x v="0"/>
    <m/>
    <x v="0"/>
    <s v="TELEVISION DIGITAL ABIERTA"/>
    <s v="CIARA"/>
    <m/>
    <s v="PRODUCCIÓN"/>
    <s v="PRODUCTOR de EXTERIORES"/>
    <s v="CABILDO 65"/>
    <s v="CABILDO 65"/>
    <s v="OYAHARÇABAL JUAN"/>
    <s v="DNI"/>
    <n v="30979332"/>
    <s v="20309793324"/>
    <d v="1984-05-10T00:00:00"/>
    <m/>
    <m/>
    <m/>
    <m/>
    <x v="0"/>
    <x v="0"/>
    <d v="2012-08-01T00:00:00"/>
    <m/>
    <d v="2016-12-31T00:00:00"/>
    <m/>
    <s v="UNTREF"/>
    <m/>
    <n v="21683"/>
  </r>
  <r>
    <s v="SFMyCP"/>
    <x v="0"/>
    <s v="SUBSEC CENTROS TEMATICOS Y EXP FEDERALES"/>
    <x v="3"/>
    <s v="INTENDENCIA - TALLERES"/>
    <m/>
    <m/>
    <m/>
    <s v="COORDINADOR DE TALLER"/>
    <s v="TECNÓPOLIS"/>
    <s v="TECNOPOLIS"/>
    <s v="OZORIO JUAN BAUTISTA ALBERTO"/>
    <s v="DNI"/>
    <n v="20477882"/>
    <s v="20204778826"/>
    <d v="1968-10-15T00:00:00"/>
    <m/>
    <m/>
    <m/>
    <m/>
    <x v="0"/>
    <x v="0"/>
    <d v="2014-04-01T00:00:00"/>
    <m/>
    <d v="2016-12-31T00:00:00"/>
    <m/>
    <s v="UNTREF"/>
    <s v="UNTREF"/>
    <n v="17567.86"/>
  </r>
  <r>
    <s v="SFMyCP"/>
    <x v="0"/>
    <s v="SUBSEC CENTROS TEMATICOS Y EXP FEDERALES"/>
    <x v="3"/>
    <s v="INTENDENCIA - TALLERES"/>
    <m/>
    <m/>
    <m/>
    <s v="MANTENIMIENTO GRAL DE GRÁFICA/CONFECCIÓN DE ESTRUCTURAS/COLOCACIÓN VINILO/REPARACIÓN DE ESTRUCTURAS"/>
    <s v="TECNÓPOLIS"/>
    <s v="TECNOPOLIS"/>
    <s v="PACHECO  VICTOR HUGO"/>
    <s v="DNI"/>
    <n v="29018545"/>
    <s v="23290185459"/>
    <d v="1981-07-04T00:00:00"/>
    <m/>
    <m/>
    <m/>
    <m/>
    <x v="0"/>
    <x v="0"/>
    <d v="2014-04-01T00:00:00"/>
    <m/>
    <d v="2016-12-31T00:00:00"/>
    <m/>
    <s v="UNTREF"/>
    <s v="UNTREF"/>
    <n v="9995.51"/>
  </r>
  <r>
    <s v="SFMyCP"/>
    <x v="0"/>
    <s v="SUBSEC CENTROS TEMATICOS Y EXP FEDERALES"/>
    <x v="1"/>
    <s v="DIRECCION DE GESTION EDILICIA"/>
    <s v="SERVICIOS GENERALES"/>
    <m/>
    <s v="control acceso"/>
    <s v="Auxiliar"/>
    <s v="CCK"/>
    <s v="CCK - Alem 351"/>
    <s v="PACHECO FRANCO"/>
    <s v="DNI"/>
    <n v="37233955"/>
    <s v="20372339552"/>
    <d v="1993-06-07T00:00:00"/>
    <m/>
    <m/>
    <m/>
    <m/>
    <x v="0"/>
    <x v="0"/>
    <d v="2015-08-01T00:00:00"/>
    <m/>
    <d v="2016-12-31T00:00:00"/>
    <m/>
    <s v="UNTREF"/>
    <s v="UNLAM- BICENTENARIO"/>
    <n v="10096"/>
  </r>
  <r>
    <s v="SFMyCP"/>
    <x v="2"/>
    <m/>
    <x v="4"/>
    <m/>
    <m/>
    <m/>
    <m/>
    <s v="ADMINISTRATIVO"/>
    <m/>
    <s v="CCK - Alem 351"/>
    <s v="PAEZ CRISTIAN"/>
    <s v="DNI"/>
    <n v="23118409"/>
    <m/>
    <d v="1972-12-10T00:00:00"/>
    <m/>
    <m/>
    <m/>
    <m/>
    <x v="0"/>
    <x v="0"/>
    <d v="2016-07-01T00:00:00"/>
    <m/>
    <d v="2016-12-31T00:00:00"/>
    <m/>
    <s v="UNTREF"/>
    <m/>
    <m/>
  </r>
  <r>
    <s v="SFMyCP"/>
    <x v="0"/>
    <m/>
    <x v="4"/>
    <s v="PROYECTOS ESPECIALES"/>
    <m/>
    <m/>
    <s v="PRIVADA"/>
    <s v="ADMINISTRATIVO"/>
    <m/>
    <s v="CCK - Alem 351"/>
    <s v="PAGES VERONICA"/>
    <s v="DNI"/>
    <n v="20117208"/>
    <n v="27201172085"/>
    <d v="1968-03-02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ADMINISTRACION- RRHH"/>
    <m/>
    <m/>
    <s v="ADMINISTRATIVO"/>
    <s v="COORDINADORA PERSONAL TEMPORARIO"/>
    <s v="TECNÓPOLIS"/>
    <s v="TECNOPOLIS"/>
    <s v="PAGNI MARTA INES"/>
    <s v="DNI"/>
    <n v="6237441"/>
    <s v="27062374417"/>
    <d v="1949-12-26T00:00:00"/>
    <m/>
    <m/>
    <m/>
    <m/>
    <x v="0"/>
    <x v="0"/>
    <d v="2013-06-01T00:00:00"/>
    <m/>
    <d v="2016-12-31T00:00:00"/>
    <m/>
    <s v="UNTREF"/>
    <s v="UNTREF"/>
    <n v="21340.27"/>
  </r>
  <r>
    <s v="SFMyCP"/>
    <x v="0"/>
    <s v="SUBSEC CENTROS TEMATICOS Y EXP FEDERALES"/>
    <x v="1"/>
    <s v="INSTITUCIONALES"/>
    <m/>
    <m/>
    <s v="Analista"/>
    <m/>
    <s v="CCK"/>
    <m/>
    <s v="PALACIOS DANIELA"/>
    <s v="DNI"/>
    <n v="25065302"/>
    <n v="27250653021"/>
    <m/>
    <m/>
    <m/>
    <m/>
    <m/>
    <x v="1"/>
    <x v="1"/>
    <d v="2011-02-01T00:00:00"/>
    <d v="2016-12-31T00:00:00"/>
    <d v="2016-12-31T00:00:00"/>
    <s v="B3"/>
    <m/>
    <m/>
    <n v="22828"/>
  </r>
  <r>
    <s v="SFMyCP"/>
    <x v="0"/>
    <m/>
    <x v="8"/>
    <s v="COMUNICACIÓN"/>
    <m/>
    <m/>
    <m/>
    <s v="ADMINISTRATIVO"/>
    <m/>
    <s v="CCK - Alem 351"/>
    <s v="PALACIOS LUCIA RUIZ"/>
    <s v="DNI"/>
    <n v="29986135"/>
    <s v="27299861355"/>
    <d v="1982-12-30T00:00:00"/>
    <m/>
    <m/>
    <m/>
    <m/>
    <x v="0"/>
    <x v="0"/>
    <d v="2016-01-01T00:00:00"/>
    <m/>
    <d v="2016-12-31T00:00:00"/>
    <m/>
    <s v="UNTREF"/>
    <m/>
    <n v="15000"/>
  </r>
  <r>
    <s v="SFMyCP"/>
    <x v="1"/>
    <m/>
    <x v="5"/>
    <s v="PLANIF  Y ADM DE REC HUMANOS"/>
    <s v="MEDICINA DEL TRABAJO"/>
    <m/>
    <s v="DOCTOR"/>
    <s v="ADMINISTRATIVO"/>
    <m/>
    <s v="CCK - Alem 351"/>
    <s v="PAPPOLLA MARIA CELESTE "/>
    <s v="DNI"/>
    <n v="33435429"/>
    <n v="27334354291"/>
    <d v="1988-02-24T00:00:00"/>
    <m/>
    <m/>
    <m/>
    <m/>
    <x v="0"/>
    <x v="0"/>
    <d v="2016-07-14T00:00:00"/>
    <m/>
    <d v="2016-12-31T00:00:00"/>
    <m/>
    <s v="UNTREF"/>
    <m/>
    <m/>
  </r>
  <r>
    <s v="SFMyCP"/>
    <x v="0"/>
    <m/>
    <x v="0"/>
    <s v="TELEVISION DIGITAL ABIERTA"/>
    <s v="CIARA"/>
    <m/>
    <s v="BACUA"/>
    <s v="ADMINISTRATIVO"/>
    <s v="CABILDO 65"/>
    <s v="CABILDO 65"/>
    <s v="PARED NATALIA"/>
    <s v="DNI"/>
    <n v="32262741"/>
    <s v="27322627411"/>
    <d v="1986-04-20T00:00:00"/>
    <m/>
    <m/>
    <m/>
    <m/>
    <x v="0"/>
    <x v="0"/>
    <d v="2012-12-01T00:00:00"/>
    <m/>
    <d v="2016-12-31T00:00:00"/>
    <m/>
    <s v="UNTREF"/>
    <s v="UNSAM- LADA"/>
    <n v="16465"/>
  </r>
  <r>
    <s v="SFMyCP"/>
    <x v="0"/>
    <m/>
    <x v="0"/>
    <s v="TELEVISION DIGITAL ABIERTA"/>
    <s v="CIARA"/>
    <m/>
    <s v="PANORAMA ARGENTINO"/>
    <s v="ADMINISTRATIVO"/>
    <s v="CABILDO 65"/>
    <s v="CABILDO 65"/>
    <s v="PAREDES FRANCISCO"/>
    <s v="DNI"/>
    <n v="20552687"/>
    <s v="20205526871"/>
    <d v="1968-11-01T00:00:00"/>
    <m/>
    <m/>
    <m/>
    <m/>
    <x v="0"/>
    <x v="0"/>
    <d v="2012-04-23T00:00:00"/>
    <m/>
    <d v="2016-12-31T00:00:00"/>
    <m/>
    <s v="UNTREF"/>
    <s v="UNSAM- LADA"/>
    <n v="23386"/>
  </r>
  <r>
    <s v="SFMyCP"/>
    <x v="0"/>
    <s v="SUBSEC CENTROS TEMATICOS Y EXP FEDERALES"/>
    <x v="7"/>
    <m/>
    <m/>
    <m/>
    <s v="ASISTENTE"/>
    <m/>
    <s v="CCK"/>
    <m/>
    <s v="PARMA TAMARA"/>
    <s v="DNI"/>
    <n v="30800939"/>
    <n v="23308009394"/>
    <m/>
    <m/>
    <m/>
    <m/>
    <m/>
    <x v="1"/>
    <x v="1"/>
    <d v="2013-12-01T00:00:00"/>
    <d v="2016-03-31T00:00:00"/>
    <d v="2016-12-31T00:00:00"/>
    <s v="B1"/>
    <m/>
    <m/>
    <n v="20266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PARODI ADRIANA NOEMI"/>
    <s v="DNI"/>
    <n v="29871046"/>
    <s v="27298710469"/>
    <d v="1982-06-02T00:00:00"/>
    <m/>
    <m/>
    <m/>
    <m/>
    <x v="0"/>
    <x v="0"/>
    <d v="2014-07-01T00:00:00"/>
    <m/>
    <d v="2016-12-31T00:00:00"/>
    <m/>
    <s v="UNTREF"/>
    <s v="UNTREF"/>
    <n v="9995.51"/>
  </r>
  <r>
    <s v="SFMyCP"/>
    <x v="0"/>
    <m/>
    <x v="0"/>
    <s v="TELEVISION DIGITAL ABIERTA"/>
    <s v="CIARA"/>
    <m/>
    <s v="PROMOCIONES"/>
    <s v="ADMINISTRATIVO"/>
    <s v="CABILDO 65"/>
    <s v="CABILDO 65"/>
    <s v="PASCUAL FLORENCIA"/>
    <s v="DNI"/>
    <n v="25554128"/>
    <s v="27255541280"/>
    <d v="1976-10-10T00:00:00"/>
    <m/>
    <m/>
    <m/>
    <m/>
    <x v="0"/>
    <x v="0"/>
    <d v="2012-05-03T00:00:00"/>
    <m/>
    <d v="2016-12-31T00:00:00"/>
    <m/>
    <s v="UNTREF"/>
    <s v="UNSAM- LADA"/>
    <n v="19552"/>
  </r>
  <r>
    <s v="SFMyCP"/>
    <x v="0"/>
    <m/>
    <x v="4"/>
    <m/>
    <m/>
    <m/>
    <s v="PRIVADA"/>
    <s v="ADMINISTRATIVO"/>
    <m/>
    <s v="CCK - Alem 351"/>
    <s v="PASSADORE MIRTHA EDITH"/>
    <s v="DNI"/>
    <n v="6717338"/>
    <n v="23067173384"/>
    <d v="1951-04-24T00:00:00"/>
    <m/>
    <m/>
    <m/>
    <m/>
    <x v="0"/>
    <x v="0"/>
    <d v="2016-07-01T00:00:00"/>
    <m/>
    <d v="2016-12-31T00:00:00"/>
    <m/>
    <s v="UNTREF"/>
    <m/>
    <m/>
  </r>
  <r>
    <s v="SFMyCP"/>
    <x v="1"/>
    <m/>
    <x v="5"/>
    <s v="PRESUPUESTO"/>
    <m/>
    <m/>
    <m/>
    <s v="ADMINISTRATIVO"/>
    <m/>
    <s v="CCK - Alem 351"/>
    <s v="PASSAGLIA VICTORIA"/>
    <s v="DNI"/>
    <n v="34103577"/>
    <s v="27341035770"/>
    <d v="1989-01-29T00:00:00"/>
    <m/>
    <m/>
    <m/>
    <m/>
    <x v="0"/>
    <x v="0"/>
    <d v="2016-06-01T00:00:00"/>
    <m/>
    <d v="2016-12-31T00:00:00"/>
    <m/>
    <s v="UNTREF"/>
    <m/>
    <n v="14000"/>
  </r>
  <r>
    <s v="SFMyCP"/>
    <x v="0"/>
    <s v="SUBSEC CENTROS TEMATICOS Y EXP FEDERALES"/>
    <x v="3"/>
    <s v="INTENDENCIA - TALLERES"/>
    <m/>
    <m/>
    <m/>
    <m/>
    <s v="TECNÓPOLIS"/>
    <m/>
    <s v="PASSERO NICOLAS MANUEL"/>
    <s v="DNI"/>
    <n v="35360516"/>
    <n v="20353605160"/>
    <m/>
    <m/>
    <m/>
    <m/>
    <m/>
    <x v="1"/>
    <x v="1"/>
    <d v="2014-07-01T00:00:00"/>
    <d v="2016-03-31T00:00:00"/>
    <d v="2016-12-31T00:00:00"/>
    <s v="D1"/>
    <m/>
    <m/>
    <n v="19499.72"/>
  </r>
  <r>
    <s v="SFMyCP"/>
    <x v="0"/>
    <s v="SUBSEC CENTROS TEMATICOS Y EXP FEDERALES"/>
    <x v="3"/>
    <s v="INTENDENCIA - TALLERES"/>
    <m/>
    <m/>
    <m/>
    <m/>
    <s v="TECNÓPOLIS"/>
    <m/>
    <s v="PATRONE MIGUEL SANTOS"/>
    <s v="DNI"/>
    <n v="36426532"/>
    <n v="20364265329"/>
    <m/>
    <m/>
    <m/>
    <m/>
    <m/>
    <x v="1"/>
    <x v="1"/>
    <d v="2012-08-01T00:00:00"/>
    <d v="2016-12-31T00:00:00"/>
    <d v="2016-12-31T00:00:00"/>
    <s v="D0"/>
    <m/>
    <m/>
    <n v="9991"/>
  </r>
  <r>
    <s v="SFMyCP"/>
    <x v="0"/>
    <s v="SUBSEC CENTROS TEMATICOS Y EXP FEDERALES"/>
    <x v="3"/>
    <s v="GASTRONOMIA"/>
    <m/>
    <m/>
    <s v="COCINA"/>
    <s v="PRODUCCION GRAL DE RECETAS, MANIPULACIÓN DE INGREDIENTES, DESPCAHO DE ALIMENTOS"/>
    <s v="TECNÓPOLIS"/>
    <s v="TECNOPOLIS"/>
    <s v="PAULINO  ALEX DARIO"/>
    <s v="DNI"/>
    <n v="39562840"/>
    <s v="20395628403"/>
    <d v="1996-03-22T00:00:00"/>
    <m/>
    <m/>
    <m/>
    <m/>
    <x v="0"/>
    <x v="0"/>
    <d v="2014-04-01T00:00:00"/>
    <m/>
    <d v="2016-12-31T00:00:00"/>
    <m/>
    <s v="UNTREF"/>
    <s v="UNTREF"/>
    <n v="10408.549999999999"/>
  </r>
  <r>
    <s v="SFMyCP"/>
    <x v="0"/>
    <s v="SUBSEC CENTROS TEMATICOS Y EXP FEDERALES"/>
    <x v="3"/>
    <s v="INTENDENCIA - MANTENIMIENTO"/>
    <m/>
    <m/>
    <m/>
    <m/>
    <s v="TECNÓPOLIS"/>
    <m/>
    <s v="PAVON ERNESTO FABIAN"/>
    <s v="DNI"/>
    <n v="16965096"/>
    <n v="23169650969"/>
    <m/>
    <m/>
    <m/>
    <m/>
    <m/>
    <x v="1"/>
    <x v="1"/>
    <d v="2012-10-31T00:00:00"/>
    <d v="2016-12-31T00:00:00"/>
    <d v="2016-12-31T00:00:00"/>
    <s v="C0"/>
    <m/>
    <m/>
    <n v="29724.25"/>
  </r>
  <r>
    <s v="SFMyCP"/>
    <x v="0"/>
    <s v="SUBSEC CENTROS TEMATICOS Y EXP FEDERALES"/>
    <x v="3"/>
    <s v="INTENDENCIA - LIMPIEZA"/>
    <m/>
    <m/>
    <m/>
    <s v="ENCARGADO DE LIMPIEZA"/>
    <s v="TECNÓPOLIS"/>
    <s v="TECNOPOLIS"/>
    <s v="PAVONNE LUCIA GABRIELA"/>
    <s v="DNI"/>
    <n v="18221165"/>
    <s v="27182211651"/>
    <d v="1966-11-25T00:00:00"/>
    <m/>
    <m/>
    <m/>
    <m/>
    <x v="0"/>
    <x v="0"/>
    <d v="2012-07-01T00:00:00"/>
    <m/>
    <d v="2016-12-31T00:00:00"/>
    <m/>
    <s v="UNTREF"/>
    <s v="UNTREF"/>
    <n v="13450"/>
  </r>
  <r>
    <s v="SFMyCP"/>
    <x v="0"/>
    <s v="SUBSEC CENTROS TEMATICOS Y EXP FEDERALES"/>
    <x v="3"/>
    <s v="INTENDENCIA- MANTENIMIENTO"/>
    <m/>
    <m/>
    <m/>
    <s v="TRASLADOS/CARGA Y DESCARGA"/>
    <s v="TECNÓPOLIS"/>
    <s v="TECNOPOLIS"/>
    <s v="PAZ  JUAN FRANCISCO"/>
    <s v="DNI"/>
    <n v="32525350"/>
    <s v="23325253509"/>
    <d v="1986-09-24T00:00:00"/>
    <m/>
    <m/>
    <m/>
    <m/>
    <x v="0"/>
    <x v="0"/>
    <d v="2011-07-01T00:00:00"/>
    <m/>
    <d v="2016-12-31T00:00:00"/>
    <m/>
    <s v="UNTREF"/>
    <s v="UNTREF"/>
    <n v="11449.4"/>
  </r>
  <r>
    <s v="SFMyCP"/>
    <x v="0"/>
    <s v="SUBSEC CENTROS TEMATICOS Y EXP FEDERALES"/>
    <x v="1"/>
    <s v="INSTITUCIONALES"/>
    <s v="VISITAS GUIADAS"/>
    <m/>
    <m/>
    <s v="VISITAS GUIADAS"/>
    <m/>
    <s v="CCK - Alem 351"/>
    <s v="PECORA NATALY GISELLE"/>
    <s v="DNI"/>
    <n v="37143089"/>
    <n v="27371443895"/>
    <d v="1992-10-16T00:00:00"/>
    <m/>
    <m/>
    <m/>
    <m/>
    <x v="0"/>
    <x v="0"/>
    <d v="2016-06-01T00:00:00"/>
    <m/>
    <d v="2016-12-31T00:00:00"/>
    <m/>
    <s v="UNTREF"/>
    <m/>
    <m/>
  </r>
  <r>
    <s v="SFMyCP"/>
    <x v="2"/>
    <m/>
    <x v="4"/>
    <m/>
    <m/>
    <m/>
    <s v="PRIVADA"/>
    <s v="ADMINISTRATIVO"/>
    <m/>
    <s v="CCK - Alem 351"/>
    <s v="PEDROSA, FERNANDO HECTOR"/>
    <s v="DNI"/>
    <n v="20405368"/>
    <s v="20204053686"/>
    <d v="1968-07-25T00:00:00"/>
    <m/>
    <m/>
    <m/>
    <m/>
    <x v="0"/>
    <x v="0"/>
    <d v="2016-01-01T00:00:00"/>
    <m/>
    <d v="2016-12-31T00:00:00"/>
    <m/>
    <s v="UNTREF"/>
    <s v="UNSAM"/>
    <n v="27370"/>
  </r>
  <r>
    <s v="SFMyCP"/>
    <x v="0"/>
    <s v="SUBSEC CENTROS TEMATICOS Y EXP FEDERALES"/>
    <x v="3"/>
    <s v="PRODUCCIÓN"/>
    <m/>
    <m/>
    <m/>
    <m/>
    <s v="TECNÓPOLIS"/>
    <m/>
    <s v="PELLEGATA PAULO NICOLAS"/>
    <s v="DNI"/>
    <n v="23877871"/>
    <n v="23238778719"/>
    <m/>
    <m/>
    <m/>
    <m/>
    <m/>
    <x v="1"/>
    <x v="1"/>
    <d v="2012-10-31T00:00:00"/>
    <d v="2016-12-31T00:00:00"/>
    <d v="2016-12-31T00:00:00"/>
    <s v="C0"/>
    <m/>
    <m/>
    <n v="29784"/>
  </r>
  <r>
    <s v="SFMyCP"/>
    <x v="0"/>
    <m/>
    <x v="0"/>
    <s v="TELEVISION DIGITAL ABIERTA"/>
    <s v="CIARA"/>
    <m/>
    <s v="TÉCNICA Y TRANSMISIÓN"/>
    <s v="ADMINISTRATIVO"/>
    <s v="CABILDO 65"/>
    <s v="CABILDO 65"/>
    <s v="PELLEGRINO ALISON"/>
    <s v="DNI"/>
    <n v="38357112"/>
    <s v="27383571125"/>
    <d v="1994-06-05T00:00:00"/>
    <m/>
    <m/>
    <m/>
    <m/>
    <x v="0"/>
    <x v="0"/>
    <d v="2015-02-02T00:00:00"/>
    <m/>
    <d v="2016-12-31T00:00:00"/>
    <m/>
    <s v="UNTREF"/>
    <s v="UNSAM- LADA"/>
    <n v="16465"/>
  </r>
  <r>
    <s v="SFMyCP"/>
    <x v="0"/>
    <s v="SUBSEC CENTROS TEMATICOS Y EXP FEDERALES"/>
    <x v="1"/>
    <s v="DIRECCION DE GESTION EDILICIA"/>
    <s v="SEGURIDAD E HIGIENE"/>
    <m/>
    <s v="Asistente"/>
    <m/>
    <s v="CCK"/>
    <m/>
    <s v="PELLEGROTTI ANTONELA"/>
    <s v="DNI"/>
    <n v="34294750"/>
    <n v="27342947501"/>
    <m/>
    <m/>
    <m/>
    <m/>
    <m/>
    <x v="1"/>
    <x v="1"/>
    <d v="2011-06-18T00:00:00"/>
    <d v="2016-12-31T00:00:00"/>
    <d v="2016-12-31T00:00:00"/>
    <s v="C0"/>
    <m/>
    <m/>
    <n v="11456"/>
  </r>
  <r>
    <s v="SFMyCP"/>
    <x v="1"/>
    <m/>
    <x v="2"/>
    <m/>
    <m/>
    <m/>
    <s v="PRIVADA"/>
    <s v="ADMINISTRATIVO"/>
    <m/>
    <s v="CCK - Alem 351"/>
    <s v="PENNELA ORLANDO OSVALDO"/>
    <s v="DNI"/>
    <n v="4522026"/>
    <n v="20045220266"/>
    <d v="1945-02-20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 - LIMPIEZA"/>
    <m/>
    <m/>
    <m/>
    <m/>
    <s v="TECNÓPOLIS"/>
    <m/>
    <s v="PENNINO LILIANA BEATRIZ"/>
    <s v="DNI"/>
    <n v="13780199"/>
    <n v="27137801995"/>
    <m/>
    <m/>
    <m/>
    <m/>
    <m/>
    <x v="1"/>
    <x v="1"/>
    <d v="2011-12-01T00:00:00"/>
    <d v="2016-12-31T00:00:00"/>
    <d v="2016-12-31T00:00:00"/>
    <s v="D0"/>
    <m/>
    <m/>
    <n v="23404"/>
  </r>
  <r>
    <s v="SFMyCP"/>
    <x v="0"/>
    <s v="SUBSEC CENTROS TEMATICOS Y EXP FEDERALES"/>
    <x v="3"/>
    <s v="PRODUCCIÓN"/>
    <m/>
    <m/>
    <m/>
    <m/>
    <s v="TECNÓPOLIS"/>
    <m/>
    <s v="PEÑA RAMIRO MARTIN"/>
    <s v="DNI"/>
    <n v="23222525"/>
    <n v="20232225255"/>
    <m/>
    <m/>
    <m/>
    <m/>
    <m/>
    <x v="1"/>
    <x v="1"/>
    <d v="2012-10-31T00:00:00"/>
    <d v="2016-12-31T00:00:00"/>
    <d v="2016-12-31T00:00:00"/>
    <s v="C0"/>
    <m/>
    <m/>
    <n v="29078"/>
  </r>
  <r>
    <s v="SFMyCP"/>
    <x v="0"/>
    <m/>
    <x v="4"/>
    <m/>
    <m/>
    <m/>
    <s v="PRIVADA"/>
    <s v="ADMINISTRATIVO"/>
    <m/>
    <s v="CCK - Alem 351"/>
    <s v="PEÑA WALTER"/>
    <s v="DNI"/>
    <n v="20964558"/>
    <n v="20209645581"/>
    <d v="1969-06-03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1"/>
    <s v="AUDIOVISUALES"/>
    <m/>
    <m/>
    <m/>
    <s v="ADMINISTRATIVO"/>
    <m/>
    <s v="CCK - Alem 351"/>
    <s v="PERAZZO  PATRICIO"/>
    <s v="DNI"/>
    <n v="18780914"/>
    <s v="20187809143"/>
    <d v="1966-01-22T00:00:00"/>
    <m/>
    <m/>
    <m/>
    <m/>
    <x v="0"/>
    <x v="0"/>
    <d v="2011-03-03T00:00:00"/>
    <m/>
    <d v="2016-12-31T00:00:00"/>
    <m/>
    <s v="UNTREF"/>
    <s v="UNTREF"/>
    <n v="13531.11"/>
  </r>
  <r>
    <s v="SFMyCP"/>
    <x v="0"/>
    <s v="SUBSEC CENTROS TEMATICOS Y EXP FEDERALES"/>
    <x v="3"/>
    <s v="INTENDENCIA - TALLERES"/>
    <m/>
    <m/>
    <m/>
    <s v="CONTROL DE STOCK Y EVOLUCIÓN DE HERRAMIENTAS"/>
    <s v="TECNÓPOLIS"/>
    <s v="TECNOPOLIS"/>
    <s v="PEREZ  VICTOR RUBEN"/>
    <s v="DNI"/>
    <n v="23496931"/>
    <s v="20234969316"/>
    <d v="1974-03-08T00:00:00"/>
    <m/>
    <m/>
    <m/>
    <m/>
    <x v="0"/>
    <x v="0"/>
    <d v="2014-07-01T00:00:00"/>
    <m/>
    <d v="2016-12-31T00:00:00"/>
    <m/>
    <s v="UNTREF"/>
    <s v="UNTREF"/>
    <n v="11449.4"/>
  </r>
  <r>
    <s v="SFMyCP"/>
    <x v="0"/>
    <s v="SUBSEC CENTROS TEMATICOS Y EXP FEDERALES"/>
    <x v="7"/>
    <m/>
    <m/>
    <m/>
    <s v="PRIVADA"/>
    <s v="ADMINISTRATIVO"/>
    <m/>
    <s v="CCK - Alem 351"/>
    <s v="PEREZ ALBERTO LUIS"/>
    <s v="DNI"/>
    <n v="6082291"/>
    <m/>
    <d v="1949-03-09T00:00:00"/>
    <m/>
    <m/>
    <m/>
    <m/>
    <x v="0"/>
    <x v="0"/>
    <d v="2016-07-01T00:00:00"/>
    <m/>
    <d v="2016-12-31T00:00:00"/>
    <m/>
    <s v="UNTREF"/>
    <m/>
    <m/>
  </r>
  <r>
    <s v="SFMyCP"/>
    <x v="0"/>
    <m/>
    <x v="0"/>
    <s v="TELEVISION DIGITAL ABIERTA"/>
    <s v="CIARA"/>
    <m/>
    <s v="PRENSA Y COMUNICACIÓN"/>
    <m/>
    <s v="CABILDO 65"/>
    <m/>
    <s v="PEREZ CABRIADA MARIANO PABLO"/>
    <s v="DNI"/>
    <n v="25639689"/>
    <n v="20256396891"/>
    <m/>
    <m/>
    <m/>
    <m/>
    <m/>
    <x v="1"/>
    <x v="1"/>
    <d v="2015-03-01T00:00:00"/>
    <d v="2016-03-31T00:00:00"/>
    <d v="2016-12-31T00:00:00"/>
    <s v="B0"/>
    <m/>
    <m/>
    <n v="19096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PEREZ CARLOS WALTER"/>
    <s v="DNI"/>
    <n v="26949673"/>
    <s v="20269496739"/>
    <d v="1979-02-05T00:00:00"/>
    <m/>
    <m/>
    <m/>
    <m/>
    <x v="0"/>
    <x v="0"/>
    <d v="2014-06-01T00:00:00"/>
    <m/>
    <d v="2016-12-31T00:00:00"/>
    <m/>
    <s v="UNTREF"/>
    <s v="UNTREF"/>
    <n v="9995.51"/>
  </r>
  <r>
    <s v="SFMyCP"/>
    <x v="0"/>
    <m/>
    <x v="4"/>
    <m/>
    <m/>
    <m/>
    <s v="PRIVADA"/>
    <s v="ADMINISTRATIVO"/>
    <m/>
    <s v="CCK - Alem 351"/>
    <s v="PEREZ FELIX ALAN"/>
    <s v="DNI"/>
    <n v="31614943"/>
    <n v="20316149430"/>
    <d v="1985-05-24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1"/>
    <s v="INSTITUCIONALES"/>
    <m/>
    <m/>
    <s v="Analista"/>
    <m/>
    <s v="CCK"/>
    <m/>
    <s v="PEREZ FERNANDEZ ALEJANDRO"/>
    <s v="DNI"/>
    <n v="25730787"/>
    <n v="20257307876"/>
    <m/>
    <m/>
    <m/>
    <m/>
    <m/>
    <x v="1"/>
    <x v="1"/>
    <d v="2007-11-05T00:00:00"/>
    <d v="2016-12-31T00:00:00"/>
    <d v="2016-12-31T00:00:00"/>
    <s v="B2"/>
    <m/>
    <m/>
    <n v="19528"/>
  </r>
  <r>
    <s v="SFMyCP"/>
    <x v="0"/>
    <m/>
    <x v="0"/>
    <s v="TELEVISION DIGITAL ABIERTA"/>
    <s v="CIARA"/>
    <m/>
    <s v="PRENSA Y COMUNICACIÓN"/>
    <m/>
    <s v="CABILDO 65"/>
    <m/>
    <s v="PEREZ LUCIANA"/>
    <s v="LE"/>
    <n v="26183522"/>
    <n v="27261835229"/>
    <m/>
    <m/>
    <m/>
    <m/>
    <m/>
    <x v="1"/>
    <x v="1"/>
    <d v="2013-12-01T00:00:00"/>
    <d v="2016-03-31T00:00:00"/>
    <d v="2016-12-31T00:00:00"/>
    <s v="B1"/>
    <m/>
    <m/>
    <n v="18277"/>
  </r>
  <r>
    <s v="SFMyCP"/>
    <x v="0"/>
    <s v="SUBSEC CENTROS TEMATICOS Y EXP FEDERALES"/>
    <x v="3"/>
    <m/>
    <m/>
    <m/>
    <s v="PRIVADA"/>
    <s v="ADMINISTRATIVO"/>
    <s v="TECNÓPOLIS"/>
    <s v="TECNOPOLIS"/>
    <s v="PEREZ PABLO"/>
    <s v="DNI"/>
    <n v="18303910"/>
    <s v="20183039106"/>
    <d v="1967-08-09T00:00:00"/>
    <m/>
    <m/>
    <m/>
    <m/>
    <x v="0"/>
    <x v="0"/>
    <d v="2016-01-01T00:00:00"/>
    <m/>
    <d v="2016-12-31T00:00:00"/>
    <m/>
    <s v="UNTREF"/>
    <s v="UNSAM"/>
    <n v="21928.32"/>
  </r>
  <r>
    <s v="SFMyCP"/>
    <x v="0"/>
    <m/>
    <x v="6"/>
    <s v="ARTES VISUALES"/>
    <m/>
    <m/>
    <m/>
    <m/>
    <m/>
    <m/>
    <s v="PERLES CLAUDIO"/>
    <s v="DNI"/>
    <n v="17547110"/>
    <n v="20175471104"/>
    <m/>
    <m/>
    <m/>
    <m/>
    <m/>
    <x v="2"/>
    <x v="0"/>
    <d v="2016-07-01T00:00:00"/>
    <m/>
    <d v="2016-09-30T00:00:00"/>
    <m/>
    <s v="UNTREF"/>
    <m/>
    <m/>
  </r>
  <r>
    <s v="SFMyCP"/>
    <x v="0"/>
    <m/>
    <x v="6"/>
    <s v="ARTES VISUALES"/>
    <m/>
    <m/>
    <m/>
    <m/>
    <m/>
    <m/>
    <s v="PERSICO GASTON"/>
    <s v="DNI"/>
    <n v="22846642"/>
    <n v="20228466426"/>
    <m/>
    <m/>
    <m/>
    <m/>
    <m/>
    <x v="2"/>
    <x v="0"/>
    <d v="2016-07-01T00:00:00"/>
    <m/>
    <d v="2016-07-31T00:00:00"/>
    <m/>
    <s v="UNTREF"/>
    <m/>
    <m/>
  </r>
  <r>
    <s v="SFMyCP"/>
    <x v="0"/>
    <m/>
    <x v="0"/>
    <s v="TELEVISION DIGITAL ABIERTA"/>
    <s v="PRESIDENCIA"/>
    <m/>
    <s v="PRODUCCIÓN"/>
    <s v="PRODUCTOR de EXTERIORES"/>
    <s v="CABILDO 65"/>
    <s v="CABILDO 65"/>
    <s v="PETTITI PABLO "/>
    <s v="DNI"/>
    <n v="24462764"/>
    <n v="20244627642"/>
    <d v="1975-04-06T00:00:00"/>
    <m/>
    <m/>
    <m/>
    <m/>
    <x v="0"/>
    <x v="0"/>
    <d v="2012-03-01T00:00:00"/>
    <m/>
    <d v="2016-12-31T00:00:00"/>
    <m/>
    <s v="UNTREF"/>
    <m/>
    <n v="24060"/>
  </r>
  <r>
    <s v="SFMyCP"/>
    <x v="0"/>
    <s v="SUBSEC CENTROS TEMATICOS Y EXP FEDERALES"/>
    <x v="7"/>
    <m/>
    <m/>
    <m/>
    <s v="PRIVADA"/>
    <s v="ADMINISTRATIVO"/>
    <m/>
    <s v="CCK - Alem 351"/>
    <s v="PEZZANO FERNANDEZ SANTIAGO"/>
    <s v="DNI"/>
    <n v="33174786"/>
    <n v="20331747867"/>
    <d v="1987-07-15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1"/>
    <s v="DIRECCION DE GESTION EDILICIA"/>
    <s v="ESPACIOS FISICOS"/>
    <m/>
    <s v="Asistente"/>
    <s v="ADMINISTRATIVO"/>
    <s v="CCK"/>
    <s v="CCK - Alem 351"/>
    <s v="PICCOLOMINI SEBASTIAN"/>
    <s v="DNI"/>
    <n v="31851944"/>
    <s v="20318519448"/>
    <d v="1979-07-31T00:00:00"/>
    <m/>
    <m/>
    <m/>
    <m/>
    <x v="0"/>
    <x v="0"/>
    <d v="2015-06-02T00:00:00"/>
    <m/>
    <d v="2016-12-31T00:00:00"/>
    <m/>
    <s v="UNTREF"/>
    <s v="UNLAM- BICENTENARIO"/>
    <n v="10807"/>
  </r>
  <r>
    <s v="SFMyCP"/>
    <x v="0"/>
    <s v="SUBSEC CENTROS TEMATICOS Y EXP FEDERALES"/>
    <x v="7"/>
    <m/>
    <m/>
    <m/>
    <s v="PRIVADA"/>
    <s v="ADMINISTRATIVO"/>
    <m/>
    <s v="CCK - Alem 351"/>
    <s v="PICO ESTRADA MARGARITA"/>
    <s v="DNI"/>
    <n v="38614565"/>
    <m/>
    <d v="1994-11-15T00:00:00"/>
    <m/>
    <m/>
    <m/>
    <m/>
    <x v="0"/>
    <x v="0"/>
    <d v="2016-07-01T00:00:00"/>
    <m/>
    <d v="2016-12-31T00:00:00"/>
    <m/>
    <s v="UNTREF"/>
    <m/>
    <m/>
  </r>
  <r>
    <s v="SFMyCP"/>
    <x v="0"/>
    <m/>
    <x v="0"/>
    <s v="TELEVISION DIGITAL ABIERTA"/>
    <s v="CIARA"/>
    <m/>
    <s v="PANORAMA ARGENTINO"/>
    <s v="PRODUCTOR de EXTERIORES"/>
    <s v="CABILDO 65"/>
    <s v="CABILDO 65"/>
    <s v="PICO GUILLERMINA"/>
    <s v="DNI"/>
    <n v="31023100"/>
    <s v="27310231008"/>
    <d v="1985-09-08T00:00:00"/>
    <m/>
    <m/>
    <m/>
    <m/>
    <x v="0"/>
    <x v="0"/>
    <d v="2010-10-01T00:00:00"/>
    <m/>
    <d v="2016-12-31T00:00:00"/>
    <m/>
    <s v="UNTREF"/>
    <s v="UNSAM- LADA"/>
    <n v="22875"/>
  </r>
  <r>
    <s v="SFMyCP"/>
    <x v="0"/>
    <m/>
    <x v="0"/>
    <s v="TELEVISION DIGITAL ABIERTA"/>
    <s v="CIARA"/>
    <m/>
    <s v="POSTPRODUCCIÓN"/>
    <s v="EDICION"/>
    <s v="CABILDO 65"/>
    <s v="CABILDO 65"/>
    <s v="PIETRACCONNE MARIANELLA"/>
    <s v="DNI"/>
    <n v="31953814"/>
    <s v="27319538149"/>
    <d v="1985-11-29T00:00:00"/>
    <m/>
    <m/>
    <m/>
    <m/>
    <x v="0"/>
    <x v="0"/>
    <d v="2014-05-05T00:00:00"/>
    <m/>
    <d v="2016-12-31T00:00:00"/>
    <m/>
    <s v="UNTREF"/>
    <m/>
    <n v="22151"/>
  </r>
  <r>
    <s v="SFMyCP"/>
    <x v="0"/>
    <m/>
    <x v="0"/>
    <s v="TELEVISION DIGITAL ABIERTA"/>
    <s v="CIARA"/>
    <m/>
    <s v="POSTPRODUCCIÓN"/>
    <s v="EDICION"/>
    <s v="CABILDO 65"/>
    <s v="CABILDO 65"/>
    <s v="PINASCO LUIS"/>
    <s v="DNI"/>
    <n v="92566818"/>
    <s v="20925668185"/>
    <d v="1960-03-24T00:00:00"/>
    <m/>
    <m/>
    <m/>
    <m/>
    <x v="0"/>
    <x v="0"/>
    <d v="2013-04-13T00:00:00"/>
    <m/>
    <d v="2016-12-31T00:00:00"/>
    <m/>
    <s v="UNTREF"/>
    <s v="UNSAM- LADA"/>
    <n v="24060"/>
  </r>
  <r>
    <s v="SFMyCP"/>
    <x v="0"/>
    <m/>
    <x v="9"/>
    <m/>
    <m/>
    <m/>
    <s v="PRIVADA"/>
    <s v="ADMINISTRATIVO"/>
    <m/>
    <s v="CCK - Alem 351"/>
    <s v="PINEDA RUGELES FEILPE"/>
    <s v="DNI"/>
    <n v="93959605"/>
    <s v="20939596055"/>
    <d v="1983-04-13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PRESIDENCIA"/>
    <m/>
    <s v="PRODUCCIÓN"/>
    <s v="PRODUCTOR de EXTERIORES"/>
    <s v="CABILDO 65"/>
    <s v="CABILDO 65"/>
    <s v="PINELLA JUAN"/>
    <s v="DNI"/>
    <n v="31039670"/>
    <s v="20310396703"/>
    <d v="1984-10-10T00:00:00"/>
    <m/>
    <m/>
    <m/>
    <m/>
    <x v="0"/>
    <x v="0"/>
    <d v="2013-05-01T00:00:00"/>
    <m/>
    <d v="2016-12-31T00:00:00"/>
    <m/>
    <s v="UNTREF"/>
    <m/>
    <n v="24060"/>
  </r>
  <r>
    <s v="SFMyCP"/>
    <x v="0"/>
    <s v="SUBSEC CENTROS TEMATICOS Y EXP FEDERALES"/>
    <x v="1"/>
    <s v="INSTITUCIONALES"/>
    <s v="VISITAS GUIADAS"/>
    <m/>
    <m/>
    <s v="VISITAS GUIADAS"/>
    <m/>
    <s v="CCK - Alem 351"/>
    <s v="PIORNO GASTÓN"/>
    <s v="DNI"/>
    <n v="35402655"/>
    <n v="20354026555"/>
    <d v="1990-07-27T00:00:00"/>
    <m/>
    <m/>
    <m/>
    <m/>
    <x v="0"/>
    <x v="0"/>
    <d v="2016-06-01T00:00:00"/>
    <m/>
    <d v="2016-12-31T00:00:00"/>
    <m/>
    <s v="UNTREF"/>
    <m/>
    <m/>
  </r>
  <r>
    <s v="SFMyCP"/>
    <x v="1"/>
    <m/>
    <x v="2"/>
    <m/>
    <m/>
    <m/>
    <s v="PRIVADA"/>
    <s v="ADMINISTRATIVO"/>
    <m/>
    <s v="CCK - Alem 351"/>
    <s v="PIQUET, MARINA LORENA"/>
    <s v="DNI"/>
    <n v="23608875"/>
    <s v="27236088753"/>
    <d v="1974-03-02T00:00:00"/>
    <m/>
    <m/>
    <m/>
    <m/>
    <x v="0"/>
    <x v="0"/>
    <d v="2016-01-01T00:00:00"/>
    <m/>
    <d v="2016-12-31T00:00:00"/>
    <m/>
    <s v="UNTREF"/>
    <s v="UNSAM"/>
    <n v="27000"/>
  </r>
  <r>
    <s v="SFMyCP"/>
    <x v="0"/>
    <s v="SUBSEC CENTROS TEMATICOS Y EXP FEDERALES"/>
    <x v="3"/>
    <s v="INTENDENCIA- PARQUIZACION"/>
    <m/>
    <m/>
    <m/>
    <m/>
    <s v="TECNÓPOLIS"/>
    <m/>
    <s v="PIRRI FRANCISCO VICENTE"/>
    <s v="DNI"/>
    <n v="92521410"/>
    <n v="20925214109"/>
    <m/>
    <m/>
    <m/>
    <m/>
    <m/>
    <x v="1"/>
    <x v="1"/>
    <d v="2012-10-01T00:00:00"/>
    <d v="2016-12-31T00:00:00"/>
    <d v="2016-12-31T00:00:00"/>
    <s v="C0"/>
    <m/>
    <m/>
    <n v="29781"/>
  </r>
  <r>
    <s v="SFMyCP"/>
    <x v="0"/>
    <m/>
    <x v="0"/>
    <s v="TELEVISION DIGITAL ABIERTA"/>
    <s v="CIARA"/>
    <m/>
    <s v="ACUA MAYOR"/>
    <m/>
    <s v="CABILDO 65"/>
    <m/>
    <s v="PISTOIA AGUSTINA INES"/>
    <s v="DNI"/>
    <n v="30885489"/>
    <n v="27308854898"/>
    <m/>
    <m/>
    <m/>
    <m/>
    <m/>
    <x v="1"/>
    <x v="1"/>
    <d v="2012-12-01T00:00:00"/>
    <d v="2016-12-31T00:00:00"/>
    <d v="2016-12-31T00:00:00"/>
    <s v="B1"/>
    <m/>
    <m/>
    <n v="18000"/>
  </r>
  <r>
    <s v="SFMyCP"/>
    <x v="0"/>
    <m/>
    <x v="0"/>
    <s v="TELEVISION DIGITAL ABIERTA"/>
    <s v="CIARA"/>
    <m/>
    <s v="PROGRAMA POLOS AUDIOVISUALES TECNOLÓGICOS"/>
    <m/>
    <s v="CABILDO 65"/>
    <m/>
    <s v="PIWOWARSKI GABRIELA SUSANA"/>
    <s v="DNI"/>
    <n v="16977688"/>
    <n v="27169776887"/>
    <m/>
    <m/>
    <m/>
    <m/>
    <m/>
    <x v="1"/>
    <x v="1"/>
    <d v="2014-10-01T00:00:00"/>
    <d v="2016-03-31T00:00:00"/>
    <d v="2016-12-31T00:00:00"/>
    <s v="C0"/>
    <m/>
    <m/>
    <n v="11730"/>
  </r>
  <r>
    <s v="SFMyCP"/>
    <x v="0"/>
    <s v="SUBSEC CENTROS TEMATICOS Y EXP FEDERALES"/>
    <x v="3"/>
    <s v="OPERATIVA"/>
    <m/>
    <m/>
    <m/>
    <m/>
    <s v="TECNÓPOLIS"/>
    <m/>
    <s v="PIZZI JUAN JOSE"/>
    <s v="DNI"/>
    <n v="17083297"/>
    <n v="20170832974"/>
    <m/>
    <m/>
    <m/>
    <m/>
    <m/>
    <x v="1"/>
    <x v="1"/>
    <d v="2012-10-31T00:00:00"/>
    <d v="2016-12-31T00:00:00"/>
    <d v="2016-12-31T00:00:00"/>
    <s v="C0"/>
    <m/>
    <m/>
    <n v="21121.22"/>
  </r>
  <r>
    <s v="SFMyCP"/>
    <x v="0"/>
    <s v="SUBSEC CENTROS TEMATICOS Y EXP FEDERALES"/>
    <x v="3"/>
    <s v="ADMINISTRACION- RRHH"/>
    <m/>
    <m/>
    <s v="ADMINISTRATIVO"/>
    <m/>
    <s v="TECNÓPOLIS"/>
    <m/>
    <s v="PLAUL MAXIMILIANO ADRIAN"/>
    <s v="DNI"/>
    <n v="37162434"/>
    <n v="20371624342"/>
    <m/>
    <m/>
    <m/>
    <m/>
    <m/>
    <x v="1"/>
    <x v="1"/>
    <d v="2012-11-30T00:00:00"/>
    <d v="2016-12-31T00:00:00"/>
    <d v="2016-12-31T00:00:00"/>
    <s v="D0"/>
    <m/>
    <m/>
    <n v="26079"/>
  </r>
  <r>
    <s v="SFMyCP"/>
    <x v="0"/>
    <s v="SUBSEC CENTROS TEMATICOS Y EXP FEDERALES"/>
    <x v="1"/>
    <s v="COMUNICACIÓN"/>
    <s v="PRENSA"/>
    <m/>
    <m/>
    <s v="ADMINISTRATIVO"/>
    <s v="CCK"/>
    <s v="CCK - Alem 351"/>
    <s v="POLLINI, MARGARITA"/>
    <s v="DNI"/>
    <n v="25121660"/>
    <s v="27251216601"/>
    <d v="1976-01-13T00:00:00"/>
    <m/>
    <m/>
    <m/>
    <m/>
    <x v="0"/>
    <x v="0"/>
    <d v="2016-02-01T00:00:00"/>
    <m/>
    <d v="2016-12-31T00:00:00"/>
    <m/>
    <s v="UNTREF"/>
    <s v="UNSAM"/>
    <n v="15000"/>
  </r>
  <r>
    <s v="SFMyCP"/>
    <x v="0"/>
    <s v="SUBSEC CENTROS TEMATICOS Y EXP FEDERALES"/>
    <x v="3"/>
    <s v="OPERATIVA"/>
    <m/>
    <m/>
    <m/>
    <m/>
    <s v="TECNÓPOLIS"/>
    <m/>
    <s v="POMMARES PABLO IGNACIO"/>
    <s v="DNI"/>
    <n v="32456433"/>
    <n v="20324564331"/>
    <m/>
    <m/>
    <m/>
    <m/>
    <m/>
    <x v="1"/>
    <x v="1"/>
    <d v="2012-07-01T00:00:00"/>
    <d v="2016-12-31T00:00:00"/>
    <d v="2016-12-31T00:00:00"/>
    <s v="D0"/>
    <m/>
    <m/>
    <n v="15839.72"/>
  </r>
  <r>
    <s v="SFMyCP"/>
    <x v="0"/>
    <s v="SUBSEC CENTROS TEMATICOS Y EXP FEDERALES"/>
    <x v="1"/>
    <s v="INSTITUCIONALES"/>
    <s v="TECNICA"/>
    <m/>
    <m/>
    <s v="asistente funcional"/>
    <m/>
    <s v="CCK - Alem 351"/>
    <s v="PONCE MARIA AGUSTINA"/>
    <s v="DNI"/>
    <n v="29718936"/>
    <n v="27297189366"/>
    <d v="1982-10-31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INTENDENCIA - TALLERES"/>
    <m/>
    <m/>
    <m/>
    <s v="CARPINTERO"/>
    <s v="TECNÓPOLIS"/>
    <s v="TECNOPOLIS"/>
    <s v="PONCE RAMON"/>
    <s v="DNI"/>
    <n v="28713736"/>
    <s v="20287137363"/>
    <d v="1981-04-22T00:00:00"/>
    <m/>
    <m/>
    <m/>
    <m/>
    <x v="0"/>
    <x v="0"/>
    <d v="2011-07-01T00:00:00"/>
    <m/>
    <d v="2016-12-31T00:00:00"/>
    <m/>
    <s v="UNTREF"/>
    <s v="UNTREF"/>
    <n v="11449.4"/>
  </r>
  <r>
    <s v="SFMyCP"/>
    <x v="1"/>
    <m/>
    <x v="5"/>
    <s v="PLANIF  Y ADM DE REC HUMANOS"/>
    <s v="S. GENERALES - AUTOMOTORES"/>
    <s v="AUTOMOTORES"/>
    <s v="CHOFER"/>
    <m/>
    <s v="CCK"/>
    <m/>
    <s v="PORTO OSVALDO "/>
    <s v="DNI"/>
    <n v="13072833"/>
    <n v="20130728333"/>
    <m/>
    <m/>
    <m/>
    <m/>
    <m/>
    <x v="1"/>
    <x v="1"/>
    <d v="2014-12-01T00:00:00"/>
    <d v="2016-03-31T00:00:00"/>
    <d v="2016-12-31T00:00:00"/>
    <s v="D0"/>
    <m/>
    <m/>
    <n v="18000"/>
  </r>
  <r>
    <s v="SFMyCP"/>
    <x v="0"/>
    <m/>
    <x v="0"/>
    <s v="TELEVISION DIGITAL ABIERTA"/>
    <s v="CIARA"/>
    <m/>
    <s v="CONTENIDOS DIGITALES ABIERTOS CDA"/>
    <s v="ADMINISTRATIVO"/>
    <s v="CABILDO 65"/>
    <s v="CABILDO 65"/>
    <s v="PRESS ANA"/>
    <s v="DNI"/>
    <n v="25216896"/>
    <s v="27252168961"/>
    <d v="1976-02-26T00:00:00"/>
    <m/>
    <m/>
    <m/>
    <m/>
    <x v="0"/>
    <x v="0"/>
    <d v="2012-01-01T00:00:00"/>
    <m/>
    <d v="2016-12-31T00:00:00"/>
    <m/>
    <s v="UNTREF"/>
    <s v="UNSAM- LADA"/>
    <n v="17849"/>
  </r>
  <r>
    <s v="SFMyCP"/>
    <x v="0"/>
    <s v="SUBSEC CENTROS TEMATICOS Y EXP FEDERALES"/>
    <x v="1"/>
    <s v="INSTITUCIONALES"/>
    <m/>
    <m/>
    <m/>
    <m/>
    <m/>
    <m/>
    <s v="PRIETO ESTEBAN"/>
    <s v="DNI"/>
    <n v="27329367"/>
    <n v="20273293672"/>
    <m/>
    <m/>
    <m/>
    <m/>
    <m/>
    <x v="1"/>
    <x v="1"/>
    <d v="2013-12-01T00:00:00"/>
    <d v="2016-03-31T00:00:00"/>
    <d v="2016-12-31T00:00:00"/>
    <s v="C2"/>
    <m/>
    <m/>
    <n v="12142"/>
  </r>
  <r>
    <s v="SFMyCP"/>
    <x v="0"/>
    <m/>
    <x v="8"/>
    <s v="COMUNICACIÓN"/>
    <m/>
    <m/>
    <m/>
    <m/>
    <s v="CCK"/>
    <s v="CCK - Alem 351"/>
    <s v="PROIETTO INGRID MARIA LOURDES"/>
    <s v="DNI"/>
    <n v="21833580"/>
    <n v="27218335808"/>
    <m/>
    <m/>
    <m/>
    <m/>
    <m/>
    <x v="1"/>
    <x v="1"/>
    <d v="2012-11-30T00:00:00"/>
    <d v="2016-12-31T00:00:00"/>
    <d v="2016-12-31T00:00:00"/>
    <s v="C0"/>
    <m/>
    <m/>
    <n v="29800.97"/>
  </r>
  <r>
    <s v="SFMyCP"/>
    <x v="0"/>
    <s v="SUBSEC CENTROS TEMATICOS Y EXP FEDERALES"/>
    <x v="3"/>
    <m/>
    <m/>
    <m/>
    <s v="PRIVADA"/>
    <s v="ADMINISTRATIVO"/>
    <m/>
    <s v="TECNOPOLIS"/>
    <s v="PUCCIARELLI ROMINA"/>
    <s v="DNI"/>
    <n v="32805681"/>
    <n v="27328056815"/>
    <d v="1987-10-15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1"/>
    <s v="DIRECCION DE GESTION EDILICIA"/>
    <s v="TDA"/>
    <m/>
    <s v="ciara"/>
    <m/>
    <m/>
    <m/>
    <s v="QUINTANA CARLOS ANTONIO"/>
    <s v="DNI"/>
    <n v="18528740"/>
    <n v="20185287409"/>
    <m/>
    <m/>
    <m/>
    <m/>
    <m/>
    <x v="2"/>
    <x v="1"/>
    <d v="2013-12-01T00:00:00"/>
    <m/>
    <d v="2016-12-31T00:00:00"/>
    <s v="D0"/>
    <m/>
    <m/>
    <m/>
  </r>
  <r>
    <s v="SFMyCP"/>
    <x v="1"/>
    <m/>
    <x v="5"/>
    <s v="INFORMATICA Y SISTEMAS"/>
    <m/>
    <m/>
    <s v="Analista"/>
    <s v="Analista"/>
    <s v="CCK"/>
    <s v="CCK - Alem 351"/>
    <s v="QUINTANA JUAN MARTIN"/>
    <s v="DNI"/>
    <n v="36547045"/>
    <s v="20365470457"/>
    <d v="1991-09-26T00:00:00"/>
    <m/>
    <m/>
    <m/>
    <m/>
    <x v="0"/>
    <x v="0"/>
    <d v="2014-06-23T00:00:00"/>
    <m/>
    <d v="2016-12-31T00:00:00"/>
    <m/>
    <s v="UNTREF"/>
    <s v="UNLAM- INFO"/>
    <n v="8981"/>
  </r>
  <r>
    <s v="SFMyCP"/>
    <x v="0"/>
    <s v="SUBSEC CENTROS TEMATICOS Y EXP FEDERALES"/>
    <x v="3"/>
    <s v="COMUNICACIÓN"/>
    <m/>
    <m/>
    <s v="ADMINISTRATIVO"/>
    <m/>
    <s v="TECNÓPOLIS"/>
    <m/>
    <s v="QUIÑOÑEZ CECILIA ANDREA"/>
    <s v="DNI"/>
    <n v="36482574"/>
    <n v="27364825744"/>
    <m/>
    <m/>
    <m/>
    <m/>
    <m/>
    <x v="1"/>
    <x v="1"/>
    <d v="2013-07-01T00:00:00"/>
    <d v="2016-03-31T00:00:00"/>
    <d v="2016-12-31T00:00:00"/>
    <s v="C0"/>
    <m/>
    <m/>
    <n v="13084.78"/>
  </r>
  <r>
    <s v="SFMyCP"/>
    <x v="0"/>
    <s v="SUBSEC CENTROS TEMATICOS Y EXP FEDERALES"/>
    <x v="3"/>
    <s v="INTENDENCIA- PARQUIZACION"/>
    <m/>
    <m/>
    <m/>
    <m/>
    <s v="TECNÓPOLIS"/>
    <m/>
    <s v="QUIÑOÑEZ DAHIANA"/>
    <s v="DNI"/>
    <n v="93978389"/>
    <n v="27939783895"/>
    <m/>
    <m/>
    <m/>
    <m/>
    <m/>
    <x v="1"/>
    <x v="1"/>
    <d v="2012-06-01T00:00:00"/>
    <d v="2016-12-31T00:00:00"/>
    <d v="2016-12-31T00:00:00"/>
    <s v="C0"/>
    <m/>
    <m/>
    <n v="13084"/>
  </r>
  <r>
    <s v="SFMyCP"/>
    <x v="0"/>
    <s v="SUBSEC CENTROS TEMATICOS Y EXP FEDERALES"/>
    <x v="3"/>
    <s v="INTENDENCIA - FERIAL"/>
    <m/>
    <m/>
    <m/>
    <s v="MANTENIMIENTO"/>
    <s v="TECNÓPOLIS"/>
    <s v="TECNOPOLIS"/>
    <s v="QUIROGA WALTER DAMIAN"/>
    <s v="DNI"/>
    <n v="34738374"/>
    <s v="24347383747"/>
    <d v="1989-08-19T00:00:00"/>
    <m/>
    <m/>
    <m/>
    <m/>
    <x v="0"/>
    <x v="0"/>
    <d v="2013-06-01T00:00:00"/>
    <m/>
    <d v="2016-12-31T00:00:00"/>
    <m/>
    <s v="UNTREF"/>
    <s v="UNTREF"/>
    <n v="11449.4"/>
  </r>
  <r>
    <s v="SFMyCP"/>
    <x v="0"/>
    <s v="SUBSEC CENTROS TEMATICOS Y EXP FEDERALES"/>
    <x v="1"/>
    <m/>
    <m/>
    <m/>
    <m/>
    <s v="ADMINISTRATIVO"/>
    <m/>
    <s v="CCK - Alem 351"/>
    <s v="RABELLINO NESTOR OSCAR"/>
    <s v="DNI"/>
    <n v="11530452"/>
    <n v="20115304527"/>
    <d v="1955-02-03T00:00:00"/>
    <m/>
    <m/>
    <m/>
    <m/>
    <x v="0"/>
    <x v="0"/>
    <d v="2016-04-01T00:00:00"/>
    <m/>
    <d v="2016-12-31T00:00:00"/>
    <m/>
    <s v="UNTREF"/>
    <m/>
    <m/>
  </r>
  <r>
    <s v="SFMyCP"/>
    <x v="1"/>
    <m/>
    <x v="5"/>
    <s v="PRESUPUESTO"/>
    <m/>
    <m/>
    <m/>
    <s v="ADMINISTRATIVO"/>
    <m/>
    <s v="CCK - Alem 351"/>
    <s v="RAMIRES MARIA PAULA"/>
    <s v="DNI"/>
    <n v="30643205"/>
    <n v="27306432058"/>
    <d v="1985-05-01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s v="ADMINISTRACION"/>
    <m/>
    <m/>
    <s v="ADMINISTRATIVO"/>
    <m/>
    <s v="TECNÓPOLIS"/>
    <m/>
    <s v="RAMIREZ Brain Esteban"/>
    <s v="DNI"/>
    <n v="35532252"/>
    <n v="20355322522"/>
    <m/>
    <m/>
    <m/>
    <m/>
    <m/>
    <x v="1"/>
    <x v="1"/>
    <d v="2014-05-01T00:00:00"/>
    <d v="2016-03-31T00:00:00"/>
    <d v="2016-12-31T00:00:00"/>
    <s v="D1"/>
    <m/>
    <m/>
    <n v="14558"/>
  </r>
  <r>
    <s v="SFMyCP"/>
    <x v="0"/>
    <s v="SUBSEC CENTROS TEMATICOS Y EXP FEDERALES"/>
    <x v="3"/>
    <m/>
    <m/>
    <m/>
    <s v="PRIVADA"/>
    <s v="ADMINISTRATIVO"/>
    <s v="TECNÓPOLIS"/>
    <s v="TECNOPOLIS"/>
    <s v="RAMIREZ JOSÉ"/>
    <s v="DNI"/>
    <n v="25824447"/>
    <s v="20258244479"/>
    <d v="1977-05-09T00:00:00"/>
    <m/>
    <m/>
    <m/>
    <m/>
    <x v="0"/>
    <x v="0"/>
    <d v="2016-01-01T00:00:00"/>
    <m/>
    <d v="2016-12-31T00:00:00"/>
    <m/>
    <s v="UNTREF"/>
    <s v="UNSAM"/>
    <n v="10000"/>
  </r>
  <r>
    <s v="SFMyCP"/>
    <x v="0"/>
    <m/>
    <x v="0"/>
    <s v="TELEVISION DIGITAL ABIERTA"/>
    <s v="CIARA"/>
    <m/>
    <s v="CONTENIDOS DIGITALES ABIERTOS CDA"/>
    <s v="ADMINISTRATIVO"/>
    <s v="CABILDO 65"/>
    <s v="CABILDO 65"/>
    <s v="RAMON BADIA JAZMIN"/>
    <s v="DNI"/>
    <n v="33443159"/>
    <s v="27334431598"/>
    <d v="1987-11-18T00:00:00"/>
    <m/>
    <m/>
    <m/>
    <m/>
    <x v="0"/>
    <x v="0"/>
    <d v="2012-06-01T00:00:00"/>
    <m/>
    <d v="2016-12-31T00:00:00"/>
    <m/>
    <s v="UNTREF"/>
    <s v="UNSAM- LADA"/>
    <n v="19353"/>
  </r>
  <r>
    <s v="SFMyCP"/>
    <x v="0"/>
    <s v="SUBSEC CENTROS TEMATICOS Y EXP FEDERALES"/>
    <x v="3"/>
    <s v="COOPERATIVAS"/>
    <m/>
    <m/>
    <s v="Tareas Generales"/>
    <s v="MANTENIMIENTO DE ESPACIOS VERDES"/>
    <s v="TECNÓPOLIS"/>
    <m/>
    <s v="RAMON GLADYS"/>
    <s v="DNI"/>
    <n v="20854162"/>
    <n v="27208541620"/>
    <m/>
    <m/>
    <m/>
    <m/>
    <m/>
    <x v="0"/>
    <x v="2"/>
    <m/>
    <m/>
    <d v="2016-12-31T00:00:00"/>
    <m/>
    <s v="UNTREF"/>
    <s v="UNTREF"/>
    <n v="4700"/>
  </r>
  <r>
    <s v="SFMyCP"/>
    <x v="0"/>
    <s v="SUBSEC CENTROS TEMATICOS Y EXP FEDERALES"/>
    <x v="3"/>
    <s v="INTENDENCIA- PARQUIZACION"/>
    <m/>
    <m/>
    <m/>
    <s v="MANTENIMIENTO DE ESPACIOS VERDES"/>
    <s v="TECNÓPOLIS"/>
    <s v="TECNOPOLIS"/>
    <s v="RAMON JOSE HUMBERTO"/>
    <s v="DNI"/>
    <n v="25204241"/>
    <s v="20252042416"/>
    <d v="1976-06-16T00:00:00"/>
    <m/>
    <m/>
    <m/>
    <m/>
    <x v="0"/>
    <x v="0"/>
    <d v="2014-10-01T00:00:00"/>
    <m/>
    <d v="2016-12-31T00:00:00"/>
    <m/>
    <s v="UNTREF"/>
    <s v="UNTREF"/>
    <n v="9995.51"/>
  </r>
  <r>
    <s v="SFMyCP"/>
    <x v="1"/>
    <m/>
    <x v="5"/>
    <s v="PLANIF  Y ADM DE REC HUMANOS"/>
    <s v="S. GENERALES - AUTOMOTORES"/>
    <s v="AUTOMOTORES"/>
    <s v="CHOFER"/>
    <m/>
    <s v="CCK"/>
    <m/>
    <s v="RAMOS  JUAN CARLOS"/>
    <s v="DNI"/>
    <n v="29477026"/>
    <n v="20294770268"/>
    <m/>
    <m/>
    <m/>
    <m/>
    <m/>
    <x v="1"/>
    <x v="1"/>
    <d v="2014-12-01T00:00:00"/>
    <d v="2016-03-31T00:00:00"/>
    <d v="2016-12-31T00:00:00"/>
    <s v="D0"/>
    <m/>
    <m/>
    <n v="18000"/>
  </r>
  <r>
    <s v="SFMyCP"/>
    <x v="1"/>
    <m/>
    <x v="5"/>
    <s v="COMPRAS Y CONTRATACIONES"/>
    <m/>
    <m/>
    <s v="Analista"/>
    <s v="ADMINISTRATIVO"/>
    <m/>
    <s v="CCK - Alem 351"/>
    <s v="RAMOS MIRIAM"/>
    <s v="DNI"/>
    <n v="45735293"/>
    <s v="27457352935"/>
    <d v="1995-06-28T00:00:00"/>
    <m/>
    <m/>
    <m/>
    <m/>
    <x v="0"/>
    <x v="0"/>
    <d v="2016-05-02T00:00:00"/>
    <m/>
    <d v="2016-12-31T00:00:00"/>
    <m/>
    <s v="UNTREF"/>
    <m/>
    <s v="."/>
  </r>
  <r>
    <s v="SFMyCP"/>
    <x v="0"/>
    <m/>
    <x v="0"/>
    <s v="INV. AP. RECURSOS DIGITALES"/>
    <s v="CTRO INV PALPALA"/>
    <m/>
    <s v="DESARROLLOS"/>
    <s v="ANALISTA"/>
    <s v="PALPALÁ-JUJUY"/>
    <s v="PALPALÁ-JUJUY"/>
    <s v="RAMOS RAFAEL ALDO"/>
    <s v="DNI"/>
    <n v="31442888"/>
    <n v="23314428889"/>
    <d v="1985-02-22T00:00:00"/>
    <m/>
    <m/>
    <m/>
    <m/>
    <x v="0"/>
    <x v="0"/>
    <d v="2015-09-01T00:00:00"/>
    <m/>
    <d v="2016-12-31T00:00:00"/>
    <m/>
    <s v="UNTREF"/>
    <s v="UNSAM"/>
    <n v="11500"/>
  </r>
  <r>
    <s v="SFMyCP"/>
    <x v="0"/>
    <m/>
    <x v="0"/>
    <s v="TELEVISION DIGITAL ABIERTA"/>
    <s v="PRESIDENCIA"/>
    <m/>
    <s v="POSTPRODUCCIÓN"/>
    <s v="ADMINISTRATIVO"/>
    <s v="CABILDO 65"/>
    <s v="CABILDO 65"/>
    <s v="RAMPELINI DIEGO"/>
    <s v="DNI"/>
    <n v="26621205"/>
    <s v="20266212055"/>
    <d v="1978-06-19T00:00:00"/>
    <m/>
    <m/>
    <m/>
    <m/>
    <x v="0"/>
    <x v="0"/>
    <d v="2015-04-01T00:00:00"/>
    <m/>
    <d v="2016-12-31T00:00:00"/>
    <m/>
    <s v="UNTREF"/>
    <m/>
    <n v="24060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REBOLLO JORGE FERNANDO"/>
    <s v="DNI"/>
    <n v="92820166"/>
    <s v="20928201660"/>
    <d v="1977-03-22T00:00:00"/>
    <m/>
    <m/>
    <m/>
    <m/>
    <x v="0"/>
    <x v="0"/>
    <d v="2011-07-01T00:00:00"/>
    <m/>
    <d v="2016-12-31T00:00:00"/>
    <m/>
    <s v="UNTREF"/>
    <s v="UNTREF"/>
    <n v="11499.3"/>
  </r>
  <r>
    <s v="SFMyCP"/>
    <x v="0"/>
    <m/>
    <x v="0"/>
    <s v="TELEVISION DIGITAL ABIERTA"/>
    <s v="CIARA"/>
    <m/>
    <s v="POSTPRODUCCIÓN"/>
    <s v="EDICION"/>
    <s v="CABILDO 65"/>
    <s v="CABILDO 65"/>
    <s v="REFOJOS MARIANO"/>
    <s v="DNI"/>
    <n v="31009104"/>
    <s v="23310091049"/>
    <d v="1984-01-05T00:00:00"/>
    <m/>
    <m/>
    <m/>
    <m/>
    <x v="0"/>
    <x v="0"/>
    <d v="2011-03-01T00:00:00"/>
    <m/>
    <d v="2016-12-31T00:00:00"/>
    <m/>
    <s v="UNTREF"/>
    <m/>
    <n v="19353"/>
  </r>
  <r>
    <s v="SFMyCP"/>
    <x v="1"/>
    <m/>
    <x v="5"/>
    <s v="INFORMATICA Y SISTEMAS"/>
    <m/>
    <m/>
    <s v="Analista"/>
    <m/>
    <s v="CCK"/>
    <m/>
    <s v="REPETTI ARIEL"/>
    <s v="DNI"/>
    <n v="27738544"/>
    <n v="23277385449"/>
    <m/>
    <m/>
    <m/>
    <m/>
    <m/>
    <x v="1"/>
    <x v="1"/>
    <d v="2013-09-01T00:00:00"/>
    <d v="2016-03-31T00:00:00"/>
    <d v="2016-12-31T00:00:00"/>
    <s v="C0"/>
    <m/>
    <m/>
    <n v="11730"/>
  </r>
  <r>
    <s v="SFMyCP"/>
    <x v="0"/>
    <s v="SUBSEC CENTROS TEMATICOS Y EXP FEDERALES"/>
    <x v="1"/>
    <s v="DIRECCION DE GESTION EDILICIA"/>
    <s v="EQUIPO CONTROL Y PLANIFICACION"/>
    <m/>
    <s v="INVESTIGACION APLICADA"/>
    <s v="ADMINISTRATIVO"/>
    <s v="CCK"/>
    <s v="CCK - Alem 351"/>
    <s v="RESTUCCIO MARCELO"/>
    <s v="DNI"/>
    <n v="24946722"/>
    <s v="20249467228"/>
    <d v="1975-12-03T00:00:00"/>
    <m/>
    <m/>
    <m/>
    <m/>
    <x v="0"/>
    <x v="0"/>
    <d v="2015-06-01T00:00:00"/>
    <m/>
    <d v="2016-12-31T00:00:00"/>
    <m/>
    <s v="UNTREF"/>
    <s v="UNSAM"/>
    <n v="30145"/>
  </r>
  <r>
    <s v="SFMyCP"/>
    <x v="0"/>
    <m/>
    <x v="4"/>
    <s v="PROYECTOS ESPECIALES"/>
    <m/>
    <m/>
    <s v="PRIVADA"/>
    <s v="ADMINISTRATIVO"/>
    <m/>
    <s v="CCK - Alem 351"/>
    <s v="REY MARIA ELENA"/>
    <s v="DNI"/>
    <n v="33275553"/>
    <s v="27332755531"/>
    <d v="1987-07-25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INTENDENCIA - TALLERES"/>
    <m/>
    <m/>
    <m/>
    <s v="MANTENIMIENTO GRAL DEL PARQUE"/>
    <s v="TECNÓPOLIS"/>
    <s v="TECNOPOLIS"/>
    <s v="REYES DAMIAN GUILLERMO"/>
    <s v="DNI"/>
    <n v="29975332"/>
    <s v="20299753329"/>
    <d v="1983-01-16T00:00:00"/>
    <m/>
    <m/>
    <m/>
    <m/>
    <x v="0"/>
    <x v="0"/>
    <d v="2014-06-01T00:00:00"/>
    <m/>
    <d v="2016-12-31T00:00:00"/>
    <m/>
    <s v="UNTREF"/>
    <s v="UNTREF"/>
    <n v="9995.51"/>
  </r>
  <r>
    <s v="SFMyCP"/>
    <x v="0"/>
    <s v="SUBSEC CENTROS TEMATICOS Y EXP FEDERALES"/>
    <x v="1"/>
    <s v="INSTITUCIONALES"/>
    <s v="VISITAS GUIADAS"/>
    <m/>
    <m/>
    <s v="VISITAS GUIADAS"/>
    <m/>
    <s v="CCK - Alem 351"/>
    <s v="REYNELI AGUSTIN"/>
    <s v="DNI"/>
    <n v="37805084"/>
    <n v="20378050848"/>
    <d v="1993-07-21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INSTITUCIONALES"/>
    <s v="VISITAS GUIADAS"/>
    <m/>
    <m/>
    <s v="VISITAS GUIADAS"/>
    <m/>
    <s v="CCK - Alem 351"/>
    <s v="REYNOSO CAMILA ANAHI"/>
    <s v="DNI"/>
    <n v="40946532"/>
    <m/>
    <d v="1998-05-15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1"/>
    <s v="ADMINISTRACION"/>
    <m/>
    <m/>
    <s v="Analista"/>
    <m/>
    <s v="CCK"/>
    <m/>
    <s v="REYNOSO NICHOLAS"/>
    <s v="DNI"/>
    <n v="23126327"/>
    <n v="20231263277"/>
    <m/>
    <m/>
    <m/>
    <m/>
    <m/>
    <x v="1"/>
    <x v="1"/>
    <d v="2010-07-19T00:00:00"/>
    <d v="2016-12-31T00:00:00"/>
    <d v="2016-12-31T00:00:00"/>
    <s v="B1"/>
    <m/>
    <m/>
    <n v="20266"/>
  </r>
  <r>
    <s v="SFMyCP"/>
    <x v="0"/>
    <s v="SUBSEC CENTROS TEMATICOS Y EXP FEDERALES"/>
    <x v="1"/>
    <s v="PRODUCCIÓN"/>
    <m/>
    <m/>
    <m/>
    <s v="ADMINISTRATIVA"/>
    <m/>
    <s v="CCK - Alem 351"/>
    <s v="RICCI LIAJOVETSKY GABRIEL"/>
    <s v="DNI"/>
    <n v="30530974"/>
    <s v="20305309746"/>
    <d v="1984-05-05T00:00:00"/>
    <m/>
    <m/>
    <m/>
    <m/>
    <x v="0"/>
    <x v="0"/>
    <d v="2016-04-01T00:00:00"/>
    <m/>
    <d v="2016-12-31T00:00:00"/>
    <m/>
    <s v="UNTREF"/>
    <m/>
    <n v="20000"/>
  </r>
  <r>
    <s v="SFMyCP"/>
    <x v="0"/>
    <s v="SUBSEC CENTROS TEMATICOS Y EXP FEDERALES"/>
    <x v="1"/>
    <s v="DIRECCION DE GESTION EDILICIA"/>
    <s v="SEGURIDAD  "/>
    <s v="LOGISTICA OPERATIVA"/>
    <s v="Responsable"/>
    <s v="Asistente Técnico Seguridad"/>
    <s v="CCK"/>
    <s v="CCK - Alem 351"/>
    <s v="RICCITELLI MIGUEL ANGEL"/>
    <s v="DNI"/>
    <n v="27257335"/>
    <s v="20272573353"/>
    <d v="1979-05-24T00:00:00"/>
    <m/>
    <m/>
    <m/>
    <m/>
    <x v="0"/>
    <x v="0"/>
    <d v="2015-03-20T00:00:00"/>
    <m/>
    <d v="2016-12-31T00:00:00"/>
    <m/>
    <s v="UNTREF"/>
    <s v="UNLAM- DGA"/>
    <n v="15732"/>
  </r>
  <r>
    <s v="SFMyCP"/>
    <x v="1"/>
    <m/>
    <x v="5"/>
    <s v="PRESUPUESTO"/>
    <m/>
    <m/>
    <s v="ADMINISTRACIÓN"/>
    <m/>
    <s v="CCK"/>
    <m/>
    <s v="RICHINO ADRIAN EZEQUIEL"/>
    <s v="DNI"/>
    <n v="31464052"/>
    <n v="20314640528"/>
    <m/>
    <m/>
    <m/>
    <m/>
    <m/>
    <x v="1"/>
    <x v="1"/>
    <d v="2015-03-01T00:00:00"/>
    <d v="2016-03-31T00:00:00"/>
    <d v="2016-12-31T00:00:00"/>
    <s v="A0"/>
    <m/>
    <m/>
    <n v="27374"/>
  </r>
  <r>
    <s v="SFMyCP"/>
    <x v="1"/>
    <m/>
    <x v="5"/>
    <s v="PRESUPUESTO"/>
    <m/>
    <m/>
    <s v="ADMINISTRACIÓN"/>
    <s v="ADMINISTRATIVO"/>
    <m/>
    <s v="CCK - Alem 351"/>
    <s v="RICHINO LEANDRO"/>
    <s v="DNI"/>
    <n v="35317218"/>
    <s v="20353172183"/>
    <d v="1990-08-07T00:00:00"/>
    <m/>
    <m/>
    <m/>
    <m/>
    <x v="0"/>
    <x v="0"/>
    <m/>
    <m/>
    <d v="2016-12-31T00:00:00"/>
    <m/>
    <s v="UNTREF"/>
    <m/>
    <n v="17101"/>
  </r>
  <r>
    <s v="SFMyCP"/>
    <x v="0"/>
    <m/>
    <x v="0"/>
    <s v="TELEVISION DIGITAL ABIERTA"/>
    <s v="CIARA"/>
    <m/>
    <s v="POSTPRODUCCIÓN"/>
    <s v="EDICION"/>
    <s v="CABILDO 65"/>
    <s v="CABILDO 65"/>
    <s v="RIOS FERNANDO"/>
    <s v="DNI"/>
    <n v="25296801"/>
    <s v="20252968017"/>
    <d v="1976-05-01T00:00:00"/>
    <m/>
    <m/>
    <m/>
    <m/>
    <x v="0"/>
    <x v="0"/>
    <d v="2010-12-13T00:00:00"/>
    <m/>
    <d v="2016-12-31T00:00:00"/>
    <m/>
    <s v="UNTREF"/>
    <m/>
    <n v="24060"/>
  </r>
  <r>
    <s v="SFMyCP"/>
    <x v="0"/>
    <s v="SUBSEC CENTROS TEMATICOS Y EXP FEDERALES"/>
    <x v="3"/>
    <s v="INTENDENCIA - MANTENIMIENTO"/>
    <m/>
    <m/>
    <m/>
    <m/>
    <s v="TECNÓPOLIS"/>
    <m/>
    <s v="RIOS Gustavo Francisco"/>
    <s v="DNI"/>
    <n v="29107451"/>
    <n v="20291074511"/>
    <m/>
    <m/>
    <m/>
    <m/>
    <m/>
    <x v="1"/>
    <x v="1"/>
    <d v="2012-11-30T00:00:00"/>
    <d v="2016-12-31T00:00:00"/>
    <d v="2016-12-31T00:00:00"/>
    <s v="F0"/>
    <m/>
    <m/>
    <n v="12172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RIOS MARIA ISABEL"/>
    <s v="DNI"/>
    <n v="35561305"/>
    <n v="23355613054"/>
    <d v="1990-11-26T00:00:00"/>
    <m/>
    <m/>
    <m/>
    <m/>
    <x v="0"/>
    <x v="2"/>
    <d v="2014-07-01T00:00:00"/>
    <m/>
    <d v="2016-12-31T00:00:00"/>
    <m/>
    <s v="UNTREF"/>
    <s v="UNTREF"/>
    <n v="1700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RIOS NÉSTOR FABIAN"/>
    <s v="DNI"/>
    <n v="17038143"/>
    <n v="20170381433"/>
    <d v="1965-01-20T00:00:00"/>
    <m/>
    <m/>
    <m/>
    <m/>
    <x v="0"/>
    <x v="2"/>
    <m/>
    <m/>
    <d v="2016-12-31T00:00:00"/>
    <m/>
    <s v="UNTREF"/>
    <s v="UNTREF"/>
    <n v="1700"/>
  </r>
  <r>
    <s v="SFMyCP"/>
    <x v="1"/>
    <m/>
    <x v="5"/>
    <s v="INFORMATICA Y SISTEMAS"/>
    <m/>
    <m/>
    <s v="Analista"/>
    <s v="Analista"/>
    <s v="CCK"/>
    <s v="CCK - Alem 351"/>
    <s v="RISSO PATRON FACUNDO"/>
    <s v="DNI"/>
    <n v="22777432"/>
    <s v="20227774321"/>
    <d v="1972-08-29T00:00:00"/>
    <m/>
    <m/>
    <m/>
    <m/>
    <x v="0"/>
    <x v="0"/>
    <d v="2015-05-21T00:00:00"/>
    <m/>
    <d v="2016-12-31T00:00:00"/>
    <m/>
    <s v="UNTREF"/>
    <s v="UNLAM- INFO"/>
    <n v="7700"/>
  </r>
  <r>
    <s v="SFMyCP"/>
    <x v="0"/>
    <s v="SUBSEC CENTROS TEMATICOS Y EXP FEDERALES"/>
    <x v="1"/>
    <s v="INSTITUCIONALES"/>
    <s v="VISITAS GUIADAS"/>
    <m/>
    <m/>
    <s v="VISITAS GUIADAS"/>
    <m/>
    <s v="CCK - Alem 351"/>
    <s v="RIVADENEIRA CAMILA"/>
    <s v="DNI"/>
    <n v="38625956"/>
    <n v="27386259564"/>
    <d v="1995-01-03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3"/>
    <s v="TECNICA"/>
    <m/>
    <m/>
    <m/>
    <m/>
    <s v="TECNÓPOLIS"/>
    <m/>
    <s v="RIVERA Soledad"/>
    <s v="DNI"/>
    <n v="28165475"/>
    <n v="27281654751"/>
    <m/>
    <m/>
    <m/>
    <m/>
    <m/>
    <x v="1"/>
    <x v="1"/>
    <d v="2013-05-01T00:00:00"/>
    <d v="2016-03-31T00:00:00"/>
    <d v="2016-12-31T00:00:00"/>
    <s v="C0"/>
    <m/>
    <m/>
    <n v="29784"/>
  </r>
  <r>
    <s v="SFMyCP"/>
    <x v="0"/>
    <m/>
    <x v="0"/>
    <s v="TELEVISION DIGITAL ABIERTA"/>
    <s v="CIARA"/>
    <m/>
    <s v="CTO"/>
    <s v="MANTENIMIENTO"/>
    <s v="CABILDO 65"/>
    <s v="CABILDO 65"/>
    <s v="ROCA LUIS GASTON"/>
    <s v="DNI"/>
    <n v="36944732"/>
    <s v="20369447328"/>
    <d v="1992-12-07T00:00:00"/>
    <m/>
    <m/>
    <m/>
    <m/>
    <x v="0"/>
    <x v="0"/>
    <d v="2013-07-01T00:00:00"/>
    <m/>
    <d v="2016-12-31T00:00:00"/>
    <m/>
    <s v="UNTREF"/>
    <s v="UNSAM- LADA"/>
    <n v="11466"/>
  </r>
  <r>
    <s v="SFMyCP"/>
    <x v="0"/>
    <m/>
    <x v="0"/>
    <s v="TELEVISION DIGITAL ABIERTA"/>
    <s v="CIARA"/>
    <m/>
    <s v="TÉCNICA Y TRANSMISIÓN"/>
    <s v="ADMINISTRATIVO"/>
    <s v="CABILDO 65"/>
    <s v="CABILDO 65"/>
    <s v="ROCA MANOUKIAN MATIAS"/>
    <s v="DNI"/>
    <n v="35084320"/>
    <s v="20350843206"/>
    <d v="1990-04-27T00:00:00"/>
    <m/>
    <m/>
    <m/>
    <m/>
    <x v="0"/>
    <x v="0"/>
    <d v="2013-03-01T00:00:00"/>
    <m/>
    <d v="2016-12-31T00:00:00"/>
    <m/>
    <s v="UNTREF"/>
    <s v="UNSAM- LADA"/>
    <n v="22890"/>
  </r>
  <r>
    <s v="SFMyCP"/>
    <x v="0"/>
    <m/>
    <x v="4"/>
    <m/>
    <m/>
    <m/>
    <s v="PRIVADA"/>
    <s v="ADMINISTRATIVO"/>
    <m/>
    <s v="CCK - Alem 351"/>
    <s v="RODRGUEZ JULIA"/>
    <s v="DNI"/>
    <n v="30860376"/>
    <n v="27308603763"/>
    <d v="1984-03-02T00:00:00"/>
    <m/>
    <m/>
    <m/>
    <m/>
    <x v="0"/>
    <x v="0"/>
    <d v="2016-04-01T00:00:00"/>
    <m/>
    <d v="2016-12-31T00:00:00"/>
    <m/>
    <s v="UNTREF"/>
    <m/>
    <m/>
  </r>
  <r>
    <s v="SFMyCP"/>
    <x v="0"/>
    <s v="SUBSEC CENTROS TEMATICOS Y EXP FEDERALES"/>
    <x v="3"/>
    <s v="INTENDENCIA - TALLERES"/>
    <m/>
    <m/>
    <m/>
    <s v="COLOCACIÓN DE CARTELERIA/DESARME DE ESTRUCTURAS/MANTENIMIENTO"/>
    <s v="TECNÓPOLIS"/>
    <s v="TECNOPOLIS"/>
    <s v="RODRIGUEZ JONATHAN"/>
    <s v="DNI"/>
    <n v="34782221"/>
    <s v="20347822214"/>
    <d v="1989-02-23T00:00:00"/>
    <m/>
    <m/>
    <m/>
    <m/>
    <x v="0"/>
    <x v="0"/>
    <d v="2011-06-06T00:00:00"/>
    <m/>
    <d v="2016-12-31T00:00:00"/>
    <m/>
    <s v="UNTREF"/>
    <s v="UNTREF"/>
    <n v="12000"/>
  </r>
  <r>
    <s v="SFMyCP"/>
    <x v="0"/>
    <m/>
    <x v="0"/>
    <s v="TELEVISION DIGITAL ABIERTA"/>
    <s v="CIARA"/>
    <m/>
    <s v="PANORAMA ARGENTINO"/>
    <m/>
    <s v="CABILDO 65"/>
    <m/>
    <s v="RODRIGUEZ JORGE ADRIAN"/>
    <s v="DNI"/>
    <n v="30886045"/>
    <n v="20308860451"/>
    <m/>
    <m/>
    <m/>
    <m/>
    <m/>
    <x v="1"/>
    <x v="1"/>
    <d v="2013-12-01T00:00:00"/>
    <d v="2016-03-31T00:00:00"/>
    <d v="2016-12-31T00:00:00"/>
    <s v="B0"/>
    <m/>
    <m/>
    <n v="17505"/>
  </r>
  <r>
    <s v="SFMyCP"/>
    <x v="1"/>
    <m/>
    <x v="5"/>
    <s v="PRESUPUESTO"/>
    <m/>
    <m/>
    <m/>
    <m/>
    <m/>
    <m/>
    <s v="RODRIGUEZ JORGE GUILLERMO"/>
    <s v="DNI"/>
    <n v="28591140"/>
    <m/>
    <m/>
    <m/>
    <m/>
    <m/>
    <m/>
    <x v="1"/>
    <x v="1"/>
    <m/>
    <m/>
    <d v="2016-12-31T00:00:00"/>
    <s v="B1"/>
    <m/>
    <m/>
    <m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RODRIGUEZ JUAN RAMON"/>
    <s v="DNI"/>
    <n v="40843063"/>
    <s v="20408430632"/>
    <d v="1987-09-02T00:00:00"/>
    <m/>
    <m/>
    <m/>
    <m/>
    <x v="0"/>
    <x v="0"/>
    <d v="2014-12-01T00:00:00"/>
    <m/>
    <d v="2016-12-31T00:00:00"/>
    <m/>
    <s v="UNTREF"/>
    <s v="UNTREF"/>
    <n v="11449.4"/>
  </r>
  <r>
    <s v="SFMyCP"/>
    <x v="0"/>
    <m/>
    <x v="4"/>
    <m/>
    <m/>
    <m/>
    <s v="SECRETARIA"/>
    <s v="Secretaria"/>
    <s v="CCK"/>
    <s v="CCK - Alem 351"/>
    <s v="RODRIGUEZ LEILA"/>
    <s v="DNI"/>
    <n v="34265208"/>
    <s v="27342652080"/>
    <d v="1989-02-09T00:00:00"/>
    <m/>
    <m/>
    <m/>
    <m/>
    <x v="0"/>
    <x v="0"/>
    <d v="2015-08-01T00:00:00"/>
    <m/>
    <d v="2016-12-31T00:00:00"/>
    <m/>
    <s v="UNTREF"/>
    <s v="UNLAM -TDA"/>
    <n v="9555"/>
  </r>
  <r>
    <s v="SFMyCP"/>
    <x v="0"/>
    <s v="SUBSEC CENTROS TEMATICOS Y EXP FEDERALES"/>
    <x v="1"/>
    <s v="PRODUCCIÓN"/>
    <m/>
    <m/>
    <m/>
    <s v="ADMINISTRATIVA"/>
    <m/>
    <s v="CCK - Alem 351"/>
    <s v="RODRIGUEZ MIGUEL ANGEL"/>
    <s v="DNI"/>
    <n v="21618345"/>
    <s v="20216183453"/>
    <d v="1970-05-30T00:00:00"/>
    <m/>
    <m/>
    <m/>
    <m/>
    <x v="0"/>
    <x v="0"/>
    <d v="2016-04-01T00:00:00"/>
    <m/>
    <d v="2016-12-31T00:00:00"/>
    <m/>
    <s v="UNTREF"/>
    <m/>
    <n v="20000"/>
  </r>
  <r>
    <s v="SFMyCP"/>
    <x v="0"/>
    <m/>
    <x v="4"/>
    <m/>
    <m/>
    <m/>
    <s v="PRIVADA"/>
    <s v="ADMINISTRATIVO"/>
    <m/>
    <s v="CCK - Alem 351"/>
    <s v="RODRIGUEZ MIGUEL ANGEL"/>
    <s v="DNI"/>
    <n v="11222820"/>
    <n v="23112228209"/>
    <d v="1954-01-29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m/>
    <s v="TÉCNICA Y TRANSMISIÓN"/>
    <s v="ADMINISTRATIVO"/>
    <s v="CABILDO 65"/>
    <s v="CABILDO 65"/>
    <s v="ROIG GUILLERMO"/>
    <s v="DNI"/>
    <n v="18383611"/>
    <s v="20183836111"/>
    <d v="1967-07-27T00:00:00"/>
    <m/>
    <m/>
    <m/>
    <m/>
    <x v="0"/>
    <x v="0"/>
    <d v="2014-05-11T00:00:00"/>
    <m/>
    <d v="2016-12-31T00:00:00"/>
    <m/>
    <s v="UNTREF"/>
    <s v="UNSAM- LADA"/>
    <n v="20959"/>
  </r>
  <r>
    <s v="SFMyCP"/>
    <x v="0"/>
    <s v="SUBSEC CENTROS TEMATICOS Y EXP FEDERALES"/>
    <x v="1"/>
    <s v="DIRECCION DE GESTION EDILICIA"/>
    <s v="SEGURIDAD  "/>
    <m/>
    <s v="Asistente Técnico Seguridad"/>
    <s v="Asistente Técnico Seguridad"/>
    <s v="CCK"/>
    <s v="CCK - Alem 351"/>
    <s v="ROJAS MIRTA"/>
    <s v="DNI"/>
    <n v="20640391"/>
    <s v="27206403913"/>
    <d v="1968-12-27T00:00:00"/>
    <m/>
    <m/>
    <m/>
    <m/>
    <x v="0"/>
    <x v="0"/>
    <d v="2015-07-01T00:00:00"/>
    <m/>
    <d v="2016-12-31T00:00:00"/>
    <m/>
    <s v="UNTREF"/>
    <s v="UNLAM- BICENTENARIO"/>
    <n v="10860"/>
  </r>
  <r>
    <s v="SFMyCP"/>
    <x v="1"/>
    <m/>
    <x v="5"/>
    <s v="INFORMATICA Y SISTEMAS"/>
    <m/>
    <m/>
    <s v="Analista"/>
    <s v="Analista"/>
    <s v="CCK"/>
    <s v="CCK - Alem 351"/>
    <s v="ROJAS SILVIO"/>
    <s v="DNI"/>
    <n v="38522594"/>
    <s v="20385225947"/>
    <d v="1994-09-24T00:00:00"/>
    <m/>
    <m/>
    <m/>
    <m/>
    <x v="0"/>
    <x v="0"/>
    <d v="2015-01-26T00:00:00"/>
    <m/>
    <d v="2016-12-31T00:00:00"/>
    <m/>
    <s v="UNTREF"/>
    <s v="UNLAM- INFO"/>
    <n v="10829"/>
  </r>
  <r>
    <s v="SFMyCP"/>
    <x v="0"/>
    <s v="SUBSEC CENTROS TEMATICOS Y EXP FEDERALES"/>
    <x v="3"/>
    <s v="ADMINISTRACION -LEGALES"/>
    <m/>
    <m/>
    <s v="Administrativo"/>
    <m/>
    <s v="TECNÓPOLIS"/>
    <m/>
    <s v="ROMANO María Natalia"/>
    <s v="DNI"/>
    <n v="22645586"/>
    <n v="27226455863"/>
    <m/>
    <m/>
    <m/>
    <m/>
    <m/>
    <x v="1"/>
    <x v="1"/>
    <d v="2011-05-01T00:00:00"/>
    <d v="2016-12-31T00:00:00"/>
    <d v="2016-12-31T00:00:00"/>
    <s v="B0"/>
    <m/>
    <m/>
    <n v="16757"/>
  </r>
  <r>
    <s v="SFMyCP"/>
    <x v="0"/>
    <s v="SUBSEC CENTROS TEMATICOS Y EXP FEDERALES"/>
    <x v="1"/>
    <s v="DIRECCION"/>
    <m/>
    <m/>
    <s v="Secretaria"/>
    <m/>
    <s v="CCK"/>
    <m/>
    <s v="ROMANO VALENTINA DEL PILAR"/>
    <s v="DNI"/>
    <n v="35216524"/>
    <n v="27352165242"/>
    <m/>
    <m/>
    <m/>
    <m/>
    <m/>
    <x v="1"/>
    <x v="1"/>
    <d v="2009-04-01T00:00:00"/>
    <d v="2016-12-31T00:00:00"/>
    <d v="2016-12-31T00:00:00"/>
    <s v="B1"/>
    <m/>
    <m/>
    <n v="18277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ROMERO CRISTIAN ADRIAN"/>
    <s v="DNI"/>
    <n v="30276696"/>
    <s v="20302766968"/>
    <d v="1983-04-30T00:00:00"/>
    <m/>
    <m/>
    <m/>
    <m/>
    <x v="0"/>
    <x v="0"/>
    <d v="2013-07-01T00:00:00"/>
    <m/>
    <d v="2016-12-31T00:00:00"/>
    <m/>
    <s v="UNTREF"/>
    <s v="UNTREF"/>
    <n v="11499.3"/>
  </r>
  <r>
    <s v="SFMyCP"/>
    <x v="1"/>
    <m/>
    <x v="2"/>
    <m/>
    <m/>
    <m/>
    <s v="PRIVADA"/>
    <s v="ADMINISTRATIVO"/>
    <m/>
    <s v="CCK - Alem 351"/>
    <s v="ROSSI MARIA EVELIA"/>
    <s v="DNI"/>
    <n v="36526530"/>
    <s v="27365265300"/>
    <d v="1991-04-21T00:00:00"/>
    <m/>
    <m/>
    <m/>
    <m/>
    <x v="0"/>
    <x v="0"/>
    <d v="2016-01-01T00:00:00"/>
    <m/>
    <d v="2016-12-31T00:00:00"/>
    <m/>
    <s v="UNTREF"/>
    <m/>
    <n v="15000"/>
  </r>
  <r>
    <s v="SFMyCP"/>
    <x v="0"/>
    <m/>
    <x v="0"/>
    <s v="TELEVISION DIGITAL ABIERTA"/>
    <s v="PRESIDENCIA"/>
    <m/>
    <s v="PRODUCCIÓN"/>
    <s v="PRODUCTOR de EXTERIORES"/>
    <s v="CABILDO 65"/>
    <s v="CABILDO 65"/>
    <s v="RUIZ ANDRES"/>
    <s v="DNI"/>
    <n v="22048883"/>
    <s v="20220488838"/>
    <d v="1971-02-04T00:00:00"/>
    <m/>
    <m/>
    <m/>
    <m/>
    <x v="0"/>
    <x v="0"/>
    <d v="2012-08-01T00:00:00"/>
    <m/>
    <d v="2016-12-31T00:00:00"/>
    <m/>
    <s v="UNTREF"/>
    <m/>
    <n v="24060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RUIZ DIAZ  PEDRO DAMIAN"/>
    <s v="DNI"/>
    <n v="16639040"/>
    <s v="20166390401"/>
    <d v="1963-12-11T00:00:00"/>
    <m/>
    <m/>
    <m/>
    <m/>
    <x v="0"/>
    <x v="0"/>
    <d v="2014-07-01T00:00:00"/>
    <m/>
    <d v="2016-12-31T00:00:00"/>
    <m/>
    <s v="UNTREF"/>
    <s v="UNTREF"/>
    <n v="9995.51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RUIZ LEONARDO EZEQUIEL"/>
    <s v="DNI"/>
    <n v="37350780"/>
    <s v="20373507807"/>
    <d v="1993-09-28T00:00:00"/>
    <m/>
    <m/>
    <m/>
    <m/>
    <x v="0"/>
    <x v="0"/>
    <d v="2014-04-01T00:00:00"/>
    <m/>
    <d v="2016-12-31T00:00:00"/>
    <m/>
    <s v="UNTREF"/>
    <s v="UNTREF"/>
    <n v="9995.51"/>
  </r>
  <r>
    <s v="SFMyCP"/>
    <x v="0"/>
    <m/>
    <x v="6"/>
    <s v="ARTES VISUALES"/>
    <m/>
    <m/>
    <m/>
    <s v="ADMINISTRATIVO"/>
    <m/>
    <s v="CCK - Alem 351"/>
    <s v="RUIZ NATALI MELINA"/>
    <s v="DNI"/>
    <n v="34602138"/>
    <m/>
    <d v="1989-07-02T00:00:00"/>
    <m/>
    <m/>
    <m/>
    <m/>
    <x v="0"/>
    <x v="0"/>
    <d v="2016-07-01T00:00:00"/>
    <m/>
    <d v="2016-12-31T00:00:00"/>
    <m/>
    <s v="UNTREF"/>
    <m/>
    <m/>
  </r>
  <r>
    <s v="SFMyCP"/>
    <x v="1"/>
    <m/>
    <x v="2"/>
    <m/>
    <m/>
    <m/>
    <s v="PRIVADA"/>
    <s v="ADMINISTRATIVO"/>
    <m/>
    <s v="CCK - Alem 351"/>
    <s v="RUIZ NORA"/>
    <s v="DNI"/>
    <n v="6715531"/>
    <s v="27067155314"/>
    <d v="1947-05-05T00:00:00"/>
    <m/>
    <m/>
    <m/>
    <m/>
    <x v="0"/>
    <x v="0"/>
    <d v="2016-01-01T00:00:00"/>
    <m/>
    <d v="2016-12-31T00:00:00"/>
    <m/>
    <s v="UNTREF"/>
    <s v="UNSAM"/>
    <n v="12275"/>
  </r>
  <r>
    <s v="SFMyCP"/>
    <x v="2"/>
    <m/>
    <x v="4"/>
    <m/>
    <m/>
    <m/>
    <m/>
    <s v="ADMINISTRATIVO"/>
    <m/>
    <s v="CCK - Alem 351"/>
    <s v="RUPPERTO BARBARA"/>
    <s v="DNI"/>
    <n v="27203478"/>
    <m/>
    <d v="1979-02-17T00:00:00"/>
    <m/>
    <m/>
    <m/>
    <m/>
    <x v="0"/>
    <x v="0"/>
    <d v="2016-07-01T00:00:00"/>
    <m/>
    <d v="2016-08-31T00:00:00"/>
    <m/>
    <s v="UNTREF"/>
    <m/>
    <m/>
  </r>
  <r>
    <s v="SFMyCP"/>
    <x v="0"/>
    <m/>
    <x v="0"/>
    <s v="TELEVISION DIGITAL ABIERTA"/>
    <s v="CIARA"/>
    <m/>
    <s v="PRODUCCIÓN"/>
    <s v="PRODUCTOR de EXTERIORES"/>
    <s v="CABILDO 65"/>
    <s v="CABILDO 65"/>
    <s v="SAAVEDRA NESTOR"/>
    <s v="DNI"/>
    <n v="16305311"/>
    <s v="20163053110"/>
    <d v="1963-03-17T00:00:00"/>
    <m/>
    <m/>
    <m/>
    <m/>
    <x v="0"/>
    <x v="0"/>
    <d v="2015-03-02T00:00:00"/>
    <m/>
    <d v="2016-12-31T00:00:00"/>
    <m/>
    <s v="UNTREF"/>
    <m/>
    <n v="18795"/>
  </r>
  <r>
    <s v="SFMyCP"/>
    <x v="0"/>
    <m/>
    <x v="0"/>
    <s v="TELEVISION DIGITAL ABIERTA"/>
    <s v="CIARA"/>
    <m/>
    <s v="PRODUCCIÓN"/>
    <s v="PRODUCTOR de EXTERIORES"/>
    <s v="CABILDO 65"/>
    <s v="CABILDO 65"/>
    <s v="SACCO JULIETA"/>
    <s v="DNI"/>
    <n v="28863215"/>
    <s v="23288632154"/>
    <d v="1981-04-24T00:00:00"/>
    <m/>
    <m/>
    <m/>
    <m/>
    <x v="0"/>
    <x v="0"/>
    <d v="2015-04-01T00:00:00"/>
    <m/>
    <d v="2016-12-31T00:00:00"/>
    <m/>
    <s v="UNTREF"/>
    <s v="UNSAM- LADA"/>
    <n v="18795"/>
  </r>
  <r>
    <s v="SFMyCP"/>
    <x v="0"/>
    <s v="SUBSEC CENTROS TEMATICOS Y EXP FEDERALES"/>
    <x v="1"/>
    <s v="PRODUCCIÓN"/>
    <m/>
    <m/>
    <s v="Asistente Técnico"/>
    <s v="ADMINISTRATIVA"/>
    <s v="CCK"/>
    <s v="CCK - Alem 351"/>
    <s v="SADIER EMILIO"/>
    <s v="DNI"/>
    <n v="25330208"/>
    <s v="23253302089"/>
    <d v="1976-05-10T00:00:00"/>
    <m/>
    <m/>
    <m/>
    <m/>
    <x v="0"/>
    <x v="0"/>
    <d v="2014-02-10T00:00:00"/>
    <m/>
    <d v="2016-12-31T00:00:00"/>
    <m/>
    <s v="UNTREF"/>
    <s v="UNSAM"/>
    <n v="13062"/>
  </r>
  <r>
    <s v="SFMyCP"/>
    <x v="0"/>
    <s v="SUBSEC CENTROS TEMATICOS Y EXP FEDERALES"/>
    <x v="3"/>
    <s v="OPERATIVA"/>
    <m/>
    <m/>
    <m/>
    <m/>
    <s v="TECNÓPOLIS"/>
    <m/>
    <s v="SAEZ MARCIAL  Ignacio"/>
    <s v="DNI"/>
    <n v="27217962"/>
    <n v="20272179620"/>
    <m/>
    <m/>
    <m/>
    <m/>
    <m/>
    <x v="1"/>
    <x v="1"/>
    <d v="2011-07-01T00:00:00"/>
    <d v="2016-12-31T00:00:00"/>
    <d v="2016-12-31T00:00:00"/>
    <s v="C0"/>
    <m/>
    <m/>
    <n v="19930"/>
  </r>
  <r>
    <s v="SFMyCP"/>
    <x v="0"/>
    <m/>
    <x v="6"/>
    <s v="ARTES VISUALES"/>
    <m/>
    <m/>
    <m/>
    <m/>
    <m/>
    <m/>
    <s v="SAHADE PABLO"/>
    <s v="DNI"/>
    <n v="24206132"/>
    <n v="20242061323"/>
    <m/>
    <m/>
    <m/>
    <m/>
    <m/>
    <x v="2"/>
    <x v="0"/>
    <d v="2016-08-01T00:00:00"/>
    <m/>
    <d v="2016-10-30T00:00:00"/>
    <m/>
    <s v="UNTREF"/>
    <m/>
    <m/>
  </r>
  <r>
    <s v="SFMyCP"/>
    <x v="1"/>
    <m/>
    <x v="5"/>
    <m/>
    <m/>
    <m/>
    <m/>
    <s v="ADMINISTRATIVO"/>
    <m/>
    <s v="CCK - Alem 351"/>
    <s v="SALAS JOSEFINA"/>
    <s v="DNI"/>
    <n v="37753501"/>
    <s v="23377535014"/>
    <d v="1993-06-22T00:00:00"/>
    <m/>
    <m/>
    <m/>
    <m/>
    <x v="0"/>
    <x v="0"/>
    <d v="2014-11-01T00:00:00"/>
    <m/>
    <d v="2016-12-31T00:00:00"/>
    <m/>
    <s v="UNTREF"/>
    <m/>
    <n v="10189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SALAZAR  MAXIMILIANO"/>
    <s v="DNI"/>
    <n v="36761265"/>
    <s v="20367612658"/>
    <d v="1992-06-02T00:00:00"/>
    <m/>
    <m/>
    <m/>
    <m/>
    <x v="0"/>
    <x v="0"/>
    <d v="2011-07-01T00:00:00"/>
    <m/>
    <d v="2016-12-31T00:00:00"/>
    <m/>
    <s v="UNTREF"/>
    <s v="UNTREF"/>
    <n v="11449.4"/>
  </r>
  <r>
    <s v="SFMyCP"/>
    <x v="0"/>
    <m/>
    <x v="0"/>
    <s v="INV. AP. RECURSOS DIGITALES"/>
    <s v="CTRO INV PALPALA"/>
    <m/>
    <s v="GESTION DE PROYECTOS"/>
    <s v="ANALISTA"/>
    <s v="PALPALÁ-JUJUY"/>
    <s v="PALPALÁ-JUJUY"/>
    <s v="SALAZAR JOSUE JOEL"/>
    <s v="DNI"/>
    <n v="32877206"/>
    <n v="20328772060"/>
    <d v="1987-09-10T00:00:00"/>
    <m/>
    <m/>
    <m/>
    <m/>
    <x v="0"/>
    <x v="0"/>
    <d v="2015-09-01T00:00:00"/>
    <m/>
    <d v="2016-12-31T00:00:00"/>
    <m/>
    <s v="UNTREF"/>
    <s v="UNSAM"/>
    <n v="14500"/>
  </r>
  <r>
    <s v="SFMyCP"/>
    <x v="0"/>
    <s v="SUBSEC CENTROS TEMATICOS Y EXP FEDERALES"/>
    <x v="1"/>
    <s v="PRODUCCIÓN"/>
    <m/>
    <m/>
    <m/>
    <s v="ADMINISTRATIVA"/>
    <m/>
    <s v="CCK - Alem 351"/>
    <s v="SALGADO JUAN MANUEL"/>
    <s v="DNI"/>
    <n v="26047568"/>
    <s v="20260475682"/>
    <d v="1977-06-06T00:00:00"/>
    <m/>
    <m/>
    <m/>
    <m/>
    <x v="0"/>
    <x v="0"/>
    <d v="2016-05-01T00:00:00"/>
    <m/>
    <d v="2016-12-31T00:00:00"/>
    <m/>
    <s v="UNTREF"/>
    <m/>
    <s v="."/>
  </r>
  <r>
    <s v="SFMyCP"/>
    <x v="0"/>
    <s v="SUBSEC CENTROS TEMATICOS Y EXP FEDERALES"/>
    <x v="1"/>
    <s v="ADMINISTRACION"/>
    <m/>
    <m/>
    <m/>
    <s v="CADETE"/>
    <s v="CCK"/>
    <s v="CCK - Alem 351"/>
    <s v="SALINAS NESTOR"/>
    <s v="DNI"/>
    <n v="26246918"/>
    <s v="20262469183"/>
    <d v="1978-02-03T00:00:00"/>
    <m/>
    <m/>
    <m/>
    <m/>
    <x v="0"/>
    <x v="0"/>
    <d v="2015-03-03T00:00:00"/>
    <m/>
    <d v="2016-12-31T00:00:00"/>
    <m/>
    <s v="UNTREF"/>
    <s v="UNSAM-MINPLAN"/>
    <n v="12500"/>
  </r>
  <r>
    <s v="SFMyCP"/>
    <x v="0"/>
    <m/>
    <x v="0"/>
    <s v="TELEVISION DIGITAL ABIERTA"/>
    <s v="CIARA"/>
    <m/>
    <s v="TÉCNICA Y TRANSMISIÓN"/>
    <s v="ADMINISTRATIVO"/>
    <s v="CABILDO 65"/>
    <s v="CABILDO 65"/>
    <s v="SALOMONE GUILLERMO"/>
    <s v="DNI"/>
    <n v="12425437"/>
    <s v="20124254370"/>
    <d v="1958-06-01T00:00:00"/>
    <m/>
    <m/>
    <m/>
    <m/>
    <x v="0"/>
    <x v="0"/>
    <d v="2013-01-01T00:00:00"/>
    <m/>
    <d v="2016-12-31T00:00:00"/>
    <m/>
    <s v="UNTREF"/>
    <s v="UNSAM- LADA"/>
    <n v="34485"/>
  </r>
  <r>
    <s v="SFMyCP"/>
    <x v="0"/>
    <s v="SUBSEC CENTROS TEMATICOS Y EXP FEDERALES"/>
    <x v="3"/>
    <s v="TECNICA"/>
    <m/>
    <m/>
    <m/>
    <s v="OPERACIÓN/MONTAJE/MANTENIMIENTO"/>
    <s v="TECNÓPOLIS"/>
    <s v="TECNOPOLIS"/>
    <s v="SALVO ROMAN ROSS JONATHAN"/>
    <s v="DNI"/>
    <n v="34114414"/>
    <s v="20341144141"/>
    <d v="1988-11-07T00:00:00"/>
    <m/>
    <m/>
    <m/>
    <m/>
    <x v="0"/>
    <x v="0"/>
    <d v="2013-04-01T00:00:00"/>
    <m/>
    <d v="2016-12-31T00:00:00"/>
    <m/>
    <s v="UNTREF"/>
    <s v="UNTREF"/>
    <n v="20817.09"/>
  </r>
  <r>
    <s v="SFMyCP"/>
    <x v="0"/>
    <s v="SUBSEC CENTROS TEMATICOS Y EXP FEDERALES"/>
    <x v="1"/>
    <s v="INSTITUCIONALES"/>
    <s v="VISITAS GUIADAS"/>
    <m/>
    <m/>
    <s v="VISITAS GUIADAS"/>
    <m/>
    <s v="CCK - Alem 351"/>
    <s v="SANABRIA GABRIELA"/>
    <s v="DNI"/>
    <n v="34511518"/>
    <n v="27345115183"/>
    <d v="1989-05-29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TELEVISION DIGITAL ABIERTA"/>
    <s v="PRESIDENCIA"/>
    <m/>
    <s v="PRODUCCIÓN"/>
    <s v="PRODUCTOR de EXTERIORES"/>
    <s v="CABILDO 65"/>
    <s v="CABILDO 65"/>
    <s v="SANCHEZ ARIEL"/>
    <s v="DNI"/>
    <n v="38842536"/>
    <s v="23388425369"/>
    <d v="1993-02-02T00:00:00"/>
    <m/>
    <m/>
    <m/>
    <m/>
    <x v="0"/>
    <x v="0"/>
    <d v="2015-08-17T00:00:00"/>
    <m/>
    <d v="2016-12-31T00:00:00"/>
    <m/>
    <s v="UNTREF"/>
    <m/>
    <n v="24060"/>
  </r>
  <r>
    <s v="SFMyCP"/>
    <x v="0"/>
    <m/>
    <x v="0"/>
    <s v="TELEVISION DIGITAL ABIERTA"/>
    <s v="CIARA"/>
    <m/>
    <s v="TÉCNICA Y TRANSMISIÓN"/>
    <s v="ADMINISTRATIVO"/>
    <s v="CABILDO 65"/>
    <s v="CABILDO 65"/>
    <s v="SANCHEZ FABIAN"/>
    <s v="DNI"/>
    <n v="27263724"/>
    <s v="20272637246"/>
    <d v="1979-05-30T00:00:00"/>
    <m/>
    <m/>
    <m/>
    <m/>
    <x v="0"/>
    <x v="0"/>
    <d v="2015-10-01T00:00:00"/>
    <m/>
    <d v="2016-12-31T00:00:00"/>
    <m/>
    <s v="UNTREF"/>
    <s v="UNSAM- LADA"/>
    <n v="16465"/>
  </r>
  <r>
    <s v="SFMyCP"/>
    <x v="0"/>
    <s v="SUBSEC CENTROS TEMATICOS Y EXP FEDERALES"/>
    <x v="3"/>
    <s v="GASTRONOMIA"/>
    <m/>
    <m/>
    <s v="COCINA"/>
    <m/>
    <s v="TECNÓPOLIS"/>
    <m/>
    <s v="SANCHEZ Florencia Anabella"/>
    <s v="DNI"/>
    <n v="37200106"/>
    <n v="27372001068"/>
    <m/>
    <m/>
    <m/>
    <m/>
    <m/>
    <x v="1"/>
    <x v="1"/>
    <d v="2013-07-01T00:00:00"/>
    <d v="2016-03-31T00:00:00"/>
    <d v="2016-12-31T00:00:00"/>
    <s v="C0"/>
    <m/>
    <m/>
    <n v="13084.78"/>
  </r>
  <r>
    <s v="SFMyCP"/>
    <x v="0"/>
    <s v="SUBSEC CENTROS TEMATICOS Y EXP FEDERALES"/>
    <x v="1"/>
    <s v="DIRECCION DE GESTION EDILICIA"/>
    <s v="MANTENIMIENTO"/>
    <m/>
    <s v=""/>
    <s v="Auxiliar de Mantenimiento"/>
    <s v="CCK"/>
    <s v="CCK - Alem 351"/>
    <s v="SÁNCHEZ GABRIEL "/>
    <s v="DNI"/>
    <n v="23426675"/>
    <s v="20234266757"/>
    <d v="1973-08-22T00:00:00"/>
    <m/>
    <m/>
    <m/>
    <m/>
    <x v="0"/>
    <x v="0"/>
    <d v="2015-05-15T00:00:00"/>
    <m/>
    <d v="2016-12-31T00:00:00"/>
    <m/>
    <s v="UNTREF"/>
    <s v="UNSAM"/>
    <n v="20000"/>
  </r>
  <r>
    <s v="SFMyCP"/>
    <x v="0"/>
    <s v="SUBSEC CENTROS TEMATICOS Y EXP FEDERALES"/>
    <x v="3"/>
    <s v="MESA DE AYUDA"/>
    <m/>
    <m/>
    <s v="PRIVADA"/>
    <s v="ASISTENTE"/>
    <m/>
    <s v="TECNOPOLIS"/>
    <s v="SANCHEZ LAMOTHE FRANCISCO"/>
    <s v="DNI"/>
    <n v="29303530"/>
    <n v="20293035300"/>
    <d v="1982-03-30T00:00:00"/>
    <m/>
    <m/>
    <m/>
    <m/>
    <x v="0"/>
    <x v="0"/>
    <d v="2016-05-11T00:00:00"/>
    <m/>
    <d v="2016-12-31T00:00:00"/>
    <m/>
    <s v="UNTREF"/>
    <m/>
    <m/>
  </r>
  <r>
    <s v="SFMyCP"/>
    <x v="0"/>
    <m/>
    <x v="0"/>
    <s v="TELEVISION DIGITAL ABIERTA"/>
    <s v="CIARA"/>
    <m/>
    <s v="PRODUCCIÓN"/>
    <s v="PRODUCTOR de EXTERIORES"/>
    <s v="CABILDO 65"/>
    <s v="CABILDO 65"/>
    <s v="SANCHEZ LUCIA"/>
    <s v="DNI"/>
    <n v="38682779"/>
    <s v="27386827791"/>
    <d v="1984-11-24T00:00:00"/>
    <m/>
    <m/>
    <m/>
    <m/>
    <x v="0"/>
    <x v="0"/>
    <d v="2015-10-01T00:00:00"/>
    <m/>
    <d v="2016-12-31T00:00:00"/>
    <m/>
    <s v="UNTREF"/>
    <s v="UNSAM- LADA"/>
    <n v="16465"/>
  </r>
  <r>
    <s v="SFMyCP"/>
    <x v="0"/>
    <s v="SUBSEC CENTROS TEMATICOS Y EXP FEDERALES"/>
    <x v="1"/>
    <s v="COMUNICACIÓN"/>
    <s v="PRENSA"/>
    <m/>
    <s v="Diseñadora gráfica"/>
    <m/>
    <s v="CCK"/>
    <m/>
    <s v="SANCHEZ PAULA"/>
    <s v="DNI"/>
    <n v="21471551"/>
    <n v="27214715517"/>
    <m/>
    <m/>
    <m/>
    <m/>
    <m/>
    <x v="1"/>
    <x v="1"/>
    <d v="2011-05-02T00:00:00"/>
    <d v="2016-12-31T00:00:00"/>
    <d v="2016-12-31T00:00:00"/>
    <s v="B1"/>
    <m/>
    <m/>
    <n v="20266"/>
  </r>
  <r>
    <s v="SFMyCP"/>
    <x v="1"/>
    <m/>
    <x v="5"/>
    <s v="PLANIF  Y ADM DE REC HUMANOS"/>
    <s v="RECURSOS HUMANOS"/>
    <m/>
    <s v="RECURSOS HUMANOS"/>
    <m/>
    <s v="CABILDO 65"/>
    <m/>
    <s v="SANCHEZ PAYA CAROLA LUCIANA"/>
    <s v="DNI"/>
    <n v="26522544"/>
    <n v="27265225441"/>
    <m/>
    <m/>
    <m/>
    <m/>
    <m/>
    <x v="1"/>
    <x v="1"/>
    <d v="2012-12-01T00:00:00"/>
    <d v="2016-12-31T00:00:00"/>
    <d v="2016-12-31T00:00:00"/>
    <s v="B0"/>
    <m/>
    <m/>
    <n v="17505"/>
  </r>
  <r>
    <s v="SFMyCP"/>
    <x v="0"/>
    <m/>
    <x v="0"/>
    <s v="TELEVISION DIGITAL ABIERTA"/>
    <s v="CIARA"/>
    <m/>
    <s v="POSTPRODUCCIÓN"/>
    <s v="EDICION"/>
    <s v="CABILDO 65"/>
    <s v="CABILDO 65"/>
    <s v="SANCHEZ QUIJANO EMILIANO"/>
    <s v="DNI"/>
    <n v="30448923"/>
    <s v="20304489236"/>
    <d v="1983-08-08T00:00:00"/>
    <m/>
    <m/>
    <m/>
    <m/>
    <x v="0"/>
    <x v="0"/>
    <d v="2011-08-01T00:00:00"/>
    <m/>
    <d v="2016-12-31T00:00:00"/>
    <m/>
    <s v="UNTREF"/>
    <m/>
    <n v="20545"/>
  </r>
  <r>
    <s v="SFMyCP"/>
    <x v="2"/>
    <m/>
    <x v="4"/>
    <m/>
    <m/>
    <m/>
    <m/>
    <s v="ADMINISTRATIVO"/>
    <m/>
    <s v="CCK - Alem 351"/>
    <s v="SANCHEZ SAÑUDO RICARDO"/>
    <s v="DNI"/>
    <n v="11045200"/>
    <m/>
    <d v="1954-03-30T00:00:00"/>
    <m/>
    <m/>
    <m/>
    <m/>
    <x v="0"/>
    <x v="0"/>
    <d v="2016-07-01T00:00:00"/>
    <m/>
    <d v="2016-12-31T00:00:00"/>
    <m/>
    <s v="UNTREF"/>
    <m/>
    <m/>
  </r>
  <r>
    <s v="SFMyCP"/>
    <x v="1"/>
    <m/>
    <x v="2"/>
    <m/>
    <m/>
    <m/>
    <s v="PRIVADA"/>
    <s v="ADMINISTRATIVO"/>
    <m/>
    <s v="CCK - Alem 351"/>
    <s v="SANNMARTIN, ALEJANDRA"/>
    <s v="DNI"/>
    <n v="26397949"/>
    <s v="23263979494"/>
    <d v="1977-12-12T00:00:00"/>
    <m/>
    <m/>
    <m/>
    <m/>
    <x v="0"/>
    <x v="0"/>
    <d v="2016-01-01T00:00:00"/>
    <m/>
    <d v="2016-12-31T00:00:00"/>
    <m/>
    <s v="UNTREF"/>
    <s v="UNSAM"/>
    <n v="12742"/>
  </r>
  <r>
    <s v="SFMyCP"/>
    <x v="1"/>
    <m/>
    <x v="5"/>
    <s v="MESA DE ENTRADA"/>
    <m/>
    <m/>
    <m/>
    <s v="Administrativo"/>
    <m/>
    <s v="CCK - Alem 351"/>
    <s v="SANTINI GAMARRA MOISES "/>
    <s v="DNI"/>
    <n v="18889124"/>
    <n v="20188891242"/>
    <d v="1993-04-11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SANTOS, LILIANA INES"/>
    <s v="DNI"/>
    <n v="11231408"/>
    <n v="27112314089"/>
    <d v="1954-04-25T00:00:00"/>
    <m/>
    <m/>
    <m/>
    <m/>
    <x v="0"/>
    <x v="0"/>
    <d v="2016-01-01T00:00:00"/>
    <m/>
    <d v="2016-12-31T00:00:00"/>
    <m/>
    <s v="UNTREF"/>
    <s v="UNSAM"/>
    <n v="15000"/>
  </r>
  <r>
    <s v="SFMyCP"/>
    <x v="0"/>
    <s v="SUBSEC CENTROS TEMATICOS Y EXP FEDERALES"/>
    <x v="1"/>
    <s v="DIRECCION DE GESTION EDILICIA"/>
    <s v="EQUIPO CONTROL Y PLANIFICACION"/>
    <m/>
    <m/>
    <s v="ADMINISTRATIVO"/>
    <s v="CCK"/>
    <s v="CCK - Alem 351"/>
    <s v="SANZ FERNANDA "/>
    <s v="DNI"/>
    <n v="22278247"/>
    <s v="27222782479"/>
    <d v="1971-08-16T00:00:00"/>
    <m/>
    <m/>
    <m/>
    <m/>
    <x v="0"/>
    <x v="0"/>
    <m/>
    <m/>
    <d v="2016-12-31T00:00:00"/>
    <m/>
    <s v="UNTREF"/>
    <s v="UNSAM"/>
    <n v="30145"/>
  </r>
  <r>
    <s v="SFMyCP"/>
    <x v="0"/>
    <m/>
    <x v="0"/>
    <s v="TELEVISION DIGITAL ABIERTA"/>
    <s v="CIARA"/>
    <m/>
    <s v="ADMINISTRACIÓN"/>
    <s v="ADMINISTRATIVO"/>
    <s v="CABILDO 65"/>
    <s v="CABILDO 65"/>
    <s v="SARAZOLA LEANDRO"/>
    <s v="DNI"/>
    <n v="33154729"/>
    <s v="20331547299"/>
    <d v="1986-11-18T00:00:00"/>
    <m/>
    <m/>
    <m/>
    <m/>
    <x v="0"/>
    <x v="0"/>
    <d v="2014-06-01T00:00:00"/>
    <m/>
    <d v="2016-12-31T00:00:00"/>
    <m/>
    <s v="UNTREF"/>
    <s v="UNSAM- LADA"/>
    <n v="12246"/>
  </r>
  <r>
    <s v="SFMyCP"/>
    <x v="0"/>
    <m/>
    <x v="4"/>
    <m/>
    <m/>
    <s v="RENDICION DE CUENTAS"/>
    <s v="Analista"/>
    <m/>
    <s v="CCK"/>
    <m/>
    <s v="SASTRE PEDRO"/>
    <s v="DNI"/>
    <n v="36403671"/>
    <n v="20364036710"/>
    <m/>
    <m/>
    <m/>
    <m/>
    <m/>
    <x v="1"/>
    <x v="1"/>
    <d v="2012-05-01T00:00:00"/>
    <d v="2016-12-31T00:00:00"/>
    <d v="2016-12-31T00:00:00"/>
    <s v="C1"/>
    <m/>
    <m/>
    <n v="12274"/>
  </r>
  <r>
    <s v="SFMyCP"/>
    <x v="0"/>
    <m/>
    <x v="4"/>
    <m/>
    <m/>
    <m/>
    <s v="PRIVADA"/>
    <s v="ADMINISTRATIVO"/>
    <m/>
    <s v="CCK - Alem 351"/>
    <s v="SATRIANO JULIO CESAR"/>
    <s v="DNI"/>
    <n v="29246854"/>
    <n v="20292468548"/>
    <d v="1981-12-01T00:00:00"/>
    <m/>
    <m/>
    <m/>
    <m/>
    <x v="0"/>
    <x v="0"/>
    <d v="2016-07-01T00:00:00"/>
    <m/>
    <d v="2016-12-31T00:00:00"/>
    <m/>
    <s v="UNTREF"/>
    <m/>
    <m/>
  </r>
  <r>
    <s v="SFMyCP"/>
    <x v="1"/>
    <m/>
    <x v="2"/>
    <m/>
    <m/>
    <m/>
    <s v="PRIVADA"/>
    <s v="ADMINISTRATIVO"/>
    <m/>
    <s v="CCK - Alem 351"/>
    <s v="SATRIANO, ROBERTO"/>
    <s v="DNI"/>
    <n v="7823142"/>
    <s v="20078231425"/>
    <d v="1949-08-30T00:00:00"/>
    <m/>
    <m/>
    <m/>
    <m/>
    <x v="0"/>
    <x v="0"/>
    <d v="2016-01-01T00:00:00"/>
    <m/>
    <d v="2016-12-31T00:00:00"/>
    <m/>
    <s v="UNTREF"/>
    <s v="UNSAM"/>
    <n v="19000"/>
  </r>
  <r>
    <s v="SFMyCP"/>
    <x v="0"/>
    <s v="SUBSEC CENTROS TEMATICOS Y EXP FEDERALES"/>
    <x v="3"/>
    <s v="INTENDENCIA - TALLERES"/>
    <m/>
    <m/>
    <m/>
    <s v="CONTROL DE STOCK/CONTROL DE COMBUSTIBLE"/>
    <s v="TECNÓPOLIS"/>
    <s v="TECNOPOLIS"/>
    <s v="SAURIT  ESTANISLAO ANDRES"/>
    <s v="DNI"/>
    <n v="25924310"/>
    <s v="20259243107"/>
    <d v="1977-08-03T00:00:00"/>
    <m/>
    <m/>
    <m/>
    <m/>
    <x v="0"/>
    <x v="0"/>
    <d v="2013-06-01T00:00:00"/>
    <m/>
    <d v="2016-12-31T00:00:00"/>
    <m/>
    <s v="UNTREF"/>
    <s v="UNTREF"/>
    <n v="11449.4"/>
  </r>
  <r>
    <s v="SFMyCP"/>
    <x v="0"/>
    <s v="SUBSEC CENTROS TEMATICOS Y EXP FEDERALES"/>
    <x v="1"/>
    <s v="DIRECCION DE GESTION EDILICIA"/>
    <s v="MESA DE AYUDA"/>
    <m/>
    <s v="Asistente Técnico"/>
    <s v="ADMINISTRATIVO"/>
    <s v="CCK"/>
    <s v="CCK - Alem 351"/>
    <s v="SAVIGNON LEILA"/>
    <s v="DNI"/>
    <n v="34492812"/>
    <s v="27344928121"/>
    <d v="1989-03-14T00:00:00"/>
    <m/>
    <m/>
    <m/>
    <m/>
    <x v="0"/>
    <x v="0"/>
    <d v="2015-08-05T00:00:00"/>
    <m/>
    <d v="2016-12-31T00:00:00"/>
    <m/>
    <s v="UNTREF"/>
    <s v="UNLAM- BICENTENARIO"/>
    <n v="10800"/>
  </r>
  <r>
    <s v="SFMyCP"/>
    <x v="0"/>
    <s v="SUBSEC CENTROS TEMATICOS Y EXP FEDERALES"/>
    <x v="7"/>
    <m/>
    <m/>
    <m/>
    <s v="ASESORA"/>
    <m/>
    <s v="CCK"/>
    <m/>
    <s v="SCAGNOLARI MARIA LAURA"/>
    <s v="DNI"/>
    <n v="27144391"/>
    <n v="27271443914"/>
    <m/>
    <m/>
    <m/>
    <m/>
    <m/>
    <x v="1"/>
    <x v="1"/>
    <d v="2011-01-01T00:00:00"/>
    <d v="2016-12-31T00:00:00"/>
    <d v="2016-12-31T00:00:00"/>
    <s v="A0"/>
    <m/>
    <m/>
    <n v="27374"/>
  </r>
  <r>
    <s v="SFMyCP"/>
    <x v="1"/>
    <m/>
    <x v="5"/>
    <s v="PLANIF  Y ADM DE REC HUMANOS"/>
    <s v="MEDICINA DEL TRABAJO"/>
    <m/>
    <s v="Enfermera/o"/>
    <m/>
    <s v="CCK"/>
    <m/>
    <s v="SCARPINO ANTONIO MARCELO"/>
    <s v="DNI"/>
    <n v="14569996"/>
    <n v="20145699968"/>
    <m/>
    <m/>
    <m/>
    <m/>
    <m/>
    <x v="1"/>
    <x v="1"/>
    <d v="2015-08-01T00:00:00"/>
    <d v="2016-03-31T00:00:00"/>
    <d v="2016-12-31T00:00:00"/>
    <s v="C0"/>
    <m/>
    <m/>
    <n v="11730"/>
  </r>
  <r>
    <s v="SFMyCP"/>
    <x v="0"/>
    <m/>
    <x v="0"/>
    <s v="TELEVISION DIGITAL ABIERTA"/>
    <s v="CIARA"/>
    <s v="CCK"/>
    <s v="FOMENTO"/>
    <s v="ADMINISTRATIVO"/>
    <s v="CABILDO 65"/>
    <s v="CABILDO 65"/>
    <s v="SCHARGORODSKY LAURA"/>
    <s v="DNI"/>
    <n v="28325918"/>
    <s v="27283259183"/>
    <d v="1980-07-28T00:00:00"/>
    <m/>
    <m/>
    <m/>
    <m/>
    <x v="0"/>
    <x v="0"/>
    <d v="2011-08-01T00:00:00"/>
    <m/>
    <d v="2016-12-31T00:00:00"/>
    <m/>
    <s v="UNTREF"/>
    <s v="UNSAM- LADA"/>
    <n v="32782"/>
  </r>
  <r>
    <s v="SFMyCP"/>
    <x v="0"/>
    <m/>
    <x v="0"/>
    <s v="TELEVISION DIGITAL ABIERTA"/>
    <s v="CIARA"/>
    <m/>
    <s v="PRODUCCIÓN"/>
    <s v="PAÑOL"/>
    <s v="CABILDO 65"/>
    <s v="CABILDO 65"/>
    <s v="SCHENONE LEANDRO"/>
    <s v="DNI"/>
    <n v="23477469"/>
    <s v="20234774698"/>
    <d v="1974-05-24T00:00:00"/>
    <m/>
    <m/>
    <m/>
    <m/>
    <x v="0"/>
    <x v="0"/>
    <d v="2014-09-08T00:00:00"/>
    <m/>
    <d v="2016-12-31T00:00:00"/>
    <m/>
    <s v="UNTREF"/>
    <s v="UNSAM- LADA"/>
    <n v="10188"/>
  </r>
  <r>
    <s v="SFMyCP"/>
    <x v="0"/>
    <m/>
    <x v="0"/>
    <m/>
    <m/>
    <m/>
    <s v="SECRETARIA"/>
    <s v="Secretaria"/>
    <s v="CCK"/>
    <s v="CCK - Alem 351"/>
    <s v="SCHIAVI ANA"/>
    <s v="DNI"/>
    <n v="39917444"/>
    <s v="27399174444"/>
    <d v="1996-11-21T00:00:00"/>
    <m/>
    <m/>
    <m/>
    <m/>
    <x v="0"/>
    <x v="0"/>
    <d v="2015-09-02T00:00:00"/>
    <m/>
    <d v="2016-12-31T00:00:00"/>
    <m/>
    <s v="UNTREF"/>
    <s v="UNLAM- BICENTENARIO"/>
    <n v="10189"/>
  </r>
  <r>
    <s v="SFMyCP"/>
    <x v="0"/>
    <s v="SUBSEC CENTROS TEMATICOS Y EXP FEDERALES"/>
    <x v="3"/>
    <s v="PRODUCCIÓN"/>
    <m/>
    <m/>
    <m/>
    <m/>
    <s v="TECNÓPOLIS"/>
    <m/>
    <s v="SCHUPPISSER Manuela"/>
    <s v="DNI"/>
    <n v="36686000"/>
    <n v="27366860008"/>
    <m/>
    <m/>
    <m/>
    <m/>
    <m/>
    <x v="1"/>
    <x v="1"/>
    <d v="2011-07-01T00:00:00"/>
    <d v="2016-12-31T00:00:00"/>
    <d v="2016-12-31T00:00:00"/>
    <s v="C0"/>
    <m/>
    <m/>
    <n v="17148"/>
  </r>
  <r>
    <s v="SFMyCP"/>
    <x v="0"/>
    <s v="SUBSEC CENTROS TEMATICOS Y EXP FEDERALES"/>
    <x v="1"/>
    <s v="PRODUCCIÓN"/>
    <m/>
    <m/>
    <m/>
    <s v="ADMINISTRATIVA"/>
    <m/>
    <s v="CCK - Alem 351"/>
    <s v="SCHWARZ WERNER AMADEO"/>
    <s v="DNI"/>
    <n v="18761949"/>
    <s v="20187619492"/>
    <d v="1977-03-04T00:00:00"/>
    <m/>
    <m/>
    <m/>
    <m/>
    <x v="0"/>
    <x v="0"/>
    <d v="2016-06-01T00:00:00"/>
    <m/>
    <d v="2016-12-31T00:00:00"/>
    <m/>
    <s v="UNTREF"/>
    <m/>
    <n v="18000"/>
  </r>
  <r>
    <s v="SFMyCP"/>
    <x v="0"/>
    <s v="SUBSEC CENTROS TEMATICOS Y EXP FEDERALES"/>
    <x v="1"/>
    <s v="DIRECCION DE GESTION EDILICIA"/>
    <s v="ESPACIOS FISICOS"/>
    <s v="ESPACIOS FÍSICOS"/>
    <s v="REFERENTE"/>
    <s v="ADMINISTRATIVO"/>
    <s v="CCK"/>
    <s v="CCK - Alem 351"/>
    <s v="SEIF MAXIMILIANO"/>
    <s v="DNI"/>
    <n v="28361042"/>
    <s v="20283610420"/>
    <d v="1980-09-16T00:00:00"/>
    <m/>
    <m/>
    <m/>
    <m/>
    <x v="0"/>
    <x v="0"/>
    <d v="2014-08-01T00:00:00"/>
    <m/>
    <d v="2016-12-31T00:00:00"/>
    <m/>
    <s v="UNTREF"/>
    <s v="UNSAM-MINPLAN"/>
    <n v="25480"/>
  </r>
  <r>
    <s v="SFMyCP"/>
    <x v="0"/>
    <m/>
    <x v="0"/>
    <s v="TELEVISION DIGITAL ABIERTA"/>
    <s v="CIARA"/>
    <m/>
    <s v="ACUA MAYOR"/>
    <s v="ADMINISTRATIVO"/>
    <s v="CABILDO 65"/>
    <s v="CABILDO 65"/>
    <s v="SELZER MARIANA"/>
    <s v="DNI"/>
    <n v="25795303"/>
    <s v="27257953039"/>
    <d v="1977-02-12T00:00:00"/>
    <m/>
    <m/>
    <m/>
    <m/>
    <x v="0"/>
    <x v="0"/>
    <d v="2010-10-01T00:00:00"/>
    <m/>
    <d v="2016-12-31T00:00:00"/>
    <m/>
    <s v="UNTREF"/>
    <s v="UNSAM- LADA"/>
    <n v="22662"/>
  </r>
  <r>
    <s v="SFMyCP"/>
    <x v="0"/>
    <s v="SUBSEC CENTROS TEMATICOS Y EXP FEDERALES"/>
    <x v="1"/>
    <s v="ADMINISTRACION"/>
    <m/>
    <m/>
    <s v="Responsable"/>
    <s v="ADMINISTRATIVO"/>
    <s v="CCK"/>
    <s v="CCK - Alem 351"/>
    <s v="SEMERIA FEDERICO "/>
    <s v="DNI"/>
    <n v="23126670"/>
    <s v="20231266705"/>
    <d v="1973-02-01T00:00:00"/>
    <m/>
    <m/>
    <m/>
    <m/>
    <x v="0"/>
    <x v="0"/>
    <d v="2015-04-01T00:00:00"/>
    <m/>
    <d v="2016-12-31T00:00:00"/>
    <m/>
    <s v="UNTREF"/>
    <s v="UNSAM-MINPLAN"/>
    <n v="20000"/>
  </r>
  <r>
    <s v="SFMyCP"/>
    <x v="0"/>
    <s v="SUBSEC CENTROS TEMATICOS Y EXP FEDERALES"/>
    <x v="1"/>
    <s v="AUDIOVISUALES"/>
    <m/>
    <m/>
    <m/>
    <s v="ADMINISTRATIVO"/>
    <m/>
    <s v="CCK - Alem 351"/>
    <s v="SEMERIA JULIETA"/>
    <s v="DNI"/>
    <n v="33344752"/>
    <n v="27333447520"/>
    <d v="1987-09-07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SENRA MARIA CELESTE"/>
    <s v="DNI"/>
    <n v="27084585"/>
    <n v="27270845857"/>
    <d v="1978-12-14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TECNICA"/>
    <m/>
    <m/>
    <m/>
    <m/>
    <s v="TECNÓPOLIS"/>
    <m/>
    <s v="SEQUEIRA Adrián Anibal"/>
    <s v="DNI"/>
    <n v="21930163"/>
    <n v="20219301635"/>
    <m/>
    <m/>
    <m/>
    <m/>
    <m/>
    <x v="1"/>
    <x v="1"/>
    <d v="2013-05-01T00:00:00"/>
    <d v="2016-03-31T00:00:00"/>
    <d v="2016-12-31T00:00:00"/>
    <s v="C0"/>
    <m/>
    <m/>
    <n v="21792.89"/>
  </r>
  <r>
    <s v="SFMyCP"/>
    <x v="1"/>
    <m/>
    <x v="5"/>
    <s v="COMPRAS Y CONTRATACIONES"/>
    <m/>
    <m/>
    <s v="Asistente Técnico"/>
    <m/>
    <s v="CCK"/>
    <m/>
    <s v="SICILIANO LAURA PATRICIA"/>
    <s v="DNI"/>
    <n v="22237165"/>
    <n v="27222371657"/>
    <m/>
    <m/>
    <m/>
    <m/>
    <m/>
    <x v="1"/>
    <x v="1"/>
    <d v="2011-06-01T00:00:00"/>
    <d v="2016-12-31T00:00:00"/>
    <d v="2016-12-31T00:00:00"/>
    <s v="C1"/>
    <m/>
    <m/>
    <n v="12274"/>
  </r>
  <r>
    <s v="SFMyCP"/>
    <x v="0"/>
    <s v="SUBSEC CENTROS TEMATICOS Y EXP FEDERALES"/>
    <x v="3"/>
    <m/>
    <m/>
    <m/>
    <s v="PRIVADA"/>
    <s v="ADMINISTRATIVO"/>
    <s v="TECNÓPOLIS"/>
    <s v="TECNOPOLIS"/>
    <s v="SIERRA GUSTAVO"/>
    <s v="DNI"/>
    <n v="31213986"/>
    <s v="20312139864"/>
    <d v="1984-08-31T00:00:00"/>
    <m/>
    <m/>
    <m/>
    <m/>
    <x v="0"/>
    <x v="0"/>
    <d v="2016-01-01T00:00:00"/>
    <m/>
    <d v="2016-12-31T00:00:00"/>
    <m/>
    <s v="UNTREF"/>
    <s v="UNSAM"/>
    <n v="10000"/>
  </r>
  <r>
    <s v="SFMyCP"/>
    <x v="1"/>
    <m/>
    <x v="2"/>
    <m/>
    <m/>
    <m/>
    <s v="PRIVADA"/>
    <s v="ADMINISTRATIVO"/>
    <m/>
    <s v="CCK - Alem 351"/>
    <s v="SILBERGLEIT, SILVINA"/>
    <s v="DNI"/>
    <n v="28231814"/>
    <n v="27282318143"/>
    <d v="1980-06-13T00:00:00"/>
    <m/>
    <m/>
    <m/>
    <m/>
    <x v="0"/>
    <x v="0"/>
    <d v="2016-01-01T00:00:00"/>
    <m/>
    <d v="2016-12-31T00:00:00"/>
    <m/>
    <s v="UNTREF"/>
    <s v="UNSAM"/>
    <n v="27370"/>
  </r>
  <r>
    <s v="SFMyCP"/>
    <x v="0"/>
    <s v="SUBSEC CENTROS TEMATICOS Y EXP FEDERALES"/>
    <x v="3"/>
    <s v="INTENDENCIA - LIMPIEZA"/>
    <m/>
    <m/>
    <m/>
    <s v="ENCARGADO DE LIMPIEZA"/>
    <s v="TECNÓPOLIS"/>
    <s v="TECNOPOLIS"/>
    <s v="SILVA  IVAN LEANDRO"/>
    <s v="DNI"/>
    <n v="34616953"/>
    <s v="20346169533"/>
    <d v="1989-05-25T00:00:00"/>
    <m/>
    <m/>
    <m/>
    <m/>
    <x v="0"/>
    <x v="0"/>
    <d v="2013-04-01T00:00:00"/>
    <m/>
    <d v="2016-12-31T00:00:00"/>
    <m/>
    <s v="UNTREF"/>
    <s v="UNTREF"/>
    <n v="9995.51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SILVA  JORGE YONATAN"/>
    <s v="DNI"/>
    <n v="40516549"/>
    <s v="20405165490"/>
    <d v="1990-01-15T00:00:00"/>
    <m/>
    <m/>
    <m/>
    <m/>
    <x v="0"/>
    <x v="0"/>
    <d v="2014-04-01T00:00:00"/>
    <m/>
    <d v="2016-12-31T00:00:00"/>
    <m/>
    <s v="UNTREF"/>
    <s v="UNTREF"/>
    <n v="9995.51"/>
  </r>
  <r>
    <s v="SFMyCP"/>
    <x v="0"/>
    <s v="SUBSEC CENTROS TEMATICOS Y EXP FEDERALES"/>
    <x v="3"/>
    <s v="INTENDENCIA- PARQUIZACION"/>
    <m/>
    <m/>
    <m/>
    <s v="MANTENIMIENTO DE ESPACIOS VERDES"/>
    <s v="TECNÓPOLIS"/>
    <s v="TECNOPOLIS"/>
    <s v="SILVA  RICARDO LUIS"/>
    <s v="DNI"/>
    <n v="24534584"/>
    <s v="20245345845"/>
    <d v="1975-06-30T00:00:00"/>
    <m/>
    <m/>
    <m/>
    <m/>
    <x v="0"/>
    <x v="0"/>
    <d v="2013-07-01T00:00:00"/>
    <m/>
    <d v="2016-12-31T00:00:00"/>
    <m/>
    <s v="UNTREF"/>
    <s v="UNTREF"/>
    <n v="11449.4"/>
  </r>
  <r>
    <s v="SFMyCP"/>
    <x v="0"/>
    <s v="SUBSEC CENTROS TEMATICOS Y EXP FEDERALES"/>
    <x v="3"/>
    <m/>
    <m/>
    <m/>
    <m/>
    <s v="MANTENIMIENTO DE ESPACIOS VERDES"/>
    <m/>
    <s v="TECNOPOLIS"/>
    <s v="SILVA CRISTHIAN LUIS"/>
    <s v="DNI"/>
    <n v="40166060"/>
    <s v="20401660608"/>
    <d v="1997-04-03T00:00:00"/>
    <m/>
    <m/>
    <m/>
    <m/>
    <x v="0"/>
    <x v="0"/>
    <m/>
    <m/>
    <d v="2016-12-31T00:00:00"/>
    <m/>
    <s v="UNTREF"/>
    <m/>
    <m/>
  </r>
  <r>
    <s v="SFMyCP"/>
    <x v="0"/>
    <m/>
    <x v="0"/>
    <s v="TELEVISION DIGITAL ABIERTA"/>
    <s v="CIARA"/>
    <m/>
    <s v="CONTENIDOS DIGITALES ABIERTOS CDA"/>
    <s v="ADMINISTRATIVO"/>
    <s v="CABILDO 65"/>
    <s v="CABILDO 65"/>
    <s v="SILVA URTISA CARLOS"/>
    <s v="DNI"/>
    <n v="95147687"/>
    <s v="20951476871"/>
    <d v="1986-01-14T00:00:00"/>
    <m/>
    <m/>
    <m/>
    <m/>
    <x v="0"/>
    <x v="0"/>
    <d v="2014-02-15T00:00:00"/>
    <m/>
    <d v="2016-12-31T00:00:00"/>
    <m/>
    <s v="UNTREF"/>
    <s v="UNSAM- LADA"/>
    <n v="15925"/>
  </r>
  <r>
    <s v="SFMyCP"/>
    <x v="0"/>
    <s v="SUBSEC CENTROS TEMATICOS Y EXP FEDERALES"/>
    <x v="1"/>
    <s v="INSTITUCIONALES"/>
    <s v="VISITAS GUIADAS"/>
    <m/>
    <m/>
    <s v="VISITAS GUIADAS"/>
    <m/>
    <s v="CCK - Alem 351"/>
    <s v="SILVENTE FACUNDO"/>
    <s v="DNI"/>
    <n v="34247889"/>
    <n v="20342578897"/>
    <d v="1988-12-21T00:00:00"/>
    <m/>
    <m/>
    <m/>
    <m/>
    <x v="0"/>
    <x v="0"/>
    <d v="2016-05-01T00:00:00"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SIMONIAN JUAN MANUEL"/>
    <s v="DNI"/>
    <n v="32064205"/>
    <n v="20320642052"/>
    <d v="1985-12-17T00:00:00"/>
    <m/>
    <m/>
    <m/>
    <m/>
    <x v="0"/>
    <x v="0"/>
    <d v="2016-06-01T00:00:00"/>
    <m/>
    <d v="2016-08-31T00:00:00"/>
    <m/>
    <s v="UNTREF"/>
    <m/>
    <m/>
  </r>
  <r>
    <s v="SFMyCP"/>
    <x v="0"/>
    <s v="SUBSEC CENTROS TEMATICOS Y EXP FEDERALES"/>
    <x v="1"/>
    <m/>
    <m/>
    <m/>
    <s v="ASISTENTE COORD SUR"/>
    <s v="ADMINISTRATIVO"/>
    <m/>
    <s v="CCK - Alem 351"/>
    <s v="SMOCOCICH ADRIANO DUILIO"/>
    <s v="DNI"/>
    <n v="12315305"/>
    <n v="20123153058"/>
    <d v="1958-05-16T00:00:00"/>
    <m/>
    <m/>
    <m/>
    <m/>
    <x v="0"/>
    <x v="0"/>
    <d v="2016-06-01T00:00:00"/>
    <m/>
    <d v="2016-12-31T00:00:00"/>
    <m/>
    <s v="UNTREF"/>
    <m/>
    <m/>
  </r>
  <r>
    <s v="SFMyCP"/>
    <x v="1"/>
    <m/>
    <x v="5"/>
    <s v="INFORMATICA Y SISTEMAS"/>
    <m/>
    <m/>
    <s v="Analista"/>
    <m/>
    <s v="CCK"/>
    <m/>
    <s v="SOBRINO LUCIANA YAMILA"/>
    <s v="DNI"/>
    <n v="29064222"/>
    <n v="27290642227"/>
    <m/>
    <m/>
    <m/>
    <m/>
    <m/>
    <x v="1"/>
    <x v="1"/>
    <d v="2012-12-01T00:00:00"/>
    <d v="2016-12-31T00:00:00"/>
    <d v="2016-12-31T00:00:00"/>
    <s v="B1"/>
    <m/>
    <m/>
    <n v="20266"/>
  </r>
  <r>
    <s v="SFMyCP"/>
    <x v="0"/>
    <m/>
    <x v="0"/>
    <s v="TELEVISION DIGITAL ABIERTA"/>
    <s v="CIARA"/>
    <m/>
    <s v="TÉCNICA Y TRANSMISIÓN"/>
    <s v="ADMINISTRATIVO"/>
    <s v="CABILDO 65"/>
    <s v="CABILDO 65"/>
    <s v="SOIMER ISAAC "/>
    <s v="DNI"/>
    <n v="11721717"/>
    <s v="20117217176"/>
    <d v="1955-11-08T00:00:00"/>
    <m/>
    <m/>
    <m/>
    <m/>
    <x v="0"/>
    <x v="0"/>
    <d v="2013-03-01T00:00:00"/>
    <m/>
    <d v="2016-12-31T00:00:00"/>
    <m/>
    <s v="UNTREF"/>
    <s v="UNSAM- LADA"/>
    <n v="21640"/>
  </r>
  <r>
    <s v="SFMyCP"/>
    <x v="0"/>
    <m/>
    <x v="0"/>
    <s v="TELEVISION DIGITAL ABIERTA"/>
    <s v="CIARA"/>
    <m/>
    <s v="CONTENIDOS DIGITALES ABIERTOS CDA"/>
    <s v="ADMINISTRATIVO"/>
    <s v="CABILDO 65"/>
    <s v="CABILDO 65"/>
    <s v="SOIMER NICOLAS"/>
    <s v="DNI"/>
    <n v="37992277"/>
    <s v="20379922776"/>
    <d v="1994-01-04T00:00:00"/>
    <m/>
    <m/>
    <m/>
    <m/>
    <x v="0"/>
    <x v="0"/>
    <d v="2015-05-15T00:00:00"/>
    <m/>
    <d v="2016-12-31T00:00:00"/>
    <m/>
    <s v="UNTREF"/>
    <s v="UNSAM- LADA"/>
    <n v="15234"/>
  </r>
  <r>
    <s v="SFMyCP"/>
    <x v="0"/>
    <s v="SUBSEC CENTROS TEMATICOS Y EXP FEDERALES"/>
    <x v="1"/>
    <s v="COMUNICACIÓN"/>
    <s v="PRENSA"/>
    <m/>
    <m/>
    <s v="ADMINISTRATIVO"/>
    <s v="CCK"/>
    <s v="CCK - Alem 351"/>
    <s v="SOLARZ, VALERIA"/>
    <s v="DNI"/>
    <n v="23123972"/>
    <s v="27231239729"/>
    <d v="1972-12-23T00:00:00"/>
    <m/>
    <m/>
    <m/>
    <m/>
    <x v="0"/>
    <x v="0"/>
    <d v="2016-01-01T00:00:00"/>
    <m/>
    <d v="2016-12-31T00:00:00"/>
    <m/>
    <s v="UNTREF"/>
    <s v="UNSAM"/>
    <n v="19000"/>
  </r>
  <r>
    <s v="SFMyCP"/>
    <x v="0"/>
    <m/>
    <x v="0"/>
    <s v="TELEVISION DIGITAL ABIERTA"/>
    <s v="CIARA"/>
    <m/>
    <s v="POSTPRODUCCIÓN"/>
    <s v="EDICION"/>
    <s v="CABILDO 65"/>
    <s v="CABILDO 65"/>
    <s v="SOLIZ MIGUEL"/>
    <s v="DNI"/>
    <n v="22809362"/>
    <n v="23228093629"/>
    <d v="1972-10-30T00:00:00"/>
    <m/>
    <m/>
    <m/>
    <m/>
    <x v="0"/>
    <x v="0"/>
    <d v="2011-09-01T00:00:00"/>
    <m/>
    <d v="2016-12-31T00:00:00"/>
    <m/>
    <s v="UNTREF"/>
    <s v="UNSAM- LADA"/>
    <n v="32782"/>
  </r>
  <r>
    <s v="SFMyCP"/>
    <x v="0"/>
    <s v="SUBSEC CENTROS TEMATICOS Y EXP FEDERALES"/>
    <x v="3"/>
    <s v="GASTRONOMIA"/>
    <m/>
    <m/>
    <s v="COCINA"/>
    <s v="LIMPIEZA GENERAL DEL PARQUE"/>
    <s v="TECNÓPOLIS"/>
    <s v="TECNOPOLIS"/>
    <s v="SOLODUJIN DANIEL DE LOS SANTOS"/>
    <s v="DNI"/>
    <n v="38353774"/>
    <s v="20383537747"/>
    <d v="1994-11-01T00:00:00"/>
    <m/>
    <m/>
    <m/>
    <m/>
    <x v="0"/>
    <x v="0"/>
    <d v="2014-04-01T00:00:00"/>
    <m/>
    <d v="2016-12-31T00:00:00"/>
    <m/>
    <s v="UNTREF"/>
    <s v="UNTREF"/>
    <n v="10408.549999999999"/>
  </r>
  <r>
    <s v="SFMyCP"/>
    <x v="0"/>
    <s v="SUBSEC CENTROS TEMATICOS Y EXP FEDERALES"/>
    <x v="3"/>
    <s v="INTENDENCIA - LIMPIEZA"/>
    <m/>
    <m/>
    <m/>
    <m/>
    <s v="TECNÓPOLIS"/>
    <m/>
    <s v="SOLODUJIN Noelia Edith"/>
    <s v="DNI"/>
    <n v="34263994"/>
    <n v="27342639947"/>
    <m/>
    <m/>
    <m/>
    <m/>
    <m/>
    <x v="1"/>
    <x v="1"/>
    <d v="2011-12-01T00:00:00"/>
    <d v="2016-12-31T00:00:00"/>
    <d v="2016-12-31T00:00:00"/>
    <s v="D1"/>
    <m/>
    <m/>
    <n v="13270"/>
  </r>
  <r>
    <s v="SFMyCP"/>
    <x v="1"/>
    <m/>
    <x v="5"/>
    <s v="COMPRAS Y CONTRATACIONES"/>
    <m/>
    <m/>
    <s v="Analista"/>
    <s v="ADMINISTRATIVO"/>
    <s v="CCK"/>
    <s v="CCK - Alem 351"/>
    <s v="GABIOUD SNÖBOHM AGUSTINA"/>
    <s v="DNI"/>
    <n v="34888306"/>
    <n v="27348883068"/>
    <d v="1989-11-12T00:00:00"/>
    <m/>
    <m/>
    <m/>
    <m/>
    <x v="0"/>
    <x v="0"/>
    <d v="2016-08-01T00:00:00"/>
    <m/>
    <d v="2016-12-31T00:00:00"/>
    <m/>
    <s v="UNTREF"/>
    <m/>
    <s v="."/>
  </r>
  <r>
    <s v="SFMyCP"/>
    <x v="0"/>
    <m/>
    <x v="8"/>
    <s v="COMUNICACIÓN"/>
    <m/>
    <m/>
    <m/>
    <m/>
    <s v="CCK"/>
    <s v="CCK - Alem 351"/>
    <s v="SOSA  Lucas Tomas"/>
    <s v="DNI"/>
    <n v="31722364"/>
    <n v="20317223642"/>
    <m/>
    <m/>
    <m/>
    <m/>
    <m/>
    <x v="1"/>
    <x v="1"/>
    <d v="2012-07-01T00:00:00"/>
    <d v="2016-12-31T00:00:00"/>
    <d v="2016-12-31T00:00:00"/>
    <s v="C0"/>
    <m/>
    <m/>
    <n v="18164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SOSA LUNA JUAN MARIO"/>
    <s v="DNI"/>
    <n v="30160785"/>
    <s v="20301607858"/>
    <d v="1983-05-19T00:00:00"/>
    <m/>
    <m/>
    <m/>
    <m/>
    <x v="0"/>
    <x v="0"/>
    <d v="2011-07-01T00:00:00"/>
    <m/>
    <d v="2016-12-31T00:00:00"/>
    <m/>
    <s v="UNTREF"/>
    <s v="UNTREF"/>
    <n v="11449.4"/>
  </r>
  <r>
    <s v="SFMyCP"/>
    <x v="0"/>
    <s v="SUBSEC CENTROS TEMATICOS Y EXP FEDERALES"/>
    <x v="3"/>
    <s v="INTENDENCIA - MANTENIMIENTO"/>
    <m/>
    <m/>
    <m/>
    <m/>
    <s v="TECNÓPOLIS"/>
    <m/>
    <s v="SOTELO David Antonio"/>
    <s v="DNI"/>
    <n v="20979830"/>
    <n v="20209798302"/>
    <m/>
    <m/>
    <m/>
    <m/>
    <m/>
    <x v="1"/>
    <x v="1"/>
    <d v="2011-08-01T00:00:00"/>
    <d v="2016-12-31T00:00:00"/>
    <d v="2016-12-31T00:00:00"/>
    <s v="C0"/>
    <m/>
    <m/>
    <n v="15793.59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SOTELO YONATHAN DAVID"/>
    <s v="DNI"/>
    <n v="36179996"/>
    <s v="20361799969"/>
    <d v="1993-05-10T00:00:00"/>
    <m/>
    <m/>
    <m/>
    <m/>
    <x v="0"/>
    <x v="0"/>
    <d v="2014-04-01T00:00:00"/>
    <m/>
    <d v="2016-12-31T00:00:00"/>
    <m/>
    <s v="UNTREF"/>
    <s v="UNTREF"/>
    <n v="9995.51"/>
  </r>
  <r>
    <s v="SFMyCP"/>
    <x v="0"/>
    <s v="SUBSEC CENTROS TEMATICOS Y EXP FEDERALES"/>
    <x v="1"/>
    <s v="DIRECCION DE GESTION EDILICIA"/>
    <s v="OPERATIVA Y LOGISTICA"/>
    <s v="LOGISTICA OPERATIVA"/>
    <s v="Responsable"/>
    <s v="OPERATIVA Y LOGISTICA"/>
    <s v="CCK"/>
    <s v="CCK - Alem 351"/>
    <s v="SOTO JONATAN"/>
    <s v="DNI"/>
    <n v="32604554"/>
    <s v="20326045544"/>
    <d v="1986-08-19T00:00:00"/>
    <m/>
    <m/>
    <m/>
    <m/>
    <x v="0"/>
    <x v="0"/>
    <d v="2015-04-18T00:00:00"/>
    <m/>
    <d v="2016-12-31T00:00:00"/>
    <m/>
    <s v="UNTREF"/>
    <s v="UNLAM -TDA"/>
    <n v="11721"/>
  </r>
  <r>
    <s v="SFMyCP"/>
    <x v="0"/>
    <m/>
    <x v="0"/>
    <s v="TELEVISION DIGITAL ABIERTA"/>
    <s v="CIARA"/>
    <m/>
    <s v="PRODUCCIÓN"/>
    <s v="PRODUCTOR de EXTERIORES"/>
    <s v="CABILDO 65"/>
    <s v="CABILDO 65"/>
    <s v="SOTOMAYOR ARIEL"/>
    <s v="DNI"/>
    <n v="28969270"/>
    <s v="20289692704"/>
    <d v="1981-12-13T00:00:00"/>
    <m/>
    <m/>
    <m/>
    <m/>
    <x v="0"/>
    <x v="0"/>
    <d v="2015-03-02T00:00:00"/>
    <m/>
    <d v="2016-12-31T00:00:00"/>
    <m/>
    <s v="UNTREF"/>
    <s v="UNSAM- LADA"/>
    <n v="19353"/>
  </r>
  <r>
    <s v="SFMyCP"/>
    <x v="0"/>
    <s v="SUBSEC CENTROS TEMATICOS Y EXP FEDERALES"/>
    <x v="1"/>
    <s v="DIRECCION DE GESTION EDILICIA"/>
    <s v="ESPACIOS FISICOS"/>
    <m/>
    <s v="Asistente Técnico Administrativo"/>
    <s v="ADMINISTRATIVO"/>
    <s v="CCK"/>
    <s v="CCK - Alem 351"/>
    <s v="SPEAKE RANDY"/>
    <s v="DNI"/>
    <n v="35897637"/>
    <n v="23358976379"/>
    <d v="1992-04-29T00:00:00"/>
    <m/>
    <m/>
    <m/>
    <m/>
    <x v="0"/>
    <x v="0"/>
    <m/>
    <m/>
    <d v="2016-12-31T00:00:00"/>
    <m/>
    <s v="UNTREF"/>
    <s v="UNLAM -TDA"/>
    <n v="11721"/>
  </r>
  <r>
    <s v="SFMyCP"/>
    <x v="1"/>
    <m/>
    <x v="2"/>
    <m/>
    <m/>
    <m/>
    <s v="PRIVADA"/>
    <s v="ADMINISTRATIVO"/>
    <m/>
    <s v="CCK - Alem 351"/>
    <s v="SPOSITO, LUCAS"/>
    <s v="DNI"/>
    <n v="35161090"/>
    <s v="20351610906"/>
    <d v="1990-03-23T00:00:00"/>
    <m/>
    <m/>
    <m/>
    <m/>
    <x v="0"/>
    <x v="0"/>
    <d v="2016-01-01T00:00:00"/>
    <m/>
    <d v="2016-12-31T00:00:00"/>
    <m/>
    <s v="UNTREF"/>
    <s v="UNSAM"/>
    <n v="17000"/>
  </r>
  <r>
    <s v="SFMyCP"/>
    <x v="0"/>
    <s v="SUBSEC CENTROS TEMATICOS Y EXP FEDERALES"/>
    <x v="3"/>
    <s v="COOPERATIVAS"/>
    <m/>
    <m/>
    <s v="Tareas Generales"/>
    <s v="TAREAS EN GENERAL TALLER CARPINTERIA/HERRERÍA/TEXTIL"/>
    <s v="TECNÓPOLIS"/>
    <m/>
    <s v="SPROVIERO TAMARA VANINA"/>
    <s v="DNI"/>
    <n v="34154916"/>
    <n v="27341549162"/>
    <d v="1988-03-22T00:00:00"/>
    <m/>
    <m/>
    <m/>
    <m/>
    <x v="0"/>
    <x v="2"/>
    <m/>
    <m/>
    <d v="2016-12-31T00:00:00"/>
    <m/>
    <s v="UNTREF"/>
    <s v="UNTREF"/>
    <n v="1700"/>
  </r>
  <r>
    <s v="SFMyCP"/>
    <x v="0"/>
    <s v="SUBSEC CENTROS TEMATICOS Y EXP FEDERALES"/>
    <x v="1"/>
    <s v="DIRECCION"/>
    <m/>
    <m/>
    <s v="Asistente"/>
    <s v="Asistente"/>
    <m/>
    <s v="CCK - Alem 351"/>
    <s v="SUAREZ AGUSTINA"/>
    <s v="DNI"/>
    <n v="24270144"/>
    <s v="27242701440"/>
    <d v="1974-10-24T00:00:00"/>
    <m/>
    <m/>
    <m/>
    <m/>
    <x v="0"/>
    <x v="0"/>
    <d v="2016-04-01T00:00:00"/>
    <m/>
    <d v="2016-12-31T00:00:00"/>
    <m/>
    <s v="UNTREF"/>
    <m/>
    <n v="20000"/>
  </r>
  <r>
    <s v="SFMyCP"/>
    <x v="1"/>
    <m/>
    <x v="5"/>
    <s v="PLANIF  Y ADM DE REC HUMANOS"/>
    <s v="S. GENERALES - AUTOMOTORES"/>
    <s v="AUTOMOTORES"/>
    <s v="CHOFER"/>
    <m/>
    <s v="CCK"/>
    <m/>
    <s v="SUAREZ JUAN CARLOS"/>
    <s v="DNI"/>
    <n v="26688463"/>
    <n v="20266884630"/>
    <m/>
    <m/>
    <m/>
    <m/>
    <m/>
    <x v="1"/>
    <x v="1"/>
    <d v="2014-12-01T00:00:00"/>
    <d v="2016-03-31T00:00:00"/>
    <d v="2016-12-31T00:00:00"/>
    <s v="D0"/>
    <m/>
    <m/>
    <n v="18219"/>
  </r>
  <r>
    <s v="SFMyCP"/>
    <x v="0"/>
    <s v="SUBSEC CENTROS TEMATICOS Y EXP FEDERALES"/>
    <x v="3"/>
    <s v="INTENDENCIA - LIMPIEZA"/>
    <m/>
    <m/>
    <m/>
    <m/>
    <s v="TECNÓPOLIS"/>
    <m/>
    <s v="SUAREZ Laura Beatriz"/>
    <s v="DNI"/>
    <n v="20715776"/>
    <n v="27207157762"/>
    <m/>
    <m/>
    <m/>
    <m/>
    <m/>
    <x v="1"/>
    <x v="1"/>
    <d v="2012-10-31T00:00:00"/>
    <d v="2016-12-31T00:00:00"/>
    <d v="2016-12-31T00:00:00"/>
    <s v="C0"/>
    <m/>
    <m/>
    <n v="19227"/>
  </r>
  <r>
    <s v="SFMyCP"/>
    <x v="0"/>
    <s v="SUBSEC CENTROS TEMATICOS Y EXP FEDERALES"/>
    <x v="3"/>
    <s v="INTENDENCIA - LIMPIEZA"/>
    <m/>
    <m/>
    <m/>
    <s v="LIMPIEZA GENERAL DEL PARQUE"/>
    <s v="TECNÓPOLIS"/>
    <s v="TECNOPOLIS"/>
    <s v="SUAREZ LUCAS ALEJANDRO"/>
    <s v="DNI"/>
    <n v="38354730"/>
    <s v="20383547300"/>
    <d v="1994-07-21T00:00:00"/>
    <m/>
    <m/>
    <m/>
    <m/>
    <x v="0"/>
    <x v="0"/>
    <d v="2014-07-01T00:00:00"/>
    <m/>
    <d v="2016-12-31T00:00:00"/>
    <m/>
    <s v="UNTREF"/>
    <s v="UNTREF"/>
    <n v="9995.51"/>
  </r>
  <r>
    <s v="SFMyCP"/>
    <x v="0"/>
    <s v="SUBSEC CENTROS TEMATICOS Y EXP FEDERALES"/>
    <x v="1"/>
    <s v="TECNICA"/>
    <s v="MONTAJE"/>
    <m/>
    <m/>
    <s v="ADMINISTRATIVO"/>
    <m/>
    <s v="CCK - Alem 351"/>
    <s v="SUAREZ ROBERTO DANIEL"/>
    <s v="DNI"/>
    <n v="12908061"/>
    <n v="20129080613"/>
    <d v="1958-09-02T00:00:00"/>
    <m/>
    <m/>
    <m/>
    <m/>
    <x v="0"/>
    <x v="0"/>
    <d v="2016-06-01T00:00:00"/>
    <m/>
    <d v="2016-12-31T00:00:00"/>
    <m/>
    <s v="UNTREF"/>
    <m/>
    <m/>
  </r>
  <r>
    <s v="SFMyCP"/>
    <x v="0"/>
    <m/>
    <x v="0"/>
    <s v="TELEVISION DIGITAL ABIERTA"/>
    <s v="CIARA"/>
    <m/>
    <s v="POSTPRODUCCIÓN"/>
    <s v="EDICION"/>
    <s v="CABILDO 65"/>
    <s v="CABILDO 65"/>
    <s v="SUAREZ RUBIO IGNACIO"/>
    <s v="DNI"/>
    <n v="31270453"/>
    <s v="20312704537"/>
    <d v="1984-10-29T00:00:00"/>
    <m/>
    <m/>
    <m/>
    <m/>
    <x v="0"/>
    <x v="0"/>
    <d v="2015-04-01T00:00:00"/>
    <m/>
    <d v="2016-12-31T00:00:00"/>
    <m/>
    <s v="UNTREF"/>
    <m/>
    <n v="19353"/>
  </r>
  <r>
    <s v="SFMyCP"/>
    <x v="0"/>
    <s v="SUBSEC CENTROS TEMATICOS Y EXP FEDERALES"/>
    <x v="1"/>
    <s v="INSTITUCIONALES"/>
    <m/>
    <m/>
    <s v="Analista"/>
    <m/>
    <s v="CCK"/>
    <m/>
    <s v="SUIFFET ANA CLARA"/>
    <s v="DNI"/>
    <n v="28013886"/>
    <n v="27280138865"/>
    <m/>
    <m/>
    <m/>
    <m/>
    <m/>
    <x v="1"/>
    <x v="1"/>
    <d v="2009-03-01T00:00:00"/>
    <d v="2016-12-31T00:00:00"/>
    <d v="2016-12-31T00:00:00"/>
    <s v="B0"/>
    <m/>
    <m/>
    <n v="19096"/>
  </r>
  <r>
    <s v="SFMyCP"/>
    <x v="0"/>
    <s v="SUBSEC CENTROS TEMATICOS Y EXP FEDERALES"/>
    <x v="7"/>
    <m/>
    <m/>
    <m/>
    <s v="PRIVADA"/>
    <s v="ADMINISTRATIVO"/>
    <m/>
    <s v="CCK - Alem 351"/>
    <s v="SUMMA RODRIGO EZEQUIEL"/>
    <s v="DNI"/>
    <n v="25989420"/>
    <n v="20259894205"/>
    <d v="1977-08-02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1"/>
    <s v="AUDIOVISUALES"/>
    <m/>
    <m/>
    <m/>
    <m/>
    <s v="CCK"/>
    <s v="CCK - Alem 351"/>
    <s v="SZENKIERMAN,  Laura Gisela"/>
    <s v="DNI"/>
    <n v="28076813"/>
    <n v="27280768133"/>
    <m/>
    <m/>
    <m/>
    <m/>
    <m/>
    <x v="1"/>
    <x v="1"/>
    <d v="2011-07-01T00:00:00"/>
    <d v="2016-12-31T00:00:00"/>
    <d v="2016-12-31T00:00:00"/>
    <s v="C0"/>
    <m/>
    <m/>
    <n v="24220.959999999999"/>
  </r>
  <r>
    <s v="SFMyCP"/>
    <x v="0"/>
    <s v="SUBSEC CENTROS TEMATICOS Y EXP FEDERALES"/>
    <x v="1"/>
    <s v="DIRECCION DE GESTION EDILICIA"/>
    <s v="EQUIPO CONTROL Y PLANIFICACION"/>
    <m/>
    <m/>
    <m/>
    <m/>
    <m/>
    <s v="SZMULEWICZ DEMIAN"/>
    <s v="DNI"/>
    <n v="26352654"/>
    <n v="20263526547"/>
    <m/>
    <m/>
    <m/>
    <m/>
    <m/>
    <x v="1"/>
    <x v="1"/>
    <d v="2008-02-01T00:00:00"/>
    <d v="2016-12-31T00:00:00"/>
    <d v="2016-12-31T00:00:00"/>
    <s v="B2"/>
    <m/>
    <s v="B2"/>
    <m/>
  </r>
  <r>
    <s v="SFMyCP"/>
    <x v="0"/>
    <m/>
    <x v="0"/>
    <s v="TELEVISION DIGITAL ABIERTA"/>
    <s v="CIARA"/>
    <m/>
    <s v="PRODUCCIÓN"/>
    <s v="PRODUCTOR de EXTERIORES"/>
    <s v="CABILDO 65"/>
    <s v="CABILDO 65"/>
    <s v="TABAREZ VIDECKIS NICOLAS"/>
    <s v="DNI"/>
    <n v="27419365"/>
    <s v="20274193655"/>
    <d v="1979-07-23T00:00:00"/>
    <m/>
    <m/>
    <m/>
    <m/>
    <x v="0"/>
    <x v="0"/>
    <d v="2012-05-01T00:00:00"/>
    <m/>
    <d v="2016-12-31T00:00:00"/>
    <m/>
    <s v="UNTREF"/>
    <m/>
    <n v="27582"/>
  </r>
  <r>
    <s v="SFMyCP"/>
    <x v="1"/>
    <m/>
    <x v="5"/>
    <s v="PLANIF  Y ADM DE REC HUMANOS"/>
    <s v="TDA"/>
    <m/>
    <s v="RECURSOS HUMANOS"/>
    <m/>
    <s v="CABILDO 65"/>
    <m/>
    <s v="TAGARELLI CARLA MARIA"/>
    <s v="DNI"/>
    <n v="22110046"/>
    <n v="27221100463"/>
    <m/>
    <m/>
    <m/>
    <m/>
    <m/>
    <x v="1"/>
    <x v="1"/>
    <d v="2013-12-01T00:00:00"/>
    <d v="2016-03-31T00:00:00"/>
    <d v="2016-12-31T00:00:00"/>
    <s v="B0"/>
    <m/>
    <m/>
    <n v="17107"/>
  </r>
  <r>
    <s v="SFMyCP"/>
    <x v="1"/>
    <m/>
    <x v="2"/>
    <m/>
    <m/>
    <m/>
    <s v="PRIVADA"/>
    <s v="ADMINISTRATIVO"/>
    <m/>
    <s v="CCK - Alem 351"/>
    <s v="TARDITTI, EDUARDO JORGE"/>
    <s v="DNI"/>
    <n v="6560219"/>
    <s v="23065602199"/>
    <d v="1947-07-07T00:00:00"/>
    <m/>
    <m/>
    <m/>
    <m/>
    <x v="0"/>
    <x v="0"/>
    <d v="2016-01-01T00:00:00"/>
    <m/>
    <d v="2016-12-31T00:00:00"/>
    <m/>
    <s v="UNTREF"/>
    <s v="UNSAM"/>
    <n v="27000"/>
  </r>
  <r>
    <s v="SFMyCP"/>
    <x v="1"/>
    <m/>
    <x v="5"/>
    <s v="PLANIF  Y ADM DE REC HUMANOS"/>
    <s v="RECURSOS HUMANOS"/>
    <m/>
    <s v="Analista de RR.HH."/>
    <s v="ADMINISTRATIVO"/>
    <s v="CCK"/>
    <s v="CCK - Alem 351"/>
    <s v="TELLO LUCÍA"/>
    <s v="DNI"/>
    <n v="36637604"/>
    <s v="27366376041"/>
    <d v="1991-11-13T00:00:00"/>
    <m/>
    <m/>
    <m/>
    <m/>
    <x v="0"/>
    <x v="0"/>
    <d v="2014-11-01T00:00:00"/>
    <m/>
    <d v="2016-12-31T00:00:00"/>
    <m/>
    <s v="UNTREF"/>
    <s v="UNLAM -TDA"/>
    <n v="10189"/>
  </r>
  <r>
    <s v="SFMyCP"/>
    <x v="0"/>
    <m/>
    <x v="0"/>
    <s v="TELEVISION DIGITAL ABIERTA"/>
    <s v="CIARA"/>
    <m/>
    <s v="CONTENIDOS DIGITALES ABIERTOS CDA"/>
    <s v="ADMINISTRATIVO"/>
    <s v="CABILDO 65"/>
    <s v="CABILDO 65"/>
    <s v="TENEGLIA JOSE"/>
    <s v="DNI"/>
    <n v="24007592"/>
    <s v="20240075920"/>
    <d v="1974-07-22T00:00:00"/>
    <m/>
    <m/>
    <m/>
    <m/>
    <x v="0"/>
    <x v="0"/>
    <d v="2012-06-01T00:00:00"/>
    <m/>
    <d v="2016-12-31T00:00:00"/>
    <m/>
    <s v="UNTREF"/>
    <s v="UNSAM- LADA"/>
    <n v="16465"/>
  </r>
  <r>
    <s v="SFMyCP"/>
    <x v="1"/>
    <m/>
    <x v="5"/>
    <s v="COMPRAS Y CONTRATACIONES"/>
    <m/>
    <m/>
    <s v="ADMINISTRACIÓN"/>
    <s v="ADMINISTRATIVO"/>
    <s v="CCK"/>
    <s v="CCK - Alem 351"/>
    <s v="TEVES NANCY FLORENCIA"/>
    <s v="DNI"/>
    <n v="32690517"/>
    <s v="27326905173"/>
    <d v="1986-09-30T00:00:00"/>
    <m/>
    <m/>
    <m/>
    <m/>
    <x v="0"/>
    <x v="0"/>
    <d v="2013-03-01T00:00:00"/>
    <m/>
    <d v="2016-12-31T00:00:00"/>
    <m/>
    <s v="UNTREF"/>
    <s v="UNSAM- LADA"/>
    <n v="9875"/>
  </r>
  <r>
    <s v="SFMyCP"/>
    <x v="0"/>
    <m/>
    <x v="0"/>
    <s v="TELEVISION DIGITAL ABIERTA"/>
    <s v="CIARA"/>
    <m/>
    <s v="PRODUCCIÓN"/>
    <s v="PRODUCTOR de EXTERIORES"/>
    <s v="CABILDO 65"/>
    <s v="CABILDO 65"/>
    <s v="TEVEZ CAROLINA"/>
    <s v="DNI"/>
    <n v="32022652"/>
    <s v="27320226525"/>
    <d v="1986-01-30T00:00:00"/>
    <m/>
    <m/>
    <m/>
    <m/>
    <x v="0"/>
    <x v="0"/>
    <d v="2015-04-01T00:00:00"/>
    <m/>
    <d v="2016-12-31T00:00:00"/>
    <m/>
    <s v="UNTREF"/>
    <s v="UNSAM- LADA"/>
    <n v="18795"/>
  </r>
  <r>
    <s v="SFMyCP"/>
    <x v="1"/>
    <m/>
    <x v="5"/>
    <s v="PRESUPUESTO"/>
    <m/>
    <m/>
    <s v="ANALISTA"/>
    <s v="ADMINISTRATIVO"/>
    <m/>
    <s v="CCK - Alem 351"/>
    <s v="TOKUMORI MARIA KAMI"/>
    <s v="DNI"/>
    <n v="36990736"/>
    <n v="27369907366"/>
    <d v="1992-03-14T00:00:00"/>
    <m/>
    <m/>
    <m/>
    <m/>
    <x v="0"/>
    <x v="0"/>
    <d v="2016-05-02T00:00:00"/>
    <m/>
    <d v="2016-12-31T00:00:00"/>
    <m/>
    <s v="UNTREF"/>
    <m/>
    <s v="."/>
  </r>
  <r>
    <s v="SFMyCP"/>
    <x v="0"/>
    <m/>
    <x v="0"/>
    <s v="TELEVISION DIGITAL ABIERTA"/>
    <s v="CIARA"/>
    <m/>
    <s v="ACUA MAYOR"/>
    <s v="ADMINISTRATIVO"/>
    <s v="CABILDO 65"/>
    <s v="CABILDO 65"/>
    <s v="TOLCACHIER NICOLAS"/>
    <s v="DNI"/>
    <n v="24270526"/>
    <s v="20242705263"/>
    <d v="1974-10-18T00:00:00"/>
    <m/>
    <m/>
    <m/>
    <m/>
    <x v="0"/>
    <x v="0"/>
    <d v="2009-11-01T00:00:00"/>
    <m/>
    <d v="2016-12-31T00:00:00"/>
    <m/>
    <s v="UNTREF"/>
    <s v="UNSAM- LADA"/>
    <n v="27717"/>
  </r>
  <r>
    <s v="SFMyCP"/>
    <x v="0"/>
    <s v="SUBSEC CENTROS TEMATICOS Y EXP FEDERALES"/>
    <x v="3"/>
    <s v="INTENDENCIA- MANTENIMIENTO"/>
    <m/>
    <m/>
    <m/>
    <s v="MANTENIMIENTO GRAL DEL PARQUE"/>
    <s v="TECNÓPOLIS"/>
    <s v="TECNOPOLIS"/>
    <s v="TOLEDO CARLOS IVÁN"/>
    <s v="DNI"/>
    <n v="38928395"/>
    <s v="23389283959"/>
    <d v="1995-05-23T00:00:00"/>
    <m/>
    <m/>
    <m/>
    <m/>
    <x v="0"/>
    <x v="0"/>
    <d v="2014-04-01T00:00:00"/>
    <m/>
    <d v="2016-12-31T00:00:00"/>
    <m/>
    <s v="UNTREF"/>
    <s v="UNTREF"/>
    <n v="9995.51"/>
  </r>
  <r>
    <s v="SFMyCP"/>
    <x v="0"/>
    <s v="SUBSEC CENTROS TEMATICOS Y EXP FEDERALES"/>
    <x v="1"/>
    <s v="DIRECCION DE GESTION EDILICIA"/>
    <s v="ESPACIOS FISICOS"/>
    <m/>
    <s v="Fotografa/o"/>
    <s v="ADMINISTRATIVO"/>
    <s v="CCK"/>
    <s v="CCK - Alem 351"/>
    <s v="TOLEDO WIDENSKY JULIETA"/>
    <s v="DNI"/>
    <n v="35897693"/>
    <s v="27358976935"/>
    <d v="1992-12-12T00:00:00"/>
    <m/>
    <m/>
    <m/>
    <m/>
    <x v="0"/>
    <x v="0"/>
    <d v="2015-08-03T00:00:00"/>
    <m/>
    <d v="2016-12-31T00:00:00"/>
    <m/>
    <s v="UNTREF"/>
    <s v="UNLAM -TDA"/>
    <n v="10807"/>
  </r>
  <r>
    <s v="SFMyCP"/>
    <x v="0"/>
    <m/>
    <x v="0"/>
    <s v="TELEVISION DIGITAL ABIERTA"/>
    <s v="CIARA"/>
    <m/>
    <s v="PRODUCCIÓN"/>
    <s v="PRODUCTOR de EXTERIORES"/>
    <s v="CABILDO 65"/>
    <s v="CABILDO 65"/>
    <s v="TORANZO AGUSTIN"/>
    <s v="DNI"/>
    <n v="29752031"/>
    <s v="20297520319"/>
    <d v="1982-09-04T00:00:00"/>
    <m/>
    <m/>
    <m/>
    <m/>
    <x v="0"/>
    <x v="0"/>
    <d v="2012-08-01T00:00:00"/>
    <m/>
    <d v="2016-12-31T00:00:00"/>
    <m/>
    <s v="UNTREF"/>
    <s v="UNSAM- LADA"/>
    <n v="23288"/>
  </r>
  <r>
    <s v="SFMyCP"/>
    <x v="0"/>
    <s v="SUBSEC CENTROS TEMATICOS Y EXP FEDERALES"/>
    <x v="3"/>
    <s v="OPERATIVA"/>
    <m/>
    <m/>
    <m/>
    <s v="CONTROL DE ACCESOS/DEPOSITOS DEL PREDIO TURNO NOCHE"/>
    <s v="TECNÓPOLIS"/>
    <s v="TECNOPOLIS"/>
    <s v="TORMANN LUCAS ALEJANDRO"/>
    <s v="DNI"/>
    <n v="39100326"/>
    <s v="20391003263"/>
    <d v="1995-06-11T00:00:00"/>
    <m/>
    <m/>
    <m/>
    <m/>
    <x v="0"/>
    <x v="0"/>
    <d v="2014-07-01T00:00:00"/>
    <m/>
    <d v="2016-12-31T00:00:00"/>
    <m/>
    <s v="UNTREF"/>
    <s v="UNTREF"/>
    <n v="9995.51"/>
  </r>
  <r>
    <s v="SFMyCP"/>
    <x v="0"/>
    <s v="SUBSEC CENTROS TEMATICOS Y EXP FEDERALES"/>
    <x v="3"/>
    <s v="INTENDENCIA - TALLERES"/>
    <m/>
    <m/>
    <m/>
    <m/>
    <s v="TECNÓPOLIS"/>
    <m/>
    <s v="TORNESE Alejandro Federico"/>
    <s v="DNI"/>
    <n v="12462086"/>
    <n v="20124620865"/>
    <m/>
    <m/>
    <m/>
    <m/>
    <m/>
    <x v="1"/>
    <x v="1"/>
    <d v="2012-04-01T00:00:00"/>
    <d v="2016-12-31T00:00:00"/>
    <d v="2016-12-31T00:00:00"/>
    <s v="C0"/>
    <m/>
    <m/>
    <n v="20583"/>
  </r>
  <r>
    <s v="SFMyCP"/>
    <x v="0"/>
    <s v="SUBSEC CENTROS TEMATICOS Y EXP FEDERALES"/>
    <x v="3"/>
    <s v="ARQUITECTURA Y OBRA"/>
    <m/>
    <m/>
    <m/>
    <s v="MANTENIMIENTO"/>
    <s v="TECNÓPOLIS"/>
    <s v="TECNOPOLIS"/>
    <s v="TORRES  MAXIMILIANO JOSE"/>
    <s v="DNI"/>
    <n v="28635991"/>
    <s v="20286359915"/>
    <d v="1981-03-08T00:00:00"/>
    <m/>
    <m/>
    <m/>
    <m/>
    <x v="0"/>
    <x v="0"/>
    <d v="2011-07-01T00:00:00"/>
    <m/>
    <d v="2016-12-31T00:00:00"/>
    <m/>
    <s v="UNTREF"/>
    <s v="UNTREF"/>
    <n v="11449.4"/>
  </r>
  <r>
    <s v="SFMyCP"/>
    <x v="0"/>
    <m/>
    <x v="0"/>
    <s v="TELEVISION DIGITAL ABIERTA"/>
    <s v="PRESIDENCIA"/>
    <m/>
    <s v="POSTPRODUCCIÓN"/>
    <s v="ADMINISTRATIVO"/>
    <s v="CABILDO 65"/>
    <s v="CABILDO 65"/>
    <s v="TORRES GUSTAVO"/>
    <s v="DNI"/>
    <n v="22006983"/>
    <s v="20220069835"/>
    <d v="1971-03-14T00:00:00"/>
    <m/>
    <m/>
    <m/>
    <m/>
    <x v="0"/>
    <x v="0"/>
    <d v="2012-05-03T00:00:00"/>
    <m/>
    <d v="2016-12-31T00:00:00"/>
    <m/>
    <s v="UNTREF"/>
    <s v="UNSAM- LADA"/>
    <n v="25252"/>
  </r>
  <r>
    <s v="SFMyCP"/>
    <x v="0"/>
    <s v="SUBSEC CENTROS TEMATICOS Y EXP FEDERALES"/>
    <x v="3"/>
    <s v="OPERATIVA"/>
    <m/>
    <m/>
    <m/>
    <m/>
    <s v="TECNÓPOLIS"/>
    <m/>
    <s v="TORRES Jorge David"/>
    <s v="DNI"/>
    <n v="36662611"/>
    <n v="20366626116"/>
    <m/>
    <m/>
    <m/>
    <m/>
    <m/>
    <x v="1"/>
    <x v="1"/>
    <d v="2013-07-01T00:00:00"/>
    <d v="2016-03-31T00:00:00"/>
    <d v="2016-12-31T00:00:00"/>
    <s v="C0"/>
    <m/>
    <m/>
    <n v="15043.07"/>
  </r>
  <r>
    <s v="SFMyCP"/>
    <x v="1"/>
    <m/>
    <x v="2"/>
    <m/>
    <m/>
    <m/>
    <s v="PRIVADA"/>
    <s v="ADMINISTRATIVO"/>
    <m/>
    <s v="CCK - Alem 351"/>
    <s v="TORRETA, CLAUDIO"/>
    <s v="DNI"/>
    <n v="24291240"/>
    <n v="20242912404"/>
    <d v="1975-04-21T00:00:00"/>
    <m/>
    <m/>
    <m/>
    <m/>
    <x v="0"/>
    <x v="0"/>
    <d v="2016-01-01T00:00:00"/>
    <m/>
    <d v="2016-12-31T00:00:00"/>
    <m/>
    <s v="UNTREF"/>
    <s v="UNSAM"/>
    <n v="27370"/>
  </r>
  <r>
    <s v="SFMyCP"/>
    <x v="0"/>
    <s v="SUBSEC CENTROS TEMATICOS Y EXP FEDERALES"/>
    <x v="3"/>
    <s v="INTENDENCIA - TALLERES"/>
    <m/>
    <m/>
    <m/>
    <s v="CARPINTERO"/>
    <s v="TECNÓPOLIS"/>
    <s v="TECNOPOLIS"/>
    <s v="TORRICO GUTIERREZ ANTONIO FRANCO"/>
    <s v="DNI"/>
    <n v="37141701"/>
    <s v="20371417010"/>
    <d v="1992-12-07T00:00:00"/>
    <m/>
    <m/>
    <m/>
    <m/>
    <x v="0"/>
    <x v="0"/>
    <d v="2014-07-01T00:00:00"/>
    <m/>
    <d v="2016-12-31T00:00:00"/>
    <m/>
    <s v="UNTREF"/>
    <s v="UNTREF"/>
    <n v="11499"/>
  </r>
  <r>
    <s v="SFMyCP"/>
    <x v="0"/>
    <m/>
    <x v="0"/>
    <s v="TELEVISION DIGITAL ABIERTA"/>
    <s v="CIARA"/>
    <m/>
    <s v="PRODUCCIÓN"/>
    <m/>
    <m/>
    <m/>
    <s v="TOSCANI LUCAS SEBASTIAN"/>
    <s v="DNI"/>
    <n v="31576451"/>
    <n v="20315764514"/>
    <m/>
    <m/>
    <m/>
    <m/>
    <m/>
    <x v="2"/>
    <x v="1"/>
    <d v="2013-12-01T00:00:00"/>
    <m/>
    <d v="2016-12-31T00:00:00"/>
    <s v="B0"/>
    <m/>
    <m/>
    <n v="16000"/>
  </r>
  <r>
    <s v="SFMyCP"/>
    <x v="1"/>
    <m/>
    <x v="5"/>
    <s v="PLANIF  Y ADM DE REC HUMANOS"/>
    <s v="S. GENERALES - AUTOMOTORES"/>
    <s v="AUTOMOTORES"/>
    <s v="CHOFER"/>
    <m/>
    <s v="CCK"/>
    <m/>
    <s v="TRAPANI ALEJANDRO"/>
    <s v="DNI"/>
    <n v="26787449"/>
    <n v="20267874493"/>
    <m/>
    <m/>
    <m/>
    <m/>
    <m/>
    <x v="1"/>
    <x v="1"/>
    <d v="2014-12-01T00:00:00"/>
    <d v="2016-03-31T00:00:00"/>
    <d v="2016-12-31T00:00:00"/>
    <s v="C0"/>
    <m/>
    <m/>
    <n v="18000"/>
  </r>
  <r>
    <s v="SFMyCP"/>
    <x v="0"/>
    <s v="SUBSEC CENTROS TEMATICOS Y EXP FEDERALES"/>
    <x v="1"/>
    <s v="DIRECCION DE GESTION EDILICIA"/>
    <s v="OPERATIVA Y LOGISTICA"/>
    <s v="LIMPIEZA (En comisión Tecnópolis)"/>
    <s v="Auxiliar"/>
    <s v="OPERATIVA Y LOGISTICA"/>
    <s v="CCK"/>
    <s v="CCK - Alem 351"/>
    <s v="TRESER CARLOS"/>
    <s v="DNI"/>
    <n v="34520527"/>
    <s v="20345205277"/>
    <d v="1989-01-25T00:00:00"/>
    <m/>
    <m/>
    <m/>
    <m/>
    <x v="0"/>
    <x v="0"/>
    <d v="2015-10-10T00:00:00"/>
    <m/>
    <d v="2016-12-31T00:00:00"/>
    <m/>
    <s v="UNTREF"/>
    <s v="UNSAM-MINPLAN"/>
    <n v="8500"/>
  </r>
  <r>
    <s v="SFMyCP"/>
    <x v="0"/>
    <m/>
    <x v="0"/>
    <s v="TELEVISION DIGITAL ABIERTA"/>
    <s v="CIARA"/>
    <m/>
    <s v="PRENSA Y COMUNICACIÓN"/>
    <m/>
    <s v="CABILDO 65"/>
    <m/>
    <s v="TRICARICO MARCOS DAMIAN"/>
    <s v="DNI"/>
    <n v="17636422"/>
    <n v="20176364220"/>
    <m/>
    <m/>
    <m/>
    <m/>
    <m/>
    <x v="1"/>
    <x v="1"/>
    <d v="2015-02-01T00:00:00"/>
    <d v="2016-03-31T00:00:00"/>
    <d v="2016-12-31T00:00:00"/>
    <s v="C2"/>
    <m/>
    <m/>
    <n v="13233"/>
  </r>
  <r>
    <s v="SFMyCP"/>
    <x v="0"/>
    <m/>
    <x v="0"/>
    <s v="TELEVISION DIGITAL ABIERTA"/>
    <s v="CIARA"/>
    <m/>
    <s v="TÉCNICA Y TRANSMISIÓN"/>
    <s v="ADMINISTRATIVO"/>
    <s v="CABILDO 65"/>
    <s v="CABILDO 65"/>
    <s v="TRONCOSO SAMANTA"/>
    <s v="DNI"/>
    <n v="33220920"/>
    <s v="27332209200"/>
    <d v="1987-09-04T00:00:00"/>
    <m/>
    <m/>
    <m/>
    <m/>
    <x v="0"/>
    <x v="0"/>
    <d v="2013-03-01T00:00:00"/>
    <m/>
    <d v="2016-12-31T00:00:00"/>
    <m/>
    <s v="UNTREF"/>
    <s v="UNSAM- LADA"/>
    <n v="19353"/>
  </r>
  <r>
    <s v="SFMyCP"/>
    <x v="1"/>
    <m/>
    <x v="5"/>
    <s v="INFORMATICA Y SISTEMAS"/>
    <m/>
    <m/>
    <s v="Analista"/>
    <m/>
    <s v="CCK"/>
    <m/>
    <s v="TRYBULSKI CHRISTIAN"/>
    <s v="DNI"/>
    <n v="36828254"/>
    <n v="20368282546"/>
    <m/>
    <m/>
    <m/>
    <m/>
    <m/>
    <x v="1"/>
    <x v="1"/>
    <d v="2011-11-15T00:00:00"/>
    <d v="2016-12-31T00:00:00"/>
    <d v="2016-12-31T00:00:00"/>
    <s v="C1"/>
    <m/>
    <m/>
    <n v="12274"/>
  </r>
  <r>
    <s v="SFMyCP"/>
    <x v="2"/>
    <m/>
    <x v="4"/>
    <m/>
    <m/>
    <m/>
    <m/>
    <s v="ADMINISTRATIVO"/>
    <s v="CCK"/>
    <s v="CCK - Alem 351"/>
    <s v="TUZIEKIEVICZ GABRIELA"/>
    <s v="DNI"/>
    <n v="23044714"/>
    <s v="23230447144"/>
    <d v="1973-08-06T00:00:00"/>
    <m/>
    <m/>
    <m/>
    <m/>
    <x v="0"/>
    <x v="0"/>
    <d v="2014-12-04T00:00:00"/>
    <m/>
    <d v="2016-12-31T00:00:00"/>
    <m/>
    <s v="UNTREF"/>
    <s v="UNLAM- TDA"/>
    <n v="12237"/>
  </r>
  <r>
    <s v="SFMyCP"/>
    <x v="0"/>
    <m/>
    <x v="0"/>
    <s v="TELEVISION DIGITAL ABIERTA"/>
    <s v="CIARA"/>
    <m/>
    <s v="CONTENIDOS DIGITALES ABIERTOS CDA"/>
    <s v="ADMINISTRATIVO"/>
    <s v="CABILDO 65"/>
    <s v="CABILDO 65"/>
    <s v="UASSOUF GURMAN GABRIELA"/>
    <s v="DNI"/>
    <n v="33626355"/>
    <s v="27336263552"/>
    <d v="1988-03-01T00:00:00"/>
    <m/>
    <m/>
    <m/>
    <m/>
    <x v="0"/>
    <x v="0"/>
    <d v="2013-06-01T00:00:00"/>
    <m/>
    <d v="2016-12-31T00:00:00"/>
    <m/>
    <s v="UNTREF"/>
    <s v="UNSAM- LADA"/>
    <n v="29420"/>
  </r>
  <r>
    <s v="SFMyCP"/>
    <x v="0"/>
    <s v="SUBSEC CENTROS TEMATICOS Y EXP FEDERALES"/>
    <x v="1"/>
    <s v="INSTITUCIONALES"/>
    <s v="VISITAS GUIADAS"/>
    <m/>
    <m/>
    <s v="VISITAS GUIADAS"/>
    <m/>
    <s v="CCK - Alem 351"/>
    <s v="ULRICH INGRID"/>
    <s v="DNI"/>
    <n v="33021998"/>
    <n v="27330219985"/>
    <d v="1987-05-14T00:00:00"/>
    <m/>
    <m/>
    <m/>
    <m/>
    <x v="0"/>
    <x v="0"/>
    <d v="2016-05-01T00:00:00"/>
    <m/>
    <d v="2016-12-31T00:00:00"/>
    <m/>
    <s v="UNTREF"/>
    <m/>
    <m/>
  </r>
  <r>
    <s v="SFMyCP"/>
    <x v="0"/>
    <m/>
    <x v="0"/>
    <s v="TELEVISION DIGITAL ABIERTA"/>
    <s v="PRESIDENCIA"/>
    <m/>
    <s v="PRODUCCIÓN"/>
    <s v="PRODUCTOR de EXTERIORES"/>
    <s v="CABILDO 65"/>
    <s v="CABILDO 65"/>
    <s v="ULRICH SEBASTIAN"/>
    <s v="DNI"/>
    <n v="24515306"/>
    <s v="20245153067"/>
    <d v="1975-03-06T00:00:00"/>
    <m/>
    <m/>
    <m/>
    <m/>
    <x v="0"/>
    <x v="0"/>
    <d v="2013-05-01T00:00:00"/>
    <m/>
    <d v="2016-12-31T00:00:00"/>
    <m/>
    <s v="UNTREF"/>
    <m/>
    <n v="24060"/>
  </r>
  <r>
    <s v="SFMyCP"/>
    <x v="0"/>
    <s v="SUBSEC CENTROS TEMATICOS Y EXP FEDERALES"/>
    <x v="1"/>
    <s v="DIRECCION DE GESTION EDILICIA"/>
    <s v="DIRECCION"/>
    <m/>
    <s v="Coordinador de Dto"/>
    <m/>
    <s v="CCK"/>
    <m/>
    <s v="UMPIERREZ MANUEL"/>
    <s v="DNI"/>
    <n v="92821036"/>
    <n v="20928210368"/>
    <m/>
    <m/>
    <m/>
    <m/>
    <m/>
    <x v="1"/>
    <x v="1"/>
    <d v="2015-06-01T00:00:00"/>
    <d v="2016-03-31T00:00:00"/>
    <d v="2016-12-31T00:00:00"/>
    <s v="C1"/>
    <m/>
    <m/>
    <n v="27850"/>
  </r>
  <r>
    <s v="SFMyCP"/>
    <x v="0"/>
    <m/>
    <x v="0"/>
    <s v="TELEVISION DIGITAL ABIERTA"/>
    <s v="PRESIDENCIA"/>
    <m/>
    <s v="POSTPRODUCCIÓN"/>
    <s v="ADMINISTRATIVO"/>
    <s v="CABILDO 65"/>
    <s v="CABILDO 65"/>
    <s v="URTIAGA VICTOR"/>
    <s v="DNI"/>
    <n v="25201218"/>
    <s v="20252012185"/>
    <d v="1976-02-17T00:00:00"/>
    <m/>
    <m/>
    <m/>
    <m/>
    <x v="0"/>
    <x v="0"/>
    <d v="2011-07-01T00:00:00"/>
    <m/>
    <d v="2016-12-31T00:00:00"/>
    <m/>
    <s v="UNTREF"/>
    <s v="UNSAM- LADA"/>
    <n v="24060"/>
  </r>
  <r>
    <s v="SFMyCP"/>
    <x v="0"/>
    <m/>
    <x v="6"/>
    <s v="ARTES VISUALES"/>
    <m/>
    <m/>
    <s v="DIRECTOR"/>
    <s v="ADMINISTRATIVO"/>
    <m/>
    <s v="CCK - Alem 351"/>
    <s v="URTIAGA, GABRIELA"/>
    <s v="DNI"/>
    <n v="25452505"/>
    <s v="27254525052"/>
    <d v="1976-07-22T00:00:00"/>
    <m/>
    <m/>
    <m/>
    <m/>
    <x v="0"/>
    <x v="0"/>
    <d v="2016-01-01T00:00:00"/>
    <m/>
    <d v="2016-12-31T00:00:00"/>
    <m/>
    <s v="UNTREF"/>
    <s v="UNSAM"/>
    <n v="36000"/>
  </r>
  <r>
    <s v="SFMyCP"/>
    <x v="0"/>
    <s v="SUBSEC CENTROS TEMATICOS Y EXP FEDERALES"/>
    <x v="3"/>
    <s v="ADMINISTRACION"/>
    <m/>
    <m/>
    <s v="ADMINISTRATIVO"/>
    <m/>
    <s v="TECNÓPOLIS"/>
    <m/>
    <s v="USTARES Matias Nicolas"/>
    <s v="DNI"/>
    <n v="36636933"/>
    <n v="20366369334"/>
    <m/>
    <m/>
    <m/>
    <m/>
    <m/>
    <x v="1"/>
    <x v="1"/>
    <d v="2012-05-01T00:00:00"/>
    <d v="2016-12-31T00:00:00"/>
    <d v="2016-12-31T00:00:00"/>
    <s v="C0"/>
    <m/>
    <m/>
    <n v="15418.33"/>
  </r>
  <r>
    <s v="SFMyCP"/>
    <x v="0"/>
    <s v="SUBSEC CENTROS TEMATICOS Y EXP FEDERALES"/>
    <x v="1"/>
    <s v="INSTITUCIONALES"/>
    <m/>
    <m/>
    <s v="Analista"/>
    <m/>
    <s v="CCK"/>
    <m/>
    <s v="VALDOVINO CARMEN"/>
    <s v="DNI"/>
    <n v="23354383"/>
    <n v="27233543832"/>
    <m/>
    <m/>
    <m/>
    <m/>
    <m/>
    <x v="1"/>
    <x v="1"/>
    <d v="2008-02-01T00:00:00"/>
    <d v="2016-12-31T00:00:00"/>
    <d v="2016-12-31T00:00:00"/>
    <s v="B2"/>
    <m/>
    <m/>
    <n v="21517"/>
  </r>
  <r>
    <s v="SFMyCP"/>
    <x v="0"/>
    <s v="SUBSEC CENTROS TEMATICOS Y EXP FEDERALES"/>
    <x v="1"/>
    <s v="DIRECCION DE GESTION EDILICIA"/>
    <s v="MESA DE AYUDA"/>
    <m/>
    <s v="ASISTENTE"/>
    <s v="ADMINISTRATIVO"/>
    <s v="CCK"/>
    <s v="CCK - Alem 351"/>
    <s v="VALLADARES CANDELA"/>
    <s v="DNI"/>
    <n v="34000534"/>
    <s v="27340005347"/>
    <d v="1988-08-03T00:00:00"/>
    <m/>
    <m/>
    <m/>
    <m/>
    <x v="0"/>
    <x v="0"/>
    <d v="2015-08-01T00:00:00"/>
    <m/>
    <d v="2016-12-31T00:00:00"/>
    <m/>
    <s v="UNTREF"/>
    <s v="UNLAM- BICENTENARIO"/>
    <n v="10807"/>
  </r>
  <r>
    <s v="SFMyCP"/>
    <x v="1"/>
    <m/>
    <x v="5"/>
    <s v="PLANIF  Y ADM DE REC HUMANOS"/>
    <s v="RECURSOS HUMANOS"/>
    <m/>
    <m/>
    <s v="ADMINISTRATIVO"/>
    <m/>
    <s v="CCK - Alem 351"/>
    <s v="VALLONE ORNELLA PAULA"/>
    <s v="DNI"/>
    <n v="39056311"/>
    <s v="27390563111"/>
    <d v="1995-05-14T00:00:00"/>
    <m/>
    <m/>
    <m/>
    <m/>
    <x v="0"/>
    <x v="0"/>
    <d v="2014-04-01T00:00:00"/>
    <m/>
    <d v="2016-12-31T00:00:00"/>
    <m/>
    <s v="UNTREF"/>
    <m/>
    <n v="9479"/>
  </r>
  <r>
    <s v="SFMyCP"/>
    <x v="0"/>
    <s v="SUBSEC CENTROS TEMATICOS Y EXP FEDERALES"/>
    <x v="3"/>
    <s v="GASTRONOMIA"/>
    <m/>
    <m/>
    <s v="COCINA"/>
    <m/>
    <s v="TECNÓPOLIS"/>
    <m/>
    <s v="VANVICHA Laura Andrea"/>
    <s v="DNI"/>
    <n v="27183180"/>
    <n v="27271831809"/>
    <m/>
    <m/>
    <m/>
    <m/>
    <m/>
    <x v="1"/>
    <x v="1"/>
    <d v="2013-12-01T00:00:00"/>
    <d v="2016-03-31T00:00:00"/>
    <d v="2016-12-31T00:00:00"/>
    <s v="C1"/>
    <m/>
    <m/>
    <n v="25599"/>
  </r>
  <r>
    <s v="SFMyCP"/>
    <x v="0"/>
    <s v="SUBSEC CENTROS TEMATICOS Y EXP FEDERALES"/>
    <x v="1"/>
    <s v="PRODUCCIÓN"/>
    <m/>
    <m/>
    <m/>
    <s v="ADMINISTRATIVA"/>
    <m/>
    <s v="CCK - Alem 351"/>
    <s v="VARELA INES"/>
    <s v="DNI"/>
    <n v="31963237"/>
    <s v="27319632374"/>
    <d v="1985-11-28T00:00:00"/>
    <m/>
    <m/>
    <m/>
    <m/>
    <x v="0"/>
    <x v="0"/>
    <d v="2016-05-01T00:00:00"/>
    <m/>
    <d v="2016-12-31T00:00:00"/>
    <m/>
    <s v="UNTREF"/>
    <m/>
    <s v="."/>
  </r>
  <r>
    <s v="SFMyCP"/>
    <x v="0"/>
    <m/>
    <x v="0"/>
    <s v="TELEVISION DIGITAL ABIERTA"/>
    <s v="CIARA"/>
    <m/>
    <s v="TÉCNICA Y TRANSMISIÓN"/>
    <s v="ADMINISTRATIVO"/>
    <s v="CABILDO 65"/>
    <s v="CABILDO 65"/>
    <s v="VARELA PABLO"/>
    <s v="DNI"/>
    <n v="31982264"/>
    <s v="20319822640"/>
    <d v="1986-03-03T00:00:00"/>
    <m/>
    <m/>
    <m/>
    <m/>
    <x v="0"/>
    <x v="0"/>
    <d v="2013-12-12T00:00:00"/>
    <m/>
    <d v="2016-12-31T00:00:00"/>
    <m/>
    <s v="UNTREF"/>
    <s v="UNSAM- LADA"/>
    <n v="20034"/>
  </r>
  <r>
    <s v="SFMyCP"/>
    <x v="0"/>
    <s v="SUBSEC CENTROS TEMATICOS Y EXP FEDERALES"/>
    <x v="1"/>
    <s v="DIRECCION DE GESTION EDILICIA"/>
    <s v="SERVICIOS GENERALES"/>
    <s v="LIMPIEZA (En comisión Tecnópolis)"/>
    <s v="ASISTENTE"/>
    <s v="Asistente "/>
    <s v="CCK"/>
    <s v="CCK - Alem 351"/>
    <s v="VARGAS NANCY PATRICIA"/>
    <s v="DNI"/>
    <n v="34019229"/>
    <s v="27340192295"/>
    <d v="1988-10-19T00:00:00"/>
    <m/>
    <m/>
    <m/>
    <m/>
    <x v="0"/>
    <x v="0"/>
    <d v="2015-06-10T00:00:00"/>
    <m/>
    <d v="2016-12-31T00:00:00"/>
    <m/>
    <s v="UNTREF"/>
    <s v="UNSAM"/>
    <n v="8535"/>
  </r>
  <r>
    <s v="SFMyCP"/>
    <x v="1"/>
    <m/>
    <x v="5"/>
    <s v="PLANIF  Y ADM DE REC HUMANOS"/>
    <s v="RECURSOS HUMANOS"/>
    <s v="COMUNICACIÓN"/>
    <s v="DISEÑO"/>
    <m/>
    <s v="CCK"/>
    <m/>
    <s v="VAZQUEZ JAVIER ALEJANDRO"/>
    <s v="DNI"/>
    <n v="28695587"/>
    <n v="20286955879"/>
    <m/>
    <m/>
    <m/>
    <m/>
    <m/>
    <x v="1"/>
    <x v="1"/>
    <d v="2015-02-01T00:00:00"/>
    <d v="2016-03-31T00:00:00"/>
    <d v="2016-12-31T00:00:00"/>
    <s v="C4"/>
    <m/>
    <m/>
    <n v="14433"/>
  </r>
  <r>
    <s v="SFMyCP"/>
    <x v="0"/>
    <m/>
    <x v="6"/>
    <s v="ARTES VISUALES"/>
    <m/>
    <m/>
    <m/>
    <m/>
    <m/>
    <m/>
    <s v="VAZQUEZ NIEVES"/>
    <s v="DNI"/>
    <n v="21796620"/>
    <n v="27217966200"/>
    <m/>
    <m/>
    <m/>
    <m/>
    <m/>
    <x v="2"/>
    <x v="0"/>
    <d v="2016-08-01T00:00:00"/>
    <m/>
    <d v="2016-10-30T00:00:00"/>
    <m/>
    <s v="UNTREF"/>
    <m/>
    <m/>
  </r>
  <r>
    <s v="SFMyCP"/>
    <x v="0"/>
    <s v="SUBSEC CENTROS TEMATICOS Y EXP FEDERALES"/>
    <x v="1"/>
    <s v="DIRECCION DE GESTION EDILICIA"/>
    <s v="OPERATIVA Y LOGISTICA"/>
    <s v="LIMPIEZA (En comisión Tecnópolis)"/>
    <s v="Auxiliar"/>
    <s v="OPERATIVA Y LOGISTICA"/>
    <s v="CCK"/>
    <s v="CCK - Alem 351"/>
    <s v="VEDOYA EMANUEL"/>
    <s v="DNI"/>
    <n v="37345492"/>
    <s v="20373454924"/>
    <d v="1993-03-23T00:00:00"/>
    <m/>
    <m/>
    <m/>
    <m/>
    <x v="0"/>
    <x v="0"/>
    <d v="2015-06-10T00:00:00"/>
    <m/>
    <d v="2016-12-31T00:00:00"/>
    <m/>
    <s v="UNTREF"/>
    <s v="UNTREF"/>
    <n v="8500"/>
  </r>
  <r>
    <s v="SFMyCP"/>
    <x v="0"/>
    <m/>
    <x v="0"/>
    <s v="TELEVISION DIGITAL ABIERTA"/>
    <s v="CIARA"/>
    <m/>
    <s v="CONTENIDOS DIGITALES ABIERTOS CDA"/>
    <s v="ADMINISTRATIVO"/>
    <s v="CABILDO 65"/>
    <s v="CABILDO 65"/>
    <s v="VEGA VICTOR"/>
    <s v="DNI"/>
    <n v="21094516"/>
    <s v="20210945165"/>
    <d v="1969-10-14T00:00:00"/>
    <m/>
    <m/>
    <m/>
    <m/>
    <x v="0"/>
    <x v="0"/>
    <d v="2011-11-01T00:00:00"/>
    <m/>
    <d v="2016-12-31T00:00:00"/>
    <m/>
    <s v="UNTREF"/>
    <s v="UNSAM- LADA"/>
    <n v="39000"/>
  </r>
  <r>
    <s v="SFMyCP"/>
    <x v="1"/>
    <m/>
    <x v="5"/>
    <s v="PLANIF  Y ADM DE REC HUMANOS"/>
    <s v="RECURSOS HUMANOS"/>
    <m/>
    <m/>
    <m/>
    <m/>
    <m/>
    <s v="VEGEZZI NICOLAS HERNAN"/>
    <s v="DNI"/>
    <n v="29194068"/>
    <n v="20291940685"/>
    <m/>
    <m/>
    <m/>
    <m/>
    <m/>
    <x v="2"/>
    <x v="1"/>
    <d v="2008-09-01T00:00:00"/>
    <m/>
    <d v="2016-12-31T00:00:00"/>
    <s v="C1"/>
    <m/>
    <m/>
    <m/>
  </r>
  <r>
    <s v="SFMyCP"/>
    <x v="0"/>
    <m/>
    <x v="0"/>
    <s v="INV. AP. RECURSOS DIGITALES"/>
    <s v="CTRO INV PALPALA"/>
    <m/>
    <s v="ANIMACION"/>
    <s v="ANALISTA"/>
    <s v="PALPALÁ-JUJUY"/>
    <s v="PALPALÁ-JUJUY"/>
    <s v="VELASQUEZ JORGE RICARDO"/>
    <s v="DNI"/>
    <n v="25287172"/>
    <n v="20252871722"/>
    <d v="1976-08-26T00:00:00"/>
    <m/>
    <m/>
    <m/>
    <m/>
    <x v="0"/>
    <x v="0"/>
    <d v="2015-09-01T00:00:00"/>
    <m/>
    <d v="2016-12-31T00:00:00"/>
    <m/>
    <s v="UNTREF"/>
    <s v="UNSAM"/>
    <n v="10000"/>
  </r>
  <r>
    <s v="SFMyCP"/>
    <x v="0"/>
    <s v="SUBSEC CENTROS TEMATICOS Y EXP FEDERALES"/>
    <x v="1"/>
    <s v="DIRECCION DE GESTION EDILICIA"/>
    <s v="SERVICIOS GENERALES"/>
    <s v="CONTROL DE ACCESOS A"/>
    <s v="Asistente Técnico Administrativo"/>
    <s v="Asistente Técnico Administrativo"/>
    <s v="CCK"/>
    <s v="CCK - Alem 351"/>
    <s v="VELAZQUEZ EDUARDO"/>
    <s v="DNI"/>
    <n v="33426819"/>
    <s v="20334268196"/>
    <d v="1988-01-21T00:00:00"/>
    <m/>
    <m/>
    <m/>
    <m/>
    <x v="0"/>
    <x v="0"/>
    <d v="2015-06-01T00:00:00"/>
    <m/>
    <d v="2016-12-31T00:00:00"/>
    <m/>
    <s v="UNTREF"/>
    <s v="UNLAM- BICENTENARIO"/>
    <n v="10096"/>
  </r>
  <r>
    <s v="SFMyCP"/>
    <x v="0"/>
    <s v="SUBSEC CENTROS TEMATICOS Y EXP FEDERALES"/>
    <x v="3"/>
    <s v="ADMINISTRACION"/>
    <m/>
    <m/>
    <s v="ADMINISTRATIVO"/>
    <m/>
    <s v="TECNÓPOLIS"/>
    <m/>
    <s v="VERA Mónica"/>
    <s v="DNI"/>
    <n v="26949557"/>
    <n v="27269495575"/>
    <m/>
    <m/>
    <m/>
    <m/>
    <m/>
    <x v="1"/>
    <x v="1"/>
    <d v="2012-11-01T00:00:00"/>
    <d v="2016-12-31T00:00:00"/>
    <d v="2016-12-31T00:00:00"/>
    <s v="C0"/>
    <m/>
    <m/>
    <n v="20921.8"/>
  </r>
  <r>
    <s v="SFMyCP"/>
    <x v="0"/>
    <s v="SUBSEC CENTROS TEMATICOS Y EXP FEDERALES"/>
    <x v="1"/>
    <m/>
    <m/>
    <m/>
    <s v="ASISTENTE COORD NORTE"/>
    <s v="ADMINISTRATIVO"/>
    <m/>
    <s v="CCK - Alem 351"/>
    <s v="VERCELLI CARLOS LUIS"/>
    <s v="DNI"/>
    <n v="8537726"/>
    <n v="20085377265"/>
    <d v="1951-03-07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3"/>
    <m/>
    <m/>
    <m/>
    <m/>
    <s v="PRODUCCION GRAL DE RECETAS, MANIPULACIÓN DE INGREDIENTES, DESPCACHO DE ALIMENTOS"/>
    <m/>
    <s v="TECNOPOLIS"/>
    <s v="VERON DIEGO HORACIO"/>
    <s v="DNI"/>
    <n v="35984271"/>
    <n v="20359842717"/>
    <d v="1988-10-06T00:00:00"/>
    <m/>
    <m/>
    <m/>
    <m/>
    <x v="0"/>
    <x v="0"/>
    <m/>
    <m/>
    <d v="2016-12-31T00:00:00"/>
    <m/>
    <s v="UNTREF"/>
    <m/>
    <m/>
  </r>
  <r>
    <s v="SFMyCP"/>
    <x v="0"/>
    <s v="SUBSEC CENTROS TEMATICOS Y EXP FEDERALES"/>
    <x v="3"/>
    <s v="GASTRONOMIA"/>
    <m/>
    <m/>
    <s v="COCINA"/>
    <m/>
    <s v="TECNÓPOLIS"/>
    <m/>
    <s v="VERON María Encarnación"/>
    <s v="DNI"/>
    <n v="14231277"/>
    <n v="27142312773"/>
    <m/>
    <m/>
    <m/>
    <m/>
    <m/>
    <x v="1"/>
    <x v="1"/>
    <d v="2012-02-01T00:00:00"/>
    <d v="2016-12-31T00:00:00"/>
    <d v="2016-12-31T00:00:00"/>
    <s v="D0"/>
    <m/>
    <m/>
    <n v="14250"/>
  </r>
  <r>
    <s v="SFMyCP"/>
    <x v="0"/>
    <m/>
    <x v="0"/>
    <s v="TELEVISION DIGITAL ABIERTA"/>
    <s v="CIARA"/>
    <m/>
    <s v="PRODUCCIÓN"/>
    <s v="PRODUCTOR de EXTERIORES"/>
    <s v="CABILDO 65"/>
    <s v="CABILDO 65"/>
    <s v="VICO FERNANDO"/>
    <s v="DNI"/>
    <n v="26348466"/>
    <s v="20263484666"/>
    <d v="1997-11-03T00:00:00"/>
    <m/>
    <m/>
    <m/>
    <m/>
    <x v="0"/>
    <x v="0"/>
    <d v="2015-03-02T00:00:00"/>
    <m/>
    <d v="2016-12-31T00:00:00"/>
    <m/>
    <s v="UNTREF"/>
    <s v="UNSAM- LADA"/>
    <n v="20959"/>
  </r>
  <r>
    <s v="SFMyCP"/>
    <x v="1"/>
    <m/>
    <x v="2"/>
    <m/>
    <m/>
    <m/>
    <s v="PRIVADA"/>
    <s v="ADMINISTRATIVO"/>
    <m/>
    <s v="CCK - Alem 351"/>
    <s v="VIDELA, MARIA EVA"/>
    <s v="DNI"/>
    <n v="11262651"/>
    <s v="23112626514"/>
    <d v="1954-05-06T00:00:00"/>
    <m/>
    <m/>
    <m/>
    <m/>
    <x v="0"/>
    <x v="0"/>
    <d v="2016-01-01T00:00:00"/>
    <m/>
    <d v="2016-12-31T00:00:00"/>
    <m/>
    <s v="UNTREF"/>
    <s v="UNSAM"/>
    <n v="34500"/>
  </r>
  <r>
    <s v="SFMyCP"/>
    <x v="0"/>
    <m/>
    <x v="6"/>
    <s v="ARTES VISUALES"/>
    <m/>
    <m/>
    <m/>
    <s v="Orientador de Sala"/>
    <m/>
    <m/>
    <s v="VILLALBA AMPARO"/>
    <s v="DNI"/>
    <n v="36530606"/>
    <n v="27365306066"/>
    <m/>
    <m/>
    <m/>
    <m/>
    <m/>
    <x v="0"/>
    <x v="0"/>
    <d v="2016-07-01T00:00:00"/>
    <m/>
    <d v="2016-12-31T00:00:00"/>
    <m/>
    <m/>
    <m/>
    <m/>
  </r>
  <r>
    <s v="SFMyCP"/>
    <x v="0"/>
    <m/>
    <x v="0"/>
    <s v="TELEVISION DIGITAL ABIERTA"/>
    <s v="CIARA"/>
    <m/>
    <s v="ACUA MAYOR"/>
    <s v="ADMINISTRATIVO"/>
    <s v="CABILDO 65"/>
    <s v="CABILDO 65"/>
    <s v="VILLALBA FERNANDO"/>
    <s v="DNI"/>
    <n v="20005465"/>
    <s v="20200054653"/>
    <d v="1962-01-21T00:00:00"/>
    <m/>
    <m/>
    <m/>
    <m/>
    <x v="0"/>
    <x v="0"/>
    <d v="2012-05-07T00:00:00"/>
    <m/>
    <d v="2016-12-31T00:00:00"/>
    <m/>
    <s v="UNTREF"/>
    <s v="UNSAM- LADA"/>
    <n v="17657"/>
  </r>
  <r>
    <s v="SFMyCP"/>
    <x v="0"/>
    <m/>
    <x v="0"/>
    <s v="TELEVISION DIGITAL ABIERTA"/>
    <s v="CIARA"/>
    <m/>
    <s v="ADMINISTRACIÓN"/>
    <m/>
    <s v="CABILDO 65"/>
    <m/>
    <s v="VILLAR MARIA BELEN"/>
    <s v="DNI"/>
    <n v="36696469"/>
    <n v="27366964695"/>
    <m/>
    <m/>
    <m/>
    <m/>
    <m/>
    <x v="1"/>
    <x v="1"/>
    <d v="2015-02-01T00:00:00"/>
    <d v="2016-03-31T00:00:00"/>
    <d v="2016-12-31T00:00:00"/>
    <s v="D0"/>
    <m/>
    <m/>
    <n v="10000"/>
  </r>
  <r>
    <s v="SFMyCP"/>
    <x v="0"/>
    <m/>
    <x v="0"/>
    <s v="TELEVISION DIGITAL ABIERTA"/>
    <s v="CIARA"/>
    <m/>
    <s v="PROGRAMA POLOS AUDIOVISUALES TECNOLÓGICOS"/>
    <m/>
    <s v="CABILDO 65"/>
    <m/>
    <s v="VILLAR MARTA ALICIA"/>
    <s v="DNI"/>
    <n v="26881068"/>
    <n v="23268810684"/>
    <m/>
    <m/>
    <m/>
    <m/>
    <m/>
    <x v="1"/>
    <x v="1"/>
    <d v="2014-09-01T00:00:00"/>
    <d v="2016-03-31T00:00:00"/>
    <d v="2016-12-31T00:00:00"/>
    <s v="C0"/>
    <m/>
    <m/>
    <n v="13094"/>
  </r>
  <r>
    <s v="SFMyCP"/>
    <x v="0"/>
    <m/>
    <x v="6"/>
    <s v="ARTES VISUALES"/>
    <m/>
    <m/>
    <m/>
    <s v="Orientador de Sala"/>
    <m/>
    <m/>
    <s v="VILLAROEL CAROL"/>
    <s v="DNI"/>
    <n v="94763837"/>
    <n v="27947638373"/>
    <m/>
    <m/>
    <m/>
    <m/>
    <m/>
    <x v="0"/>
    <x v="0"/>
    <d v="2016-07-01T00:00:00"/>
    <m/>
    <d v="2016-12-31T00:00:00"/>
    <m/>
    <m/>
    <m/>
    <m/>
  </r>
  <r>
    <s v="SFMyCP"/>
    <x v="0"/>
    <s v="SUBSEC CENTROS TEMATICOS Y EXP FEDERALES"/>
    <x v="3"/>
    <s v="INTENDENCIA- FERIAL"/>
    <m/>
    <m/>
    <m/>
    <m/>
    <s v="TECNÓPOLIS"/>
    <m/>
    <s v="VILLAVERDE Claudia"/>
    <s v="DNI"/>
    <n v="12012195"/>
    <n v="27120121958"/>
    <m/>
    <m/>
    <m/>
    <m/>
    <m/>
    <x v="1"/>
    <x v="1"/>
    <d v="2011-07-01T00:00:00"/>
    <d v="2016-12-31T00:00:00"/>
    <d v="2016-12-31T00:00:00"/>
    <s v="C0"/>
    <m/>
    <m/>
    <n v="29784"/>
  </r>
  <r>
    <s v="SFMyCP"/>
    <x v="0"/>
    <s v="SUBSEC CENTROS TEMATICOS Y EXP FEDERALES"/>
    <x v="1"/>
    <s v="DIRECCION DE GESTION EDILICIA"/>
    <s v="MESA DE AYUDA"/>
    <m/>
    <m/>
    <s v="ADMINISTRATIVO"/>
    <m/>
    <s v="CCK - Alem 351"/>
    <s v="VILLAVERDE NADIA GISELA"/>
    <s v="DNI"/>
    <n v="31504616"/>
    <s v="27315046160"/>
    <d v="1985-03-31T00:00:00"/>
    <m/>
    <m/>
    <m/>
    <m/>
    <x v="0"/>
    <x v="0"/>
    <d v="2015-05-01T00:00:00"/>
    <m/>
    <d v="2016-12-31T00:00:00"/>
    <m/>
    <s v="UNTREF"/>
    <m/>
    <n v="10189"/>
  </r>
  <r>
    <s v="SFMyCP"/>
    <x v="0"/>
    <m/>
    <x v="0"/>
    <s v="INV. AP. RECURSOS DIGITALES"/>
    <s v="CTRO INV PALPALA"/>
    <m/>
    <s v="ANIMACION"/>
    <s v="ANALISTA"/>
    <s v="PALPALÁ-JUJUY"/>
    <s v="PALPALÁ-JUJUY"/>
    <s v="VILTE CRISTIAN GABRIEL"/>
    <s v="DNI"/>
    <n v="31961384"/>
    <n v="20319613847"/>
    <d v="1986-04-07T00:00:00"/>
    <m/>
    <m/>
    <m/>
    <m/>
    <x v="0"/>
    <x v="0"/>
    <d v="2015-09-01T00:00:00"/>
    <m/>
    <d v="2016-12-31T00:00:00"/>
    <m/>
    <s v="UNTREF"/>
    <s v="UNSAM"/>
    <n v="8000"/>
  </r>
  <r>
    <s v="SFMyCP"/>
    <x v="0"/>
    <m/>
    <x v="0"/>
    <s v="INV. AP. RECURSOS DIGITALES"/>
    <s v="CTRO INV PALPALA"/>
    <m/>
    <s v="DESARROLLOS"/>
    <s v="ANALISTA"/>
    <s v="PALPALÁ-JUJUY"/>
    <s v="PALPALÁ-JUJUY"/>
    <s v="VILTE PABLO ALFREDO"/>
    <s v="DNI"/>
    <n v="27165852"/>
    <n v="20271658525"/>
    <d v="1979-02-13T00:00:00"/>
    <m/>
    <m/>
    <m/>
    <m/>
    <x v="0"/>
    <x v="0"/>
    <d v="2015-09-01T00:00:00"/>
    <m/>
    <d v="2016-12-31T00:00:00"/>
    <m/>
    <s v="UNTREF"/>
    <s v="UNSAM"/>
    <n v="13000"/>
  </r>
  <r>
    <s v="SFMyCP"/>
    <x v="1"/>
    <m/>
    <x v="5"/>
    <s v="JURIDICOS"/>
    <m/>
    <m/>
    <m/>
    <s v="Asistencia Juridica"/>
    <m/>
    <s v="CCK - Alem 351"/>
    <s v="VIÑA SEBASTIAN"/>
    <s v="DNI"/>
    <n v="27375597"/>
    <n v="20273755978"/>
    <d v="1979-09-06T00:00:00"/>
    <m/>
    <m/>
    <m/>
    <m/>
    <x v="0"/>
    <x v="0"/>
    <d v="2016-07-01T00:00:00"/>
    <m/>
    <d v="2016-12-31T00:00:00"/>
    <m/>
    <s v="UNTREF"/>
    <m/>
    <m/>
  </r>
  <r>
    <s v="SFMyCP"/>
    <x v="0"/>
    <s v="SUBSEC CENTROS TEMATICOS Y EXP FEDERALES"/>
    <x v="7"/>
    <m/>
    <m/>
    <m/>
    <s v="PRIVADA"/>
    <s v="ADMINISTRATIVO"/>
    <m/>
    <s v="CCK - Alem 351"/>
    <s v="VITALE, NICOLAS"/>
    <s v="DNI"/>
    <n v="25570101"/>
    <s v="20255701011"/>
    <d v="1976-08-15T00:00:00"/>
    <m/>
    <m/>
    <m/>
    <m/>
    <x v="0"/>
    <x v="0"/>
    <d v="2016-01-01T00:00:00"/>
    <m/>
    <d v="2016-12-31T00:00:00"/>
    <m/>
    <s v="UNTREF"/>
    <s v="UNSAM"/>
    <n v="19925"/>
  </r>
  <r>
    <s v="SFMyCP"/>
    <x v="1"/>
    <m/>
    <x v="5"/>
    <s v="CIBERSALUD"/>
    <m/>
    <m/>
    <m/>
    <m/>
    <m/>
    <m/>
    <m/>
    <m/>
    <m/>
    <m/>
    <m/>
    <m/>
    <m/>
    <m/>
    <m/>
    <x v="2"/>
    <x v="3"/>
    <m/>
    <m/>
    <m/>
    <m/>
    <m/>
    <m/>
    <m/>
  </r>
  <r>
    <s v="SFMyCP"/>
    <x v="1"/>
    <m/>
    <x v="5"/>
    <s v="CIBERSALUD"/>
    <m/>
    <m/>
    <m/>
    <m/>
    <m/>
    <m/>
    <m/>
    <m/>
    <m/>
    <m/>
    <m/>
    <m/>
    <m/>
    <m/>
    <m/>
    <x v="2"/>
    <x v="3"/>
    <m/>
    <m/>
    <m/>
    <m/>
    <m/>
    <m/>
    <m/>
  </r>
  <r>
    <s v="SFMyCP"/>
    <x v="1"/>
    <m/>
    <x v="5"/>
    <s v="CIBERSALUD"/>
    <m/>
    <m/>
    <m/>
    <m/>
    <m/>
    <m/>
    <m/>
    <m/>
    <m/>
    <m/>
    <m/>
    <m/>
    <m/>
    <m/>
    <m/>
    <x v="2"/>
    <x v="3"/>
    <m/>
    <m/>
    <m/>
    <m/>
    <m/>
    <m/>
    <m/>
  </r>
  <r>
    <s v="SFMyCP"/>
    <x v="1"/>
    <m/>
    <x v="5"/>
    <s v="CIBERSALUD"/>
    <m/>
    <m/>
    <m/>
    <m/>
    <m/>
    <m/>
    <m/>
    <m/>
    <m/>
    <m/>
    <m/>
    <m/>
    <m/>
    <m/>
    <m/>
    <x v="2"/>
    <x v="3"/>
    <m/>
    <m/>
    <m/>
    <m/>
    <m/>
    <m/>
    <m/>
  </r>
  <r>
    <s v="SFMyCP"/>
    <x v="1"/>
    <m/>
    <x v="5"/>
    <s v="CIBERSALUD"/>
    <m/>
    <m/>
    <s v="ADMINISTRACIÓN"/>
    <m/>
    <m/>
    <m/>
    <s v="VITULLO FEDERICO"/>
    <s v="DNI"/>
    <n v="38995224"/>
    <n v="23389952249"/>
    <m/>
    <m/>
    <m/>
    <m/>
    <m/>
    <x v="1"/>
    <x v="1"/>
    <d v="2015-05-01T00:00:00"/>
    <d v="2016-03-31T00:00:00"/>
    <d v="2016-12-31T00:00:00"/>
    <s v="D0"/>
    <m/>
    <m/>
    <n v="10190"/>
  </r>
  <r>
    <s v="SFMyCP"/>
    <x v="1"/>
    <m/>
    <x v="5"/>
    <s v="INFORMATICA Y SISTEMAS"/>
    <m/>
    <s v="STOCK"/>
    <s v="Analista"/>
    <s v="Analista"/>
    <s v="CCK"/>
    <s v="CCK - Alem 351"/>
    <s v="VOLA RODRIGO EZEQUIEL"/>
    <s v="DNI"/>
    <n v="37113846"/>
    <s v="20371138464"/>
    <d v="1992-09-11T00:00:00"/>
    <m/>
    <m/>
    <m/>
    <m/>
    <x v="0"/>
    <x v="0"/>
    <d v="2014-10-14T00:00:00"/>
    <m/>
    <d v="2016-12-31T00:00:00"/>
    <m/>
    <s v="UNTREF"/>
    <s v="UNLAM- INFO"/>
    <n v="9000"/>
  </r>
  <r>
    <s v="SFMyCP"/>
    <x v="0"/>
    <m/>
    <x v="0"/>
    <s v="TELEVISION DIGITAL ABIERTA"/>
    <s v="CIARA"/>
    <m/>
    <s v="POSTPRODUCCIÓN"/>
    <s v="ADMINISTRATIVO"/>
    <s v="CABILDO 65"/>
    <s v="CABILDO 65"/>
    <s v="VRANJES WALTER"/>
    <s v="DNI"/>
    <n v="18359189"/>
    <s v="20183591895"/>
    <d v="1967-04-30T00:00:00"/>
    <m/>
    <m/>
    <m/>
    <m/>
    <x v="0"/>
    <x v="0"/>
    <d v="2013-03-01T00:00:00"/>
    <m/>
    <d v="2016-12-31T00:00:00"/>
    <m/>
    <s v="UNTREF"/>
    <s v="UNSAM- LADA"/>
    <n v="19353"/>
  </r>
  <r>
    <s v="SFMyCP"/>
    <x v="1"/>
    <m/>
    <x v="5"/>
    <s v="PLANIF  Y ADM DE REC HUMANOS"/>
    <s v="RECURSOS HUMANOS"/>
    <s v="COMUNICACIÓN"/>
    <m/>
    <m/>
    <m/>
    <m/>
    <s v="WAINERMAN LAURA"/>
    <s v="DNI"/>
    <n v="26312020"/>
    <n v="27263120200"/>
    <m/>
    <m/>
    <m/>
    <m/>
    <m/>
    <x v="1"/>
    <x v="1"/>
    <d v="2008-08-04T00:00:00"/>
    <d v="2016-12-31T00:00:00"/>
    <d v="2016-12-31T00:00:00"/>
    <s v="B2"/>
    <m/>
    <m/>
    <n v="21517"/>
  </r>
  <r>
    <s v="SFMyCP"/>
    <x v="0"/>
    <m/>
    <x v="0"/>
    <s v="COMUNICACIÓN - SIN ASIGNAR TAREA"/>
    <s v="INTEGRACION DIGITAL"/>
    <m/>
    <s v="FOTOGRAFÍA"/>
    <m/>
    <s v="ESMERALDA 255"/>
    <m/>
    <s v="WARSCHAVSKI MATIAS IGOR "/>
    <s v="DNI"/>
    <n v="25983164"/>
    <n v="20259831645"/>
    <m/>
    <m/>
    <m/>
    <m/>
    <m/>
    <x v="1"/>
    <x v="1"/>
    <d v="2007-01-01T00:00:00"/>
    <d v="2016-12-31T00:00:00"/>
    <d v="2016-12-31T00:00:00"/>
    <s v="A2"/>
    <m/>
    <m/>
    <n v="27891"/>
  </r>
  <r>
    <s v="SFMyCP"/>
    <x v="0"/>
    <s v="SUBSEC CENTROS TEMATICOS Y EXP FEDERALES"/>
    <x v="1"/>
    <s v="DIRECCION DE GESTION EDILICIA"/>
    <s v="SERVICIOS GENERALES"/>
    <m/>
    <s v="Asistente"/>
    <s v="Asistente "/>
    <s v="CCK"/>
    <s v="CCK - Alem 351"/>
    <s v="WEIDERT FERNANDO RAUL"/>
    <s v="DNI"/>
    <n v="30368270"/>
    <s v="20303682709"/>
    <d v="1983-06-19T00:00:00"/>
    <m/>
    <m/>
    <m/>
    <m/>
    <x v="0"/>
    <x v="0"/>
    <d v="2015-08-01T00:00:00"/>
    <m/>
    <d v="2016-12-31T00:00:00"/>
    <m/>
    <s v="UNTREF"/>
    <s v="UNLAM- BICENTENARIO"/>
    <n v="10090"/>
  </r>
  <r>
    <s v="SFMyCP"/>
    <x v="0"/>
    <s v="SUBSEC CENTROS TEMATICOS Y EXP FEDERALES"/>
    <x v="3"/>
    <s v="ADMINISTRACION- CADETE"/>
    <m/>
    <m/>
    <s v="CADETE"/>
    <s v="CADETE"/>
    <s v="TECNÓPOLIS"/>
    <s v="TECNOPOLIS"/>
    <s v="WILCHEN MARTIN"/>
    <s v="DNI"/>
    <n v="34265852"/>
    <s v="20342658521"/>
    <d v="1989-03-31T00:00:00"/>
    <m/>
    <m/>
    <m/>
    <m/>
    <x v="0"/>
    <x v="0"/>
    <d v="2015-08-01T00:00:00"/>
    <m/>
    <d v="2016-12-31T00:00:00"/>
    <m/>
    <s v="UNTREF"/>
    <s v="UNTREF"/>
    <n v="11500"/>
  </r>
  <r>
    <s v="SFMyCP"/>
    <x v="0"/>
    <s v="SUBSEC CENTROS TEMATICOS Y EXP FEDERALES"/>
    <x v="3"/>
    <s v="TECNICA"/>
    <m/>
    <m/>
    <m/>
    <m/>
    <s v="TECNÓPOLIS"/>
    <m/>
    <s v="WRIGHT Leonardo"/>
    <s v="DNI"/>
    <n v="30014231"/>
    <n v="20300142312"/>
    <m/>
    <m/>
    <m/>
    <m/>
    <m/>
    <x v="1"/>
    <x v="1"/>
    <d v="2013-04-01T00:00:00"/>
    <d v="2016-03-31T00:00:00"/>
    <d v="2016-12-31T00:00:00"/>
    <s v="C0"/>
    <m/>
    <m/>
    <n v="21042"/>
  </r>
  <r>
    <s v="SFMyCP"/>
    <x v="0"/>
    <m/>
    <x v="0"/>
    <s v="INV. AP. RECURSOS DIGITALES"/>
    <s v="CTRO INV PALPALA"/>
    <m/>
    <s v="DISEÑO"/>
    <s v="ANALISTA"/>
    <s v="PALPALÁ-JUJUY"/>
    <s v="PALPALÁ-JUJUY"/>
    <s v="YEVARA MARCELO EDUARDO"/>
    <s v="DNI"/>
    <n v="27874288"/>
    <n v="20278742882"/>
    <d v="1980-04-30T00:00:00"/>
    <m/>
    <m/>
    <m/>
    <m/>
    <x v="0"/>
    <x v="0"/>
    <d v="2015-09-01T00:00:00"/>
    <m/>
    <d v="2016-12-31T00:00:00"/>
    <m/>
    <s v="UNTREF"/>
    <s v="UNSAM"/>
    <n v="10000"/>
  </r>
  <r>
    <s v="SFMyCP"/>
    <x v="0"/>
    <s v="SUBSEC CENTROS TEMATICOS Y EXP FEDERALES"/>
    <x v="3"/>
    <s v="PRODUCCIÓN"/>
    <m/>
    <m/>
    <m/>
    <m/>
    <s v="TECNÓPOLIS"/>
    <m/>
    <s v="ZABALA Nair"/>
    <s v="DNI"/>
    <n v="27460740"/>
    <n v="27274607403"/>
    <m/>
    <m/>
    <m/>
    <m/>
    <m/>
    <x v="1"/>
    <x v="1"/>
    <d v="2013-02-01T00:00:00"/>
    <d v="2016-03-31T00:00:00"/>
    <d v="2016-12-31T00:00:00"/>
    <s v="C0"/>
    <m/>
    <m/>
    <n v="28555.22"/>
  </r>
  <r>
    <s v="SFMyCP"/>
    <x v="0"/>
    <s v="SUBSEC CENTROS TEMATICOS Y EXP FEDERALES"/>
    <x v="1"/>
    <s v="TECNICA"/>
    <s v="MONTAJE"/>
    <m/>
    <m/>
    <s v="ADMINISTRATIVO"/>
    <m/>
    <s v="CCK - Alem 351"/>
    <s v="ZADRA ROLANDO JUAN"/>
    <s v="DNI"/>
    <n v="6084351"/>
    <n v="20060843512"/>
    <d v="1949-07-05T00:00:00"/>
    <m/>
    <m/>
    <m/>
    <m/>
    <x v="0"/>
    <x v="0"/>
    <d v="2016-06-01T00:00:00"/>
    <m/>
    <d v="2016-12-31T00:00:00"/>
    <m/>
    <s v="UNTREF"/>
    <m/>
    <m/>
  </r>
  <r>
    <s v="SFMyCP"/>
    <x v="1"/>
    <m/>
    <x v="5"/>
    <s v="PLANIF  Y ADM DE REC HUMANOS"/>
    <s v="S. GENERALES - AUTOMOTORES"/>
    <m/>
    <s v="CHOFER"/>
    <s v="ADMINISTRATIVO"/>
    <s v="CCK"/>
    <s v="CCK - Alem 351"/>
    <s v="ZAFONTE  DIEGO"/>
    <s v="DNI"/>
    <n v="25875955"/>
    <s v="23258759559"/>
    <d v="1977-09-24T00:00:00"/>
    <m/>
    <m/>
    <m/>
    <m/>
    <x v="0"/>
    <x v="0"/>
    <m/>
    <m/>
    <d v="2016-12-31T00:00:00"/>
    <m/>
    <s v="UNTREF"/>
    <s v="UNLAM- FUSION"/>
    <n v="18000"/>
  </r>
  <r>
    <s v="SFMyCP"/>
    <x v="0"/>
    <m/>
    <x v="0"/>
    <m/>
    <m/>
    <m/>
    <s v="PRIVADA"/>
    <s v="ADMINISTRATIVO"/>
    <m/>
    <s v="CCK - Alem 351"/>
    <s v="ZAMBLERA, MARIÁNGELES"/>
    <s v="DNI"/>
    <n v="29136569"/>
    <s v="27291365693"/>
    <d v="1981-11-02T00:00:00"/>
    <m/>
    <m/>
    <m/>
    <m/>
    <x v="0"/>
    <x v="0"/>
    <d v="2016-01-01T00:00:00"/>
    <m/>
    <d v="2016-12-31T00:00:00"/>
    <m/>
    <s v="UNTREF"/>
    <s v="UNSAM"/>
    <n v="25000"/>
  </r>
  <r>
    <s v="SFMyCP"/>
    <x v="0"/>
    <s v="SUBSEC CENTROS TEMATICOS Y EXP FEDERALES"/>
    <x v="3"/>
    <s v="PRODUCCIÓN"/>
    <m/>
    <m/>
    <m/>
    <s v="ADMINISTRATIVA"/>
    <s v="TECNÓPOLIS"/>
    <s v="TECNOPOLIS"/>
    <s v="ZAMBONINI  SANTIAGO MARIA"/>
    <s v="DNI"/>
    <n v="17686556"/>
    <s v="20176865564"/>
    <d v="1965-08-03T00:00:00"/>
    <m/>
    <m/>
    <m/>
    <m/>
    <x v="0"/>
    <x v="0"/>
    <d v="2011-03-01T00:00:00"/>
    <m/>
    <d v="2016-12-31T00:00:00"/>
    <m/>
    <s v="UNTREF"/>
    <s v="UNTREF"/>
    <n v="32000"/>
  </r>
  <r>
    <s v="SFMyCP"/>
    <x v="0"/>
    <s v="SUBSEC CENTROS TEMATICOS Y EXP FEDERALES"/>
    <x v="3"/>
    <s v="INTENDENCIA - TALLERES"/>
    <m/>
    <m/>
    <m/>
    <m/>
    <s v="TECNÓPOLIS"/>
    <m/>
    <s v="ZAMBONINI Mariano Andrés"/>
    <s v="DNI"/>
    <n v="17363262"/>
    <n v="20173632623"/>
    <m/>
    <m/>
    <m/>
    <m/>
    <m/>
    <x v="1"/>
    <x v="1"/>
    <d v="2012-11-30T00:00:00"/>
    <d v="2016-12-31T00:00:00"/>
    <d v="2016-12-31T00:00:00"/>
    <s v="C0"/>
    <m/>
    <m/>
    <n v="24909"/>
  </r>
  <r>
    <s v="SFMyCP"/>
    <x v="0"/>
    <s v="SUBSEC CENTROS TEMATICOS Y EXP FEDERALES"/>
    <x v="3"/>
    <s v="INTENDENCIA - TALLERES"/>
    <m/>
    <m/>
    <m/>
    <m/>
    <s v="TECNÓPOLIS"/>
    <m/>
    <s v="ZAMBONINI Tomás Simón"/>
    <s v="DNI"/>
    <n v="34027734"/>
    <n v="20340277342"/>
    <m/>
    <m/>
    <m/>
    <m/>
    <m/>
    <x v="1"/>
    <x v="1"/>
    <d v="2012-11-30T00:00:00"/>
    <d v="2016-12-31T00:00:00"/>
    <d v="2016-12-31T00:00:00"/>
    <s v="C0"/>
    <m/>
    <m/>
    <n v="22661"/>
  </r>
  <r>
    <s v="SFMyCP"/>
    <x v="0"/>
    <m/>
    <x v="0"/>
    <s v="INV. AP. RECURSOS DIGITALES"/>
    <s v="CTRO INV PALPALA"/>
    <m/>
    <s v="DESARROLLOS"/>
    <s v="ANALISTA"/>
    <s v="PALPALÁ-JUJUY"/>
    <s v="PALPALÁ-JUJUY"/>
    <s v="ZAMORA RAUL ALFREDO"/>
    <s v="DNI"/>
    <n v="34132540"/>
    <n v="20341325405"/>
    <d v="1989-08-11T00:00:00"/>
    <m/>
    <m/>
    <m/>
    <m/>
    <x v="0"/>
    <x v="0"/>
    <d v="2015-09-01T00:00:00"/>
    <m/>
    <d v="2016-12-31T00:00:00"/>
    <m/>
    <s v="UNTREF"/>
    <s v="UNSAM"/>
    <n v="11500"/>
  </r>
  <r>
    <s v="SFMyCP"/>
    <x v="0"/>
    <m/>
    <x v="0"/>
    <m/>
    <m/>
    <s v="(IGUALDAD CULTURAL)"/>
    <m/>
    <m/>
    <s v="CCK"/>
    <m/>
    <s v="ZAPATA ALEJANDRA"/>
    <s v="DNI"/>
    <n v="27444628"/>
    <n v="27274446280"/>
    <m/>
    <m/>
    <m/>
    <m/>
    <m/>
    <x v="1"/>
    <x v="1"/>
    <d v="2005-01-01T00:00:00"/>
    <d v="2016-12-31T00:00:00"/>
    <d v="2016-12-31T00:00:00"/>
    <s v="A3"/>
    <m/>
    <m/>
    <n v="30753"/>
  </r>
  <r>
    <s v="SFMyCP"/>
    <x v="0"/>
    <s v="SUBSEC CENTROS TEMATICOS Y EXP FEDERALES"/>
    <x v="3"/>
    <s v="INTENDENCIA - TALLERES"/>
    <m/>
    <m/>
    <m/>
    <s v="CARPINTERO"/>
    <s v="TECNÓPOLIS"/>
    <s v="TECNOPOLIS"/>
    <s v="ZARAGOZA LEONARDO JAVIER"/>
    <s v="DNI"/>
    <n v="24470829"/>
    <s v="20244708294"/>
    <d v="1975-05-23T00:00:00"/>
    <m/>
    <m/>
    <m/>
    <m/>
    <x v="0"/>
    <x v="0"/>
    <d v="2014-08-01T00:00:00"/>
    <m/>
    <d v="2016-12-31T00:00:00"/>
    <m/>
    <s v="UNTREF"/>
    <s v="UNTREF"/>
    <n v="9995.51"/>
  </r>
  <r>
    <s v="SFMyCP"/>
    <x v="1"/>
    <m/>
    <x v="5"/>
    <s v="PLANIF  Y ADM DE REC HUMANOS"/>
    <s v="S. GENERALES - AUTOMOTORES"/>
    <m/>
    <s v="CHOFER"/>
    <s v="ADMINISTRATIVO"/>
    <s v="CCK"/>
    <s v="CCK - Alem 351"/>
    <s v="ZARATE HUGO  HUGO DANIEL"/>
    <s v="DNI"/>
    <n v="21556947"/>
    <s v="20215569471"/>
    <d v="1970-07-09T00:00:00"/>
    <m/>
    <m/>
    <m/>
    <m/>
    <x v="0"/>
    <x v="0"/>
    <m/>
    <m/>
    <d v="2016-12-31T00:00:00"/>
    <m/>
    <s v="UNTREF"/>
    <s v="UNLAM- FUSION"/>
    <n v="18000"/>
  </r>
  <r>
    <s v="SFMyCP"/>
    <x v="0"/>
    <m/>
    <x v="6"/>
    <s v="ARTES VISUALES"/>
    <m/>
    <m/>
    <m/>
    <s v="Orientador de Sala"/>
    <m/>
    <m/>
    <s v="ZARCO DELGADO GIMENA"/>
    <s v="DNI"/>
    <n v="29142911"/>
    <n v="23291429114"/>
    <m/>
    <m/>
    <m/>
    <m/>
    <m/>
    <x v="0"/>
    <x v="0"/>
    <d v="2016-07-01T00:00:00"/>
    <m/>
    <d v="2016-12-31T00:00:00"/>
    <m/>
    <m/>
    <m/>
    <m/>
  </r>
  <r>
    <s v="SFMyCP"/>
    <x v="0"/>
    <s v="SUBSEC CENTROS TEMATICOS Y EXP FEDERALES"/>
    <x v="1"/>
    <s v="PRODUCCIÓN"/>
    <m/>
    <m/>
    <m/>
    <s v="ADMINISTRATIVA"/>
    <m/>
    <s v="CCK - Alem 351"/>
    <s v="ZAREMBA CLARA"/>
    <s v="DNI"/>
    <n v="26516975"/>
    <s v="27265169754"/>
    <d v="1978-03-24T00:00:00"/>
    <m/>
    <m/>
    <m/>
    <m/>
    <x v="0"/>
    <x v="0"/>
    <d v="2016-06-01T00:00:00"/>
    <m/>
    <d v="2016-12-31T00:00:00"/>
    <m/>
    <s v="UNTREF"/>
    <m/>
    <m/>
  </r>
  <r>
    <s v="SFMyCP"/>
    <x v="0"/>
    <s v="SUBSEC CENTROS TEMATICOS Y EXP FEDERALES"/>
    <x v="1"/>
    <s v="DIRECCION DE GESTION EDILICIA"/>
    <s v="SERVICIOS GENERALES"/>
    <s v="LIMPIEZA (En comisión Tecnópolis)"/>
    <s v="Responsable"/>
    <s v="Responsable"/>
    <s v="CCK"/>
    <s v="CCK - Alem 351"/>
    <s v="ZEÑIUK GABRIEL"/>
    <s v="DNI"/>
    <n v="27067242"/>
    <s v="20270672427"/>
    <d v="1978-12-25T00:00:00"/>
    <m/>
    <m/>
    <m/>
    <m/>
    <x v="0"/>
    <x v="0"/>
    <d v="2015-06-04T00:00:00"/>
    <m/>
    <d v="2016-12-31T00:00:00"/>
    <m/>
    <s v="UNTREF"/>
    <s v="UNTREF"/>
    <n v="18000"/>
  </r>
  <r>
    <s v="SFMyCP"/>
    <x v="0"/>
    <m/>
    <x v="0"/>
    <s v="TELEVISION DIGITAL ABIERTA"/>
    <s v="CIARA"/>
    <m/>
    <s v="POSTPRODUCCIÓN"/>
    <s v="EDICION"/>
    <s v="CABILDO 65"/>
    <s v="CABILDO 65"/>
    <s v="ZIRALDO DIEGO"/>
    <s v="DNI"/>
    <n v="31452373"/>
    <s v="20314523734"/>
    <d v="1985-03-01T00:00:00"/>
    <m/>
    <m/>
    <m/>
    <m/>
    <x v="0"/>
    <x v="0"/>
    <d v="2011-09-01T00:00:00"/>
    <m/>
    <d v="2016-12-31T00:00:00"/>
    <m/>
    <s v="UNTREF"/>
    <m/>
    <n v="24060"/>
  </r>
  <r>
    <s v="SFMyCP"/>
    <x v="0"/>
    <m/>
    <x v="0"/>
    <s v="TELEVISION DIGITAL ABIERTA"/>
    <s v="CIARA"/>
    <m/>
    <s v="PANORAMA ARGENTINO"/>
    <m/>
    <s v="CABILDO 65"/>
    <m/>
    <s v="ZOTHNER CELIA LUCIANA"/>
    <s v="DNI"/>
    <n v="24229930"/>
    <n v="27242299308"/>
    <m/>
    <m/>
    <m/>
    <m/>
    <m/>
    <x v="1"/>
    <x v="1"/>
    <d v="2012-12-01T00:00:00"/>
    <d v="2016-12-31T00:00:00"/>
    <d v="2016-12-31T00:00:00"/>
    <s v="B1"/>
    <m/>
    <m/>
    <n v="20266"/>
  </r>
  <r>
    <s v="SFMyCP"/>
    <x v="0"/>
    <s v="SUBSEC CENTROS TEMATICOS Y EXP FEDERALES"/>
    <x v="1"/>
    <s v="INSTITUCIONALES"/>
    <s v="VISITAS GUIADAS"/>
    <m/>
    <m/>
    <s v="VISITAS GUIADAS"/>
    <m/>
    <s v="CCK - Alem 351"/>
    <s v="ZULIANI MANUELA"/>
    <s v="DNI"/>
    <n v="38297347"/>
    <n v="27382973475"/>
    <d v="1994-05-11T00:00:00"/>
    <m/>
    <m/>
    <m/>
    <m/>
    <x v="0"/>
    <x v="0"/>
    <d v="2016-05-15T00:00:00"/>
    <m/>
    <d v="2016-12-31T00:00:00"/>
    <m/>
    <s v="UNTREF"/>
    <m/>
    <m/>
  </r>
  <r>
    <s v="SFMyCP"/>
    <x v="0"/>
    <m/>
    <x v="0"/>
    <s v="TELEVISION DIGITAL ABIERTA"/>
    <s v="CIARA"/>
    <s v="REFERENTE"/>
    <s v="Analista"/>
    <m/>
    <s v="CCK"/>
    <m/>
    <s v="ZUQUI  MARIANO"/>
    <s v="DNI"/>
    <n v="27273669"/>
    <n v="20272736694"/>
    <m/>
    <m/>
    <m/>
    <m/>
    <m/>
    <x v="1"/>
    <x v="1"/>
    <d v="2010-10-01T00:00:00"/>
    <d v="2016-12-31T00:00:00"/>
    <d v="2016-12-31T00:00:00"/>
    <s v="A1"/>
    <m/>
    <m/>
    <n v="2623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19">
  <r>
    <s v="SFMyCP"/>
    <x v="0"/>
    <x v="0"/>
    <x v="0"/>
    <x v="0"/>
    <x v="0"/>
    <m/>
    <s v="ANIMACION"/>
    <s v="ANALISTA"/>
    <s v="PALPALÁ-JUJUY"/>
    <s v="PALPALÁ-JUJUY"/>
    <x v="0"/>
    <s v="DNI"/>
    <n v="20549287"/>
    <n v="23205492879"/>
    <d v="1968-11-30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1"/>
    <x v="1"/>
    <x v="1"/>
    <x v="1"/>
    <m/>
    <m/>
    <s v="ADMINISTRATIVO"/>
    <s v="CCK"/>
    <s v="CCK - Alem 351"/>
    <x v="1"/>
    <s v="DNI"/>
    <n v="25250840"/>
    <s v="20252508407"/>
    <d v="1976-06-24T00:00:00"/>
    <m/>
    <m/>
    <m/>
    <m/>
    <s v="ASISTENCIA TÉCNICA"/>
    <x v="0"/>
    <d v="2015-04-01T00:00:00"/>
    <m/>
    <d v="2016-12-31T00:00:00"/>
    <m/>
    <s v="UNTREF"/>
    <s v="UNSAM-MINPLAN"/>
    <n v="17102"/>
    <x v="1"/>
    <x v="1"/>
  </r>
  <r>
    <s v="SFMyCP"/>
    <x v="1"/>
    <x v="0"/>
    <x v="2"/>
    <x v="2"/>
    <x v="2"/>
    <m/>
    <s v="PRIVADA"/>
    <s v="ASESOR"/>
    <m/>
    <s v="CCK - Alem 351"/>
    <x v="2"/>
    <s v="DNI"/>
    <n v="5940898"/>
    <n v="23059408984"/>
    <d v="1948-07-12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1"/>
    <x v="3"/>
    <x v="3"/>
    <x v="2"/>
    <m/>
    <m/>
    <m/>
    <s v="TECNÓPOLIS"/>
    <m/>
    <x v="3"/>
    <s v="DNI"/>
    <n v="36690414"/>
    <n v="20366904140"/>
    <m/>
    <m/>
    <m/>
    <m/>
    <m/>
    <s v="LEY MARCO"/>
    <x v="1"/>
    <d v="2012-07-01T00:00:00"/>
    <d v="2016-12-31T00:00:00"/>
    <d v="2016-12-31T00:00:00"/>
    <s v="D0"/>
    <m/>
    <m/>
    <n v="16289.4"/>
    <x v="3"/>
    <x v="3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x v="4"/>
    <s v="DNI"/>
    <n v="27781495"/>
    <s v="27277814957"/>
    <d v="1980-04-05T00:00:00"/>
    <m/>
    <m/>
    <m/>
    <m/>
    <s v="ASISTENCIA TÉCNICA"/>
    <x v="0"/>
    <d v="2014-07-01T00:00:00"/>
    <m/>
    <d v="2016-12-31T00:00:00"/>
    <m/>
    <s v="UNTREF"/>
    <s v="UNTREF"/>
    <n v="12516"/>
    <x v="4"/>
    <x v="3"/>
  </r>
  <r>
    <s v="SFMyCP"/>
    <x v="0"/>
    <x v="1"/>
    <x v="1"/>
    <x v="5"/>
    <x v="3"/>
    <s v="LIMPIEZA (En comisión Tecnópolis)"/>
    <s v="Auxiliar"/>
    <s v="OPERATIVA Y LOGISTICA"/>
    <s v="CCK"/>
    <s v="CCK - Alem 351"/>
    <x v="5"/>
    <s v="DNI"/>
    <n v="26749806"/>
    <s v="20267498068"/>
    <d v="1978-09-04T00:00:00"/>
    <m/>
    <m/>
    <m/>
    <m/>
    <s v="ASISTENCIA TÉCNICA"/>
    <x v="0"/>
    <d v="2015-06-10T00:00:00"/>
    <m/>
    <d v="2016-12-31T00:00:00"/>
    <m/>
    <s v="UNTREF"/>
    <s v="UNTREF"/>
    <n v="10500"/>
    <x v="5"/>
    <x v="4"/>
  </r>
  <r>
    <s v="SFMyCP"/>
    <x v="0"/>
    <x v="1"/>
    <x v="3"/>
    <x v="3"/>
    <x v="2"/>
    <m/>
    <m/>
    <m/>
    <s v="TECNÓPOLIS"/>
    <m/>
    <x v="6"/>
    <s v="DNI"/>
    <n v="33556332"/>
    <n v="27335563323"/>
    <m/>
    <m/>
    <m/>
    <m/>
    <m/>
    <s v="LEY MARCO"/>
    <x v="1"/>
    <d v="2012-01-01T00:00:00"/>
    <d v="2016-12-31T00:00:00"/>
    <d v="2016-12-31T00:00:00"/>
    <s v="D0"/>
    <m/>
    <m/>
    <n v="12484.6"/>
    <x v="6"/>
    <x v="3"/>
  </r>
  <r>
    <s v="SFMyCP"/>
    <x v="0"/>
    <x v="0"/>
    <x v="4"/>
    <x v="2"/>
    <x v="2"/>
    <m/>
    <s v="PRIVADA"/>
    <s v="CHOFER"/>
    <m/>
    <s v="CCK - Alem 351"/>
    <x v="7"/>
    <s v="DNI"/>
    <n v="21862533"/>
    <n v="20218625334"/>
    <d v="1971-03-01T00:00:00"/>
    <m/>
    <m/>
    <m/>
    <m/>
    <s v="ASISTENCIA TÉCNICA"/>
    <x v="0"/>
    <d v="2016-01-01T00:00:00"/>
    <m/>
    <d v="2016-12-31T00:00:00"/>
    <m/>
    <s v="UNTREF"/>
    <s v="UNSAM"/>
    <n v="12000"/>
    <x v="7"/>
    <x v="4"/>
  </r>
  <r>
    <s v="SFMyCP"/>
    <x v="0"/>
    <x v="1"/>
    <x v="3"/>
    <x v="6"/>
    <x v="2"/>
    <m/>
    <m/>
    <s v="MANTENIMIENTO GRAL DEL PARQUE"/>
    <s v="TECNÓPOLIS"/>
    <s v="TECNOPOLIS"/>
    <x v="8"/>
    <s v="DNI"/>
    <n v="25553697"/>
    <s v="20255536975"/>
    <d v="1976-09-22T00:00:00"/>
    <m/>
    <m/>
    <m/>
    <m/>
    <s v="ASISTENCIA TÉCNICA"/>
    <x v="0"/>
    <d v="2011-07-01T00:00:00"/>
    <m/>
    <d v="2016-12-31T00:00:00"/>
    <m/>
    <s v="UNTREF"/>
    <s v="UNTREF"/>
    <n v="11449.4"/>
    <x v="8"/>
    <x v="3"/>
  </r>
  <r>
    <s v="SFMyCP"/>
    <x v="1"/>
    <x v="0"/>
    <x v="5"/>
    <x v="7"/>
    <x v="2"/>
    <m/>
    <s v="GESTIÓN ADMINISTRATIVA"/>
    <m/>
    <s v="CCK"/>
    <m/>
    <x v="9"/>
    <s v="DNI"/>
    <n v="33422027"/>
    <n v="27334220279"/>
    <m/>
    <m/>
    <m/>
    <m/>
    <m/>
    <s v="LEY MARCO"/>
    <x v="1"/>
    <d v="2013-12-01T00:00:00"/>
    <d v="2016-03-31T00:00:00"/>
    <d v="2016-12-31T00:00:00"/>
    <s v="C1"/>
    <m/>
    <m/>
    <n v="12547"/>
    <x v="9"/>
    <x v="5"/>
  </r>
  <r>
    <s v="SFMyCP"/>
    <x v="0"/>
    <x v="0"/>
    <x v="0"/>
    <x v="8"/>
    <x v="4"/>
    <m/>
    <s v="PRODUCCIÓN"/>
    <s v="PRODUCTOR de EXTERIORES"/>
    <s v="CABILDO 65"/>
    <s v="CABILDO 65"/>
    <x v="10"/>
    <s v="DNI"/>
    <n v="29300719"/>
    <s v="20293007196"/>
    <d v="1982-02-03T00:00:00"/>
    <m/>
    <m/>
    <m/>
    <m/>
    <s v="ASISTENCIA TÉCNICA"/>
    <x v="0"/>
    <d v="2011-08-01T00:00:00"/>
    <m/>
    <d v="2016-12-31T00:00:00"/>
    <m/>
    <s v="UNTREF"/>
    <m/>
    <n v="23288"/>
    <x v="10"/>
    <x v="3"/>
  </r>
  <r>
    <s v="SFMyCP"/>
    <x v="0"/>
    <x v="1"/>
    <x v="3"/>
    <x v="9"/>
    <x v="2"/>
    <m/>
    <s v="ADMINISTRATIVO"/>
    <s v="ADMINISTRATIVO"/>
    <s v="TECNÓPOLIS"/>
    <m/>
    <x v="11"/>
    <s v="DNI"/>
    <n v="18899387"/>
    <n v="27188993872"/>
    <m/>
    <m/>
    <m/>
    <m/>
    <m/>
    <s v="LEY MARCO"/>
    <x v="1"/>
    <d v="2012-11-01T00:00:00"/>
    <d v="2016-12-31T00:00:00"/>
    <d v="2016-12-31T00:00:00"/>
    <s v="C0"/>
    <m/>
    <m/>
    <n v="20253.28"/>
    <x v="11"/>
    <x v="3"/>
  </r>
  <r>
    <s v="SFMyCP"/>
    <x v="0"/>
    <x v="1"/>
    <x v="3"/>
    <x v="9"/>
    <x v="2"/>
    <m/>
    <s v="ADMINISTRATIVO"/>
    <s v="ADMINISTRATIVO"/>
    <s v="TECNÓPOLIS"/>
    <m/>
    <x v="12"/>
    <s v="DNI"/>
    <n v="18899386"/>
    <n v="27188993864"/>
    <m/>
    <m/>
    <m/>
    <m/>
    <m/>
    <s v="LEY MARCO"/>
    <x v="1"/>
    <d v="2012-02-01T00:00:00"/>
    <d v="2016-12-31T00:00:00"/>
    <d v="2016-12-31T00:00:00"/>
    <s v="C0"/>
    <m/>
    <m/>
    <n v="29781"/>
    <x v="12"/>
    <x v="3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x v="13"/>
    <s v="DNI"/>
    <n v="35136175"/>
    <s v="24351361758"/>
    <d v="1990-02-06T00:00:00"/>
    <m/>
    <m/>
    <m/>
    <m/>
    <s v="ASISTENCIA TÉCNICA"/>
    <x v="0"/>
    <d v="2014-02-01T00:00:00"/>
    <m/>
    <d v="2016-12-31T00:00:00"/>
    <m/>
    <s v="UNTREF"/>
    <s v="UNTREF"/>
    <n v="10408.549999999999"/>
    <x v="13"/>
    <x v="5"/>
  </r>
  <r>
    <s v="SFMyCP"/>
    <x v="0"/>
    <x v="1"/>
    <x v="1"/>
    <x v="5"/>
    <x v="5"/>
    <s v="MESA DE AYUDA"/>
    <s v="Asistente"/>
    <s v="ADMINISTRATIVO"/>
    <s v="CCK"/>
    <s v="CCK - Alem 351"/>
    <x v="14"/>
    <s v="DNI"/>
    <n v="42663422"/>
    <s v="27426634223"/>
    <d v="1996-06-07T00:00:00"/>
    <m/>
    <m/>
    <m/>
    <m/>
    <s v="ASISTENCIA TÉCNICA"/>
    <x v="0"/>
    <d v="2015-06-01T00:00:00"/>
    <m/>
    <d v="2016-12-31T00:00:00"/>
    <m/>
    <s v="UNTREF"/>
    <s v="UNLAM- BICENTENARIO"/>
    <n v="10096"/>
    <x v="5"/>
    <x v="4"/>
  </r>
  <r>
    <s v="SFMyCP"/>
    <x v="0"/>
    <x v="1"/>
    <x v="1"/>
    <x v="10"/>
    <x v="2"/>
    <m/>
    <m/>
    <s v="ADMINISTRATIVA"/>
    <m/>
    <s v="CCK - Alem 351"/>
    <x v="15"/>
    <s v="DNI"/>
    <n v="22476139"/>
    <n v="27254761392"/>
    <d v="1976-07-29T00:00:00"/>
    <m/>
    <m/>
    <m/>
    <m/>
    <s v="ASISTENCIA TÉCNICA"/>
    <x v="0"/>
    <d v="2016-04-01T00:00:00"/>
    <m/>
    <d v="2016-12-31T00:00:00"/>
    <m/>
    <s v="UNTREF"/>
    <m/>
    <s v="."/>
    <x v="14"/>
    <x v="3"/>
  </r>
  <r>
    <s v="SFMyCP"/>
    <x v="0"/>
    <x v="0"/>
    <x v="0"/>
    <x v="8"/>
    <x v="6"/>
    <m/>
    <s v="ACUA MAYOR"/>
    <s v="ADMINISTRATIVO"/>
    <s v="CABILDO 65"/>
    <s v="CABILDO 65"/>
    <x v="16"/>
    <s v="DNI"/>
    <n v="26403953"/>
    <s v="27264039539"/>
    <d v="1978-01-31T00:00:00"/>
    <m/>
    <m/>
    <m/>
    <m/>
    <s v="ASISTENCIA TÉCNICA"/>
    <x v="0"/>
    <d v="2011-09-21T00:00:00"/>
    <m/>
    <d v="2016-12-31T00:00:00"/>
    <m/>
    <s v="UNTREF"/>
    <s v="UNSAM- LADA"/>
    <n v="20959"/>
    <x v="15"/>
    <x v="5"/>
  </r>
  <r>
    <s v="SFMyCP"/>
    <x v="0"/>
    <x v="0"/>
    <x v="0"/>
    <x v="8"/>
    <x v="6"/>
    <m/>
    <s v="SERVICIOS GENERALES"/>
    <m/>
    <s v="CABILDO 65"/>
    <m/>
    <x v="17"/>
    <s v="DNI"/>
    <n v="34303292"/>
    <n v="20343032928"/>
    <m/>
    <m/>
    <m/>
    <m/>
    <m/>
    <s v="LEY MARCO"/>
    <x v="1"/>
    <d v="2015-03-01T00:00:00"/>
    <d v="2016-03-31T00:00:00"/>
    <d v="2016-12-31T00:00:00"/>
    <s v="D0"/>
    <m/>
    <m/>
    <n v="10553"/>
    <x v="16"/>
    <x v="5"/>
  </r>
  <r>
    <s v="SFMyCP"/>
    <x v="0"/>
    <x v="0"/>
    <x v="0"/>
    <x v="8"/>
    <x v="6"/>
    <m/>
    <s v="ACUA MAYOR"/>
    <s v="ADMINISTRATIVO"/>
    <s v="CABILDO 65"/>
    <s v="CABILDO 65"/>
    <x v="18"/>
    <s v="DNI"/>
    <n v="23865395"/>
    <s v="23238653959"/>
    <d v="1974-03-28T00:00:00"/>
    <m/>
    <m/>
    <m/>
    <m/>
    <s v="ASISTENCIA TÉCNICA"/>
    <x v="0"/>
    <d v="2010-11-01T00:00:00"/>
    <m/>
    <d v="2016-12-31T00:00:00"/>
    <m/>
    <s v="UNTREF"/>
    <s v="UNSAM- LADA"/>
    <n v="16465"/>
    <x v="17"/>
    <x v="5"/>
  </r>
  <r>
    <s v="SFMyCP"/>
    <x v="0"/>
    <x v="0"/>
    <x v="4"/>
    <x v="11"/>
    <x v="7"/>
    <m/>
    <s v="PRIVADA"/>
    <s v="ADMINISTRATIVO"/>
    <m/>
    <s v="NO ENTREGAR"/>
    <x v="19"/>
    <s v="DNI"/>
    <n v="29064368"/>
    <n v="27290643681"/>
    <d v="1981-09-12T00:00:00"/>
    <m/>
    <m/>
    <m/>
    <m/>
    <s v="ASISTENCIA TÉCNICA"/>
    <x v="0"/>
    <d v="2016-07-01T00:00:00"/>
    <m/>
    <d v="2016-07-31T00:00:00"/>
    <m/>
    <s v="UNTREF"/>
    <m/>
    <m/>
    <x v="18"/>
    <x v="3"/>
  </r>
  <r>
    <s v="SFMyCP"/>
    <x v="0"/>
    <x v="1"/>
    <x v="3"/>
    <x v="3"/>
    <x v="2"/>
    <m/>
    <m/>
    <s v="LIMPIEZA DE OFICINAS/BAÑOS Y CAFETARIA DEL IBC"/>
    <s v="TECNÓPOLIS"/>
    <s v="TECNOPOLIS"/>
    <x v="20"/>
    <s v="DNI"/>
    <n v="25151141"/>
    <s v="27251511417"/>
    <d v="1976-04-16T00:00:00"/>
    <m/>
    <m/>
    <m/>
    <m/>
    <s v="ASISTENCIA TÉCNICA"/>
    <x v="0"/>
    <d v="2012-02-01T00:00:00"/>
    <m/>
    <d v="2016-12-31T00:00:00"/>
    <m/>
    <s v="UNTREF"/>
    <s v="UNTREF"/>
    <n v="9995.51"/>
    <x v="19"/>
    <x v="5"/>
  </r>
  <r>
    <s v="SFMyCP"/>
    <x v="0"/>
    <x v="0"/>
    <x v="6"/>
    <x v="12"/>
    <x v="2"/>
    <m/>
    <m/>
    <m/>
    <m/>
    <m/>
    <x v="21"/>
    <s v="DNI"/>
    <n v="16668849"/>
    <n v="20166688496"/>
    <m/>
    <m/>
    <m/>
    <m/>
    <m/>
    <m/>
    <x v="0"/>
    <d v="2016-07-01T00:00:00"/>
    <m/>
    <d v="2016-09-30T00:00:00"/>
    <m/>
    <s v="UNTREF"/>
    <m/>
    <m/>
    <x v="18"/>
    <x v="3"/>
  </r>
  <r>
    <s v="SFMyCP"/>
    <x v="0"/>
    <x v="1"/>
    <x v="3"/>
    <x v="13"/>
    <x v="2"/>
    <m/>
    <s v="ADMINISTRATIVO"/>
    <s v="ADMINISTRATIVO"/>
    <s v="TECNÓPOLIS"/>
    <m/>
    <x v="22"/>
    <s v="DNI"/>
    <n v="32890888"/>
    <n v="20328908884"/>
    <m/>
    <m/>
    <m/>
    <m/>
    <m/>
    <s v="LEY MARCO"/>
    <x v="1"/>
    <d v="2015-01-01T00:00:00"/>
    <d v="2016-03-31T00:00:00"/>
    <d v="2016-12-31T00:00:00"/>
    <s v="C0"/>
    <m/>
    <m/>
    <n v="13835"/>
    <x v="20"/>
    <x v="5"/>
  </r>
  <r>
    <s v="SFMyCP"/>
    <x v="0"/>
    <x v="1"/>
    <x v="1"/>
    <x v="14"/>
    <x v="2"/>
    <m/>
    <m/>
    <s v="ADMINISTRATIVO"/>
    <m/>
    <s v="CCK - Alem 351"/>
    <x v="23"/>
    <s v="DNI"/>
    <n v="33205074"/>
    <s v="27332050740"/>
    <d v="1987-08-03T00:00:00"/>
    <m/>
    <m/>
    <m/>
    <m/>
    <s v="ASISTENCIA TÉCNICA"/>
    <x v="0"/>
    <d v="2014-12-01T00:00:00"/>
    <m/>
    <d v="2016-12-31T00:00:00"/>
    <m/>
    <s v="UNTREF"/>
    <s v="UNTREF"/>
    <n v="16731"/>
    <x v="21"/>
    <x v="5"/>
  </r>
  <r>
    <s v="SFMyCP"/>
    <x v="0"/>
    <x v="0"/>
    <x v="0"/>
    <x v="8"/>
    <x v="4"/>
    <m/>
    <s v="PRODUCCIÓN"/>
    <s v="PRODUCTOR de EXTERIORES"/>
    <s v="CABILDO 65"/>
    <s v="CABILDO 65"/>
    <x v="24"/>
    <s v="DNI"/>
    <n v="34295103"/>
    <s v="20342951032"/>
    <d v="1989-04-11T00:00:00"/>
    <m/>
    <m/>
    <m/>
    <m/>
    <s v="ASISTENCIA TÉCNICA"/>
    <x v="0"/>
    <d v="2014-06-01T00:00:00"/>
    <m/>
    <d v="2016-12-31T00:00:00"/>
    <m/>
    <s v="UNTREF"/>
    <m/>
    <n v="15234"/>
    <x v="22"/>
    <x v="3"/>
  </r>
  <r>
    <s v="SFMyCP"/>
    <x v="0"/>
    <x v="1"/>
    <x v="3"/>
    <x v="15"/>
    <x v="2"/>
    <m/>
    <m/>
    <s v="HERRERO"/>
    <m/>
    <s v="TECNOPOLIS"/>
    <x v="25"/>
    <s v="DNI"/>
    <n v="35340444"/>
    <n v="20353404440"/>
    <d v="1990-05-22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1"/>
    <x v="10"/>
    <x v="2"/>
    <m/>
    <s v="Analista"/>
    <m/>
    <s v="CCK"/>
    <m/>
    <x v="26"/>
    <s v="DNI"/>
    <n v="21644367"/>
    <n v="20216443676"/>
    <m/>
    <m/>
    <m/>
    <m/>
    <m/>
    <s v="LEY MARCO"/>
    <x v="1"/>
    <d v="2010-01-01T00:00:00"/>
    <d v="2016-12-31T00:00:00"/>
    <d v="2016-12-31T00:00:00"/>
    <s v="C1"/>
    <m/>
    <m/>
    <n v="12274"/>
    <x v="23"/>
    <x v="5"/>
  </r>
  <r>
    <s v="SFMyCP"/>
    <x v="0"/>
    <x v="0"/>
    <x v="0"/>
    <x v="8"/>
    <x v="6"/>
    <s v="CCK"/>
    <s v="PROGRAMA POLOS AUDIOVISUALES TECNOLÓGICOS"/>
    <m/>
    <s v="CABILDO 65"/>
    <m/>
    <x v="27"/>
    <s v="DNI"/>
    <n v="17287085"/>
    <n v="27172870851"/>
    <m/>
    <m/>
    <m/>
    <m/>
    <m/>
    <s v="LEY MARCO"/>
    <x v="1"/>
    <d v="2012-12-01T00:00:00"/>
    <d v="2016-12-31T00:00:00"/>
    <d v="2016-12-31T00:00:00"/>
    <s v="B1"/>
    <m/>
    <m/>
    <n v="20266"/>
    <x v="24"/>
    <x v="5"/>
  </r>
  <r>
    <s v="SFMyCP"/>
    <x v="0"/>
    <x v="1"/>
    <x v="1"/>
    <x v="14"/>
    <x v="2"/>
    <m/>
    <m/>
    <m/>
    <s v="CCK"/>
    <s v="CCK - Alem 351"/>
    <x v="28"/>
    <s v="DNI"/>
    <n v="16101254"/>
    <n v="20161012549"/>
    <m/>
    <m/>
    <m/>
    <m/>
    <m/>
    <s v="LEY MARCO"/>
    <x v="1"/>
    <d v="2012-10-31T00:00:00"/>
    <d v="2016-12-31T00:00:00"/>
    <d v="2016-12-31T00:00:00"/>
    <s v="C0"/>
    <m/>
    <m/>
    <n v="17751"/>
    <x v="25"/>
    <x v="5"/>
  </r>
  <r>
    <s v="SFMyCP"/>
    <x v="0"/>
    <x v="1"/>
    <x v="1"/>
    <x v="14"/>
    <x v="2"/>
    <m/>
    <m/>
    <s v="ADMINISTRATIVO"/>
    <s v="CCK"/>
    <s v="CCK - Alem 351"/>
    <x v="29"/>
    <s v="DNI"/>
    <n v="28509503"/>
    <s v="23285095034"/>
    <d v="1980-12-07T00:00:00"/>
    <m/>
    <m/>
    <m/>
    <m/>
    <s v="ASISTENCIA TÉCNICA"/>
    <x v="0"/>
    <d v="2015-09-01T00:00:00"/>
    <m/>
    <d v="2016-12-31T00:00:00"/>
    <m/>
    <s v="UNTREF"/>
    <s v="UNSAM"/>
    <n v="20413"/>
    <x v="26"/>
    <x v="6"/>
  </r>
  <r>
    <s v="SFMyCP"/>
    <x v="0"/>
    <x v="1"/>
    <x v="3"/>
    <x v="9"/>
    <x v="2"/>
    <m/>
    <s v="ADMINISTRATIVO"/>
    <s v="ADMINISTRATIVO"/>
    <s v="TECNÓPOLIS"/>
    <m/>
    <x v="30"/>
    <s v="DNI"/>
    <n v="22913909"/>
    <n v="27229139091"/>
    <m/>
    <m/>
    <m/>
    <m/>
    <m/>
    <s v="LEY MARCO"/>
    <x v="1"/>
    <d v="2010-01-01T00:00:00"/>
    <d v="2016-12-31T00:00:00"/>
    <d v="2016-12-31T00:00:00"/>
    <s v="C1"/>
    <m/>
    <m/>
    <n v="23417"/>
    <x v="27"/>
    <x v="5"/>
  </r>
  <r>
    <s v="SFMyCP"/>
    <x v="0"/>
    <x v="1"/>
    <x v="1"/>
    <x v="5"/>
    <x v="8"/>
    <s v="ESPACIOS FÍSICOS"/>
    <s v=""/>
    <s v="ADMINISTRATIVO"/>
    <s v="CCK"/>
    <s v="CCK - Alem 351"/>
    <x v="31"/>
    <s v="DNI"/>
    <n v="35364582"/>
    <s v="27353645825"/>
    <d v="1990-10-26T00:00:00"/>
    <m/>
    <m/>
    <m/>
    <m/>
    <s v="ASISTENCIA TÉCNICA"/>
    <x v="0"/>
    <d v="2015-07-01T00:00:00"/>
    <m/>
    <d v="2016-12-31T00:00:00"/>
    <m/>
    <s v="UNTREF"/>
    <s v="UNSAM"/>
    <n v="8617"/>
    <x v="28"/>
    <x v="7"/>
  </r>
  <r>
    <s v="SFMyCP"/>
    <x v="0"/>
    <x v="1"/>
    <x v="1"/>
    <x v="10"/>
    <x v="2"/>
    <m/>
    <s v="Analista"/>
    <s v="ADMINISTRATIVA"/>
    <s v="CCK"/>
    <s v="CCK - Alem 351"/>
    <x v="32"/>
    <s v="DNI"/>
    <n v="32620168"/>
    <s v="27326201680"/>
    <d v="1986-11-01T00:00:00"/>
    <m/>
    <m/>
    <m/>
    <m/>
    <s v="ASISTENCIA TÉCNICA"/>
    <x v="0"/>
    <d v="2015-02-12T00:00:00"/>
    <m/>
    <d v="2016-12-31T00:00:00"/>
    <m/>
    <s v="UNTREF"/>
    <s v="UNSAM-MINPLAN"/>
    <n v="16000"/>
    <x v="29"/>
    <x v="8"/>
  </r>
  <r>
    <s v="SFMyCP"/>
    <x v="0"/>
    <x v="1"/>
    <x v="1"/>
    <x v="16"/>
    <x v="2"/>
    <m/>
    <s v="asistente funcional"/>
    <s v="asistente funcional"/>
    <s v="CCK"/>
    <s v="CCK - Alem 351"/>
    <x v="33"/>
    <s v="DNI"/>
    <n v="38297183"/>
    <s v="20382971834"/>
    <d v="1994-04-18T00:00:00"/>
    <m/>
    <m/>
    <m/>
    <m/>
    <s v="ASISTENCIA TÉCNICA"/>
    <x v="0"/>
    <d v="2015-04-20T00:00:00"/>
    <m/>
    <d v="2016-12-31T00:00:00"/>
    <m/>
    <s v="UNTREF"/>
    <s v="UNSAM"/>
    <n v="10188"/>
    <x v="5"/>
    <x v="9"/>
  </r>
  <r>
    <s v="SFMyCP"/>
    <x v="0"/>
    <x v="0"/>
    <x v="0"/>
    <x v="0"/>
    <x v="0"/>
    <m/>
    <s v="DESARROLLOS"/>
    <s v="ANALISTA"/>
    <s v="PALPALÁ-JUJUY"/>
    <s v="PALPALÁ-JUJUY"/>
    <x v="34"/>
    <s v="DNI"/>
    <n v="25798152"/>
    <n v="27257981520"/>
    <d v="1977-03-26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1"/>
    <x v="0"/>
    <x v="5"/>
    <x v="17"/>
    <x v="9"/>
    <m/>
    <s v="Analista de RR.HH."/>
    <s v="ADMINISTRATIVO"/>
    <s v="CABILDO 65"/>
    <s v="CABILDO 65"/>
    <x v="35"/>
    <s v="DNI"/>
    <n v="20350366"/>
    <s v="27203503666"/>
    <d v="1968-06-28T00:00:00"/>
    <m/>
    <m/>
    <m/>
    <m/>
    <s v="ASISTENCIA TÉCNICA"/>
    <x v="0"/>
    <d v="2014-05-05T00:00:00"/>
    <m/>
    <d v="2016-12-31T00:00:00"/>
    <m/>
    <s v="UNTREF"/>
    <s v="UNSAM- LADA"/>
    <n v="10188"/>
    <x v="5"/>
    <x v="7"/>
  </r>
  <r>
    <s v="SFMyCP"/>
    <x v="1"/>
    <x v="0"/>
    <x v="5"/>
    <x v="18"/>
    <x v="2"/>
    <m/>
    <s v=""/>
    <s v="Asistencia Juridica"/>
    <m/>
    <s v="CCK - Alem 351"/>
    <x v="36"/>
    <s v="DNI"/>
    <n v="35356196"/>
    <s v="27353561966"/>
    <d v="1990-11-08T00:00:00"/>
    <m/>
    <m/>
    <m/>
    <m/>
    <s v="ASISTENCIA TÉCNICA"/>
    <x v="0"/>
    <d v="2015-09-01T00:00:00"/>
    <m/>
    <d v="2016-12-31T00:00:00"/>
    <m/>
    <s v="UNTREF"/>
    <s v="UNLAM -TDA"/>
    <n v="12063"/>
    <x v="30"/>
    <x v="7"/>
  </r>
  <r>
    <s v="SFMyCP"/>
    <x v="1"/>
    <x v="0"/>
    <x v="5"/>
    <x v="17"/>
    <x v="9"/>
    <m/>
    <s v="Analista Sr de RR.HH."/>
    <m/>
    <s v="CABILDO 65"/>
    <m/>
    <x v="37"/>
    <s v="DNI"/>
    <n v="27216534"/>
    <n v="20272165344"/>
    <m/>
    <m/>
    <m/>
    <m/>
    <m/>
    <s v="LEY MARCO"/>
    <x v="1"/>
    <d v="2014-10-01T00:00:00"/>
    <d v="2016-03-31T00:00:00"/>
    <d v="2016-12-31T00:00:00"/>
    <s v="A1"/>
    <m/>
    <m/>
    <n v="27374"/>
    <x v="31"/>
    <x v="5"/>
  </r>
  <r>
    <s v="SFMyCP"/>
    <x v="0"/>
    <x v="1"/>
    <x v="3"/>
    <x v="19"/>
    <x v="2"/>
    <m/>
    <s v="RECEPCIONISTA"/>
    <s v="RECEPCION IBC"/>
    <s v="TECNÓPOLIS"/>
    <s v="TECNOPOLIS"/>
    <x v="38"/>
    <s v="DNI"/>
    <n v="32125095"/>
    <s v="20321250956"/>
    <d v="1986-01-08T00:00:00"/>
    <m/>
    <m/>
    <m/>
    <m/>
    <s v="ASISTENCIA TÉCNICA"/>
    <x v="0"/>
    <d v="2014-08-01T00:00:00"/>
    <m/>
    <d v="2016-12-31T00:00:00"/>
    <m/>
    <s v="UNTREF"/>
    <s v="UNTREF"/>
    <n v="10000"/>
    <x v="0"/>
    <x v="5"/>
  </r>
  <r>
    <s v="SFMyCP"/>
    <x v="0"/>
    <x v="1"/>
    <x v="3"/>
    <x v="20"/>
    <x v="2"/>
    <m/>
    <m/>
    <m/>
    <s v="TECNÓPOLIS"/>
    <m/>
    <x v="39"/>
    <s v="DNI"/>
    <n v="32484527"/>
    <n v="20324845276"/>
    <m/>
    <m/>
    <m/>
    <m/>
    <m/>
    <s v="LEY MARCO"/>
    <x v="1"/>
    <d v="2012-05-01T00:00:00"/>
    <d v="2016-12-31T00:00:00"/>
    <d v="2016-12-31T00:00:00"/>
    <s v="C0"/>
    <m/>
    <m/>
    <n v="13084.78"/>
    <x v="32"/>
    <x v="5"/>
  </r>
  <r>
    <s v="SFMyCP"/>
    <x v="1"/>
    <x v="0"/>
    <x v="5"/>
    <x v="18"/>
    <x v="2"/>
    <m/>
    <s v=""/>
    <m/>
    <m/>
    <m/>
    <x v="40"/>
    <s v="DNI"/>
    <n v="26111281"/>
    <n v="20261112818"/>
    <m/>
    <m/>
    <m/>
    <m/>
    <m/>
    <s v="LEY MARCO"/>
    <x v="1"/>
    <d v="2012-12-01T00:00:00"/>
    <d v="2016-12-31T00:00:00"/>
    <d v="2016-12-31T00:00:00"/>
    <s v="A1"/>
    <m/>
    <m/>
    <n v="29089"/>
    <x v="33"/>
    <x v="5"/>
  </r>
  <r>
    <s v="SFMyCP"/>
    <x v="0"/>
    <x v="1"/>
    <x v="1"/>
    <x v="16"/>
    <x v="10"/>
    <m/>
    <m/>
    <s v="asistente funcional"/>
    <m/>
    <s v="CCK - Alem 351"/>
    <x v="41"/>
    <s v="DNI"/>
    <n v="35365200"/>
    <n v="27353652007"/>
    <d v="1990-10-2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21"/>
    <x v="2"/>
    <m/>
    <m/>
    <s v="MANTENIMIENTO DE ESPACIOS VERDES"/>
    <s v="TECNÓPOLIS"/>
    <s v="TECNOPOLIS"/>
    <x v="42"/>
    <s v="DNI"/>
    <n v="36536305"/>
    <s v="20365363057"/>
    <d v="1991-08-06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x v="43"/>
    <s v="DNI"/>
    <n v="18641336"/>
    <s v="27186413364"/>
    <d v="1967-12-20T00:00:00"/>
    <m/>
    <m/>
    <m/>
    <m/>
    <s v="ASISTENCIA TÉCNICA"/>
    <x v="0"/>
    <d v="2012-07-01T00:00:00"/>
    <m/>
    <d v="2016-12-31T00:00:00"/>
    <m/>
    <s v="UNTREF"/>
    <s v="UNTREF"/>
    <n v="9673.07"/>
    <x v="34"/>
    <x v="5"/>
  </r>
  <r>
    <s v="SFMyCP"/>
    <x v="0"/>
    <x v="1"/>
    <x v="1"/>
    <x v="10"/>
    <x v="2"/>
    <m/>
    <m/>
    <s v="ADMINISTRATIVA"/>
    <m/>
    <s v="CCK - Alem 351"/>
    <x v="44"/>
    <s v="DNI"/>
    <n v="22533153"/>
    <s v="20225331538"/>
    <d v="1971-11-26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10"/>
    <x v="2"/>
    <m/>
    <s v="Responsable"/>
    <m/>
    <s v="CCK"/>
    <m/>
    <x v="45"/>
    <s v="DNI"/>
    <n v="20602318"/>
    <n v="27206023185"/>
    <m/>
    <m/>
    <m/>
    <m/>
    <m/>
    <s v="LEY MARCO"/>
    <x v="1"/>
    <d v="2011-06-01T00:00:00"/>
    <d v="2016-12-31T00:00:00"/>
    <d v="2016-12-31T00:00:00"/>
    <s v="A0"/>
    <m/>
    <m/>
    <n v="24523"/>
    <x v="35"/>
    <x v="5"/>
  </r>
  <r>
    <s v="SFMyCP"/>
    <x v="0"/>
    <x v="0"/>
    <x v="0"/>
    <x v="8"/>
    <x v="6"/>
    <m/>
    <s v="CONTENIDOS DIGITALES ABIERTOS CDA"/>
    <s v="ADMINISTRATIVO"/>
    <s v="CABILDO 65"/>
    <s v="CABILDO 65"/>
    <x v="46"/>
    <s v="DNI"/>
    <n v="29599892"/>
    <s v="20295998920"/>
    <d v="1982-09-03T00:00:00"/>
    <m/>
    <m/>
    <m/>
    <m/>
    <s v="ASISTENCIA TÉCNICA"/>
    <x v="0"/>
    <d v="2015-08-01T00:00:00"/>
    <m/>
    <d v="2016-12-31T00:00:00"/>
    <m/>
    <s v="UNTREF"/>
    <s v="UNSAM- LADA"/>
    <n v="19353"/>
    <x v="36"/>
    <x v="5"/>
  </r>
  <r>
    <s v="SFMyCP"/>
    <x v="0"/>
    <x v="0"/>
    <x v="0"/>
    <x v="8"/>
    <x v="6"/>
    <m/>
    <s v="PRODUCCIÓN"/>
    <s v="PRODUCTOR de EXTERIORES"/>
    <s v="CABILDO 65"/>
    <s v="CABILDO 65"/>
    <x v="47"/>
    <s v="DNI"/>
    <n v="32321098"/>
    <s v="20323210986"/>
    <d v="1986-05-10T00:00:00"/>
    <m/>
    <m/>
    <m/>
    <m/>
    <s v="ASISTENCIA TÉCNICA"/>
    <x v="0"/>
    <d v="2012-08-01T00:00:00"/>
    <m/>
    <d v="2016-12-31T00:00:00"/>
    <m/>
    <s v="UNTREF"/>
    <m/>
    <n v="18795"/>
    <x v="37"/>
    <x v="3"/>
  </r>
  <r>
    <s v="SFMyCP"/>
    <x v="0"/>
    <x v="0"/>
    <x v="0"/>
    <x v="8"/>
    <x v="6"/>
    <m/>
    <s v="TÉCNICA Y TRANSMISIÓN"/>
    <s v="ADMINISTRATIVO"/>
    <s v="CABILDO 65"/>
    <s v="CABILDO 65"/>
    <x v="48"/>
    <s v="DNI"/>
    <n v="34801157"/>
    <s v="27348011575"/>
    <d v="1989-10-08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0"/>
    <x v="0"/>
    <x v="0"/>
    <x v="8"/>
    <x v="6"/>
    <m/>
    <s v="POSTPRODUCCIÓN"/>
    <s v="EDICION"/>
    <s v="CABILDO 65"/>
    <s v="CABILDO 65"/>
    <x v="49"/>
    <s v="DNI"/>
    <n v="23700637"/>
    <s v="20237006373"/>
    <d v="1974-08-25T00:00:00"/>
    <m/>
    <m/>
    <m/>
    <m/>
    <s v="ASISTENCIA TÉCNICA"/>
    <x v="0"/>
    <d v="2012-03-01T00:00:00"/>
    <m/>
    <d v="2016-12-31T00:00:00"/>
    <m/>
    <s v="UNTREF"/>
    <m/>
    <n v="25252"/>
    <x v="38"/>
    <x v="3"/>
  </r>
  <r>
    <s v="SFMyCP"/>
    <x v="0"/>
    <x v="0"/>
    <x v="6"/>
    <x v="12"/>
    <x v="2"/>
    <m/>
    <m/>
    <s v="ADMINISTRATIVO"/>
    <m/>
    <s v="CCK - Alem 351"/>
    <x v="50"/>
    <s v="DNI"/>
    <n v="31195953"/>
    <n v="20311959531"/>
    <d v="1984-11-01T00:00:00"/>
    <m/>
    <m/>
    <m/>
    <m/>
    <s v="ASISTENCIA TÉCNICA"/>
    <x v="0"/>
    <m/>
    <m/>
    <d v="2016-08-31T00:00:00"/>
    <m/>
    <s v="UNTREF"/>
    <m/>
    <m/>
    <x v="18"/>
    <x v="3"/>
  </r>
  <r>
    <s v="SFMyCP"/>
    <x v="0"/>
    <x v="1"/>
    <x v="3"/>
    <x v="22"/>
    <x v="2"/>
    <m/>
    <m/>
    <m/>
    <s v="TECNÓPOLIS"/>
    <m/>
    <x v="51"/>
    <s v="DNI"/>
    <n v="34343723"/>
    <n v="23343437234"/>
    <m/>
    <m/>
    <m/>
    <m/>
    <m/>
    <s v="LEY MARCO"/>
    <x v="1"/>
    <d v="2012-07-01T00:00:00"/>
    <d v="2016-12-31T00:00:00"/>
    <d v="2016-12-31T00:00:00"/>
    <s v="D0"/>
    <m/>
    <m/>
    <n v="11410.59"/>
    <x v="39"/>
    <x v="5"/>
  </r>
  <r>
    <s v="SFMyCP"/>
    <x v="0"/>
    <x v="0"/>
    <x v="0"/>
    <x v="0"/>
    <x v="0"/>
    <m/>
    <s v="ANIMACION"/>
    <s v="ANALISTA"/>
    <s v="PALPALÁ-JUJUY"/>
    <s v="PALPALÁ-JUJUY"/>
    <x v="52"/>
    <s v="DNI"/>
    <n v="37460002"/>
    <n v="20374600029"/>
    <d v="1993-02-01T00:00:00"/>
    <m/>
    <m/>
    <m/>
    <m/>
    <s v="ASISTENCIA TÉCNICA"/>
    <x v="0"/>
    <d v="2015-09-01T00:00:00"/>
    <m/>
    <d v="2016-12-31T00:00:00"/>
    <m/>
    <s v="UNTREF"/>
    <s v="UNSAM"/>
    <n v="8000"/>
    <x v="40"/>
    <x v="0"/>
  </r>
  <r>
    <s v="SFMyCP"/>
    <x v="0"/>
    <x v="1"/>
    <x v="3"/>
    <x v="23"/>
    <x v="2"/>
    <m/>
    <m/>
    <m/>
    <s v="TECNÓPOLIS"/>
    <m/>
    <x v="53"/>
    <s v="DNI"/>
    <n v="21729750"/>
    <n v="27217297503"/>
    <m/>
    <m/>
    <m/>
    <m/>
    <m/>
    <s v="LEY MARCO"/>
    <x v="1"/>
    <d v="2012-11-30T00:00:00"/>
    <d v="2016-12-31T00:00:00"/>
    <d v="2016-12-31T00:00:00"/>
    <s v="C0"/>
    <m/>
    <m/>
    <n v="28237"/>
    <x v="41"/>
    <x v="5"/>
  </r>
  <r>
    <s v="SFMyCP"/>
    <x v="0"/>
    <x v="1"/>
    <x v="3"/>
    <x v="24"/>
    <x v="2"/>
    <m/>
    <s v="Tareas Generales"/>
    <s v="TAREAS EN GENERAL TALLER CARPINTERIA/HERRERÍA/TEXTIL"/>
    <s v="TECNÓPOLIS"/>
    <m/>
    <x v="54"/>
    <s v="DNI"/>
    <n v="13978790"/>
    <n v="20139787901"/>
    <d v="1957-06-25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1"/>
    <x v="0"/>
    <x v="5"/>
    <x v="2"/>
    <x v="2"/>
    <m/>
    <m/>
    <m/>
    <m/>
    <m/>
    <x v="55"/>
    <s v="DNI"/>
    <n v="35146744"/>
    <n v="23351467444"/>
    <m/>
    <m/>
    <m/>
    <m/>
    <m/>
    <s v="LEY MARCO"/>
    <x v="1"/>
    <d v="2014-10-01T00:00:00"/>
    <m/>
    <d v="2016-12-31T00:00:00"/>
    <s v="D0"/>
    <m/>
    <m/>
    <m/>
    <x v="18"/>
    <x v="3"/>
  </r>
  <r>
    <s v="SFMyCP"/>
    <x v="0"/>
    <x v="1"/>
    <x v="1"/>
    <x v="16"/>
    <x v="11"/>
    <m/>
    <m/>
    <s v="VISITAS GUIADAS"/>
    <m/>
    <s v="CCK - Alem 351"/>
    <x v="56"/>
    <s v="DNI"/>
    <n v="18858115"/>
    <n v="27188581159"/>
    <d v="1990-12-08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8"/>
    <x v="4"/>
    <m/>
    <s v="POSTPRODUCCIÓN"/>
    <s v="ADMINISTRATIVO"/>
    <s v="CABILDO 65"/>
    <s v="CABILDO 65"/>
    <x v="57"/>
    <s v="DNI"/>
    <n v="27952359"/>
    <s v="20279523599"/>
    <d v="1980-02-22T00:00:00"/>
    <m/>
    <m/>
    <m/>
    <m/>
    <s v="ASISTENCIA TÉCNICA"/>
    <x v="0"/>
    <d v="2011-09-01T00:00:00"/>
    <m/>
    <d v="2016-12-31T00:00:00"/>
    <m/>
    <s v="UNTREF"/>
    <m/>
    <n v="25252"/>
    <x v="38"/>
    <x v="3"/>
  </r>
  <r>
    <s v="SFMyCP"/>
    <x v="0"/>
    <x v="1"/>
    <x v="3"/>
    <x v="20"/>
    <x v="2"/>
    <m/>
    <m/>
    <m/>
    <s v="TECNÓPOLIS"/>
    <m/>
    <x v="58"/>
    <s v="DNI"/>
    <n v="35238261"/>
    <n v="20352382613"/>
    <m/>
    <m/>
    <m/>
    <m/>
    <m/>
    <s v="LEY MARCO"/>
    <x v="1"/>
    <d v="2013-05-01T00:00:00"/>
    <d v="2016-03-31T00:00:00"/>
    <d v="2016-12-31T00:00:00"/>
    <s v="C0"/>
    <m/>
    <m/>
    <n v="17074"/>
    <x v="43"/>
    <x v="5"/>
  </r>
  <r>
    <s v="SFMyCP"/>
    <x v="0"/>
    <x v="0"/>
    <x v="0"/>
    <x v="8"/>
    <x v="6"/>
    <m/>
    <s v="PROMOCIONES"/>
    <s v="ADMINISTRATIVO"/>
    <s v="CABILDO 65"/>
    <s v="CABILDO 65"/>
    <x v="59"/>
    <s v="DNI"/>
    <n v="26239126"/>
    <s v="23262391264"/>
    <d v="1977-09-24T00:00:00"/>
    <m/>
    <m/>
    <m/>
    <m/>
    <s v="ASISTENCIA TÉCNICA"/>
    <x v="0"/>
    <d v="2013-11-11T00:00:00"/>
    <m/>
    <d v="2016-12-31T00:00:00"/>
    <m/>
    <s v="UNTREF"/>
    <s v="UNSAM- LADA"/>
    <n v="19041"/>
    <x v="44"/>
    <x v="5"/>
  </r>
  <r>
    <s v="SFMyCP"/>
    <x v="1"/>
    <x v="0"/>
    <x v="5"/>
    <x v="17"/>
    <x v="12"/>
    <s v="AUTOMOTORES"/>
    <s v="CHOFER"/>
    <m/>
    <m/>
    <m/>
    <x v="60"/>
    <s v="DNI"/>
    <n v="28511778"/>
    <n v="20285117780"/>
    <m/>
    <m/>
    <m/>
    <m/>
    <m/>
    <s v="LEY MARCO"/>
    <x v="1"/>
    <d v="2014-12-01T00:00:00"/>
    <d v="2016-03-31T00:00:00"/>
    <d v="2016-12-31T00:00:00"/>
    <s v="D0"/>
    <m/>
    <m/>
    <n v="10190"/>
    <x v="45"/>
    <x v="5"/>
  </r>
  <r>
    <s v="SFMyCP"/>
    <x v="0"/>
    <x v="1"/>
    <x v="3"/>
    <x v="15"/>
    <x v="2"/>
    <m/>
    <m/>
    <s v="MANTENIMIENTO INTERNO"/>
    <s v="TECNÓPOLIS"/>
    <s v="TECNOPOLIS"/>
    <x v="61"/>
    <s v="DNI"/>
    <n v="11692335"/>
    <s v="20116923352"/>
    <d v="1955-08-02T00:00:00"/>
    <m/>
    <m/>
    <m/>
    <m/>
    <s v="ASISTENCIA TÉCNICA"/>
    <x v="0"/>
    <d v="2013-10-01T00:00:00"/>
    <m/>
    <d v="2016-12-31T00:00:00"/>
    <m/>
    <s v="UNTREF"/>
    <s v="UNTREF"/>
    <n v="12143.3"/>
    <x v="46"/>
    <x v="5"/>
  </r>
  <r>
    <s v="SFMyCP"/>
    <x v="0"/>
    <x v="1"/>
    <x v="1"/>
    <x v="5"/>
    <x v="3"/>
    <s v="LOGISTICA OPERATIVA"/>
    <s v="Asistente"/>
    <s v="OPERATIVA Y LOGISTICA"/>
    <s v="CCK"/>
    <s v="CCK - Alem 351"/>
    <x v="62"/>
    <s v="DNI"/>
    <n v="30020464"/>
    <s v="20300204644"/>
    <d v="1983-03-06T00:00:00"/>
    <m/>
    <m/>
    <m/>
    <m/>
    <s v="ASISTENCIA TÉCNICA"/>
    <x v="0"/>
    <d v="2015-06-10T00:00:00"/>
    <m/>
    <d v="2016-12-31T00:00:00"/>
    <m/>
    <s v="UNTREF"/>
    <s v="UNTREF"/>
    <n v="12000"/>
    <x v="5"/>
    <x v="10"/>
  </r>
  <r>
    <s v="SFMyCP"/>
    <x v="0"/>
    <x v="1"/>
    <x v="3"/>
    <x v="3"/>
    <x v="2"/>
    <m/>
    <m/>
    <s v="ENCARGADO DE LIMPIEZA"/>
    <s v="TECNÓPOLIS"/>
    <s v="TECNOPOLIS"/>
    <x v="63"/>
    <s v="DNI"/>
    <n v="26674300"/>
    <s v="23266743009"/>
    <d v="1978-07-03T00:00:00"/>
    <m/>
    <m/>
    <m/>
    <m/>
    <s v="ASISTENCIA TÉCNICA"/>
    <x v="0"/>
    <d v="2014-06-01T00:00:00"/>
    <m/>
    <d v="2016-12-31T00:00:00"/>
    <m/>
    <s v="UNTREF"/>
    <s v="UNTREF"/>
    <n v="9995.51"/>
    <x v="19"/>
    <x v="5"/>
  </r>
  <r>
    <s v="SFMyCP"/>
    <x v="0"/>
    <x v="1"/>
    <x v="1"/>
    <x v="5"/>
    <x v="13"/>
    <s v="LOGISTICA OPERATIVA"/>
    <s v="Tecnomecánica"/>
    <s v="Tecnomecánica"/>
    <s v="CCK"/>
    <s v="CCK - Alem 351"/>
    <x v="64"/>
    <s v="DNI"/>
    <n v="37900747"/>
    <s v="20379007474"/>
    <d v="1994-11-17T00:00:00"/>
    <m/>
    <m/>
    <m/>
    <m/>
    <s v="ASISTENCIA TÉCNICA"/>
    <x v="0"/>
    <d v="2015-06-01T00:00:00"/>
    <m/>
    <d v="2016-12-31T00:00:00"/>
    <m/>
    <s v="UNTREF"/>
    <s v="UNLAM- BICENTENARIO"/>
    <n v="10166"/>
    <x v="5"/>
    <x v="7"/>
  </r>
  <r>
    <s v="SFMyCP"/>
    <x v="0"/>
    <x v="1"/>
    <x v="3"/>
    <x v="19"/>
    <x v="2"/>
    <m/>
    <s v="RECEPCIONISTA"/>
    <s v="RECEPCION IBC"/>
    <s v="TECNÓPOLIS"/>
    <m/>
    <x v="65"/>
    <s v="DNI"/>
    <n v="17999601"/>
    <n v="23179996014"/>
    <m/>
    <m/>
    <m/>
    <m/>
    <m/>
    <s v="LEY MARCO"/>
    <x v="1"/>
    <d v="2013-04-30T00:00:00"/>
    <d v="2016-03-31T00:00:00"/>
    <d v="2016-12-31T00:00:00"/>
    <s v="B3"/>
    <m/>
    <m/>
    <n v="20839.14"/>
    <x v="47"/>
    <x v="5"/>
  </r>
  <r>
    <s v="SFMyCP"/>
    <x v="0"/>
    <x v="0"/>
    <x v="4"/>
    <x v="2"/>
    <x v="2"/>
    <m/>
    <s v="PRIVADA"/>
    <s v="ADMINISTRATIVO"/>
    <m/>
    <s v="CCK - Alem 351"/>
    <x v="66"/>
    <s v="DNI"/>
    <n v="17787833"/>
    <n v="27177878338"/>
    <d v="1966-11-22T00:00:00"/>
    <m/>
    <m/>
    <m/>
    <m/>
    <s v="ASISTENCIA TÉCNICA"/>
    <x v="0"/>
    <d v="2016-01-01T00:00:00"/>
    <m/>
    <d v="2016-12-31T00:00:00"/>
    <m/>
    <s v="UNTREF"/>
    <m/>
    <n v="25000"/>
    <x v="48"/>
    <x v="11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x v="67"/>
    <s v="DNI"/>
    <n v="24290240"/>
    <s v="27242902403"/>
    <d v="1975-01-17T00:00:00"/>
    <m/>
    <m/>
    <m/>
    <m/>
    <s v="ASISTENCIA TÉCNICA"/>
    <x v="0"/>
    <d v="2012-02-01T00:00:00"/>
    <m/>
    <d v="2016-12-31T00:00:00"/>
    <m/>
    <s v="UNTREF"/>
    <s v="UNTREF"/>
    <n v="11449.4"/>
    <x v="8"/>
    <x v="5"/>
  </r>
  <r>
    <s v="SFMyCP"/>
    <x v="1"/>
    <x v="0"/>
    <x v="5"/>
    <x v="25"/>
    <x v="2"/>
    <m/>
    <s v="Asistente"/>
    <s v="ADMINISTRATIVO"/>
    <s v="CCK"/>
    <s v="CCK - Alem 351"/>
    <x v="68"/>
    <s v="DNI"/>
    <n v="31832610"/>
    <s v="27318326105"/>
    <d v="1985-08-01T00:00:00"/>
    <m/>
    <m/>
    <m/>
    <m/>
    <s v="ASISTENCIA TÉCNICA"/>
    <x v="0"/>
    <d v="2015-07-01T00:00:00"/>
    <m/>
    <d v="2016-12-31T00:00:00"/>
    <m/>
    <s v="UNTREF"/>
    <s v="UNLAM -TDA"/>
    <n v="11721"/>
    <x v="49"/>
    <x v="10"/>
  </r>
  <r>
    <s v="SFMyCP"/>
    <x v="1"/>
    <x v="0"/>
    <x v="2"/>
    <x v="2"/>
    <x v="2"/>
    <m/>
    <s v="PRIVADA"/>
    <s v="ADMINISTRATIVO"/>
    <m/>
    <s v="CCK - Alem 351"/>
    <x v="69"/>
    <s v="DNI"/>
    <n v="13501717"/>
    <s v="20135017176"/>
    <d v="1957-05-22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1"/>
    <x v="0"/>
    <x v="5"/>
    <x v="26"/>
    <x v="2"/>
    <m/>
    <s v="CCK"/>
    <m/>
    <m/>
    <m/>
    <x v="70"/>
    <s v="DNI"/>
    <n v="33787058"/>
    <n v="23337870589"/>
    <m/>
    <m/>
    <m/>
    <m/>
    <m/>
    <s v="LEY MARCO"/>
    <x v="1"/>
    <d v="2013-12-01T00:00:00"/>
    <m/>
    <d v="2016-12-31T00:00:00"/>
    <s v="C0"/>
    <m/>
    <m/>
    <n v="11730"/>
    <x v="51"/>
    <x v="5"/>
  </r>
  <r>
    <s v="SFMyCP"/>
    <x v="0"/>
    <x v="1"/>
    <x v="3"/>
    <x v="20"/>
    <x v="2"/>
    <m/>
    <m/>
    <m/>
    <s v="TECNÓPOLIS"/>
    <m/>
    <x v="71"/>
    <s v="DNI"/>
    <n v="30513038"/>
    <n v="27305130384"/>
    <m/>
    <m/>
    <m/>
    <m/>
    <m/>
    <s v="LEY MARCO"/>
    <x v="1"/>
    <d v="2011-07-01T00:00:00"/>
    <d v="2016-12-31T00:00:00"/>
    <d v="2016-12-31T00:00:00"/>
    <s v="D1"/>
    <m/>
    <m/>
    <n v="13896"/>
    <x v="52"/>
    <x v="5"/>
  </r>
  <r>
    <s v="SFMyCP"/>
    <x v="1"/>
    <x v="0"/>
    <x v="2"/>
    <x v="2"/>
    <x v="2"/>
    <m/>
    <s v="PRIVADA"/>
    <s v="ADMINISTRATIVO"/>
    <m/>
    <s v="CCK - Alem 351"/>
    <x v="72"/>
    <s v="DNI"/>
    <n v="6439250"/>
    <n v="27064392501"/>
    <d v="1950-07-19T00:00:00"/>
    <m/>
    <m/>
    <m/>
    <m/>
    <s v="ASISTENCIA TÉCNICA"/>
    <x v="0"/>
    <d v="2016-01-01T00:00:00"/>
    <m/>
    <d v="2016-12-31T00:00:00"/>
    <m/>
    <s v="UNTREF"/>
    <s v="UNSAM"/>
    <n v="27000"/>
    <x v="53"/>
    <x v="13"/>
  </r>
  <r>
    <s v="SFMyCP"/>
    <x v="0"/>
    <x v="1"/>
    <x v="3"/>
    <x v="23"/>
    <x v="2"/>
    <m/>
    <m/>
    <s v="SUPERVISION DE REDES DE AGUA/ATENCION DEL RESERVORIO"/>
    <s v="TECNÓPOLIS"/>
    <s v="TECNOPOLIS"/>
    <x v="73"/>
    <s v="DNI"/>
    <n v="11330261"/>
    <n v="20113302616"/>
    <d v="1954-10-13T00:00:00"/>
    <m/>
    <m/>
    <m/>
    <m/>
    <s v="ASISTENCIA TÉCNICA"/>
    <x v="0"/>
    <d v="2012-04-01T00:00:00"/>
    <m/>
    <d v="2016-12-31T00:00:00"/>
    <m/>
    <s v="UNTREF"/>
    <s v="UNTREF"/>
    <n v="26021.360000000001"/>
    <x v="54"/>
    <x v="5"/>
  </r>
  <r>
    <s v="SFMyCP"/>
    <x v="0"/>
    <x v="1"/>
    <x v="3"/>
    <x v="27"/>
    <x v="2"/>
    <m/>
    <m/>
    <m/>
    <s v="TECNÓPOLIS"/>
    <m/>
    <x v="74"/>
    <s v="DNI"/>
    <n v="18114083"/>
    <n v="20181140837"/>
    <m/>
    <m/>
    <m/>
    <m/>
    <m/>
    <s v="LEY MARCO"/>
    <x v="1"/>
    <d v="2013-02-01T00:00:00"/>
    <d v="2016-03-31T00:00:00"/>
    <d v="2016-12-31T00:00:00"/>
    <s v="C0"/>
    <m/>
    <m/>
    <n v="29784"/>
    <x v="55"/>
    <x v="5"/>
  </r>
  <r>
    <s v="SFMyCP"/>
    <x v="0"/>
    <x v="1"/>
    <x v="3"/>
    <x v="6"/>
    <x v="2"/>
    <m/>
    <m/>
    <s v="TRASLADOS/CARGA Y DESCARGA"/>
    <s v="TECNÓPOLIS"/>
    <s v="TECNOPOLIS"/>
    <x v="75"/>
    <s v="DNI"/>
    <n v="34334182"/>
    <s v="20343341823"/>
    <d v="1989-03-12T00:00:00"/>
    <m/>
    <m/>
    <m/>
    <m/>
    <s v="ASISTENCIA TÉCNICA"/>
    <x v="0"/>
    <d v="2013-09-01T00:00:00"/>
    <m/>
    <d v="2016-12-31T00:00:00"/>
    <m/>
    <s v="UNTREF"/>
    <s v="UNTREF"/>
    <n v="9995.51"/>
    <x v="19"/>
    <x v="5"/>
  </r>
  <r>
    <s v="SFMyCP"/>
    <x v="0"/>
    <x v="1"/>
    <x v="3"/>
    <x v="24"/>
    <x v="2"/>
    <m/>
    <s v="Tareas Generales"/>
    <s v="TAREAS EN GENERAL TALLER CARPINTERIA/HERRERÍA/TEXTIL"/>
    <s v="TECNÓPOLIS"/>
    <m/>
    <x v="76"/>
    <s v="DNI"/>
    <n v="29229482"/>
    <n v="23292294824"/>
    <d v="1982-03-01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1"/>
    <x v="3"/>
    <x v="28"/>
    <x v="2"/>
    <m/>
    <m/>
    <m/>
    <s v="TECNÓPOLIS"/>
    <m/>
    <x v="77"/>
    <s v="DNI"/>
    <n v="31257034"/>
    <n v="20312570344"/>
    <m/>
    <m/>
    <m/>
    <m/>
    <m/>
    <s v="LEY MARCO"/>
    <x v="1"/>
    <d v="2011-06-01T00:00:00"/>
    <d v="2016-12-31T00:00:00"/>
    <d v="2016-12-31T00:00:00"/>
    <s v="C0"/>
    <m/>
    <m/>
    <n v="21162"/>
    <x v="56"/>
    <x v="5"/>
  </r>
  <r>
    <s v="SFMyCP"/>
    <x v="0"/>
    <x v="1"/>
    <x v="1"/>
    <x v="10"/>
    <x v="2"/>
    <m/>
    <s v="PRIVADA"/>
    <s v="ADMINISTRATIVA"/>
    <s v="CCK"/>
    <s v="CCK - Alem 351"/>
    <x v="78"/>
    <s v="DNI"/>
    <n v="21710251"/>
    <s v="27217102516"/>
    <d v="1970-06-21T00:00:00"/>
    <m/>
    <m/>
    <m/>
    <m/>
    <s v="ASISTENCIA TÉCNICA"/>
    <x v="0"/>
    <d v="2016-02-01T00:00:00"/>
    <m/>
    <d v="2016-12-31T00:00:00"/>
    <m/>
    <s v="UNTREF"/>
    <s v="UNSAM"/>
    <n v="11500"/>
    <x v="57"/>
    <x v="14"/>
  </r>
  <r>
    <s v="SFMyCP"/>
    <x v="0"/>
    <x v="0"/>
    <x v="0"/>
    <x v="8"/>
    <x v="6"/>
    <m/>
    <s v="ACUA MAYOR"/>
    <s v="ADMINISTRATIVO"/>
    <s v="CABILDO 65"/>
    <s v="CABILDO 65"/>
    <x v="79"/>
    <s v="DNI"/>
    <n v="22849417"/>
    <s v="27228494173"/>
    <d v="1972-08-30T00:00:00"/>
    <m/>
    <m/>
    <m/>
    <m/>
    <s v="ASISTENCIA TÉCNICA"/>
    <x v="0"/>
    <d v="2011-03-11T00:00:00"/>
    <m/>
    <d v="2016-12-31T00:00:00"/>
    <m/>
    <s v="UNTREF"/>
    <s v="UNSAM- LADA"/>
    <n v="22151"/>
    <x v="58"/>
    <x v="5"/>
  </r>
  <r>
    <s v="SFMyCP"/>
    <x v="0"/>
    <x v="0"/>
    <x v="6"/>
    <x v="12"/>
    <x v="2"/>
    <m/>
    <m/>
    <m/>
    <m/>
    <m/>
    <x v="80"/>
    <s v="DNI"/>
    <m/>
    <m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1"/>
    <s v="DNI"/>
    <n v="33362851"/>
    <n v="27333628517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2"/>
    <s v="DNI"/>
    <n v="37869364"/>
    <n v="27378693646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3"/>
    <s v="DNI"/>
    <n v="36947998"/>
    <n v="27369479984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4"/>
    <s v="DNI"/>
    <n v="38011494"/>
    <n v="27380114947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5"/>
    <s v="DNI"/>
    <n v="34332288"/>
    <n v="27343322882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6"/>
    <s v="DNI"/>
    <n v="36785043"/>
    <n v="36785043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7"/>
    <s v="DNI"/>
    <n v="33623466"/>
    <n v="33623466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8"/>
    <s v="DNI"/>
    <n v="34021830"/>
    <n v="27340218308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89"/>
    <s v="DNI"/>
    <n v="18833698"/>
    <n v="20188336982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90"/>
    <s v="DNI"/>
    <n v="36529503"/>
    <n v="23365295034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91"/>
    <s v="DNI"/>
    <n v="39098292"/>
    <n v="39098292"/>
    <m/>
    <m/>
    <m/>
    <m/>
    <m/>
    <s v="ASISTENCIA TÉCNICA"/>
    <x v="0"/>
    <d v="2016-08-01T00:00:00"/>
    <m/>
    <d v="2016-12-31T00:00:00"/>
    <m/>
    <m/>
    <m/>
    <m/>
    <x v="18"/>
    <x v="3"/>
  </r>
  <r>
    <s v="SFMyCP"/>
    <x v="0"/>
    <x v="0"/>
    <x v="6"/>
    <x v="12"/>
    <x v="2"/>
    <m/>
    <m/>
    <m/>
    <m/>
    <m/>
    <x v="92"/>
    <s v="DNI"/>
    <n v="1826888"/>
    <n v="23018268884"/>
    <m/>
    <m/>
    <m/>
    <m/>
    <m/>
    <m/>
    <x v="0"/>
    <d v="2016-07-01T00:00:00"/>
    <m/>
    <d v="2016-09-30T00:00:00"/>
    <m/>
    <s v="UNTREF"/>
    <m/>
    <m/>
    <x v="18"/>
    <x v="3"/>
  </r>
  <r>
    <s v="SFMyCP"/>
    <x v="0"/>
    <x v="1"/>
    <x v="3"/>
    <x v="24"/>
    <x v="2"/>
    <m/>
    <s v="Tareas Generales"/>
    <s v="Tareas Generales"/>
    <m/>
    <m/>
    <x v="93"/>
    <s v="DNI"/>
    <n v="24671609"/>
    <m/>
    <m/>
    <m/>
    <m/>
    <m/>
    <m/>
    <m/>
    <x v="2"/>
    <m/>
    <m/>
    <d v="2016-12-31T00:00:00"/>
    <m/>
    <m/>
    <m/>
    <m/>
    <x v="18"/>
    <x v="3"/>
  </r>
  <r>
    <s v="SFMyCP"/>
    <x v="0"/>
    <x v="1"/>
    <x v="7"/>
    <x v="2"/>
    <x v="2"/>
    <m/>
    <s v="PRIVADA"/>
    <s v="ADMINISTRATIVO"/>
    <m/>
    <s v="CCK - Alem 351"/>
    <x v="94"/>
    <s v="DNI"/>
    <n v="32771136"/>
    <n v="27327711364"/>
    <d v="1986-10-28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1"/>
    <x v="0"/>
    <x v="5"/>
    <x v="18"/>
    <x v="2"/>
    <m/>
    <m/>
    <s v="Asistencia Juridica"/>
    <s v="CCK"/>
    <s v="CCK - Alem 351"/>
    <x v="95"/>
    <s v="DNI"/>
    <n v="34253913"/>
    <s v="20342539131"/>
    <d v="1988-12-02T00:00:00"/>
    <m/>
    <m/>
    <m/>
    <m/>
    <s v="ASISTENCIA TÉCNICA"/>
    <x v="0"/>
    <d v="2013-08-12T00:00:00"/>
    <m/>
    <d v="2016-12-31T00:00:00"/>
    <m/>
    <s v="UNTREF"/>
    <s v="UNLAM- TDA"/>
    <n v="9479"/>
    <x v="5"/>
    <x v="10"/>
  </r>
  <r>
    <s v="SFMyCP"/>
    <x v="0"/>
    <x v="1"/>
    <x v="1"/>
    <x v="10"/>
    <x v="2"/>
    <m/>
    <s v="Productora"/>
    <m/>
    <s v="CCK"/>
    <m/>
    <x v="96"/>
    <s v="DNI"/>
    <n v="29315234"/>
    <n v="27293152344"/>
    <m/>
    <m/>
    <m/>
    <m/>
    <m/>
    <s v="LEY MARCO"/>
    <x v="1"/>
    <d v="2015-08-01T00:00:00"/>
    <d v="2016-03-31T00:00:00"/>
    <d v="2016-12-31T00:00:00"/>
    <s v="C0"/>
    <m/>
    <m/>
    <n v="12003"/>
    <x v="59"/>
    <x v="5"/>
  </r>
  <r>
    <s v="SFMyCP"/>
    <x v="0"/>
    <x v="1"/>
    <x v="3"/>
    <x v="2"/>
    <x v="2"/>
    <m/>
    <m/>
    <s v="MANTENIMIENTO DE ESPACIOS VERDES"/>
    <m/>
    <s v="TECNOPOLIS"/>
    <x v="97"/>
    <s v="DNI"/>
    <n v="37686108"/>
    <s v="20376861083"/>
    <d v="1991-01-31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m/>
    <s v="CONTENIDOS DIGITALES ABIERTOS CDA"/>
    <s v="ADMINISTRATIVO"/>
    <s v="CABILDO 65"/>
    <s v="CABILDO 65"/>
    <x v="98"/>
    <s v="DNI"/>
    <n v="32244163"/>
    <s v="20322441631"/>
    <d v="1986-02-21T00:00:00"/>
    <m/>
    <m/>
    <m/>
    <m/>
    <s v="ASISTENCIA TÉCNICA"/>
    <x v="0"/>
    <d v="2012-05-01T00:00:00"/>
    <m/>
    <d v="2016-12-31T00:00:00"/>
    <m/>
    <s v="UNTREF"/>
    <s v="UNSAM- LADA"/>
    <n v="29420"/>
    <x v="60"/>
    <x v="5"/>
  </r>
  <r>
    <s v="SFMyCP"/>
    <x v="0"/>
    <x v="1"/>
    <x v="1"/>
    <x v="14"/>
    <x v="2"/>
    <m/>
    <m/>
    <m/>
    <s v="CCK"/>
    <s v="CCK - Alem 351"/>
    <x v="99"/>
    <s v="DNI"/>
    <n v="29146267"/>
    <n v="20291462678"/>
    <m/>
    <m/>
    <m/>
    <m/>
    <m/>
    <s v="LEY MARCO"/>
    <x v="1"/>
    <d v="2012-06-01T00:00:00"/>
    <d v="2016-12-31T00:00:00"/>
    <d v="2016-12-31T00:00:00"/>
    <s v="C0"/>
    <m/>
    <m/>
    <n v="21133.05"/>
    <x v="61"/>
    <x v="5"/>
  </r>
  <r>
    <s v="SFMyCP"/>
    <x v="1"/>
    <x v="0"/>
    <x v="2"/>
    <x v="2"/>
    <x v="2"/>
    <m/>
    <s v="PRIVADA"/>
    <s v="ADMINISTRATIVO"/>
    <m/>
    <s v="CCK - Alem 351"/>
    <x v="100"/>
    <s v="DNI"/>
    <n v="17944793"/>
    <n v="20179447939"/>
    <d v="1966-09-05T00:00:00"/>
    <m/>
    <m/>
    <m/>
    <m/>
    <s v="ASISTENCIA TÉCNICA"/>
    <x v="0"/>
    <d v="2016-01-01T00:00:00"/>
    <m/>
    <d v="2016-12-31T00:00:00"/>
    <m/>
    <s v="UNTREF"/>
    <s v="UNSAM"/>
    <n v="12275"/>
    <x v="62"/>
    <x v="15"/>
  </r>
  <r>
    <s v="SFMyCP"/>
    <x v="0"/>
    <x v="1"/>
    <x v="1"/>
    <x v="16"/>
    <x v="2"/>
    <m/>
    <s v="asistente funcional"/>
    <s v="asistente funcional"/>
    <s v="CCK"/>
    <s v="CCK - Alem 351"/>
    <x v="101"/>
    <s v="DNI"/>
    <n v="32143655"/>
    <n v="20321436553"/>
    <d v="1986-03-01T00:00:00"/>
    <m/>
    <m/>
    <m/>
    <m/>
    <s v="ASISTENCIA TÉCNICA"/>
    <x v="0"/>
    <d v="2015-08-01T00:00:00"/>
    <m/>
    <d v="2016-12-31T00:00:00"/>
    <m/>
    <s v="UNTREF"/>
    <s v="UNLAM- BICENTENARIO"/>
    <n v="10478"/>
    <x v="5"/>
    <x v="9"/>
  </r>
  <r>
    <s v="SFMyCP"/>
    <x v="0"/>
    <x v="1"/>
    <x v="3"/>
    <x v="15"/>
    <x v="2"/>
    <m/>
    <m/>
    <s v="TRABAJO DE COSTURA A MAQUINA/CORTADOR"/>
    <s v="TECNÓPOLIS"/>
    <s v="TECNOPOLIS"/>
    <x v="102"/>
    <s v="DNI"/>
    <n v="17283320"/>
    <s v="23172833209"/>
    <d v="1964-10-28T00:00:00"/>
    <m/>
    <m/>
    <m/>
    <m/>
    <s v="ASISTENCIA TÉCNICA"/>
    <x v="0"/>
    <d v="2014-07-01T00:00:00"/>
    <m/>
    <d v="2016-12-31T00:00:00"/>
    <m/>
    <s v="UNTREF"/>
    <s v="UNTREF"/>
    <n v="11449.4"/>
    <x v="8"/>
    <x v="5"/>
  </r>
  <r>
    <s v="SFMyCP"/>
    <x v="0"/>
    <x v="1"/>
    <x v="3"/>
    <x v="3"/>
    <x v="2"/>
    <m/>
    <m/>
    <s v="COORDINADOR GENERAL DE LIMPIEZA"/>
    <s v="TECNÓPOLIS"/>
    <s v="TECNOPOLIS"/>
    <x v="103"/>
    <s v="DNI"/>
    <n v="22694967"/>
    <s v="20226949675"/>
    <d v="1972-07-08T00:00:00"/>
    <m/>
    <m/>
    <m/>
    <m/>
    <s v="ASISTENCIA TÉCNICA"/>
    <x v="0"/>
    <d v="2012-02-01T00:00:00"/>
    <m/>
    <d v="2016-12-31T00:00:00"/>
    <m/>
    <s v="UNTREF"/>
    <s v="UNTREF"/>
    <n v="18735.38"/>
    <x v="63"/>
    <x v="5"/>
  </r>
  <r>
    <s v="SFMyCP"/>
    <x v="1"/>
    <x v="0"/>
    <x v="5"/>
    <x v="25"/>
    <x v="2"/>
    <m/>
    <s v="Asistente"/>
    <s v="ADMINISTRATIVO"/>
    <s v="CCK"/>
    <s v="CCK - Alem 351"/>
    <x v="104"/>
    <s v="DNI"/>
    <n v="33794129"/>
    <s v="20337941290"/>
    <d v="1988-08-02T00:00:00"/>
    <m/>
    <m/>
    <m/>
    <m/>
    <s v="ASISTENCIA TÉCNICA"/>
    <x v="0"/>
    <d v="2015-03-03T00:00:00"/>
    <m/>
    <d v="2016-12-31T00:00:00"/>
    <m/>
    <s v="UNTREF"/>
    <s v="UNLAM -TDA"/>
    <n v="17105"/>
    <x v="64"/>
    <x v="16"/>
  </r>
  <r>
    <s v="SFMyCP"/>
    <x v="0"/>
    <x v="0"/>
    <x v="0"/>
    <x v="2"/>
    <x v="2"/>
    <m/>
    <s v="PRIVADA"/>
    <s v="ADMINISTRATIVO"/>
    <m/>
    <s v="CCK - Alem 351"/>
    <x v="105"/>
    <s v="DNI"/>
    <n v="16447164"/>
    <s v="27164471646"/>
    <d v="1964-01-03T00:00:00"/>
    <m/>
    <m/>
    <m/>
    <m/>
    <s v="ASISTENCIA TÉCNICA"/>
    <x v="0"/>
    <d v="2016-04-01T00:00:00"/>
    <m/>
    <d v="2016-12-31T00:00:00"/>
    <m/>
    <s v="UNTREF"/>
    <m/>
    <n v="24000"/>
    <x v="65"/>
    <x v="17"/>
  </r>
  <r>
    <s v="SFMyCP"/>
    <x v="0"/>
    <x v="1"/>
    <x v="1"/>
    <x v="10"/>
    <x v="2"/>
    <m/>
    <m/>
    <s v="ADMINISTRATIVA"/>
    <m/>
    <s v="CCK - Alem 351"/>
    <x v="106"/>
    <s v="DNI"/>
    <n v="12759584"/>
    <n v="23127595844"/>
    <d v="1959-02-13T00:00:00"/>
    <m/>
    <m/>
    <m/>
    <m/>
    <s v="ASISTENCIA TÉCNICA"/>
    <x v="0"/>
    <d v="2016-04-01T00:00:00"/>
    <m/>
    <d v="2016-12-31T00:00:00"/>
    <m/>
    <s v="UNTREF"/>
    <m/>
    <s v="."/>
    <x v="14"/>
    <x v="3"/>
  </r>
  <r>
    <s v="SFMyCP"/>
    <x v="0"/>
    <x v="0"/>
    <x v="0"/>
    <x v="8"/>
    <x v="6"/>
    <m/>
    <s v="ACUA FEDERAL"/>
    <s v="ADMINISTRATIVO"/>
    <s v="CABILDO 65"/>
    <s v="CABILDO 65"/>
    <x v="107"/>
    <s v="DNI"/>
    <n v="33219975"/>
    <s v="20332199758"/>
    <d v="1987-11-17T00:00:00"/>
    <m/>
    <m/>
    <m/>
    <m/>
    <s v="ASISTENCIA TÉCNICA"/>
    <x v="0"/>
    <d v="2014-09-08T00:00:00"/>
    <m/>
    <d v="2016-12-31T00:00:00"/>
    <m/>
    <s v="UNTREF"/>
    <s v="UNSAM- LADA"/>
    <n v="21056"/>
    <x v="66"/>
    <x v="5"/>
  </r>
  <r>
    <s v="SFMyCP"/>
    <x v="0"/>
    <x v="1"/>
    <x v="3"/>
    <x v="4"/>
    <x v="2"/>
    <m/>
    <s v="COCINA"/>
    <m/>
    <s v="TECNÓPOLIS"/>
    <m/>
    <x v="108"/>
    <s v="DNI"/>
    <n v="95120832"/>
    <n v="23951208329"/>
    <m/>
    <m/>
    <m/>
    <m/>
    <m/>
    <s v="LEY MARCO"/>
    <x v="1"/>
    <d v="2013-04-01T00:00:00"/>
    <d v="2016-03-31T00:00:00"/>
    <d v="2016-12-31T00:00:00"/>
    <s v="C1"/>
    <m/>
    <m/>
    <n v="22409"/>
    <x v="67"/>
    <x v="5"/>
  </r>
  <r>
    <s v="SFMyCP"/>
    <x v="0"/>
    <x v="0"/>
    <x v="0"/>
    <x v="8"/>
    <x v="6"/>
    <m/>
    <s v="PROGRAMA POLOS AUDIOVISUALES TECNOLÓGICOS"/>
    <m/>
    <s v="CABILDO 65"/>
    <m/>
    <x v="109"/>
    <s v="DNI"/>
    <n v="23328471"/>
    <n v="27233284713"/>
    <m/>
    <m/>
    <m/>
    <m/>
    <m/>
    <s v="LEY MARCO"/>
    <x v="1"/>
    <d v="2013-12-01T00:00:00"/>
    <d v="2016-03-31T00:00:00"/>
    <d v="2016-12-31T00:00:00"/>
    <s v="B1"/>
    <m/>
    <m/>
    <n v="20266"/>
    <x v="24"/>
    <x v="5"/>
  </r>
  <r>
    <s v="SFMyCP"/>
    <x v="0"/>
    <x v="0"/>
    <x v="0"/>
    <x v="8"/>
    <x v="6"/>
    <m/>
    <s v="PANORAMA ARGENTINO"/>
    <m/>
    <s v="CABILDO 65"/>
    <m/>
    <x v="110"/>
    <s v="DNI"/>
    <n v="27026871"/>
    <n v="20270268715"/>
    <m/>
    <m/>
    <m/>
    <m/>
    <m/>
    <s v="LEY MARCO"/>
    <x v="1"/>
    <d v="2012-12-01T00:00:00"/>
    <d v="2016-12-31T00:00:00"/>
    <d v="2016-12-31T00:00:00"/>
    <s v="B1"/>
    <m/>
    <m/>
    <n v="17505"/>
    <x v="68"/>
    <x v="5"/>
  </r>
  <r>
    <s v="SFMyCP"/>
    <x v="0"/>
    <x v="1"/>
    <x v="1"/>
    <x v="16"/>
    <x v="2"/>
    <m/>
    <m/>
    <m/>
    <m/>
    <m/>
    <x v="111"/>
    <s v="DNI"/>
    <n v="29699158"/>
    <n v="27296991584"/>
    <m/>
    <m/>
    <m/>
    <m/>
    <m/>
    <s v="LEY MARCO"/>
    <x v="1"/>
    <d v="2010-07-19T00:00:00"/>
    <d v="2016-12-31T00:00:00"/>
    <d v="2016-12-31T00:00:00"/>
    <s v="C1"/>
    <m/>
    <m/>
    <n v="11730"/>
    <x v="51"/>
    <x v="5"/>
  </r>
  <r>
    <s v="SFMyCP"/>
    <x v="0"/>
    <x v="0"/>
    <x v="0"/>
    <x v="8"/>
    <x v="6"/>
    <m/>
    <s v="PROGRAMA POLOS AUDIOVISUALES TECNOLÓGICOS"/>
    <s v="ADMINISTRATIVO"/>
    <s v="CABILDO 65"/>
    <s v="CABILDO 65"/>
    <x v="112"/>
    <s v="DNI"/>
    <n v="32498204"/>
    <s v="27324982049"/>
    <d v="1986-08-05T00:00:00"/>
    <m/>
    <m/>
    <m/>
    <m/>
    <s v="ASISTENCIA TÉCNICA"/>
    <x v="0"/>
    <d v="2015-02-12T00:00:00"/>
    <m/>
    <d v="2016-12-31T00:00:00"/>
    <m/>
    <s v="UNTREF"/>
    <s v="UNSAM- LADA"/>
    <n v="15933"/>
    <x v="69"/>
    <x v="5"/>
  </r>
  <r>
    <s v="SFMyCP"/>
    <x v="0"/>
    <x v="1"/>
    <x v="1"/>
    <x v="16"/>
    <x v="11"/>
    <m/>
    <m/>
    <s v="VISITAS GUIADAS"/>
    <m/>
    <s v="CCK - Alem 351"/>
    <x v="113"/>
    <s v="DNI"/>
    <n v="40149217"/>
    <n v="27401492173"/>
    <d v="1997-01-15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1"/>
    <x v="5"/>
    <x v="8"/>
    <m/>
    <m/>
    <m/>
    <s v="CCK"/>
    <m/>
    <x v="114"/>
    <s v="DNI"/>
    <n v="27841036"/>
    <n v="20278410367"/>
    <m/>
    <m/>
    <m/>
    <m/>
    <m/>
    <s v="LEY MARCO"/>
    <x v="1"/>
    <d v="2010-08-02T00:00:00"/>
    <d v="2016-12-31T00:00:00"/>
    <d v="2016-12-31T00:00:00"/>
    <s v="C1"/>
    <m/>
    <m/>
    <n v="13500"/>
    <x v="49"/>
    <x v="5"/>
  </r>
  <r>
    <s v="SFMyCP"/>
    <x v="0"/>
    <x v="0"/>
    <x v="8"/>
    <x v="1"/>
    <x v="2"/>
    <m/>
    <m/>
    <s v="ADMINISTRATIVO"/>
    <m/>
    <s v="CCK - Alem 351"/>
    <x v="115"/>
    <s v="DNI"/>
    <n v="31464790"/>
    <n v="23314647904"/>
    <d v="1985-02-13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20"/>
    <x v="2"/>
    <m/>
    <m/>
    <m/>
    <s v="TECNÓPOLIS"/>
    <m/>
    <x v="116"/>
    <s v="DNI"/>
    <n v="32094923"/>
    <n v="20320949239"/>
    <m/>
    <m/>
    <m/>
    <m/>
    <m/>
    <s v="LEY MARCO"/>
    <x v="1"/>
    <d v="2011-07-01T00:00:00"/>
    <d v="2016-12-31T00:00:00"/>
    <d v="2016-12-31T00:00:00"/>
    <s v="D0"/>
    <m/>
    <m/>
    <n v="13240.15"/>
    <x v="70"/>
    <x v="5"/>
  </r>
  <r>
    <s v="SFMyCP"/>
    <x v="0"/>
    <x v="0"/>
    <x v="0"/>
    <x v="8"/>
    <x v="6"/>
    <m/>
    <s v="COORDINACION"/>
    <m/>
    <s v="CABILDO 65"/>
    <m/>
    <x v="117"/>
    <s v="DNI"/>
    <n v="31407283"/>
    <n v="23314072839"/>
    <m/>
    <m/>
    <m/>
    <m/>
    <m/>
    <s v="LEY MARCO"/>
    <x v="1"/>
    <d v="2012-12-01T00:00:00"/>
    <d v="2016-12-31T00:00:00"/>
    <d v="2016-12-31T00:00:00"/>
    <s v="A0"/>
    <m/>
    <m/>
    <n v="25093"/>
    <x v="71"/>
    <x v="5"/>
  </r>
  <r>
    <s v="SFMyCP"/>
    <x v="0"/>
    <x v="1"/>
    <x v="1"/>
    <x v="5"/>
    <x v="14"/>
    <s v="ACCESO ALEM"/>
    <s v="Asistente"/>
    <s v="Asistente"/>
    <s v="CCK"/>
    <s v="CCK - Alem 351"/>
    <x v="118"/>
    <s v="DNI"/>
    <n v="37376814"/>
    <s v="27373768141"/>
    <d v="1993-03-29T00:00:00"/>
    <m/>
    <m/>
    <m/>
    <m/>
    <s v="ASISTENCIA TÉCNICA"/>
    <x v="0"/>
    <d v="2015-08-01T00:00:00"/>
    <m/>
    <d v="2016-12-31T00:00:00"/>
    <m/>
    <s v="UNTREF"/>
    <s v="UNLAM- BICENTENARIO"/>
    <n v="10096"/>
    <x v="5"/>
    <x v="4"/>
  </r>
  <r>
    <s v="SFMyCP"/>
    <x v="0"/>
    <x v="1"/>
    <x v="3"/>
    <x v="27"/>
    <x v="2"/>
    <m/>
    <m/>
    <s v="OPERACIÓN/MONTAJE/MANTENIMIENTO"/>
    <s v="TECNÓPOLIS"/>
    <s v="TECNOPOLIS"/>
    <x v="119"/>
    <s v="DNI"/>
    <n v="27766980"/>
    <s v="20277669804"/>
    <d v="1980-02-22T00:00:00"/>
    <m/>
    <m/>
    <m/>
    <m/>
    <s v="ASISTENCIA TÉCNICA"/>
    <x v="0"/>
    <d v="2013-04-01T00:00:00"/>
    <m/>
    <d v="2016-12-31T00:00:00"/>
    <m/>
    <s v="UNTREF"/>
    <s v="UNTREF"/>
    <n v="20907.810000000001"/>
    <x v="72"/>
    <x v="5"/>
  </r>
  <r>
    <s v="SFMyCP"/>
    <x v="0"/>
    <x v="0"/>
    <x v="0"/>
    <x v="8"/>
    <x v="6"/>
    <m/>
    <s v="POSTPRODUCCIÓN"/>
    <s v="EDICION"/>
    <s v="CABILDO 65"/>
    <s v="CABILDO 65"/>
    <x v="120"/>
    <s v="DNI"/>
    <n v="30219051"/>
    <s v="20302190519"/>
    <d v="1983-03-16T00:00:00"/>
    <m/>
    <m/>
    <m/>
    <m/>
    <s v="ASISTENCIA TÉCNICA"/>
    <x v="0"/>
    <d v="2013-11-01T00:00:00"/>
    <m/>
    <d v="2016-12-31T00:00:00"/>
    <m/>
    <s v="UNTREF"/>
    <m/>
    <n v="24060"/>
    <x v="73"/>
    <x v="3"/>
  </r>
  <r>
    <s v="SFMyCP"/>
    <x v="0"/>
    <x v="1"/>
    <x v="7"/>
    <x v="2"/>
    <x v="2"/>
    <m/>
    <s v="PRIVADA"/>
    <s v="ADMINISTRATIVO"/>
    <m/>
    <s v="CCK - Alem 351"/>
    <x v="121"/>
    <s v="DNI"/>
    <n v="23799726"/>
    <n v="20237997264"/>
    <d v="1974-08-25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8"/>
    <x v="6"/>
    <m/>
    <s v="ACUA MAYOR"/>
    <s v="ADMINISTRATIVO"/>
    <s v="CABILDO 65"/>
    <s v="CABILDO 65"/>
    <x v="122"/>
    <s v="DNI"/>
    <n v="23102518"/>
    <s v="23231025189"/>
    <d v="1973-01-12T00:00:00"/>
    <m/>
    <m/>
    <m/>
    <m/>
    <s v="ASISTENCIA TÉCNICA"/>
    <x v="0"/>
    <d v="2012-03-19T00:00:00"/>
    <m/>
    <d v="2016-12-31T00:00:00"/>
    <m/>
    <s v="UNTREF"/>
    <s v="UNSAM- LADA"/>
    <n v="21056"/>
    <x v="66"/>
    <x v="5"/>
  </r>
  <r>
    <s v="SFMyCP"/>
    <x v="0"/>
    <x v="1"/>
    <x v="7"/>
    <x v="2"/>
    <x v="2"/>
    <m/>
    <s v="Asistente"/>
    <s v="Asistente"/>
    <s v="CCK"/>
    <s v="CCK - Alem 351"/>
    <x v="123"/>
    <s v="DNI"/>
    <n v="37752815"/>
    <s v="27377528153"/>
    <d v="1993-05-31T00:00:00"/>
    <m/>
    <m/>
    <m/>
    <m/>
    <s v="ASISTENCIA TÉCNICA"/>
    <x v="0"/>
    <d v="2014-11-12T00:00:00"/>
    <m/>
    <d v="2016-12-31T00:00:00"/>
    <m/>
    <s v="UNTREF"/>
    <s v="UNLAM- DGA"/>
    <n v="10187"/>
    <x v="30"/>
    <x v="18"/>
  </r>
  <r>
    <s v="SFMyCP"/>
    <x v="0"/>
    <x v="1"/>
    <x v="3"/>
    <x v="27"/>
    <x v="2"/>
    <m/>
    <m/>
    <m/>
    <s v="TECNÓPOLIS"/>
    <m/>
    <x v="124"/>
    <s v="DNI"/>
    <n v="31271654"/>
    <n v="20312716543"/>
    <m/>
    <m/>
    <m/>
    <m/>
    <m/>
    <s v="LEY MARCO"/>
    <x v="1"/>
    <d v="2013-02-01T00:00:00"/>
    <d v="2016-03-31T00:00:00"/>
    <d v="2016-12-31T00:00:00"/>
    <s v="C0"/>
    <m/>
    <m/>
    <n v="21266"/>
    <x v="74"/>
    <x v="5"/>
  </r>
  <r>
    <s v="SFMyCP"/>
    <x v="0"/>
    <x v="1"/>
    <x v="1"/>
    <x v="5"/>
    <x v="14"/>
    <m/>
    <m/>
    <m/>
    <m/>
    <m/>
    <x v="125"/>
    <s v="DNI"/>
    <n v="26927767"/>
    <m/>
    <m/>
    <m/>
    <m/>
    <m/>
    <m/>
    <m/>
    <x v="1"/>
    <m/>
    <m/>
    <d v="2016-12-31T00:00:00"/>
    <s v="C1"/>
    <m/>
    <m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126"/>
    <s v="DNI"/>
    <n v="28643869"/>
    <s v="20286438696"/>
    <d v="1981-01-12T00:00:00"/>
    <m/>
    <m/>
    <m/>
    <m/>
    <s v="ASISTENCIA TÉCNICA"/>
    <x v="0"/>
    <d v="2015-02-02T00:00:00"/>
    <m/>
    <d v="2016-12-31T00:00:00"/>
    <m/>
    <s v="UNTREF"/>
    <s v="UNSAM- LADA"/>
    <n v="20498"/>
    <x v="75"/>
    <x v="5"/>
  </r>
  <r>
    <s v="SFMyCP"/>
    <x v="0"/>
    <x v="1"/>
    <x v="7"/>
    <x v="2"/>
    <x v="2"/>
    <m/>
    <s v="PRIVADA"/>
    <s v="ADMINISTRATIVO"/>
    <m/>
    <s v="CCK - Alem 351"/>
    <x v="127"/>
    <s v="DNI"/>
    <n v="17673078"/>
    <n v="20176730782"/>
    <d v="1966-02-28T00:00:00"/>
    <m/>
    <m/>
    <m/>
    <m/>
    <s v="ASISTENCIA TÉCNICA"/>
    <x v="0"/>
    <d v="2016-01-01T00:00:00"/>
    <m/>
    <d v="2016-12-31T00:00:00"/>
    <m/>
    <s v="UNTREF"/>
    <s v="UNSAM"/>
    <n v="35000"/>
    <x v="76"/>
    <x v="19"/>
  </r>
  <r>
    <s v="SFMyCP"/>
    <x v="0"/>
    <x v="1"/>
    <x v="3"/>
    <x v="15"/>
    <x v="2"/>
    <m/>
    <m/>
    <s v="ATENCIÓN DE MOSTRADOR"/>
    <s v="TECNÓPOLIS"/>
    <s v="TECNOPOLIS"/>
    <x v="128"/>
    <s v="DNI"/>
    <n v="35360874"/>
    <s v="20353608747"/>
    <d v="1990-12-23T00:00:00"/>
    <m/>
    <m/>
    <m/>
    <m/>
    <s v="ASISTENCIA TÉCNICA"/>
    <x v="0"/>
    <d v="2013-07-01T00:00:00"/>
    <m/>
    <d v="2016-12-31T00:00:00"/>
    <m/>
    <s v="UNTREF"/>
    <s v="UNTREF"/>
    <n v="9995.51"/>
    <x v="19"/>
    <x v="5"/>
  </r>
  <r>
    <s v="SFMyCP"/>
    <x v="0"/>
    <x v="1"/>
    <x v="3"/>
    <x v="29"/>
    <x v="2"/>
    <m/>
    <m/>
    <s v="ADMINISTRACION,DSTRIBUCION Y SEGUIMIENTO DE TAREAS/ORGANIZACIÓN DEL AEREA MANTENIMIENTO"/>
    <s v="TECNÓPOLIS"/>
    <s v="TECNOPOLIS"/>
    <x v="129"/>
    <s v="DNI"/>
    <n v="34423729"/>
    <s v="27344237293"/>
    <d v="1989-08-05T00:00:00"/>
    <m/>
    <m/>
    <m/>
    <m/>
    <s v="ASISTENCIA TÉCNICA"/>
    <x v="0"/>
    <d v="2015-07-01T00:00:00"/>
    <m/>
    <d v="2016-12-31T00:00:00"/>
    <m/>
    <s v="UNTREF"/>
    <s v="UNTREF"/>
    <n v="9500"/>
    <x v="77"/>
    <x v="5"/>
  </r>
  <r>
    <s v="SFMyCP"/>
    <x v="0"/>
    <x v="0"/>
    <x v="0"/>
    <x v="8"/>
    <x v="6"/>
    <m/>
    <s v="ACUA FEDERAL"/>
    <s v="ADMINISTRATIVO"/>
    <s v="CABILDO 65"/>
    <s v="CABILDO 65"/>
    <x v="130"/>
    <s v="DNI"/>
    <n v="30925290"/>
    <s v="27309252905"/>
    <d v="1984-04-21T00:00:00"/>
    <m/>
    <m/>
    <m/>
    <m/>
    <s v="ASISTENCIA TÉCNICA"/>
    <x v="0"/>
    <d v="2013-05-01T00:00:00"/>
    <m/>
    <d v="2016-12-31T00:00:00"/>
    <m/>
    <s v="UNTREF"/>
    <s v="UNSAM- LADA"/>
    <n v="19353"/>
    <x v="36"/>
    <x v="5"/>
  </r>
  <r>
    <s v="SFMyCP"/>
    <x v="0"/>
    <x v="0"/>
    <x v="0"/>
    <x v="8"/>
    <x v="6"/>
    <m/>
    <s v="PRODUCCIÓN"/>
    <s v="PRODUCTOR de EXTERIORES"/>
    <s v="CABILDO 65"/>
    <s v="CABILDO 65"/>
    <x v="131"/>
    <s v="DNI"/>
    <n v="30833891"/>
    <s v="27308338911"/>
    <d v="1983-12-09T00:00:00"/>
    <m/>
    <m/>
    <m/>
    <m/>
    <s v="ASISTENCIA TÉCNICA"/>
    <x v="0"/>
    <d v="2015-02-02T00:00:00"/>
    <m/>
    <d v="2016-12-31T00:00:00"/>
    <m/>
    <s v="UNTREF"/>
    <s v="UNSAM- LADA"/>
    <n v="16465"/>
    <x v="17"/>
    <x v="5"/>
  </r>
  <r>
    <s v="SFMyCP"/>
    <x v="1"/>
    <x v="0"/>
    <x v="5"/>
    <x v="17"/>
    <x v="15"/>
    <m/>
    <s v="DOCTOR"/>
    <s v="ADMINISTRATIVO"/>
    <m/>
    <s v="CCK - Alem 351"/>
    <x v="132"/>
    <s v="DNI"/>
    <n v="10966721"/>
    <n v="20109667219"/>
    <d v="1954-11-30T00:00:00"/>
    <m/>
    <m/>
    <m/>
    <m/>
    <s v="ASISTENCIA TÉCNICA"/>
    <x v="0"/>
    <d v="2016-07-14T00:00:00"/>
    <m/>
    <d v="2016-12-31T00:00:00"/>
    <m/>
    <s v="UNTREF"/>
    <m/>
    <m/>
    <x v="18"/>
    <x v="3"/>
  </r>
  <r>
    <s v="SFMyCP"/>
    <x v="0"/>
    <x v="1"/>
    <x v="1"/>
    <x v="16"/>
    <x v="2"/>
    <m/>
    <s v="SECRETARIA"/>
    <s v="ASISTENTE"/>
    <s v="CCK"/>
    <s v="CCK - Alem 351"/>
    <x v="133"/>
    <s v="DNI"/>
    <n v="35452327"/>
    <s v="27354523278"/>
    <d v="1990-11-30T00:00:00"/>
    <m/>
    <m/>
    <m/>
    <m/>
    <s v="ASISTENCIA TÉCNICA"/>
    <x v="0"/>
    <d v="2015-08-01T00:00:00"/>
    <m/>
    <d v="2016-12-31T00:00:00"/>
    <m/>
    <s v="UNTREF"/>
    <s v="UNLAM- BICENTENARIO"/>
    <n v="10096"/>
    <x v="30"/>
    <x v="18"/>
  </r>
  <r>
    <s v="SFMyCP"/>
    <x v="0"/>
    <x v="0"/>
    <x v="0"/>
    <x v="8"/>
    <x v="6"/>
    <m/>
    <s v="PROMOCIONES"/>
    <s v="ADMINISTRATIVO"/>
    <s v="CABILDO 65"/>
    <s v="CABILDO 65"/>
    <x v="134"/>
    <s v="DNI"/>
    <n v="29250290"/>
    <n v="20292502909"/>
    <d v="1982-01-07T00:00:00"/>
    <m/>
    <m/>
    <m/>
    <m/>
    <s v="ASISTENCIA TÉCNICA"/>
    <x v="0"/>
    <d v="2015-04-01T00:00:00"/>
    <m/>
    <d v="2016-12-31T00:00:00"/>
    <m/>
    <s v="UNTREF"/>
    <s v="UNSAM- LADA"/>
    <n v="15234"/>
    <x v="22"/>
    <x v="5"/>
  </r>
  <r>
    <s v="SFMyCP"/>
    <x v="0"/>
    <x v="1"/>
    <x v="3"/>
    <x v="6"/>
    <x v="2"/>
    <m/>
    <m/>
    <s v="MANTENIMIENTO GRAL DEL PARQUE"/>
    <s v="TECNÓPOLIS"/>
    <s v="TECNOPOLIS"/>
    <x v="135"/>
    <s v="DNI"/>
    <n v="24320153"/>
    <s v="20243201536"/>
    <d v="1975-02-01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1"/>
    <x v="3"/>
    <x v="6"/>
    <x v="2"/>
    <m/>
    <m/>
    <s v="MANTENIMIENTO GRAL DEL PARQUE"/>
    <s v="TECNÓPOLIS"/>
    <s v="TECNOPOLIS"/>
    <x v="136"/>
    <s v="DNI"/>
    <n v="28710766"/>
    <s v="20287107669"/>
    <d v="1981-03-03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1"/>
    <x v="0"/>
    <x v="5"/>
    <x v="30"/>
    <x v="2"/>
    <m/>
    <s v="Analista"/>
    <m/>
    <s v="CCK"/>
    <m/>
    <x v="137"/>
    <s v="DNI"/>
    <n v="27930015"/>
    <n v="27279300152"/>
    <m/>
    <m/>
    <m/>
    <m/>
    <m/>
    <s v="LEY MARCO"/>
    <x v="1"/>
    <d v="2011-07-18T00:00:00"/>
    <d v="2016-12-31T00:00:00"/>
    <d v="2016-12-31T00:00:00"/>
    <s v="B1"/>
    <m/>
    <m/>
    <n v="20266"/>
    <x v="24"/>
    <x v="5"/>
  </r>
  <r>
    <s v="SFMyCP"/>
    <x v="0"/>
    <x v="1"/>
    <x v="1"/>
    <x v="16"/>
    <x v="2"/>
    <m/>
    <s v="Administrativo"/>
    <m/>
    <s v="CCK"/>
    <m/>
    <x v="138"/>
    <s v="DNI"/>
    <n v="28936423"/>
    <n v="23289364234"/>
    <m/>
    <m/>
    <m/>
    <m/>
    <m/>
    <s v="LEY MARCO"/>
    <x v="1"/>
    <d v="2013-03-04T00:00:00"/>
    <d v="2016-03-31T00:00:00"/>
    <d v="2016-12-31T00:00:00"/>
    <s v="B0"/>
    <m/>
    <m/>
    <n v="22590"/>
    <x v="78"/>
    <x v="5"/>
  </r>
  <r>
    <s v="SFMyCP"/>
    <x v="0"/>
    <x v="1"/>
    <x v="3"/>
    <x v="6"/>
    <x v="2"/>
    <m/>
    <m/>
    <m/>
    <s v="TECNÓPOLIS"/>
    <m/>
    <x v="139"/>
    <s v="DNI"/>
    <n v="33841323"/>
    <n v="20338413239"/>
    <m/>
    <m/>
    <m/>
    <m/>
    <m/>
    <s v="LEY MARCO"/>
    <x v="1"/>
    <d v="2012-04-01T00:00:00"/>
    <d v="2016-12-31T00:00:00"/>
    <d v="2016-12-31T00:00:00"/>
    <s v="C0"/>
    <m/>
    <m/>
    <n v="13084.78"/>
    <x v="32"/>
    <x v="5"/>
  </r>
  <r>
    <s v="SFMyCP"/>
    <x v="0"/>
    <x v="1"/>
    <x v="3"/>
    <x v="21"/>
    <x v="2"/>
    <m/>
    <m/>
    <s v="SUPERVISOR DE PARQUIZACIÓN"/>
    <s v="TECNÓPOLIS"/>
    <s v="TECNOPOLIS"/>
    <x v="140"/>
    <s v="DNI"/>
    <n v="30832626"/>
    <s v="20308326269"/>
    <d v="1984-05-07T00:00:00"/>
    <m/>
    <m/>
    <m/>
    <m/>
    <s v="ASISTENCIA TÉCNICA"/>
    <x v="0"/>
    <d v="2013-06-01T00:00:00"/>
    <m/>
    <d v="2016-12-31T00:00:00"/>
    <m/>
    <s v="UNTREF"/>
    <s v="UNTREF"/>
    <n v="16168.13"/>
    <x v="79"/>
    <x v="5"/>
  </r>
  <r>
    <s v="SFMyCP"/>
    <x v="0"/>
    <x v="0"/>
    <x v="0"/>
    <x v="8"/>
    <x v="6"/>
    <m/>
    <s v="CONTENIDOS DIGITALES ABIERTOS CDA"/>
    <s v="ADMINISTRATIVO"/>
    <s v="CABILDO 65"/>
    <s v="CABILDO 65"/>
    <x v="141"/>
    <s v="DNI"/>
    <n v="27000237"/>
    <s v="20270002375"/>
    <d v="1978-11-07T00:00:00"/>
    <m/>
    <m/>
    <m/>
    <m/>
    <s v="ASISTENCIA TÉCNICA"/>
    <x v="0"/>
    <d v="2012-06-01T00:00:00"/>
    <m/>
    <d v="2016-12-31T00:00:00"/>
    <m/>
    <s v="UNTREF"/>
    <s v="UNSAM- LADA"/>
    <n v="32782"/>
    <x v="80"/>
    <x v="5"/>
  </r>
  <r>
    <s v="SFMyCP"/>
    <x v="1"/>
    <x v="0"/>
    <x v="5"/>
    <x v="18"/>
    <x v="2"/>
    <m/>
    <m/>
    <m/>
    <s v="CCK"/>
    <m/>
    <x v="142"/>
    <s v="DNI"/>
    <n v="31343795"/>
    <n v="27313437952"/>
    <m/>
    <m/>
    <m/>
    <m/>
    <m/>
    <s v="LEY MARCO"/>
    <x v="1"/>
    <d v="2011-07-18T00:00:00"/>
    <d v="2016-12-31T00:00:00"/>
    <d v="2016-12-31T00:00:00"/>
    <s v="B1"/>
    <m/>
    <m/>
    <n v="19096"/>
    <x v="81"/>
    <x v="5"/>
  </r>
  <r>
    <s v="SFMyCP"/>
    <x v="0"/>
    <x v="1"/>
    <x v="3"/>
    <x v="3"/>
    <x v="2"/>
    <m/>
    <m/>
    <s v="ENCARGADO DE LIMPIEZA"/>
    <s v="TECNÓPOLIS"/>
    <s v="TECNOPOLIS"/>
    <x v="143"/>
    <s v="DNI"/>
    <n v="23284659"/>
    <s v="27232846599"/>
    <d v="1972-12-09T00:00:00"/>
    <m/>
    <m/>
    <m/>
    <m/>
    <s v="ASISTENCIA TÉCNICA"/>
    <x v="0"/>
    <d v="2014-07-01T00:00:00"/>
    <m/>
    <d v="2016-12-31T00:00:00"/>
    <m/>
    <s v="UNTREF"/>
    <s v="UNTREF"/>
    <n v="12245.32"/>
    <x v="82"/>
    <x v="5"/>
  </r>
  <r>
    <s v="SFMyCP"/>
    <x v="0"/>
    <x v="0"/>
    <x v="0"/>
    <x v="8"/>
    <x v="6"/>
    <m/>
    <s v="CONTENIDOS DIGITALES ABIERTOS CDA"/>
    <s v="ADMINISTRATIVO"/>
    <s v="CABILDO 65"/>
    <s v="CABILDO 65"/>
    <x v="144"/>
    <s v="DNI"/>
    <n v="34137132"/>
    <s v="20341371326"/>
    <d v="1988-09-22T00:00:00"/>
    <m/>
    <m/>
    <m/>
    <m/>
    <s v="ASISTENCIA TÉCNICA"/>
    <x v="0"/>
    <d v="2013-02-01T00:00:00"/>
    <m/>
    <d v="2016-12-31T00:00:00"/>
    <m/>
    <s v="UNTREF"/>
    <s v="UNSAM- LADA"/>
    <n v="17849"/>
    <x v="83"/>
    <x v="5"/>
  </r>
  <r>
    <s v="SFMyCP"/>
    <x v="0"/>
    <x v="0"/>
    <x v="0"/>
    <x v="8"/>
    <x v="6"/>
    <m/>
    <s v="BACUA"/>
    <s v="ADMINISTRATIVO"/>
    <s v="CABILDO 65"/>
    <s v="CABILDO 65"/>
    <x v="145"/>
    <s v="DNI"/>
    <n v="30401842"/>
    <s v="27304018424"/>
    <d v="1983-07-14T00:00:00"/>
    <m/>
    <m/>
    <m/>
    <m/>
    <s v="ASISTENCIA TÉCNICA"/>
    <x v="0"/>
    <d v="2012-04-23T00:00:00"/>
    <m/>
    <d v="2016-12-31T00:00:00"/>
    <m/>
    <s v="UNTREF"/>
    <s v="UNSAM- LADA"/>
    <n v="17146"/>
    <x v="84"/>
    <x v="5"/>
  </r>
  <r>
    <s v="SFMyCP"/>
    <x v="0"/>
    <x v="1"/>
    <x v="3"/>
    <x v="23"/>
    <x v="2"/>
    <m/>
    <m/>
    <s v="SUPERVISION DE REDES DE AGUA Y CLOACAS"/>
    <s v="TECNÓPOLIS"/>
    <s v="TECNOPOLIS"/>
    <x v="146"/>
    <s v="DNI"/>
    <n v="36294092"/>
    <s v="20362940924"/>
    <d v="1991-07-03T00:00:00"/>
    <m/>
    <m/>
    <m/>
    <m/>
    <s v="ASISTENCIA TÉCNICA"/>
    <x v="0"/>
    <m/>
    <m/>
    <d v="2016-12-31T00:00:00"/>
    <m/>
    <s v="UNTREF"/>
    <s v="UNTREF"/>
    <n v="10540.72"/>
    <x v="85"/>
    <x v="5"/>
  </r>
  <r>
    <s v="SFMyCP"/>
    <x v="0"/>
    <x v="0"/>
    <x v="0"/>
    <x v="8"/>
    <x v="6"/>
    <m/>
    <s v="TÉCNICA Y TRANSMISIÓN"/>
    <s v="ADMINISTRATIVO"/>
    <s v="CABILDO 65"/>
    <s v="CABILDO 65"/>
    <x v="147"/>
    <s v="DNI"/>
    <n v="32604139"/>
    <s v="23326041394"/>
    <d v="1986-08-30T00:00:00"/>
    <m/>
    <m/>
    <m/>
    <m/>
    <s v="ASISTENCIA TÉCNICA"/>
    <x v="0"/>
    <d v="2013-05-01T00:00:00"/>
    <m/>
    <d v="2016-12-31T00:00:00"/>
    <m/>
    <s v="UNTREF"/>
    <s v="UNSAM- LADA"/>
    <n v="19353"/>
    <x v="36"/>
    <x v="5"/>
  </r>
  <r>
    <s v="SFMyCP"/>
    <x v="0"/>
    <x v="1"/>
    <x v="3"/>
    <x v="23"/>
    <x v="2"/>
    <m/>
    <m/>
    <m/>
    <s v="TECNÓPOLIS"/>
    <m/>
    <x v="148"/>
    <s v="DNI"/>
    <n v="32555604"/>
    <n v="20325556049"/>
    <m/>
    <m/>
    <m/>
    <m/>
    <m/>
    <s v="LEY MARCO"/>
    <x v="1"/>
    <d v="2013-04-01T00:00:00"/>
    <d v="2016-03-31T00:00:00"/>
    <d v="2016-12-31T00:00:00"/>
    <s v="C0"/>
    <m/>
    <m/>
    <n v="21271"/>
    <x v="86"/>
    <x v="5"/>
  </r>
  <r>
    <s v="SFMyCP"/>
    <x v="0"/>
    <x v="1"/>
    <x v="3"/>
    <x v="24"/>
    <x v="2"/>
    <m/>
    <s v="Tareas Generales"/>
    <s v="TAREAS EN GENERAL PAÑOL"/>
    <s v="TECNÓPOLIS"/>
    <m/>
    <x v="149"/>
    <s v="DNI"/>
    <n v="17862197"/>
    <n v="27178621977"/>
    <m/>
    <m/>
    <m/>
    <m/>
    <m/>
    <s v="ASISTENCIA TÉCNICA"/>
    <x v="2"/>
    <d v="2014-06-01T00:00:00"/>
    <m/>
    <d v="2016-12-31T00:00:00"/>
    <m/>
    <s v="UNTREF"/>
    <s v="UNTREF"/>
    <n v="1700"/>
    <x v="42"/>
    <x v="5"/>
  </r>
  <r>
    <s v="SFMyCP"/>
    <x v="0"/>
    <x v="1"/>
    <x v="1"/>
    <x v="1"/>
    <x v="1"/>
    <m/>
    <m/>
    <s v="VISITAS GUIADAS"/>
    <m/>
    <s v="CCK - Alem 351"/>
    <x v="150"/>
    <s v="DNI"/>
    <n v="35567267"/>
    <n v="27355672676"/>
    <d v="1991-04-24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1"/>
    <x v="0"/>
    <x v="5"/>
    <x v="30"/>
    <x v="2"/>
    <m/>
    <m/>
    <s v="ADMINISTRATIVO"/>
    <m/>
    <s v="CCK - Alem 351"/>
    <x v="151"/>
    <s v="DNI"/>
    <n v="34258772"/>
    <n v="20342587721"/>
    <d v="1988-10-13T00:00:00"/>
    <m/>
    <m/>
    <m/>
    <m/>
    <s v="ASISTENCIA TÉCNICA"/>
    <x v="0"/>
    <d v="2016-04-01T00:00:00"/>
    <m/>
    <d v="2016-12-31T00:00:00"/>
    <m/>
    <s v="UNTREF"/>
    <m/>
    <m/>
    <x v="18"/>
    <x v="3"/>
  </r>
  <r>
    <s v="SFMyCP"/>
    <x v="0"/>
    <x v="0"/>
    <x v="0"/>
    <x v="8"/>
    <x v="6"/>
    <m/>
    <s v="COMISION DE SEGUIMIENTO"/>
    <s v="ADMINISTRATIVO"/>
    <s v="CABILDO 65"/>
    <s v="CABILDO 65"/>
    <x v="152"/>
    <s v="DNI"/>
    <n v="11566265"/>
    <s v="20115662652"/>
    <d v="1955-03-21T00:00:00"/>
    <m/>
    <m/>
    <m/>
    <m/>
    <s v="ASISTENCIA TÉCNICA"/>
    <x v="0"/>
    <d v="2012-05-01T00:00:00"/>
    <m/>
    <d v="2016-12-31T00:00:00"/>
    <m/>
    <s v="UNTREF"/>
    <s v="UNSAM- LADA"/>
    <n v="32782"/>
    <x v="80"/>
    <x v="5"/>
  </r>
  <r>
    <s v="SFMyCP"/>
    <x v="0"/>
    <x v="1"/>
    <x v="3"/>
    <x v="3"/>
    <x v="2"/>
    <m/>
    <m/>
    <s v="LIMPIEZA GENERAL DEL PARQUE"/>
    <s v="TECNÓPOLIS"/>
    <s v="TECNOPOLIS"/>
    <x v="153"/>
    <s v="DNI"/>
    <n v="29330355"/>
    <s v="27293303555"/>
    <d v="1982-03-08T00:00:00"/>
    <m/>
    <m/>
    <m/>
    <m/>
    <s v="ASISTENCIA TÉCNICA"/>
    <x v="0"/>
    <d v="2013-07-01T00:00:00"/>
    <m/>
    <d v="2016-12-31T00:00:00"/>
    <m/>
    <s v="UNTREF"/>
    <s v="UNTREF"/>
    <n v="13450"/>
    <x v="87"/>
    <x v="5"/>
  </r>
  <r>
    <s v="SFMyCP"/>
    <x v="0"/>
    <x v="1"/>
    <x v="1"/>
    <x v="5"/>
    <x v="14"/>
    <s v="LIMPIEZA (En comisión Tecnópolis)"/>
    <s v="Auxiliar"/>
    <s v="Auxiliar"/>
    <s v="CCK"/>
    <s v="CCK - Alem 351"/>
    <x v="154"/>
    <s v="DNI"/>
    <n v="26071220"/>
    <s v="27260712204"/>
    <d v="1977-10-31T00:00:00"/>
    <m/>
    <m/>
    <m/>
    <m/>
    <s v="ASISTENCIA TÉCNICA"/>
    <x v="0"/>
    <d v="2015-06-10T00:00:00"/>
    <m/>
    <d v="2016-12-31T00:00:00"/>
    <m/>
    <s v="UNTREF"/>
    <s v="UNTREF"/>
    <n v="10455"/>
    <x v="5"/>
    <x v="4"/>
  </r>
  <r>
    <s v="SFMyCP"/>
    <x v="0"/>
    <x v="1"/>
    <x v="1"/>
    <x v="5"/>
    <x v="16"/>
    <m/>
    <m/>
    <m/>
    <m/>
    <m/>
    <x v="155"/>
    <s v="DNI"/>
    <n v="11634842"/>
    <m/>
    <m/>
    <m/>
    <m/>
    <m/>
    <m/>
    <m/>
    <x v="1"/>
    <m/>
    <m/>
    <d v="2016-12-31T00:00:00"/>
    <s v="C1"/>
    <m/>
    <m/>
    <m/>
    <x v="18"/>
    <x v="3"/>
  </r>
  <r>
    <s v="SFMyCP"/>
    <x v="0"/>
    <x v="0"/>
    <x v="0"/>
    <x v="8"/>
    <x v="4"/>
    <m/>
    <s v="POSTPRODUCCIÓN"/>
    <s v="ADMINISTRATIVO"/>
    <s v="CABILDO 65"/>
    <s v="CABILDO 65"/>
    <x v="156"/>
    <s v="DNI"/>
    <n v="33605569"/>
    <s v="20336055696"/>
    <d v="1988-01-11T00:00:00"/>
    <m/>
    <m/>
    <m/>
    <m/>
    <s v="ASISTENCIA TÉCNICA"/>
    <x v="0"/>
    <d v="2015-05-04T00:00:00"/>
    <m/>
    <d v="2016-12-31T00:00:00"/>
    <m/>
    <s v="UNTREF"/>
    <m/>
    <n v="18795"/>
    <x v="37"/>
    <x v="3"/>
  </r>
  <r>
    <s v="SFMyCP"/>
    <x v="0"/>
    <x v="1"/>
    <x v="3"/>
    <x v="3"/>
    <x v="2"/>
    <m/>
    <m/>
    <s v="LIMPIEZA GENERAL DEL PARQUE"/>
    <s v="TECNÓPOLIS"/>
    <s v="TECNOPOLIS"/>
    <x v="157"/>
    <s v="DNI"/>
    <n v="94138946"/>
    <s v="27941389460"/>
    <d v="1986-08-27T00:00:00"/>
    <m/>
    <m/>
    <m/>
    <m/>
    <s v="ASISTENCIA TÉCNICA"/>
    <x v="0"/>
    <d v="2013-07-01T00:00:00"/>
    <m/>
    <d v="2016-12-31T00:00:00"/>
    <m/>
    <s v="UNTREF"/>
    <s v="UNTREF"/>
    <n v="9995.51"/>
    <x v="19"/>
    <x v="5"/>
  </r>
  <r>
    <s v="SFMyCP"/>
    <x v="1"/>
    <x v="0"/>
    <x v="5"/>
    <x v="26"/>
    <x v="2"/>
    <m/>
    <s v="COORDINADOR"/>
    <m/>
    <s v="CCK"/>
    <m/>
    <x v="158"/>
    <s v="DNI"/>
    <n v="36755076"/>
    <n v="20367550768"/>
    <m/>
    <m/>
    <m/>
    <m/>
    <m/>
    <s v="LEY MARCO"/>
    <x v="1"/>
    <d v="2011-05-01T00:00:00"/>
    <d v="2016-12-31T00:00:00"/>
    <d v="2016-12-31T00:00:00"/>
    <s v="B1"/>
    <m/>
    <m/>
    <n v="18277"/>
    <x v="88"/>
    <x v="5"/>
  </r>
  <r>
    <s v="SFMyCP"/>
    <x v="1"/>
    <x v="0"/>
    <x v="5"/>
    <x v="17"/>
    <x v="15"/>
    <m/>
    <s v="Enfermera/o"/>
    <m/>
    <s v="CCK"/>
    <m/>
    <x v="159"/>
    <s v="DNI"/>
    <n v="21498647"/>
    <n v="27214986472"/>
    <m/>
    <m/>
    <m/>
    <m/>
    <m/>
    <s v="LEY MARCO"/>
    <x v="1"/>
    <d v="2015-07-16T00:00:00"/>
    <d v="2016-03-31T00:00:00"/>
    <d v="2016-12-31T00:00:00"/>
    <s v="C1"/>
    <m/>
    <m/>
    <n v="13638"/>
    <x v="89"/>
    <x v="5"/>
  </r>
  <r>
    <s v="SFMyCP"/>
    <x v="0"/>
    <x v="0"/>
    <x v="8"/>
    <x v="1"/>
    <x v="2"/>
    <m/>
    <m/>
    <s v="ADMINISTRATIVO"/>
    <m/>
    <s v="CCK - Alem 351"/>
    <x v="160"/>
    <s v="DNI"/>
    <n v="26475328"/>
    <s v="27264753282"/>
    <d v="1977-12-29T00:00:00"/>
    <m/>
    <m/>
    <m/>
    <m/>
    <s v="ASISTENCIA TÉCNICA"/>
    <x v="0"/>
    <d v="2016-01-01T00:00:00"/>
    <m/>
    <d v="2016-12-31T00:00:00"/>
    <m/>
    <s v="UNTREF"/>
    <m/>
    <n v="12000"/>
    <x v="7"/>
    <x v="4"/>
  </r>
  <r>
    <s v="SFMyCP"/>
    <x v="1"/>
    <x v="0"/>
    <x v="5"/>
    <x v="2"/>
    <x v="2"/>
    <m/>
    <m/>
    <s v="ADMINISTRATIVO"/>
    <m/>
    <s v="CCK - Alem 351"/>
    <x v="161"/>
    <s v="DNI"/>
    <n v="21831009"/>
    <n v="27218310090"/>
    <d v="1970-08-13T00:00:00"/>
    <m/>
    <m/>
    <m/>
    <m/>
    <s v="ASISTENCIA TÉCNICA"/>
    <x v="0"/>
    <d v="2016-07-11T00:00:00"/>
    <m/>
    <d v="2016-12-31T00:00:00"/>
    <m/>
    <s v="UNTREF"/>
    <m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162"/>
    <s v="DNI"/>
    <n v="27184125"/>
    <s v="20271841257"/>
    <d v="1979-02-24T00:00:00"/>
    <m/>
    <m/>
    <m/>
    <m/>
    <s v="ASISTENCIA TÉCNICA"/>
    <x v="0"/>
    <d v="2012-08-01T00:00:00"/>
    <m/>
    <d v="2016-12-31T00:00:00"/>
    <m/>
    <s v="UNTREF"/>
    <s v="UNSAM- LADA"/>
    <n v="22151"/>
    <x v="58"/>
    <x v="5"/>
  </r>
  <r>
    <s v="SFMyCP"/>
    <x v="2"/>
    <x v="0"/>
    <x v="4"/>
    <x v="2"/>
    <x v="2"/>
    <m/>
    <s v="ASISTENTE"/>
    <m/>
    <s v="CCK"/>
    <m/>
    <x v="163"/>
    <s v="DNI"/>
    <n v="28030258"/>
    <n v="27280302584"/>
    <m/>
    <m/>
    <m/>
    <m/>
    <m/>
    <s v="LEY MARCO"/>
    <x v="1"/>
    <d v="2012-12-01T00:00:00"/>
    <d v="2016-12-31T00:00:00"/>
    <d v="2016-12-31T00:00:00"/>
    <s v="A1"/>
    <m/>
    <m/>
    <n v="27000"/>
    <x v="33"/>
    <x v="5"/>
  </r>
  <r>
    <s v="SFMyCP"/>
    <x v="0"/>
    <x v="1"/>
    <x v="1"/>
    <x v="16"/>
    <x v="2"/>
    <m/>
    <m/>
    <m/>
    <s v="CCK"/>
    <m/>
    <x v="164"/>
    <s v="DNI"/>
    <n v="16668474"/>
    <n v="27166684744"/>
    <m/>
    <m/>
    <m/>
    <m/>
    <m/>
    <s v="LEY MARCO"/>
    <x v="1"/>
    <d v="2012-12-01T00:00:00"/>
    <d v="2016-12-31T00:00:00"/>
    <d v="2016-12-31T00:00:00"/>
    <s v="C0"/>
    <m/>
    <m/>
    <n v="12000"/>
    <x v="7"/>
    <x v="0"/>
  </r>
  <r>
    <s v="SFMyCP"/>
    <x v="0"/>
    <x v="1"/>
    <x v="1"/>
    <x v="10"/>
    <x v="2"/>
    <m/>
    <m/>
    <s v="ADMINISTRATIVA"/>
    <m/>
    <s v="CCK - Alem 351"/>
    <x v="165"/>
    <s v="DNI"/>
    <n v="92267421"/>
    <n v="20922674214"/>
    <d v="1969-01-12T00:00:00"/>
    <m/>
    <m/>
    <m/>
    <m/>
    <s v="ASISTENCIA TÉCNICA"/>
    <x v="0"/>
    <d v="2016-04-01T00:00:00"/>
    <m/>
    <d v="2016-12-31T00:00:00"/>
    <m/>
    <s v="UNTREF"/>
    <m/>
    <n v="26000"/>
    <x v="18"/>
    <x v="3"/>
  </r>
  <r>
    <s v="SFMyCP"/>
    <x v="0"/>
    <x v="0"/>
    <x v="4"/>
    <x v="2"/>
    <x v="2"/>
    <m/>
    <s v="PRIVADA"/>
    <s v="ADMINISTRATIVO"/>
    <m/>
    <s v="NO ENTREGAR"/>
    <x v="166"/>
    <s v="DNI"/>
    <n v="32845128"/>
    <s v="20328451280"/>
    <d v="1986-12-06T00:00:00"/>
    <m/>
    <m/>
    <m/>
    <m/>
    <s v="ASISTENCIA TÉCNICA"/>
    <x v="0"/>
    <d v="2016-01-01T00:00:00"/>
    <m/>
    <d v="2016-12-31T00:00:00"/>
    <m/>
    <s v="UNTREF"/>
    <s v="UNSAM"/>
    <n v="13000"/>
    <x v="90"/>
    <x v="10"/>
  </r>
  <r>
    <s v="SFMyCP"/>
    <x v="0"/>
    <x v="0"/>
    <x v="0"/>
    <x v="8"/>
    <x v="6"/>
    <m/>
    <s v="PRODUCCIÓN"/>
    <s v="PRODUCTOR de EXTERIORES"/>
    <s v="CABILDO 65"/>
    <s v="CABILDO 65"/>
    <x v="167"/>
    <s v="DNI"/>
    <n v="27084941"/>
    <s v="20270849416"/>
    <d v="1979-02-01T00:00:00"/>
    <m/>
    <m/>
    <m/>
    <m/>
    <s v="ASISTENCIA TÉCNICA"/>
    <x v="0"/>
    <d v="2011-08-01T00:00:00"/>
    <m/>
    <d v="2016-12-31T00:00:00"/>
    <m/>
    <s v="UNTREF"/>
    <s v="UNSAM- LADA"/>
    <n v="35111"/>
    <x v="91"/>
    <x v="5"/>
  </r>
  <r>
    <s v="SFMyCP"/>
    <x v="0"/>
    <x v="0"/>
    <x v="4"/>
    <x v="2"/>
    <x v="2"/>
    <m/>
    <s v="PRIVADA"/>
    <s v="ADMINISTRATIVO"/>
    <m/>
    <s v="CCK - Alem 351"/>
    <x v="168"/>
    <s v="DNI"/>
    <n v="33209881"/>
    <n v="20332098811"/>
    <m/>
    <m/>
    <m/>
    <m/>
    <m/>
    <m/>
    <x v="0"/>
    <d v="2016-07-21T00:00:00"/>
    <m/>
    <d v="2016-12-31T00:00:00"/>
    <m/>
    <s v="UNTREF"/>
    <m/>
    <m/>
    <x v="18"/>
    <x v="3"/>
  </r>
  <r>
    <s v="SFMyCP"/>
    <x v="0"/>
    <x v="1"/>
    <x v="1"/>
    <x v="27"/>
    <x v="2"/>
    <m/>
    <m/>
    <s v="OPERACIÓN/MONTAJE/MANTENIMIENTO"/>
    <m/>
    <s v="CCK - Alem 351"/>
    <x v="169"/>
    <s v="DNI"/>
    <n v="32538637"/>
    <n v="20325386372"/>
    <d v="1986-10-2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5"/>
    <x v="25"/>
    <x v="2"/>
    <m/>
    <m/>
    <m/>
    <s v="CCK"/>
    <m/>
    <x v="170"/>
    <s v="DNI"/>
    <n v="36949773"/>
    <n v="20369497732"/>
    <m/>
    <m/>
    <m/>
    <m/>
    <m/>
    <s v="LEY MARCO"/>
    <x v="1"/>
    <d v="2015-04-01T00:00:00"/>
    <d v="2016-03-31T00:00:00"/>
    <d v="2016-12-31T00:00:00"/>
    <s v="D0"/>
    <m/>
    <m/>
    <n v="10190"/>
    <x v="45"/>
    <x v="5"/>
  </r>
  <r>
    <s v="SFMyCP"/>
    <x v="1"/>
    <x v="0"/>
    <x v="5"/>
    <x v="26"/>
    <x v="2"/>
    <m/>
    <s v="Analista"/>
    <s v="Analista"/>
    <s v="CCK"/>
    <s v="CCK - Alem 351"/>
    <x v="171"/>
    <s v="DNI"/>
    <n v="36688481"/>
    <s v="20366884816"/>
    <d v="1992-01-17T00:00:00"/>
    <m/>
    <m/>
    <m/>
    <m/>
    <s v="ASISTENCIA TÉCNICA"/>
    <x v="0"/>
    <d v="2013-11-15T00:00:00"/>
    <m/>
    <d v="2016-12-31T00:00:00"/>
    <m/>
    <s v="UNTREF"/>
    <s v="UNLAM- INFO"/>
    <n v="8981"/>
    <x v="28"/>
    <x v="7"/>
  </r>
  <r>
    <s v="SFMyCP"/>
    <x v="0"/>
    <x v="0"/>
    <x v="0"/>
    <x v="8"/>
    <x v="6"/>
    <m/>
    <s v="BACUA"/>
    <s v="ADMINISTRATIVO"/>
    <s v="CABILDO 65"/>
    <s v="CABILDO 65"/>
    <x v="172"/>
    <s v="DNI"/>
    <n v="28079864"/>
    <s v="27280798644"/>
    <d v="1980-04-11T00:00:00"/>
    <m/>
    <m/>
    <m/>
    <m/>
    <s v="ASISTENCIA TÉCNICA"/>
    <x v="0"/>
    <d v="2013-02-01T00:00:00"/>
    <m/>
    <d v="2016-12-31T00:00:00"/>
    <m/>
    <s v="UNTREF"/>
    <s v="UNSAM- LADA"/>
    <n v="16465"/>
    <x v="17"/>
    <x v="5"/>
  </r>
  <r>
    <s v="SFMyCP"/>
    <x v="0"/>
    <x v="1"/>
    <x v="1"/>
    <x v="31"/>
    <x v="2"/>
    <m/>
    <s v="DESARROLLOS"/>
    <s v="Asistente"/>
    <s v="CCK"/>
    <s v="CCK - Alem 351"/>
    <x v="173"/>
    <s v="DNI"/>
    <n v="34870420"/>
    <s v="27348704201"/>
    <d v="1989-10-03T00:00:00"/>
    <m/>
    <m/>
    <m/>
    <m/>
    <s v="ASISTENCIA TÉCNICA"/>
    <x v="0"/>
    <d v="2015-07-06T00:00:00"/>
    <m/>
    <d v="2016-12-31T00:00:00"/>
    <m/>
    <s v="UNTREF"/>
    <s v="UNSAM"/>
    <n v="10188"/>
    <x v="30"/>
    <x v="18"/>
  </r>
  <r>
    <s v="SFMyCP"/>
    <x v="0"/>
    <x v="1"/>
    <x v="3"/>
    <x v="27"/>
    <x v="2"/>
    <m/>
    <m/>
    <s v="OPERACIÓN/MONTAJE/MANTENIMIENTO"/>
    <s v="TECNÓPOLIS"/>
    <s v="TECNOPOLIS"/>
    <x v="174"/>
    <s v="DNI"/>
    <n v="31292992"/>
    <s v="23312929929"/>
    <d v="1985-01-04T00:00:00"/>
    <m/>
    <m/>
    <m/>
    <m/>
    <s v="ASISTENCIA TÉCNICA"/>
    <x v="0"/>
    <d v="2015-07-03T00:00:00"/>
    <m/>
    <d v="2016-12-31T00:00:00"/>
    <m/>
    <s v="UNTREF"/>
    <s v="UNTREF"/>
    <n v="15503.4"/>
    <x v="92"/>
    <x v="5"/>
  </r>
  <r>
    <s v="SFMyCP"/>
    <x v="1"/>
    <x v="0"/>
    <x v="5"/>
    <x v="17"/>
    <x v="17"/>
    <m/>
    <s v="Analista Sr de RR.HH."/>
    <m/>
    <s v="CCK"/>
    <m/>
    <x v="175"/>
    <s v="DNI"/>
    <n v="20007136"/>
    <n v="20200071361"/>
    <m/>
    <m/>
    <m/>
    <m/>
    <m/>
    <s v="LEY MARCO"/>
    <x v="1"/>
    <d v="2007-02-01T00:00:00"/>
    <d v="2016-12-31T00:00:00"/>
    <d v="2016-12-31T00:00:00"/>
    <s v="B5"/>
    <m/>
    <m/>
    <n v="25000"/>
    <x v="48"/>
    <x v="5"/>
  </r>
  <r>
    <s v="SFMyCP"/>
    <x v="0"/>
    <x v="1"/>
    <x v="1"/>
    <x v="5"/>
    <x v="18"/>
    <m/>
    <s v="Asesor"/>
    <m/>
    <s v="CCK"/>
    <m/>
    <x v="176"/>
    <s v="DNI"/>
    <n v="17968607"/>
    <n v="20179686075"/>
    <m/>
    <m/>
    <m/>
    <m/>
    <m/>
    <s v="LEY MARCO"/>
    <x v="1"/>
    <d v="2015-06-01T00:00:00"/>
    <d v="2016-03-31T00:00:00"/>
    <d v="2016-12-31T00:00:00"/>
    <s v="C1"/>
    <m/>
    <m/>
    <n v="29784"/>
    <x v="55"/>
    <x v="5"/>
  </r>
  <r>
    <s v="SFMyCP"/>
    <x v="0"/>
    <x v="1"/>
    <x v="1"/>
    <x v="5"/>
    <x v="19"/>
    <m/>
    <s v="Coordinador"/>
    <s v="Coordinador"/>
    <s v="CCK"/>
    <s v="CCK - Alem 351"/>
    <x v="177"/>
    <s v="DNI"/>
    <n v="11293948"/>
    <n v="20112939483"/>
    <d v="1954-09-16T00:00:00"/>
    <m/>
    <m/>
    <m/>
    <m/>
    <s v="ASISTENCIA TÉCNICA"/>
    <x v="0"/>
    <d v="2015-05-05T00:00:00"/>
    <m/>
    <d v="2016-12-31T00:00:00"/>
    <m/>
    <s v="UNTREF"/>
    <s v="UNLAM- BICENTENARIO"/>
    <n v="30000"/>
    <x v="93"/>
    <x v="20"/>
  </r>
  <r>
    <s v="SFMyCP"/>
    <x v="1"/>
    <x v="0"/>
    <x v="5"/>
    <x v="25"/>
    <x v="2"/>
    <m/>
    <s v="PRIVADA"/>
    <s v="Administrativo"/>
    <m/>
    <s v="TECNOPOLIS"/>
    <x v="178"/>
    <s v="DNI"/>
    <n v="27507704"/>
    <n v="27275077041"/>
    <d v="1979-05-22T00:00:00"/>
    <m/>
    <m/>
    <m/>
    <m/>
    <s v="ASISTENCIA TÉCNICA"/>
    <x v="0"/>
    <d v="2016-04-01T00:00:00"/>
    <m/>
    <d v="2016-12-31T00:00:00"/>
    <m/>
    <s v="UNTREF"/>
    <m/>
    <m/>
    <x v="18"/>
    <x v="3"/>
  </r>
  <r>
    <s v="SFMyCP"/>
    <x v="0"/>
    <x v="1"/>
    <x v="3"/>
    <x v="32"/>
    <x v="2"/>
    <m/>
    <m/>
    <s v="MANTENIMIENTO GENERAÑ"/>
    <s v="TECNÓPOLIS"/>
    <s v="TECNOPOLIS"/>
    <x v="179"/>
    <s v="DNI"/>
    <n v="31091613"/>
    <s v="20310916138"/>
    <d v="1984-10-13T00:00:00"/>
    <m/>
    <m/>
    <m/>
    <m/>
    <s v="ASISTENCIA TÉCNICA"/>
    <x v="0"/>
    <d v="2015-09-01T00:00:00"/>
    <m/>
    <d v="2016-12-31T00:00:00"/>
    <m/>
    <s v="UNTREF"/>
    <s v="UNTREF"/>
    <n v="8035.31"/>
    <x v="94"/>
    <x v="5"/>
  </r>
  <r>
    <s v="SFMyCP"/>
    <x v="1"/>
    <x v="0"/>
    <x v="5"/>
    <x v="2"/>
    <x v="2"/>
    <m/>
    <s v="JGM"/>
    <s v="ADMINISTRATIVO"/>
    <m/>
    <s v="CCK - Alem 351"/>
    <x v="180"/>
    <s v="DNI"/>
    <n v="7374442"/>
    <n v="20073744424"/>
    <d v="1948-12-05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3"/>
    <x v="2"/>
    <m/>
    <m/>
    <s v="LIMPIEZA GENERAL DEL PARQUE"/>
    <s v="TECNÓPOLIS"/>
    <s v="TECNOPOLIS"/>
    <x v="181"/>
    <s v="DNI"/>
    <n v="20341389"/>
    <s v="27203413896"/>
    <d v="1986-07-14T00:00:00"/>
    <m/>
    <m/>
    <m/>
    <m/>
    <s v="ASISTENCIA TÉCNICA"/>
    <x v="0"/>
    <d v="2012-07-01T00:00:00"/>
    <m/>
    <d v="2016-12-31T00:00:00"/>
    <m/>
    <s v="UNTREF"/>
    <s v="UNTREF"/>
    <n v="9955.51"/>
    <x v="95"/>
    <x v="5"/>
  </r>
  <r>
    <s v="SFMyCP"/>
    <x v="1"/>
    <x v="0"/>
    <x v="5"/>
    <x v="26"/>
    <x v="2"/>
    <m/>
    <s v="ASESORA"/>
    <s v="Analista"/>
    <s v="CCK"/>
    <s v="CCK - Alem 351"/>
    <x v="182"/>
    <s v="DNI"/>
    <n v="25284962"/>
    <s v="27252849624"/>
    <d v="1976-05-28T00:00:00"/>
    <m/>
    <m/>
    <m/>
    <m/>
    <s v="ASISTENCIA TÉCNICA"/>
    <x v="0"/>
    <m/>
    <m/>
    <d v="2016-12-31T00:00:00"/>
    <m/>
    <s v="UNTREF"/>
    <s v="UNLAM- INFO"/>
    <n v="14014"/>
    <x v="96"/>
    <x v="21"/>
  </r>
  <r>
    <s v="SFMyCP"/>
    <x v="0"/>
    <x v="1"/>
    <x v="1"/>
    <x v="27"/>
    <x v="20"/>
    <m/>
    <m/>
    <s v="ADMINISTRATIVO"/>
    <m/>
    <s v="CCK - Alem 351"/>
    <x v="183"/>
    <s v="DNI"/>
    <n v="25051947"/>
    <n v="20250519479"/>
    <d v="1976-04-0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184"/>
    <s v="DNI"/>
    <n v="33022528"/>
    <n v="27330225284"/>
    <d v="1987-05-19T00:00:00"/>
    <m/>
    <m/>
    <m/>
    <m/>
    <s v="ASISTENCIA TÉCNICA"/>
    <x v="0"/>
    <m/>
    <m/>
    <d v="2016-12-31T00:00:00"/>
    <m/>
    <s v="UNTREF"/>
    <m/>
    <m/>
    <x v="18"/>
    <x v="3"/>
  </r>
  <r>
    <s v="SFMyCP"/>
    <x v="1"/>
    <x v="0"/>
    <x v="5"/>
    <x v="18"/>
    <x v="2"/>
    <s v="(IGUALDAD CULTURAL)"/>
    <s v="ASESORA LEGAL"/>
    <m/>
    <s v="CCK"/>
    <m/>
    <x v="185"/>
    <s v="DNI"/>
    <n v="28964645"/>
    <n v="27289646456"/>
    <m/>
    <m/>
    <m/>
    <m/>
    <m/>
    <s v="LEY MARCO"/>
    <x v="1"/>
    <d v="2008-11-01T00:00:00"/>
    <d v="2016-12-31T00:00:00"/>
    <d v="2016-12-31T00:00:00"/>
    <s v="B2"/>
    <m/>
    <m/>
    <n v="18334"/>
    <x v="97"/>
    <x v="5"/>
  </r>
  <r>
    <s v="SFMyCP"/>
    <x v="0"/>
    <x v="0"/>
    <x v="0"/>
    <x v="8"/>
    <x v="4"/>
    <m/>
    <s v="PRODUCCIÓN"/>
    <s v="PRODUCTOR de EXTERIORES"/>
    <s v="CABILDO 65"/>
    <s v="CABILDO 65"/>
    <x v="186"/>
    <s v="DNI"/>
    <n v="23124300"/>
    <s v="20231243004"/>
    <d v="1973-01-11T00:00:00"/>
    <m/>
    <m/>
    <m/>
    <m/>
    <s v="ASISTENCIA TÉCNICA"/>
    <x v="0"/>
    <d v="2015-03-02T00:00:00"/>
    <m/>
    <d v="2016-12-31T00:00:00"/>
    <m/>
    <s v="UNTREF"/>
    <m/>
    <n v="20989"/>
    <x v="98"/>
    <x v="3"/>
  </r>
  <r>
    <s v="SFMyCP"/>
    <x v="0"/>
    <x v="1"/>
    <x v="1"/>
    <x v="14"/>
    <x v="2"/>
    <m/>
    <m/>
    <m/>
    <s v="CCK"/>
    <s v="CCK - Alem 351"/>
    <x v="187"/>
    <s v="DNI"/>
    <n v="31829624"/>
    <n v="27318296249"/>
    <m/>
    <m/>
    <m/>
    <m/>
    <m/>
    <s v="LEY MARCO"/>
    <x v="1"/>
    <d v="2012-11-30T00:00:00"/>
    <d v="2016-12-31T00:00:00"/>
    <d v="2016-12-31T00:00:00"/>
    <s v="C0"/>
    <m/>
    <m/>
    <n v="22174"/>
    <x v="99"/>
    <x v="5"/>
  </r>
  <r>
    <s v="SFMyCP"/>
    <x v="0"/>
    <x v="0"/>
    <x v="8"/>
    <x v="1"/>
    <x v="2"/>
    <m/>
    <m/>
    <s v="ADMINISTRATIVO"/>
    <m/>
    <s v="CCK - Alem 351"/>
    <x v="188"/>
    <s v="DNI"/>
    <n v="25701825"/>
    <s v="20257018254"/>
    <d v="1977-01-15T00:00:00"/>
    <m/>
    <m/>
    <m/>
    <m/>
    <s v="ASISTENCIA TÉCNICA"/>
    <x v="0"/>
    <d v="2016-03-01T00:00:00"/>
    <m/>
    <d v="2016-12-31T00:00:00"/>
    <m/>
    <s v="UNTREF"/>
    <m/>
    <n v="12000"/>
    <x v="7"/>
    <x v="3"/>
  </r>
  <r>
    <s v="SFMyCP"/>
    <x v="0"/>
    <x v="0"/>
    <x v="0"/>
    <x v="0"/>
    <x v="0"/>
    <m/>
    <s v="DESARROLLOS"/>
    <s v="ANALISTA"/>
    <s v="PALPALÁ-JUJUY"/>
    <s v="PALPALÁ-JUJUY"/>
    <x v="189"/>
    <s v="DNI"/>
    <n v="30029488"/>
    <n v="20300294880"/>
    <d v="1983-10-21T00:00:00"/>
    <m/>
    <m/>
    <m/>
    <m/>
    <s v="ASISTENCIA TÉCNICA"/>
    <x v="0"/>
    <d v="2015-09-01T00:00:00"/>
    <m/>
    <d v="2016-12-31T00:00:00"/>
    <m/>
    <s v="UNTREF"/>
    <s v="UNSAM"/>
    <n v="13000"/>
    <x v="90"/>
    <x v="0"/>
  </r>
  <r>
    <s v="SFMyCP"/>
    <x v="0"/>
    <x v="1"/>
    <x v="1"/>
    <x v="5"/>
    <x v="14"/>
    <s v="ACCESO ALEM"/>
    <s v="Asistente"/>
    <s v="Asistente"/>
    <s v="CCK"/>
    <s v="CCK - Alem 351"/>
    <x v="190"/>
    <s v="DNI"/>
    <n v="37274121"/>
    <s v="20372741210"/>
    <d v="1992-12-28T00:00:00"/>
    <m/>
    <m/>
    <m/>
    <m/>
    <s v="ASISTENCIA TÉCNICA"/>
    <x v="0"/>
    <d v="2015-08-01T00:00:00"/>
    <m/>
    <d v="2016-12-31T00:00:00"/>
    <m/>
    <s v="UNTREF"/>
    <s v="UNLAM- BICENTENARIO"/>
    <n v="10096"/>
    <x v="5"/>
    <x v="4"/>
  </r>
  <r>
    <s v="SFMyCP"/>
    <x v="0"/>
    <x v="1"/>
    <x v="3"/>
    <x v="2"/>
    <x v="2"/>
    <m/>
    <m/>
    <s v="MANTENIMIENTO DE ESPACIOS VERDES"/>
    <m/>
    <s v="TECNOPOLIS"/>
    <x v="191"/>
    <s v="DNI"/>
    <n v="38423281"/>
    <s v="20384232818"/>
    <d v="1994-07-20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192"/>
    <s v="DNI"/>
    <n v="33305513"/>
    <s v="23333055139"/>
    <d v="1987-08-10T00:00:00"/>
    <m/>
    <m/>
    <m/>
    <m/>
    <s v="ASISTENCIA TÉCNICA"/>
    <x v="0"/>
    <d v="2012-05-01T00:00:00"/>
    <m/>
    <d v="2016-12-31T00:00:00"/>
    <m/>
    <s v="UNTREF"/>
    <m/>
    <n v="19987"/>
    <x v="100"/>
    <x v="3"/>
  </r>
  <r>
    <s v="SFMyCP"/>
    <x v="0"/>
    <x v="1"/>
    <x v="1"/>
    <x v="1"/>
    <x v="1"/>
    <m/>
    <m/>
    <s v="ADMINISTRATIVO"/>
    <m/>
    <s v="CCK - Alem 351"/>
    <x v="193"/>
    <s v="DNI"/>
    <n v="23470508"/>
    <n v="20234705084"/>
    <d v="1973-08-19T00:00:00"/>
    <m/>
    <m/>
    <m/>
    <m/>
    <s v="ASISTENCIA TÉCNICA"/>
    <x v="0"/>
    <d v="2016-05-15T00:00:00"/>
    <m/>
    <d v="2016-12-31T00:00:00"/>
    <m/>
    <s v="UNTREF"/>
    <m/>
    <n v="17000"/>
    <x v="50"/>
    <x v="3"/>
  </r>
  <r>
    <s v="SFMyCP"/>
    <x v="0"/>
    <x v="0"/>
    <x v="0"/>
    <x v="8"/>
    <x v="4"/>
    <m/>
    <s v="POSTPRODUCCIÓN"/>
    <s v="ADMINISTRATIVO"/>
    <s v="CABILDO 65"/>
    <s v="CABILDO 65"/>
    <x v="194"/>
    <s v="DNI"/>
    <n v="29721412"/>
    <s v="20297214129"/>
    <d v="1982-11-22T00:00:00"/>
    <m/>
    <m/>
    <m/>
    <m/>
    <s v="ASISTENCIA TÉCNICA"/>
    <x v="0"/>
    <d v="2012-04-16T00:00:00"/>
    <m/>
    <d v="2016-12-31T00:00:00"/>
    <m/>
    <s v="UNTREF"/>
    <s v="UNSAM- LADA"/>
    <n v="25763"/>
    <x v="98"/>
    <x v="5"/>
  </r>
  <r>
    <s v="SFMyCP"/>
    <x v="0"/>
    <x v="1"/>
    <x v="3"/>
    <x v="9"/>
    <x v="2"/>
    <m/>
    <s v="ADMINISTRATIVO"/>
    <m/>
    <s v="TECNÓPOLIS"/>
    <m/>
    <x v="195"/>
    <s v="DNI"/>
    <n v="36702151"/>
    <n v="27367021514"/>
    <m/>
    <m/>
    <m/>
    <m/>
    <m/>
    <s v="LEY MARCO"/>
    <x v="1"/>
    <d v="2010-11-01T00:00:00"/>
    <d v="2016-12-31T00:00:00"/>
    <d v="2016-12-31T00:00:00"/>
    <s v="C1"/>
    <m/>
    <m/>
    <n v="22491"/>
    <x v="101"/>
    <x v="5"/>
  </r>
  <r>
    <s v="SFMyCP"/>
    <x v="0"/>
    <x v="1"/>
    <x v="1"/>
    <x v="27"/>
    <x v="2"/>
    <m/>
    <m/>
    <s v="OPERACIÓN/MONTAJE/MANTENIMIENTO"/>
    <m/>
    <s v="CCK - Alem 351"/>
    <x v="196"/>
    <s v="DNI"/>
    <n v="27627728"/>
    <n v="20276277281"/>
    <d v="1979-08-22T00:00:00"/>
    <m/>
    <m/>
    <m/>
    <m/>
    <s v="ASISTENCIA TÉCNICA"/>
    <x v="0"/>
    <d v="2016-07-01T00:00:00"/>
    <m/>
    <d v="2016-08-31T00:00:00"/>
    <m/>
    <s v="UNTREF"/>
    <m/>
    <m/>
    <x v="18"/>
    <x v="3"/>
  </r>
  <r>
    <s v="SFMyCP"/>
    <x v="0"/>
    <x v="1"/>
    <x v="1"/>
    <x v="5"/>
    <x v="14"/>
    <s v="ACCESO BOUCHARD"/>
    <s v="Asistente"/>
    <s v="Asistente"/>
    <s v="CCK"/>
    <s v="CCK - Alem 351"/>
    <x v="197"/>
    <s v="DNI"/>
    <n v="36948427"/>
    <s v="20369484274"/>
    <d v="1992-09-16T00:00:00"/>
    <m/>
    <m/>
    <m/>
    <m/>
    <s v="ASISTENCIA TÉCNICA"/>
    <x v="0"/>
    <d v="2015-08-01T00:00:00"/>
    <m/>
    <d v="2016-12-31T00:00:00"/>
    <m/>
    <s v="UNTREF"/>
    <s v="UNLAM- BICENTENARIO"/>
    <n v="10096"/>
    <x v="5"/>
    <x v="4"/>
  </r>
  <r>
    <s v="SFMyCP"/>
    <x v="0"/>
    <x v="1"/>
    <x v="3"/>
    <x v="4"/>
    <x v="2"/>
    <m/>
    <s v="COCINA"/>
    <s v="SUPERVISÓN CONTROL DE CALIDAD DE MERCADERÍA/ISO"/>
    <s v="TECNÓPOLIS"/>
    <s v="TECNOPOLIS"/>
    <x v="198"/>
    <s v="DNI"/>
    <n v="29582611"/>
    <s v="27295826113"/>
    <d v="1982-06-10T00:00:00"/>
    <m/>
    <m/>
    <m/>
    <m/>
    <s v="ASISTENCIA TÉCNICA"/>
    <x v="0"/>
    <d v="2015-07-01T00:00:00"/>
    <m/>
    <d v="2016-12-31T00:00:00"/>
    <m/>
    <s v="UNTREF"/>
    <s v="UNTREF"/>
    <n v="9500"/>
    <x v="77"/>
    <x v="5"/>
  </r>
  <r>
    <s v="SFMyCP"/>
    <x v="0"/>
    <x v="1"/>
    <x v="1"/>
    <x v="5"/>
    <x v="13"/>
    <s v="LOGISTICA OPERATIVA"/>
    <s v="Auxiliar de Mantenimiento"/>
    <s v="Auxiliar de Mantenimiento"/>
    <s v="CCK"/>
    <s v="CCK - Alem 351"/>
    <x v="199"/>
    <s v="DNI"/>
    <n v="23490897"/>
    <n v="20234908972"/>
    <d v="1990-05-15T00:00:00"/>
    <m/>
    <m/>
    <m/>
    <m/>
    <s v="ASISTENCIA TÉCNICA"/>
    <x v="0"/>
    <d v="2015-07-03T00:00:00"/>
    <m/>
    <d v="2016-12-31T00:00:00"/>
    <m/>
    <s v="UNTREF"/>
    <s v="UNLAM- BICENTENARIO"/>
    <n v="10166"/>
    <x v="5"/>
    <x v="7"/>
  </r>
  <r>
    <s v="SFMyCP"/>
    <x v="0"/>
    <x v="1"/>
    <x v="3"/>
    <x v="3"/>
    <x v="2"/>
    <m/>
    <m/>
    <s v="LIMPIEZA DE OFICINAS/BAÑOS Y CAFETARIA DEL IBC"/>
    <s v="CCK"/>
    <s v="CCK - Alem 351"/>
    <x v="200"/>
    <s v="DNI"/>
    <n v="13165661"/>
    <s v="27131656616"/>
    <d v="1957-04-07T00:00:00"/>
    <m/>
    <m/>
    <m/>
    <m/>
    <s v="ASISTENCIA TÉCNICA"/>
    <x v="0"/>
    <d v="2013-07-01T00:00:00"/>
    <m/>
    <d v="2016-12-31T00:00:00"/>
    <m/>
    <s v="UNTREF"/>
    <s v="UNTREF"/>
    <n v="9995.51"/>
    <x v="19"/>
    <x v="5"/>
  </r>
  <r>
    <s v="SFMyCP"/>
    <x v="0"/>
    <x v="0"/>
    <x v="0"/>
    <x v="0"/>
    <x v="0"/>
    <m/>
    <s v="GESTION DE PROYECTOS"/>
    <s v="ANALISTA"/>
    <s v="PALPALÁ-JUJUY"/>
    <s v="PALPALÁ-JUJUY"/>
    <x v="201"/>
    <s v="DNI"/>
    <n v="25287129"/>
    <n v="20252871293"/>
    <d v="1976-07-15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0"/>
    <x v="0"/>
    <x v="0"/>
    <x v="8"/>
    <x v="6"/>
    <m/>
    <s v="TÉCNICA Y TRANSMISIÓN"/>
    <s v="ADMINISTRATIVO"/>
    <s v="CABILDO 65"/>
    <s v="CABILDO 65"/>
    <x v="202"/>
    <s v="DNI"/>
    <n v="25325251"/>
    <s v="27253252516"/>
    <d v="1976-07-21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0"/>
    <x v="1"/>
    <x v="1"/>
    <x v="14"/>
    <x v="2"/>
    <m/>
    <m/>
    <m/>
    <s v="TECNÓPOLIS"/>
    <m/>
    <x v="203"/>
    <s v="DNI"/>
    <n v="22885684"/>
    <n v="20228856844"/>
    <m/>
    <m/>
    <m/>
    <m/>
    <m/>
    <s v="LEY MARCO"/>
    <x v="1"/>
    <d v="2011-07-01T00:00:00"/>
    <d v="2016-12-31T00:00:00"/>
    <d v="2016-12-31T00:00:00"/>
    <s v="C0"/>
    <m/>
    <m/>
    <n v="28848.48"/>
    <x v="102"/>
    <x v="5"/>
  </r>
  <r>
    <s v="SFMyCP"/>
    <x v="0"/>
    <x v="0"/>
    <x v="0"/>
    <x v="8"/>
    <x v="6"/>
    <m/>
    <s v="POSTPRODUCCIÓN"/>
    <s v="EDICION"/>
    <s v="CABILDO 65"/>
    <s v="CABILDO 65"/>
    <x v="204"/>
    <s v="DNI"/>
    <n v="30930552"/>
    <s v="20309305524"/>
    <d v="1984-04-11T00:00:00"/>
    <m/>
    <m/>
    <m/>
    <m/>
    <s v="ASISTENCIA TÉCNICA"/>
    <x v="0"/>
    <d v="2013-04-13T00:00:00"/>
    <m/>
    <d v="2016-12-31T00:00:00"/>
    <m/>
    <s v="UNTREF"/>
    <s v="UNSAM- LADA"/>
    <n v="19353"/>
    <x v="36"/>
    <x v="5"/>
  </r>
  <r>
    <s v="SFMyCP"/>
    <x v="0"/>
    <x v="1"/>
    <x v="1"/>
    <x v="14"/>
    <x v="2"/>
    <m/>
    <m/>
    <m/>
    <s v="CCK"/>
    <s v="CCK - Alem 351"/>
    <x v="205"/>
    <s v="DNI"/>
    <n v="30862762"/>
    <n v="20308627625"/>
    <m/>
    <m/>
    <m/>
    <m/>
    <m/>
    <s v="LEY MARCO"/>
    <x v="1"/>
    <d v="2012-11-30T00:00:00"/>
    <d v="2016-12-31T00:00:00"/>
    <d v="2016-12-31T00:00:00"/>
    <s v="D0"/>
    <m/>
    <m/>
    <n v="18724.21"/>
    <x v="103"/>
    <x v="5"/>
  </r>
  <r>
    <s v="SFMyCP"/>
    <x v="0"/>
    <x v="0"/>
    <x v="9"/>
    <x v="2"/>
    <x v="2"/>
    <m/>
    <s v="DIRECTOR"/>
    <s v="COORDINACIÖN"/>
    <m/>
    <s v="CCK - Alem 351"/>
    <x v="206"/>
    <s v="DNI"/>
    <n v="21588783"/>
    <n v="27215887834"/>
    <d v="1970-06-26T00:00:00"/>
    <m/>
    <m/>
    <m/>
    <m/>
    <s v="ASISTENCIA TÉCNICA"/>
    <x v="0"/>
    <d v="2016-01-01T00:00:00"/>
    <m/>
    <d v="2016-12-31T00:00:00"/>
    <m/>
    <s v="UNTREF"/>
    <s v="UNSAM"/>
    <n v="27000"/>
    <x v="53"/>
    <x v="13"/>
  </r>
  <r>
    <s v="SFMyCP"/>
    <x v="0"/>
    <x v="0"/>
    <x v="4"/>
    <x v="2"/>
    <x v="2"/>
    <m/>
    <s v="ASISTENTE"/>
    <m/>
    <s v="CCK"/>
    <m/>
    <x v="207"/>
    <s v="DNI"/>
    <n v="28792441"/>
    <n v="20287924411"/>
    <m/>
    <m/>
    <m/>
    <m/>
    <m/>
    <s v="LEY MARCO"/>
    <x v="1"/>
    <d v="2015-05-01T00:00:00"/>
    <d v="2016-03-31T00:00:00"/>
    <d v="2016-12-31T00:00:00"/>
    <s v="B0"/>
    <m/>
    <m/>
    <n v="17107"/>
    <x v="104"/>
    <x v="5"/>
  </r>
  <r>
    <s v="SFMyCP"/>
    <x v="0"/>
    <x v="1"/>
    <x v="3"/>
    <x v="15"/>
    <x v="2"/>
    <m/>
    <m/>
    <s v="ATENCIÓN DE MOSTRADOR"/>
    <s v="TECNÓPOLIS"/>
    <s v="TECNOPOLIS"/>
    <x v="208"/>
    <s v="DNI"/>
    <n v="38854457"/>
    <s v="20388544571"/>
    <d v="1995-05-24T00:00:00"/>
    <m/>
    <m/>
    <m/>
    <m/>
    <s v="ASISTENCIA TÉCNICA"/>
    <x v="0"/>
    <d v="2013-08-01T00:00:00"/>
    <m/>
    <d v="2016-12-31T00:00:00"/>
    <m/>
    <s v="UNTREF"/>
    <s v="UNTREF"/>
    <n v="11449.4"/>
    <x v="8"/>
    <x v="5"/>
  </r>
  <r>
    <s v="SFMyCP"/>
    <x v="1"/>
    <x v="0"/>
    <x v="5"/>
    <x v="17"/>
    <x v="17"/>
    <m/>
    <s v="Analista de RR.HH."/>
    <s v="ADMINISTRATIVO"/>
    <s v="CCK"/>
    <s v="CCK - Alem 351"/>
    <x v="209"/>
    <s v="DNI"/>
    <n v="27259209"/>
    <s v="27272592093"/>
    <d v="1979-04-19T00:00:00"/>
    <m/>
    <m/>
    <m/>
    <m/>
    <s v="ASISTENCIA TÉCNICA"/>
    <x v="0"/>
    <d v="2015-09-11T00:00:00"/>
    <m/>
    <d v="2016-12-31T00:00:00"/>
    <m/>
    <s v="UNTREF"/>
    <s v="UNLAM -TDA"/>
    <n v="10910"/>
    <x v="5"/>
    <x v="7"/>
  </r>
  <r>
    <s v="SFMyCP"/>
    <x v="1"/>
    <x v="0"/>
    <x v="5"/>
    <x v="26"/>
    <x v="2"/>
    <m/>
    <m/>
    <m/>
    <m/>
    <m/>
    <x v="210"/>
    <s v="DNI"/>
    <n v="21915097"/>
    <n v="20219150971"/>
    <m/>
    <m/>
    <m/>
    <m/>
    <m/>
    <s v="LEY MARCO"/>
    <x v="1"/>
    <d v="2015-03-01T00:00:00"/>
    <d v="2016-03-31T00:00:00"/>
    <d v="2016-12-31T00:00:00"/>
    <s v="B1"/>
    <m/>
    <m/>
    <n v="18277"/>
    <x v="88"/>
    <x v="5"/>
  </r>
  <r>
    <s v="SFMyCP"/>
    <x v="0"/>
    <x v="1"/>
    <x v="1"/>
    <x v="16"/>
    <x v="2"/>
    <m/>
    <s v="Asistente funcional"/>
    <s v="asistente funcional"/>
    <s v="CCK"/>
    <s v="CCK - Alem 351"/>
    <x v="211"/>
    <s v="DNI"/>
    <n v="35172281"/>
    <s v="27351722814"/>
    <d v="1990-04-10T00:00:00"/>
    <m/>
    <m/>
    <m/>
    <m/>
    <s v="ASISTENCIA TÉCNICA"/>
    <x v="0"/>
    <d v="2013-09-02T00:00:00"/>
    <m/>
    <d v="2016-12-31T00:00:00"/>
    <m/>
    <s v="UNTREF"/>
    <s v="UNLAM- DGA"/>
    <n v="11728"/>
    <x v="49"/>
    <x v="9"/>
  </r>
  <r>
    <s v="SFMyCP"/>
    <x v="0"/>
    <x v="1"/>
    <x v="1"/>
    <x v="16"/>
    <x v="11"/>
    <m/>
    <m/>
    <s v="VISITAS GUIADAS"/>
    <m/>
    <s v="CCK - Alem 351"/>
    <x v="212"/>
    <s v="DNI"/>
    <n v="33761570"/>
    <n v="27337615703"/>
    <d v="1988-10-18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0"/>
    <x v="0"/>
    <m/>
    <s v="DESARROLLOS"/>
    <s v="ANALISTA"/>
    <s v="PALPALÁ-JUJUY"/>
    <s v="PALPALÁ-JUJUY"/>
    <x v="213"/>
    <s v="DNI"/>
    <n v="30012181"/>
    <n v="20300121811"/>
    <d v="1983-04-28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0"/>
    <x v="1"/>
    <x v="3"/>
    <x v="29"/>
    <x v="2"/>
    <m/>
    <m/>
    <m/>
    <s v="TECNÓPOLIS"/>
    <m/>
    <x v="214"/>
    <s v="DNI"/>
    <n v="28620660"/>
    <n v="27286206609"/>
    <m/>
    <m/>
    <m/>
    <m/>
    <m/>
    <s v="LEY MARCO"/>
    <x v="1"/>
    <d v="2012-11-30T00:00:00"/>
    <d v="2016-12-31T00:00:00"/>
    <d v="2016-12-31T00:00:00"/>
    <s v="D0"/>
    <m/>
    <m/>
    <n v="22781.79"/>
    <x v="105"/>
    <x v="5"/>
  </r>
  <r>
    <s v="SFMyCP"/>
    <x v="0"/>
    <x v="1"/>
    <x v="3"/>
    <x v="27"/>
    <x v="2"/>
    <m/>
    <m/>
    <s v="PRODUCCIÓN DE CAMPO/LOGISTICA/ARMADO"/>
    <s v="TECNÓPOLIS"/>
    <s v="TECNOPOLIS"/>
    <x v="215"/>
    <s v="DNI"/>
    <n v="17110640"/>
    <s v="20171106401"/>
    <d v="1964-12-13T00:00:00"/>
    <m/>
    <m/>
    <m/>
    <m/>
    <s v="ASISTENCIA TÉCNICA"/>
    <x v="0"/>
    <d v="2013-03-06T00:00:00"/>
    <m/>
    <d v="2016-12-31T00:00:00"/>
    <m/>
    <s v="UNTREF"/>
    <s v="UNTREF"/>
    <n v="17694.53"/>
    <x v="106"/>
    <x v="5"/>
  </r>
  <r>
    <s v="SFMyCP"/>
    <x v="0"/>
    <x v="1"/>
    <x v="3"/>
    <x v="20"/>
    <x v="2"/>
    <m/>
    <m/>
    <m/>
    <s v="TECNÓPOLIS"/>
    <m/>
    <x v="216"/>
    <s v="DNI"/>
    <n v="38128842"/>
    <n v="27381288426"/>
    <m/>
    <m/>
    <m/>
    <m/>
    <m/>
    <s v="LEY MARCO"/>
    <x v="1"/>
    <d v="2012-11-30T00:00:00"/>
    <d v="2016-12-31T00:00:00"/>
    <d v="2016-12-31T00:00:00"/>
    <s v="C0"/>
    <m/>
    <m/>
    <n v="15043.07"/>
    <x v="107"/>
    <x v="5"/>
  </r>
  <r>
    <s v="SFMyCP"/>
    <x v="0"/>
    <x v="1"/>
    <x v="1"/>
    <x v="5"/>
    <x v="3"/>
    <s v="LIMPIEZA (En comisión Tecnópolis)"/>
    <s v="Asistente"/>
    <s v="OPERATIVA Y LOGISTICA"/>
    <s v="CCK"/>
    <s v="CCK - Alem 351"/>
    <x v="217"/>
    <s v="DNI"/>
    <n v="34435620"/>
    <s v="20344356204"/>
    <d v="1978-11-04T00:00:00"/>
    <m/>
    <m/>
    <m/>
    <m/>
    <s v="ASISTENCIA TÉCNICA"/>
    <x v="0"/>
    <d v="2015-06-10T00:00:00"/>
    <m/>
    <d v="2016-12-31T00:00:00"/>
    <m/>
    <s v="UNTREF"/>
    <s v="UNTREF"/>
    <n v="10500"/>
    <x v="5"/>
    <x v="4"/>
  </r>
  <r>
    <s v="SFMyCP"/>
    <x v="0"/>
    <x v="0"/>
    <x v="0"/>
    <x v="8"/>
    <x v="6"/>
    <m/>
    <s v="PANORAMA ARGENTINO"/>
    <s v="PRODUCTOR de EXTERIORES"/>
    <s v="CABILDO 65"/>
    <s v="CABILDO 65"/>
    <x v="218"/>
    <s v="DNI"/>
    <n v="27108257"/>
    <s v="27271082571"/>
    <d v="1979-03-27T00:00:00"/>
    <m/>
    <m/>
    <m/>
    <m/>
    <s v="ASISTENCIA TÉCNICA"/>
    <x v="0"/>
    <d v="2011-09-26T00:00:00"/>
    <m/>
    <d v="2016-12-31T00:00:00"/>
    <m/>
    <s v="UNTREF"/>
    <s v="UNSAM- LADA"/>
    <n v="31238"/>
    <x v="108"/>
    <x v="5"/>
  </r>
  <r>
    <s v="SFMyCP"/>
    <x v="0"/>
    <x v="1"/>
    <x v="3"/>
    <x v="23"/>
    <x v="2"/>
    <m/>
    <m/>
    <m/>
    <s v="TECNÓPOLIS"/>
    <m/>
    <x v="219"/>
    <s v="DNI"/>
    <n v="11230423"/>
    <n v="20112304232"/>
    <m/>
    <m/>
    <m/>
    <m/>
    <m/>
    <s v="LEY MARCO"/>
    <x v="1"/>
    <d v="2012-12-01T00:00:00"/>
    <d v="2016-12-31T00:00:00"/>
    <d v="2016-12-31T00:00:00"/>
    <s v="B5"/>
    <m/>
    <m/>
    <n v="25047.11"/>
    <x v="109"/>
    <x v="5"/>
  </r>
  <r>
    <s v="SFMyCP"/>
    <x v="0"/>
    <x v="0"/>
    <x v="0"/>
    <x v="8"/>
    <x v="6"/>
    <m/>
    <s v="ADMINISTRACIÓN"/>
    <m/>
    <s v="CABILDO 65"/>
    <m/>
    <x v="220"/>
    <s v="DNI"/>
    <n v="30220115"/>
    <n v="27302201159"/>
    <m/>
    <m/>
    <m/>
    <m/>
    <m/>
    <s v="LEY MARCO"/>
    <x v="1"/>
    <d v="2012-12-01T00:00:00"/>
    <d v="2016-12-31T00:00:00"/>
    <d v="2016-12-31T00:00:00"/>
    <s v="C1"/>
    <m/>
    <m/>
    <n v="12274"/>
    <x v="23"/>
    <x v="5"/>
  </r>
  <r>
    <s v="SFMyCP"/>
    <x v="0"/>
    <x v="0"/>
    <x v="0"/>
    <x v="8"/>
    <x v="6"/>
    <m/>
    <s v="CONTENIDOS DIGITALES ABIERTOS CDA"/>
    <s v="ADMINISTRATIVO"/>
    <s v="CABILDO 65"/>
    <s v="CABILDO 65"/>
    <x v="221"/>
    <s v="DNI"/>
    <n v="36086015"/>
    <s v="23360860159"/>
    <d v="1991-10-01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1"/>
    <x v="0"/>
    <x v="2"/>
    <x v="2"/>
    <x v="2"/>
    <m/>
    <s v="PRIVADA"/>
    <s v="ADMINISTRATIVO"/>
    <m/>
    <s v="CCK - Alem 351"/>
    <x v="222"/>
    <s v="DNI"/>
    <n v="16975219"/>
    <s v="27169752198"/>
    <d v="1964-04-17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0"/>
    <x v="1"/>
    <x v="1"/>
    <x v="5"/>
    <x v="21"/>
    <m/>
    <s v="Asistente"/>
    <s v="Asistente"/>
    <s v="CCK"/>
    <s v="CCK - Alem 351"/>
    <x v="223"/>
    <s v="DNI"/>
    <n v="18882003"/>
    <s v="23188820034"/>
    <d v="1989-05-10T00:00:00"/>
    <m/>
    <m/>
    <m/>
    <m/>
    <s v="ASISTENCIA TÉCNICA"/>
    <x v="0"/>
    <d v="2014-02-01T00:00:00"/>
    <m/>
    <d v="2016-12-31T00:00:00"/>
    <m/>
    <s v="UNTREF"/>
    <s v="UNLAM- DGA"/>
    <n v="10807"/>
    <x v="5"/>
    <x v="7"/>
  </r>
  <r>
    <s v="SFMyCP"/>
    <x v="0"/>
    <x v="1"/>
    <x v="1"/>
    <x v="10"/>
    <x v="2"/>
    <m/>
    <s v="Coordinación"/>
    <s v="ADMINISTRATIVA"/>
    <s v="CCK"/>
    <s v="CCK - Alem 351"/>
    <x v="224"/>
    <s v="DNI"/>
    <n v="16975165"/>
    <s v="27169751655"/>
    <d v="1964-06-10T00:00:00"/>
    <m/>
    <m/>
    <m/>
    <m/>
    <s v="ASISTENCIA TÉCNICA"/>
    <x v="0"/>
    <d v="2015-12-01T00:00:00"/>
    <m/>
    <d v="2016-12-31T00:00:00"/>
    <m/>
    <s v="UNTREF"/>
    <s v="UNSAM"/>
    <n v="16000"/>
    <x v="93"/>
    <x v="20"/>
  </r>
  <r>
    <s v="SFMyCP"/>
    <x v="0"/>
    <x v="1"/>
    <x v="3"/>
    <x v="2"/>
    <x v="2"/>
    <m/>
    <s v="PRIVADA"/>
    <s v="ADMINISTRATIVO"/>
    <m/>
    <s v="TECNOPOLIS"/>
    <x v="225"/>
    <s v="DNI"/>
    <n v="26934949"/>
    <n v="27269349498"/>
    <d v="1978-10-21T00:00:00"/>
    <m/>
    <m/>
    <m/>
    <m/>
    <s v="ASISTENCIA TÉCNICA"/>
    <x v="0"/>
    <d v="2016-03-01T00:00:00"/>
    <m/>
    <d v="2016-12-31T00:00:00"/>
    <m/>
    <s v="UNTREF"/>
    <m/>
    <n v="15000"/>
    <x v="110"/>
    <x v="9"/>
  </r>
  <r>
    <s v="SFMyCP"/>
    <x v="0"/>
    <x v="0"/>
    <x v="0"/>
    <x v="8"/>
    <x v="6"/>
    <m/>
    <s v="BACUA"/>
    <s v="ADMINISTRATIVO"/>
    <s v="CABILDO 65"/>
    <s v="CABILDO 65"/>
    <x v="226"/>
    <s v="DNI"/>
    <n v="26364795"/>
    <s v="27263647950"/>
    <d v="1978-02-13T00:00:00"/>
    <m/>
    <m/>
    <m/>
    <m/>
    <s v="ASISTENCIA TÉCNICA"/>
    <x v="0"/>
    <d v="2011-07-18T00:00:00"/>
    <m/>
    <d v="2016-12-31T00:00:00"/>
    <m/>
    <s v="UNTREF"/>
    <s v="UNSAM- LADA"/>
    <n v="16465"/>
    <x v="17"/>
    <x v="5"/>
  </r>
  <r>
    <s v="SFMyCP"/>
    <x v="0"/>
    <x v="0"/>
    <x v="0"/>
    <x v="8"/>
    <x v="4"/>
    <m/>
    <s v="PRODUCCIÓN"/>
    <s v="PRODUCTOR de EXTERIORES"/>
    <s v="CABILDO 65"/>
    <s v="CABILDO 65"/>
    <x v="227"/>
    <s v="DNI"/>
    <n v="31174675"/>
    <s v="27311746753"/>
    <d v="1984-09-04T00:00:00"/>
    <m/>
    <m/>
    <m/>
    <m/>
    <s v="ASISTENCIA TÉCNICA"/>
    <x v="0"/>
    <d v="2015-08-01T00:00:00"/>
    <m/>
    <d v="2016-12-31T00:00:00"/>
    <m/>
    <s v="UNTREF"/>
    <s v="UNSAM- LADA"/>
    <n v="19353"/>
    <x v="36"/>
    <x v="5"/>
  </r>
  <r>
    <s v="SFMyCP"/>
    <x v="0"/>
    <x v="1"/>
    <x v="3"/>
    <x v="33"/>
    <x v="2"/>
    <m/>
    <s v="ADMINISTRATIVO"/>
    <m/>
    <s v="TECNÓPOLIS"/>
    <m/>
    <x v="228"/>
    <s v="DNI"/>
    <n v="29919350"/>
    <n v="27109341202"/>
    <m/>
    <m/>
    <m/>
    <m/>
    <m/>
    <s v="LEY MARCO"/>
    <x v="1"/>
    <d v="2014-02-01T00:00:00"/>
    <d v="2016-03-31T00:00:00"/>
    <d v="2016-12-31T00:00:00"/>
    <s v="C1"/>
    <m/>
    <m/>
    <n v="21612.91"/>
    <x v="111"/>
    <x v="5"/>
  </r>
  <r>
    <s v="SFMyCP"/>
    <x v="0"/>
    <x v="1"/>
    <x v="1"/>
    <x v="16"/>
    <x v="11"/>
    <m/>
    <m/>
    <s v="VISITAS GUIADAS"/>
    <m/>
    <s v="CCK - Alem 351"/>
    <x v="229"/>
    <s v="DNI"/>
    <n v="39245263"/>
    <n v="27392452635"/>
    <d v="1995-09-11T00:00:00"/>
    <m/>
    <m/>
    <m/>
    <m/>
    <s v="ASISTENCIA TÉCNICA"/>
    <x v="0"/>
    <d v="2016-05-15T00:00:00"/>
    <m/>
    <d v="2016-12-31T00:00:00"/>
    <m/>
    <s v="UNTREF"/>
    <m/>
    <m/>
    <x v="18"/>
    <x v="3"/>
  </r>
  <r>
    <s v="SFMyCP"/>
    <x v="0"/>
    <x v="1"/>
    <x v="1"/>
    <x v="34"/>
    <x v="2"/>
    <m/>
    <s v="Jefe de Gabinete"/>
    <s v="Asistente"/>
    <s v="CCK"/>
    <s v="CCK - Alem 351"/>
    <x v="230"/>
    <s v="DNI"/>
    <n v="22896765"/>
    <s v="27228967659"/>
    <d v="1973-01-03T00:00:00"/>
    <m/>
    <m/>
    <m/>
    <m/>
    <s v="ASISTENCIA TÉCNICA"/>
    <x v="0"/>
    <d v="2016-01-01T00:00:00"/>
    <m/>
    <d v="2016-12-31T00:00:00"/>
    <m/>
    <s v="UNTREF"/>
    <s v="UNSAM"/>
    <n v="27374"/>
    <x v="112"/>
    <x v="22"/>
  </r>
  <r>
    <s v="SFMyCP"/>
    <x v="1"/>
    <x v="0"/>
    <x v="5"/>
    <x v="2"/>
    <x v="2"/>
    <m/>
    <s v="PRIVADA"/>
    <s v="ADMINISTRATIVO"/>
    <m/>
    <s v="CCK - Alem 351"/>
    <x v="231"/>
    <s v="DNI"/>
    <n v="12945483"/>
    <s v="20129454831"/>
    <d v="1958-10-12T00:00:00"/>
    <m/>
    <m/>
    <m/>
    <m/>
    <s v="ASISTENCIA TÉCNICA"/>
    <x v="0"/>
    <d v="2016-01-01T00:00:00"/>
    <m/>
    <d v="2016-12-31T00:00:00"/>
    <m/>
    <s v="UNTREF"/>
    <s v="UNSAM"/>
    <n v="15182"/>
    <x v="113"/>
    <x v="23"/>
  </r>
  <r>
    <s v="SFMyCP"/>
    <x v="0"/>
    <x v="1"/>
    <x v="3"/>
    <x v="2"/>
    <x v="2"/>
    <m/>
    <s v="PRIVADA"/>
    <s v="ADMINISTRATIVO"/>
    <s v="TECNÓPOLIS"/>
    <s v="TECNOPOLIS"/>
    <x v="232"/>
    <s v="DNI"/>
    <n v="29041166"/>
    <s v="27290411667"/>
    <d v="1981-09-02T00:00:00"/>
    <m/>
    <m/>
    <m/>
    <m/>
    <s v="ASISTENCIA TÉCNICA"/>
    <x v="0"/>
    <d v="2016-01-01T00:00:00"/>
    <m/>
    <d v="2016-12-31T00:00:00"/>
    <m/>
    <s v="UNTREF"/>
    <s v="UNSAM"/>
    <n v="25000"/>
    <x v="48"/>
    <x v="11"/>
  </r>
  <r>
    <s v="SFMyCP"/>
    <x v="0"/>
    <x v="0"/>
    <x v="0"/>
    <x v="8"/>
    <x v="6"/>
    <m/>
    <s v="POSTPRODUCCIÓN"/>
    <s v="EDICION"/>
    <s v="CABILDO 65"/>
    <s v="CABILDO 65"/>
    <x v="233"/>
    <s v="DNI"/>
    <n v="31912459"/>
    <s v="20319124595"/>
    <d v="1985-10-27T00:00:00"/>
    <m/>
    <m/>
    <m/>
    <m/>
    <s v="ASISTENCIA TÉCNICA"/>
    <x v="0"/>
    <d v="2013-10-08T00:00:00"/>
    <m/>
    <d v="2016-12-31T00:00:00"/>
    <m/>
    <s v="UNTREF"/>
    <s v="UNSAM- LADA"/>
    <n v="25763"/>
    <x v="114"/>
    <x v="5"/>
  </r>
  <r>
    <s v="SFMyCP"/>
    <x v="0"/>
    <x v="1"/>
    <x v="3"/>
    <x v="2"/>
    <x v="2"/>
    <m/>
    <s v="PRIVADA"/>
    <m/>
    <s v="TECNÓPOLIS"/>
    <m/>
    <x v="234"/>
    <s v="DNI"/>
    <n v="37206132"/>
    <n v="20372061325"/>
    <m/>
    <m/>
    <m/>
    <m/>
    <m/>
    <s v="ASISTENCIA TÉCNICA"/>
    <x v="0"/>
    <m/>
    <m/>
    <m/>
    <m/>
    <m/>
    <m/>
    <m/>
    <x v="18"/>
    <x v="3"/>
  </r>
  <r>
    <s v="SFMyCP"/>
    <x v="0"/>
    <x v="1"/>
    <x v="3"/>
    <x v="2"/>
    <x v="2"/>
    <m/>
    <s v="PRIVADA"/>
    <m/>
    <s v="TECNÓPOLIS"/>
    <m/>
    <x v="235"/>
    <s v="DNI"/>
    <n v="25539605"/>
    <m/>
    <m/>
    <m/>
    <m/>
    <m/>
    <m/>
    <s v="ASISTENCIA TÉCNICA"/>
    <x v="0"/>
    <m/>
    <m/>
    <m/>
    <m/>
    <m/>
    <m/>
    <m/>
    <x v="18"/>
    <x v="3"/>
  </r>
  <r>
    <s v="SFMyCP"/>
    <x v="0"/>
    <x v="1"/>
    <x v="3"/>
    <x v="27"/>
    <x v="2"/>
    <m/>
    <m/>
    <s v="OPERACIÓN/MONTAJE/MANTENIMIENTO"/>
    <s v="TECNÓPOLIS"/>
    <s v="TECNOPOLIS"/>
    <x v="236"/>
    <s v="DNI"/>
    <n v="27287977"/>
    <s v="20272879770"/>
    <d v="1979-06-03T00:00:00"/>
    <m/>
    <m/>
    <m/>
    <m/>
    <s v="ASISTENCIA TÉCNICA"/>
    <x v="0"/>
    <d v="2013-04-01T00:00:00"/>
    <m/>
    <d v="2016-12-31T00:00:00"/>
    <m/>
    <s v="UNTREF"/>
    <s v="UNTREF"/>
    <n v="23441.14"/>
    <x v="115"/>
    <x v="5"/>
  </r>
  <r>
    <s v="SFMyCP"/>
    <x v="0"/>
    <x v="1"/>
    <x v="1"/>
    <x v="16"/>
    <x v="11"/>
    <m/>
    <m/>
    <s v="VISITAS GUIADAS"/>
    <m/>
    <s v="CCK - Alem 351"/>
    <x v="237"/>
    <s v="DNI"/>
    <n v="39372628"/>
    <n v="20393726289"/>
    <d v="1995-11-03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3"/>
    <x v="2"/>
    <m/>
    <m/>
    <m/>
    <s v="TECNÓPOLIS"/>
    <m/>
    <x v="238"/>
    <s v="DNI"/>
    <n v="20688117"/>
    <n v="27206881173"/>
    <m/>
    <m/>
    <m/>
    <m/>
    <m/>
    <s v="LEY MARCO"/>
    <x v="1"/>
    <d v="2012-01-01T00:00:00"/>
    <d v="2016-12-31T00:00:00"/>
    <d v="2016-12-31T00:00:00"/>
    <s v="C0"/>
    <m/>
    <m/>
    <n v="26338.41"/>
    <x v="116"/>
    <x v="5"/>
  </r>
  <r>
    <s v="SFMyCP"/>
    <x v="1"/>
    <x v="0"/>
    <x v="5"/>
    <x v="17"/>
    <x v="12"/>
    <s v="AUTOMOTORES"/>
    <s v="CHOFER"/>
    <m/>
    <m/>
    <m/>
    <x v="239"/>
    <s v="DNI"/>
    <n v="22305941"/>
    <n v="23223059414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1"/>
    <x v="1"/>
    <x v="1"/>
    <x v="1"/>
    <m/>
    <m/>
    <s v="ADMINISTRATIVO"/>
    <m/>
    <s v="CCK - Alem 351"/>
    <x v="240"/>
    <s v="DNI"/>
    <n v="20593034"/>
    <n v="27205930340"/>
    <d v="1968-10-1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35"/>
    <x v="2"/>
    <m/>
    <m/>
    <m/>
    <s v="TECNÓPOLIS"/>
    <m/>
    <x v="241"/>
    <s v="DNI"/>
    <n v="17233895"/>
    <n v="20172338950"/>
    <m/>
    <m/>
    <m/>
    <m/>
    <m/>
    <s v="LEY MARCO"/>
    <x v="1"/>
    <d v="2011-07-01T00:00:00"/>
    <d v="2016-12-31T00:00:00"/>
    <d v="2016-12-31T00:00:00"/>
    <s v="C0"/>
    <m/>
    <m/>
    <n v="29747"/>
    <x v="117"/>
    <x v="5"/>
  </r>
  <r>
    <s v="SFMyCP"/>
    <x v="0"/>
    <x v="1"/>
    <x v="1"/>
    <x v="14"/>
    <x v="2"/>
    <m/>
    <m/>
    <m/>
    <s v="CCK"/>
    <s v="CCK - Alem 351"/>
    <x v="242"/>
    <s v="DNI"/>
    <n v="30366685"/>
    <n v="27303666856"/>
    <m/>
    <m/>
    <m/>
    <m/>
    <m/>
    <s v="LEY MARCO"/>
    <x v="1"/>
    <d v="2012-10-31T00:00:00"/>
    <d v="2016-12-31T00:00:00"/>
    <d v="2016-12-31T00:00:00"/>
    <s v="C0"/>
    <m/>
    <m/>
    <n v="22118.560000000001"/>
    <x v="118"/>
    <x v="5"/>
  </r>
  <r>
    <s v="SFMyCP"/>
    <x v="0"/>
    <x v="0"/>
    <x v="0"/>
    <x v="0"/>
    <x v="0"/>
    <m/>
    <s v="DISEÑO"/>
    <s v="ANALISTA"/>
    <s v="PALPALÁ-JUJUY"/>
    <s v="PALPALÁ-JUJUY"/>
    <x v="243"/>
    <s v="DNI"/>
    <n v="30666242"/>
    <n v="20306662423"/>
    <d v="1984-05-22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0"/>
    <x v="0"/>
    <x v="8"/>
    <x v="6"/>
    <m/>
    <s v="BACUA"/>
    <m/>
    <s v="CABILDO 65"/>
    <m/>
    <x v="244"/>
    <s v="DNI"/>
    <n v="24940117"/>
    <n v="27249401175"/>
    <m/>
    <m/>
    <m/>
    <m/>
    <m/>
    <s v="LEY MARCO"/>
    <x v="1"/>
    <d v="2013-12-01T00:00:00"/>
    <d v="2016-03-31T00:00:00"/>
    <d v="2016-12-31T00:00:00"/>
    <s v="B1"/>
    <m/>
    <m/>
    <n v="18000"/>
    <x v="57"/>
    <x v="5"/>
  </r>
  <r>
    <s v="SFMyCP"/>
    <x v="0"/>
    <x v="1"/>
    <x v="3"/>
    <x v="20"/>
    <x v="2"/>
    <m/>
    <m/>
    <m/>
    <s v="TECNÓPOLIS"/>
    <m/>
    <x v="245"/>
    <s v="DNI"/>
    <n v="36644944"/>
    <n v="20366449443"/>
    <m/>
    <m/>
    <m/>
    <m/>
    <m/>
    <s v="LEY MARCO"/>
    <x v="1"/>
    <d v="2012-03-01T00:00:00"/>
    <d v="2016-12-31T00:00:00"/>
    <d v="2016-12-31T00:00:00"/>
    <s v="D0"/>
    <m/>
    <m/>
    <n v="15533.86"/>
    <x v="119"/>
    <x v="5"/>
  </r>
  <r>
    <s v="SFMyCP"/>
    <x v="1"/>
    <x v="0"/>
    <x v="5"/>
    <x v="17"/>
    <x v="15"/>
    <m/>
    <s v="Enfermera/o"/>
    <s v="ADMINISTRATIVO"/>
    <m/>
    <s v="CCK - Alem 351"/>
    <x v="246"/>
    <s v="DNI"/>
    <n v="14799602"/>
    <n v="27147996026"/>
    <d v="1962-08-24T00:00:00"/>
    <m/>
    <m/>
    <m/>
    <m/>
    <s v="ASISTENCIA TÉCNICA"/>
    <x v="0"/>
    <d v="2016-07-14T00:00:00"/>
    <m/>
    <d v="2016-12-31T00:00:00"/>
    <m/>
    <s v="UNTREF"/>
    <m/>
    <m/>
    <x v="18"/>
    <x v="3"/>
  </r>
  <r>
    <s v="SFMyCP"/>
    <x v="1"/>
    <x v="0"/>
    <x v="5"/>
    <x v="17"/>
    <x v="12"/>
    <s v="AUTOMOTORES"/>
    <s v="CHOFER"/>
    <m/>
    <s v="CCK"/>
    <m/>
    <x v="247"/>
    <s v="DNI"/>
    <n v="18315881"/>
    <n v="20183158814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1"/>
    <x v="3"/>
    <x v="2"/>
    <x v="2"/>
    <m/>
    <s v="PRIVADA"/>
    <s v="ADMINISTRATIVO"/>
    <s v="TECNÓPOLIS"/>
    <s v="TECNOPOLIS"/>
    <x v="248"/>
    <s v="DNI"/>
    <n v="24753217"/>
    <s v="20247532170"/>
    <d v="1975-07-23T00:00:00"/>
    <m/>
    <m/>
    <m/>
    <m/>
    <s v="ASISTENCIA TÉCNICA"/>
    <x v="0"/>
    <d v="2016-01-01T00:00:00"/>
    <m/>
    <d v="2016-12-31T00:00:00"/>
    <m/>
    <s v="UNTREF"/>
    <s v="UNSAM"/>
    <n v="29000"/>
    <x v="120"/>
    <x v="24"/>
  </r>
  <r>
    <s v="SFMyCP"/>
    <x v="0"/>
    <x v="0"/>
    <x v="0"/>
    <x v="8"/>
    <x v="6"/>
    <m/>
    <s v="BACUA"/>
    <s v="ADMINISTRATIVO"/>
    <s v="CABILDO 65"/>
    <s v="CABILDO 65"/>
    <x v="249"/>
    <s v="DNI"/>
    <n v="94614938"/>
    <s v="20946149382"/>
    <d v="1973-08-31T00:00:00"/>
    <m/>
    <m/>
    <m/>
    <m/>
    <s v="ASISTENCIA TÉCNICA"/>
    <x v="0"/>
    <d v="2011-09-22T00:00:00"/>
    <m/>
    <d v="2016-12-31T00:00:00"/>
    <m/>
    <s v="UNTREF"/>
    <s v="UNSAM- LADA"/>
    <n v="34485"/>
    <x v="121"/>
    <x v="5"/>
  </r>
  <r>
    <s v="SFMyCP"/>
    <x v="0"/>
    <x v="1"/>
    <x v="3"/>
    <x v="32"/>
    <x v="2"/>
    <m/>
    <m/>
    <s v="CONTROL/SUPERVICION DE LA LIMPIEZA PREDIO"/>
    <s v="TECNÓPOLIS"/>
    <s v="TECNOPOLIS"/>
    <x v="250"/>
    <s v="DNI"/>
    <n v="23652019"/>
    <s v="27236520191"/>
    <d v="1974-01-10T00:00:00"/>
    <m/>
    <m/>
    <m/>
    <m/>
    <s v="ASISTENCIA TÉCNICA"/>
    <x v="0"/>
    <d v="2013-06-01T00:00:00"/>
    <m/>
    <d v="2016-12-31T00:00:00"/>
    <m/>
    <s v="UNTREF"/>
    <s v="UNTREF"/>
    <n v="12273.52"/>
    <x v="122"/>
    <x v="5"/>
  </r>
  <r>
    <s v="SFMyCP"/>
    <x v="0"/>
    <x v="1"/>
    <x v="3"/>
    <x v="36"/>
    <x v="2"/>
    <m/>
    <m/>
    <m/>
    <s v="TECNÓPOLIS"/>
    <m/>
    <x v="251"/>
    <s v="DNI"/>
    <n v="26263263"/>
    <n v="27262632631"/>
    <m/>
    <m/>
    <m/>
    <m/>
    <m/>
    <s v="LEY MARCO"/>
    <x v="1"/>
    <d v="2011-12-01T00:00:00"/>
    <d v="2016-12-31T00:00:00"/>
    <d v="2016-12-31T00:00:00"/>
    <s v="D0"/>
    <m/>
    <m/>
    <n v="18391.28"/>
    <x v="123"/>
    <x v="5"/>
  </r>
  <r>
    <s v="SFMyCP"/>
    <x v="0"/>
    <x v="0"/>
    <x v="0"/>
    <x v="8"/>
    <x v="6"/>
    <m/>
    <s v="PRODUCCIÓN"/>
    <s v="PRODUCTOR de EXTERIORES"/>
    <s v="CABILDO 65"/>
    <s v="CABILDO 65"/>
    <x v="252"/>
    <s v="DNI"/>
    <n v="62695520"/>
    <s v="20626955208"/>
    <d v="1980-04-03T00:00:00"/>
    <m/>
    <m/>
    <m/>
    <m/>
    <s v="ASISTENCIA TÉCNICA"/>
    <x v="0"/>
    <d v="2015-07-01T00:00:00"/>
    <m/>
    <d v="2016-12-31T00:00:00"/>
    <m/>
    <s v="UNTREF"/>
    <m/>
    <n v="22151"/>
    <x v="58"/>
    <x v="3"/>
  </r>
  <r>
    <s v="SFMyCP"/>
    <x v="0"/>
    <x v="0"/>
    <x v="0"/>
    <x v="8"/>
    <x v="6"/>
    <m/>
    <s v="TÉCNICA Y TRANSMISIÓN"/>
    <s v="ADMINISTRATIVO"/>
    <s v="CABILDO 65"/>
    <s v="CABILDO 65"/>
    <x v="253"/>
    <s v="DNI"/>
    <n v="28800211"/>
    <s v="20288002119"/>
    <d v="1981-03-28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1"/>
    <x v="0"/>
    <x v="5"/>
    <x v="7"/>
    <x v="2"/>
    <m/>
    <s v="ADMINISTRACIÓN"/>
    <s v="ADMINISTRATIVO"/>
    <m/>
    <s v="CCK - Alem 351"/>
    <x v="254"/>
    <s v="DNI"/>
    <n v="32628904"/>
    <s v="20326289044"/>
    <d v="1986-12-19T00:00:00"/>
    <m/>
    <m/>
    <m/>
    <m/>
    <s v="ASISTENCIA TÉCNICA"/>
    <x v="0"/>
    <m/>
    <m/>
    <d v="2016-12-31T00:00:00"/>
    <m/>
    <s v="UNTREF"/>
    <m/>
    <n v="17102"/>
    <x v="1"/>
    <x v="25"/>
  </r>
  <r>
    <s v="SFMyCP"/>
    <x v="1"/>
    <x v="0"/>
    <x v="5"/>
    <x v="7"/>
    <x v="2"/>
    <m/>
    <m/>
    <m/>
    <m/>
    <m/>
    <x v="255"/>
    <s v="DNI"/>
    <n v="34783483"/>
    <n v="20347834832"/>
    <m/>
    <m/>
    <m/>
    <m/>
    <m/>
    <s v="LEY MARCO"/>
    <x v="1"/>
    <d v="2008-04-01T00:00:00"/>
    <d v="2016-12-31T00:00:00"/>
    <d v="2016-12-31T00:00:00"/>
    <s v="A0"/>
    <m/>
    <m/>
    <n v="22812"/>
    <x v="124"/>
    <x v="5"/>
  </r>
  <r>
    <s v="SFMyCP"/>
    <x v="1"/>
    <x v="0"/>
    <x v="5"/>
    <x v="37"/>
    <x v="2"/>
    <m/>
    <s v="Asistente"/>
    <s v="Asistente"/>
    <s v="CCK"/>
    <s v="CCK - Alem 351"/>
    <x v="256"/>
    <s v="DNI"/>
    <n v="35378165"/>
    <s v="27353781656"/>
    <d v="1990-12-29T00:00:00"/>
    <m/>
    <m/>
    <m/>
    <m/>
    <s v="ASISTENCIA TÉCNICA"/>
    <x v="0"/>
    <d v="2015-08-01T00:00:00"/>
    <m/>
    <d v="2016-12-31T00:00:00"/>
    <m/>
    <s v="UNTREF"/>
    <s v="UNLAM- BICENTENARIO"/>
    <n v="10096"/>
    <x v="30"/>
    <x v="18"/>
  </r>
  <r>
    <s v="SFMyCP"/>
    <x v="0"/>
    <x v="1"/>
    <x v="3"/>
    <x v="20"/>
    <x v="2"/>
    <m/>
    <m/>
    <m/>
    <s v="TECNÓPOLIS"/>
    <m/>
    <x v="257"/>
    <s v="DNI"/>
    <n v="33530306"/>
    <n v="20335303068"/>
    <m/>
    <m/>
    <m/>
    <m/>
    <m/>
    <s v="LEY MARCO"/>
    <x v="1"/>
    <d v="2011-07-01T00:00:00"/>
    <d v="2016-12-31T00:00:00"/>
    <d v="2016-12-31T00:00:00"/>
    <s v="D1"/>
    <m/>
    <m/>
    <n v="15838.72"/>
    <x v="125"/>
    <x v="5"/>
  </r>
  <r>
    <s v="SFMyCP"/>
    <x v="0"/>
    <x v="1"/>
    <x v="1"/>
    <x v="5"/>
    <x v="14"/>
    <s v="SOPORTE ADMINISTRATIVO"/>
    <s v="ADMINISTRATIVA"/>
    <s v="Auxiliar"/>
    <s v="CCK"/>
    <s v="CCK - Alem 351"/>
    <x v="258"/>
    <s v="DNI"/>
    <n v="93355924"/>
    <s v="27933559241"/>
    <d v="1990-10-30T00:00:00"/>
    <m/>
    <m/>
    <m/>
    <m/>
    <s v="ASISTENCIA TÉCNICA"/>
    <x v="0"/>
    <d v="2015-07-20T00:00:00"/>
    <m/>
    <d v="2016-12-31T00:00:00"/>
    <m/>
    <s v="UNTREF"/>
    <s v="UNLAM- BICENTENARIO"/>
    <n v="15732"/>
    <x v="126"/>
    <x v="26"/>
  </r>
  <r>
    <s v="SFMyCP"/>
    <x v="0"/>
    <x v="0"/>
    <x v="6"/>
    <x v="12"/>
    <x v="2"/>
    <m/>
    <m/>
    <s v="ADMINISTRATIVO"/>
    <m/>
    <s v="CCK - Alem 351"/>
    <x v="259"/>
    <s v="DNI"/>
    <n v="6398055"/>
    <n v="27063980558"/>
    <d v="1950-08-15T00:00:00"/>
    <m/>
    <m/>
    <m/>
    <m/>
    <s v="ASISTENCIA TÉCNICA"/>
    <x v="0"/>
    <m/>
    <m/>
    <d v="2016-12-31T00:00:00"/>
    <m/>
    <s v="UNTREF"/>
    <m/>
    <n v="17000"/>
    <x v="50"/>
    <x v="3"/>
  </r>
  <r>
    <s v="SFMyCP"/>
    <x v="0"/>
    <x v="1"/>
    <x v="3"/>
    <x v="20"/>
    <x v="2"/>
    <m/>
    <m/>
    <m/>
    <s v="TECNÓPOLIS"/>
    <m/>
    <x v="260"/>
    <s v="DNI"/>
    <n v="36949353"/>
    <n v="20369493532"/>
    <m/>
    <m/>
    <m/>
    <m/>
    <m/>
    <s v="LEY MARCO"/>
    <x v="1"/>
    <d v="2013-05-01T00:00:00"/>
    <d v="2016-03-31T00:00:00"/>
    <d v="2016-12-31T00:00:00"/>
    <s v="D1"/>
    <m/>
    <m/>
    <n v="12908.93"/>
    <x v="127"/>
    <x v="5"/>
  </r>
  <r>
    <s v="SFMyCP"/>
    <x v="0"/>
    <x v="0"/>
    <x v="6"/>
    <x v="12"/>
    <x v="2"/>
    <m/>
    <m/>
    <s v="ADMINISTRATIVO"/>
    <m/>
    <s v="CCK - Alem 351"/>
    <x v="261"/>
    <s v="DNI"/>
    <n v="34434699"/>
    <s v="24344346999"/>
    <d v="1989-02-24T00:00:00"/>
    <m/>
    <m/>
    <m/>
    <m/>
    <s v="ASISTENCIA TÉCNICA"/>
    <x v="0"/>
    <d v="2016-01-01T00:00:00"/>
    <m/>
    <d v="2016-12-31T00:00:00"/>
    <m/>
    <s v="UNTREF"/>
    <m/>
    <n v="15000"/>
    <x v="110"/>
    <x v="9"/>
  </r>
  <r>
    <s v="SFMyCP"/>
    <x v="0"/>
    <x v="1"/>
    <x v="1"/>
    <x v="10"/>
    <x v="2"/>
    <s v="(IGUALDAD CULTURAL)"/>
    <m/>
    <m/>
    <s v="CCK"/>
    <m/>
    <x v="262"/>
    <s v="DNI"/>
    <n v="26068613"/>
    <n v="27260686130"/>
    <m/>
    <m/>
    <m/>
    <m/>
    <m/>
    <s v="LEY MARCO"/>
    <x v="1"/>
    <d v="2011-10-10T00:00:00"/>
    <d v="2016-12-31T00:00:00"/>
    <d v="2016-12-31T00:00:00"/>
    <s v="A0"/>
    <m/>
    <m/>
    <n v="24516"/>
    <x v="128"/>
    <x v="5"/>
  </r>
  <r>
    <s v="SFMyCP"/>
    <x v="1"/>
    <x v="0"/>
    <x v="2"/>
    <x v="38"/>
    <x v="2"/>
    <m/>
    <s v="CONTENIDOS"/>
    <m/>
    <s v="CCK"/>
    <m/>
    <x v="263"/>
    <s v="DNI"/>
    <n v="94251427"/>
    <n v="20942514272"/>
    <m/>
    <m/>
    <m/>
    <m/>
    <m/>
    <s v="LEY MARCO"/>
    <x v="1"/>
    <d v="2012-12-01T00:00:00"/>
    <d v="2016-12-31T00:00:00"/>
    <d v="2016-12-31T00:00:00"/>
    <s v="B2"/>
    <m/>
    <m/>
    <n v="21517"/>
    <x v="129"/>
    <x v="5"/>
  </r>
  <r>
    <s v="SFMyCP"/>
    <x v="0"/>
    <x v="1"/>
    <x v="7"/>
    <x v="2"/>
    <x v="2"/>
    <m/>
    <s v="PRIVADA"/>
    <s v="ADMINISTRATIVO"/>
    <m/>
    <s v="CCK - Alem 351"/>
    <x v="264"/>
    <s v="DNI"/>
    <n v="22061547"/>
    <n v="27220615478"/>
    <d v="1971-04-05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19"/>
    <x v="2"/>
    <m/>
    <s v="RECEPCIONISTA"/>
    <s v="RECEPCION IBC"/>
    <s v="TECNÓPOLIS"/>
    <s v="TECNOPOLIS"/>
    <x v="265"/>
    <s v="DNI"/>
    <n v="28927088"/>
    <s v="23289270884"/>
    <d v="1981-06-24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1"/>
    <x v="1"/>
    <x v="10"/>
    <x v="10"/>
    <m/>
    <s v="Tecnica"/>
    <s v="ADMINISTRATIVA"/>
    <m/>
    <s v="CCK - Alem 351"/>
    <x v="266"/>
    <s v="DNI"/>
    <n v="25940510"/>
    <s v="20259405107"/>
    <d v="1977-03-19T00:00:00"/>
    <m/>
    <m/>
    <m/>
    <m/>
    <s v="ASISTENCIA TÉCNICA"/>
    <x v="0"/>
    <d v="2016-04-15T00:00:00"/>
    <m/>
    <d v="2016-12-31T00:00:00"/>
    <m/>
    <s v="UNTREF"/>
    <m/>
    <s v="."/>
    <x v="14"/>
    <x v="3"/>
  </r>
  <r>
    <s v="SFMyCP"/>
    <x v="0"/>
    <x v="1"/>
    <x v="3"/>
    <x v="2"/>
    <x v="2"/>
    <m/>
    <s v="PRIVADA"/>
    <s v="ADMINISTRATIVO"/>
    <m/>
    <s v="TECNOPOLIS"/>
    <x v="267"/>
    <s v="DNI"/>
    <n v="26621498"/>
    <n v="27266214982"/>
    <d v="1978-06-09T00:00:00"/>
    <m/>
    <m/>
    <m/>
    <m/>
    <s v="ASISTENCIA TÉCNICA"/>
    <x v="0"/>
    <d v="2016-03-01T00:00:00"/>
    <m/>
    <d v="2016-12-31T00:00:00"/>
    <m/>
    <s v="UNTREF"/>
    <m/>
    <n v="20000"/>
    <x v="113"/>
    <x v="8"/>
  </r>
  <r>
    <s v="SFMyCP"/>
    <x v="0"/>
    <x v="1"/>
    <x v="3"/>
    <x v="27"/>
    <x v="2"/>
    <m/>
    <m/>
    <s v="OPERACIÓN/MONTAJE/MANTENIMIENTO"/>
    <s v="TECNÓPOLIS"/>
    <s v="TECNOPOLIS"/>
    <x v="268"/>
    <s v="DNI"/>
    <n v="28916369"/>
    <s v="20289163698"/>
    <d v="1981-07-09T00:00:00"/>
    <m/>
    <m/>
    <m/>
    <m/>
    <s v="ASISTENCIA TÉCNICA"/>
    <x v="0"/>
    <d v="2015-01-01T00:00:00"/>
    <m/>
    <d v="2016-12-31T00:00:00"/>
    <m/>
    <s v="UNTREF"/>
    <s v="UNTREF"/>
    <n v="15000"/>
    <x v="110"/>
    <x v="5"/>
  </r>
  <r>
    <s v="SFMyCP"/>
    <x v="0"/>
    <x v="1"/>
    <x v="3"/>
    <x v="3"/>
    <x v="2"/>
    <m/>
    <m/>
    <s v="LIMPIEZA GENERAL DEL PARQUE"/>
    <s v="TECNÓPOLIS"/>
    <s v="TECNOPOLIS"/>
    <x v="269"/>
    <s v="DNI"/>
    <n v="5930366"/>
    <s v="27059303665"/>
    <d v="1948-09-05T00:00:00"/>
    <m/>
    <m/>
    <m/>
    <m/>
    <s v="ASISTENCIA TÉCNICA"/>
    <x v="0"/>
    <d v="2012-07-01T00:00:00"/>
    <m/>
    <d v="2016-12-31T00:00:00"/>
    <m/>
    <s v="UNTREF"/>
    <s v="UNTREF"/>
    <n v="9955.51"/>
    <x v="95"/>
    <x v="5"/>
  </r>
  <r>
    <s v="SFMyCP"/>
    <x v="1"/>
    <x v="0"/>
    <x v="5"/>
    <x v="37"/>
    <x v="2"/>
    <m/>
    <s v="Analista"/>
    <s v="Asistente"/>
    <s v="CCK"/>
    <s v="CCK - Alem 351"/>
    <x v="270"/>
    <s v="DNI"/>
    <n v="31198044"/>
    <s v="27311980446"/>
    <d v="1984-09-06T00:00:00"/>
    <m/>
    <m/>
    <m/>
    <m/>
    <s v="ASISTENCIA TÉCNICA"/>
    <x v="0"/>
    <d v="2015-03-02T00:00:00"/>
    <m/>
    <d v="2016-12-31T00:00:00"/>
    <m/>
    <s v="UNTREF"/>
    <s v="UNSAM-MINPLAN"/>
    <n v="10000"/>
    <x v="30"/>
    <x v="18"/>
  </r>
  <r>
    <s v="SFMyCP"/>
    <x v="0"/>
    <x v="0"/>
    <x v="0"/>
    <x v="8"/>
    <x v="6"/>
    <m/>
    <s v="PRODUCCIÓN"/>
    <s v="PRODUCTOR de EXTERIORES"/>
    <s v="CABILDO 65"/>
    <s v="CABILDO 65"/>
    <x v="271"/>
    <s v="DNI"/>
    <n v="26953105"/>
    <s v="20269531054"/>
    <d v="1978-08-15T00:00:00"/>
    <m/>
    <m/>
    <m/>
    <m/>
    <s v="ASISTENCIA TÉCNICA"/>
    <x v="0"/>
    <d v="2012-04-01T00:00:00"/>
    <m/>
    <d v="2016-12-31T00:00:00"/>
    <m/>
    <s v="UNTREF"/>
    <s v="UNSAM- LADA"/>
    <n v="19100"/>
    <x v="130"/>
    <x v="5"/>
  </r>
  <r>
    <s v="SFMyCP"/>
    <x v="0"/>
    <x v="0"/>
    <x v="0"/>
    <x v="8"/>
    <x v="6"/>
    <m/>
    <s v="ACUA FEDERAL"/>
    <s v="ADMINISTRATIVO"/>
    <s v="CABILDO 65"/>
    <s v="CABILDO 65"/>
    <x v="272"/>
    <s v="DNI"/>
    <n v="30566485"/>
    <s v="20305664856"/>
    <d v="1985-01-12T00:00:00"/>
    <m/>
    <m/>
    <m/>
    <m/>
    <s v="ASISTENCIA TÉCNICA"/>
    <x v="0"/>
    <d v="2013-05-01T00:00:00"/>
    <m/>
    <d v="2016-12-31T00:00:00"/>
    <m/>
    <s v="UNTREF"/>
    <s v="UNSAM- LADA"/>
    <n v="29420"/>
    <x v="60"/>
    <x v="5"/>
  </r>
  <r>
    <s v="SFMyCP"/>
    <x v="0"/>
    <x v="1"/>
    <x v="3"/>
    <x v="24"/>
    <x v="2"/>
    <m/>
    <s v="Tareas Generales"/>
    <s v="TAREAS EN GENERAL TALLER CARPINTERIA/HERRERÍA/TEXTIL"/>
    <s v="TECNÓPOLIS"/>
    <m/>
    <x v="273"/>
    <s v="DNI"/>
    <n v="20375995"/>
    <n v="27203759954"/>
    <d v="1968-08-17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1"/>
    <x v="0"/>
    <x v="5"/>
    <x v="7"/>
    <x v="2"/>
    <m/>
    <m/>
    <s v="ADMINISTRATIVO"/>
    <m/>
    <s v="CCK - Alem 351"/>
    <x v="274"/>
    <s v="DNI"/>
    <n v="31413340"/>
    <n v="23314133404"/>
    <d v="1985-04-04T00:00:00"/>
    <m/>
    <m/>
    <m/>
    <m/>
    <s v="ASISTENCIA TÉCNICA"/>
    <x v="0"/>
    <d v="2016-07-12T00:00:00"/>
    <m/>
    <d v="2016-12-31T00:00:00"/>
    <m/>
    <s v="UNTREF"/>
    <m/>
    <m/>
    <x v="18"/>
    <x v="3"/>
  </r>
  <r>
    <s v="SFMyCP"/>
    <x v="0"/>
    <x v="1"/>
    <x v="3"/>
    <x v="15"/>
    <x v="2"/>
    <m/>
    <m/>
    <s v="TRABAJO ADMINISTRATIVO/TRABAJO COSTURA A MAQUINA"/>
    <s v="TECNÓPOLIS"/>
    <s v="TECNOPOLIS"/>
    <x v="275"/>
    <s v="DNI"/>
    <n v="32036474"/>
    <s v="23320364744"/>
    <d v="1985-12-07T00:00:00"/>
    <m/>
    <m/>
    <m/>
    <m/>
    <s v="ASISTENCIA TÉCNICA"/>
    <x v="0"/>
    <d v="2014-07-01T00:00:00"/>
    <m/>
    <d v="2016-12-31T00:00:00"/>
    <m/>
    <s v="UNTREF"/>
    <s v="UNTREF"/>
    <n v="11449.4"/>
    <x v="8"/>
    <x v="5"/>
  </r>
  <r>
    <s v="SFMyCP"/>
    <x v="0"/>
    <x v="1"/>
    <x v="1"/>
    <x v="5"/>
    <x v="14"/>
    <s v="LIMPIEZA (En comisión Tecnópolis)"/>
    <s v="Auxiliar"/>
    <s v="Auxiliar"/>
    <s v="CCK"/>
    <s v="CCK - Alem 351"/>
    <x v="276"/>
    <s v="DNI"/>
    <n v="37041079"/>
    <s v="20370410799"/>
    <d v="1992-06-03T00:00:00"/>
    <m/>
    <m/>
    <m/>
    <m/>
    <s v="ASISTENCIA TÉCNICA"/>
    <x v="0"/>
    <d v="2015-06-10T00:00:00"/>
    <m/>
    <d v="2016-12-31T00:00:00"/>
    <m/>
    <s v="UNTREF"/>
    <s v="UNTREF"/>
    <n v="8500"/>
    <x v="5"/>
    <x v="4"/>
  </r>
  <r>
    <s v="SFMyCP"/>
    <x v="0"/>
    <x v="1"/>
    <x v="1"/>
    <x v="10"/>
    <x v="2"/>
    <m/>
    <m/>
    <s v="ADMINISTRATIVA"/>
    <m/>
    <s v="CCK - Alem 351"/>
    <x v="277"/>
    <s v="DNI"/>
    <n v="25997290"/>
    <s v="20259972907"/>
    <d v="1977-07-02T00:00:00"/>
    <m/>
    <m/>
    <m/>
    <m/>
    <s v="ASISTENCIA TÉCNICA"/>
    <x v="0"/>
    <d v="2016-04-01T00:00:00"/>
    <m/>
    <d v="2016-12-31T00:00:00"/>
    <m/>
    <s v="UNTREF"/>
    <m/>
    <n v="20000"/>
    <x v="18"/>
    <x v="3"/>
  </r>
  <r>
    <s v="SFMyCP"/>
    <x v="1"/>
    <x v="0"/>
    <x v="5"/>
    <x v="17"/>
    <x v="17"/>
    <m/>
    <s v="Coordinador"/>
    <s v="COORDINADOR"/>
    <s v="CCK"/>
    <s v="CCK - Alem 351"/>
    <x v="278"/>
    <s v="DNI"/>
    <n v="20350247"/>
    <n v="20203502479"/>
    <d v="1968-06-29T00:00:00"/>
    <m/>
    <m/>
    <m/>
    <m/>
    <s v="ASISTENCIA TÉCNICA"/>
    <x v="0"/>
    <d v="2015-06-01T00:00:00"/>
    <m/>
    <d v="2016-12-31T00:00:00"/>
    <m/>
    <s v="UNTREF"/>
    <s v="UNSAM-MINPLAN"/>
    <n v="27000"/>
    <x v="53"/>
    <x v="5"/>
  </r>
  <r>
    <s v="SFMyCP"/>
    <x v="0"/>
    <x v="0"/>
    <x v="0"/>
    <x v="8"/>
    <x v="6"/>
    <m/>
    <s v="ACUA FEDERAL"/>
    <s v="ADMINISTRATIVO"/>
    <s v="CABILDO 65"/>
    <s v="CABILDO 65"/>
    <x v="279"/>
    <s v="DNI"/>
    <n v="30407450"/>
    <s v="27304074502"/>
    <d v="1983-07-16T00:00:00"/>
    <m/>
    <m/>
    <m/>
    <m/>
    <s v="ASISTENCIA TÉCNICA"/>
    <x v="0"/>
    <d v="2013-11-18T00:00:00"/>
    <m/>
    <d v="2016-12-31T00:00:00"/>
    <m/>
    <s v="UNTREF"/>
    <s v="UNSAM- LADA"/>
    <n v="29420"/>
    <x v="60"/>
    <x v="5"/>
  </r>
  <r>
    <s v="SFMyCP"/>
    <x v="0"/>
    <x v="1"/>
    <x v="7"/>
    <x v="2"/>
    <x v="2"/>
    <m/>
    <s v="ADMINISTRACION"/>
    <s v="ASISTENTE"/>
    <s v="CCK"/>
    <s v="CCK - Alem 351"/>
    <x v="280"/>
    <s v="DNI"/>
    <n v="33300296"/>
    <s v="27333002960"/>
    <d v="1987-10-28T00:00:00"/>
    <m/>
    <m/>
    <m/>
    <m/>
    <s v="ASISTENCIA TÉCNICA"/>
    <x v="0"/>
    <d v="2013-07-22T00:00:00"/>
    <m/>
    <d v="2016-12-31T00:00:00"/>
    <m/>
    <s v="UNTREF"/>
    <s v="UNSAM"/>
    <n v="24294"/>
    <x v="131"/>
    <x v="27"/>
  </r>
  <r>
    <s v="SFMyCP"/>
    <x v="1"/>
    <x v="0"/>
    <x v="5"/>
    <x v="30"/>
    <x v="2"/>
    <m/>
    <s v="Asistente"/>
    <m/>
    <s v="CCK"/>
    <m/>
    <x v="281"/>
    <s v="DNI"/>
    <n v="21801576"/>
    <n v="27218015765"/>
    <m/>
    <m/>
    <m/>
    <m/>
    <m/>
    <s v="LEY MARCO"/>
    <x v="1"/>
    <d v="2011-06-01T00:00:00"/>
    <d v="2016-12-31T00:00:00"/>
    <d v="2016-12-31T00:00:00"/>
    <s v="C1"/>
    <m/>
    <m/>
    <n v="12500"/>
    <x v="5"/>
    <x v="5"/>
  </r>
  <r>
    <s v="SFMyCP"/>
    <x v="0"/>
    <x v="1"/>
    <x v="3"/>
    <x v="3"/>
    <x v="2"/>
    <m/>
    <m/>
    <s v="PRODUCCION GRAL DE RECETAS, MANIPULACIÓN DE INGREDIENTES, DESPCACHO DE ALIMENTOS"/>
    <s v="TECNÓPOLIS"/>
    <s v="TECNOPOLIS"/>
    <x v="282"/>
    <s v="DNI"/>
    <n v="25906662"/>
    <s v="27259066625"/>
    <d v="1977-04-14T00:00:00"/>
    <m/>
    <m/>
    <m/>
    <m/>
    <s v="ASISTENCIA TÉCNICA"/>
    <x v="0"/>
    <d v="2015-05-01T00:00:00"/>
    <m/>
    <d v="2016-12-31T00:00:00"/>
    <m/>
    <s v="UNTREF"/>
    <s v="UNTREF"/>
    <n v="8035.31"/>
    <x v="94"/>
    <x v="5"/>
  </r>
  <r>
    <s v="SFMyCP"/>
    <x v="0"/>
    <x v="1"/>
    <x v="1"/>
    <x v="16"/>
    <x v="2"/>
    <m/>
    <m/>
    <s v="asistente funcional"/>
    <m/>
    <s v="CCK - Alem 351"/>
    <x v="283"/>
    <s v="DNI"/>
    <n v="24962686"/>
    <n v="20249626865"/>
    <d v="1975-10-10T00:00:00"/>
    <m/>
    <m/>
    <m/>
    <m/>
    <s v="ASISTENCIA TÉCNICA"/>
    <x v="0"/>
    <d v="2016-06-15T00:00:00"/>
    <m/>
    <d v="2016-12-31T00:00:00"/>
    <m/>
    <s v="UNTREF"/>
    <m/>
    <m/>
    <x v="18"/>
    <x v="3"/>
  </r>
  <r>
    <s v="SFMyCP"/>
    <x v="0"/>
    <x v="1"/>
    <x v="3"/>
    <x v="10"/>
    <x v="2"/>
    <m/>
    <m/>
    <m/>
    <s v="TECNÓPOLIS"/>
    <m/>
    <x v="284"/>
    <s v="DNI"/>
    <n v="24837596"/>
    <n v="20248375966"/>
    <m/>
    <m/>
    <m/>
    <m/>
    <m/>
    <s v="LEY MARCO"/>
    <x v="1"/>
    <d v="2010-01-01T00:00:00"/>
    <d v="2016-12-31T00:00:00"/>
    <d v="2016-12-31T00:00:00"/>
    <s v="C1"/>
    <m/>
    <m/>
    <n v="27488.85"/>
    <x v="132"/>
    <x v="5"/>
  </r>
  <r>
    <s v="SFMyCP"/>
    <x v="0"/>
    <x v="1"/>
    <x v="1"/>
    <x v="5"/>
    <x v="14"/>
    <s v="LIMPIEZA (En comisión Tecnópolis)"/>
    <s v="Auxiliar"/>
    <s v="Auxiliar"/>
    <s v="CCK"/>
    <s v="CCK - Alem 351"/>
    <x v="285"/>
    <s v="DNI"/>
    <n v="25865315"/>
    <s v="20258653158"/>
    <d v="1977-06-02T00:00:00"/>
    <m/>
    <m/>
    <m/>
    <m/>
    <s v="ASISTENCIA TÉCNICA"/>
    <x v="0"/>
    <d v="2015-06-10T00:00:00"/>
    <m/>
    <d v="2016-12-31T00:00:00"/>
    <m/>
    <s v="UNTREF"/>
    <s v="UNTREF"/>
    <n v="10000"/>
    <x v="5"/>
    <x v="4"/>
  </r>
  <r>
    <s v="SFMyCP"/>
    <x v="0"/>
    <x v="1"/>
    <x v="1"/>
    <x v="10"/>
    <x v="2"/>
    <m/>
    <m/>
    <s v="ADMINISTRATIVA"/>
    <m/>
    <s v="CCK - Alem 351"/>
    <x v="286"/>
    <s v="DNI"/>
    <n v="24963203"/>
    <s v="27249632037"/>
    <d v="1975-10-08T00:00:00"/>
    <m/>
    <m/>
    <m/>
    <m/>
    <s v="ASISTENCIA TÉCNICA"/>
    <x v="0"/>
    <d v="2016-05-01T00:00:00"/>
    <m/>
    <d v="2016-12-31T00:00:00"/>
    <m/>
    <s v="UNTREF"/>
    <m/>
    <s v="."/>
    <x v="14"/>
    <x v="3"/>
  </r>
  <r>
    <s v="SFMyCP"/>
    <x v="1"/>
    <x v="0"/>
    <x v="5"/>
    <x v="26"/>
    <x v="2"/>
    <m/>
    <s v="Asistente Técnico"/>
    <m/>
    <s v="CCK"/>
    <m/>
    <x v="287"/>
    <s v="DNI"/>
    <n v="27273858"/>
    <n v="20272738581"/>
    <m/>
    <m/>
    <m/>
    <m/>
    <m/>
    <s v="LEY MARCO"/>
    <x v="1"/>
    <d v="2005-02-01T00:00:00"/>
    <d v="2016-12-31T00:00:00"/>
    <d v="2016-12-31T00:00:00"/>
    <s v="B2"/>
    <m/>
    <m/>
    <n v="19528"/>
    <x v="133"/>
    <x v="5"/>
  </r>
  <r>
    <s v="SFMyCP"/>
    <x v="0"/>
    <x v="1"/>
    <x v="1"/>
    <x v="39"/>
    <x v="2"/>
    <m/>
    <m/>
    <m/>
    <m/>
    <m/>
    <x v="288"/>
    <s v="DNI"/>
    <n v="31009442"/>
    <n v="27310094426"/>
    <m/>
    <m/>
    <m/>
    <m/>
    <m/>
    <s v="LEY MARCO"/>
    <x v="1"/>
    <d v="2012-12-01T00:00:00"/>
    <d v="2016-12-31T00:00:00"/>
    <d v="2016-12-31T00:00:00"/>
    <s v="D0"/>
    <m/>
    <m/>
    <n v="17107"/>
    <x v="104"/>
    <x v="0"/>
  </r>
  <r>
    <s v="SFMyCP"/>
    <x v="0"/>
    <x v="1"/>
    <x v="1"/>
    <x v="10"/>
    <x v="2"/>
    <m/>
    <s v="Productor"/>
    <s v="ADMINISTRATIVA"/>
    <s v="CCK"/>
    <s v="CCK - Alem 351"/>
    <x v="289"/>
    <s v="DNI"/>
    <n v="24856633"/>
    <s v="27248566332"/>
    <d v="1975-10-24T00:00:00"/>
    <m/>
    <m/>
    <m/>
    <m/>
    <s v="ASISTENCIA TÉCNICA"/>
    <x v="0"/>
    <d v="2013-04-01T00:00:00"/>
    <m/>
    <d v="2016-12-31T00:00:00"/>
    <m/>
    <s v="UNTREF"/>
    <s v="UNSAM-TDA"/>
    <n v="21255"/>
    <x v="134"/>
    <x v="28"/>
  </r>
  <r>
    <s v="SFMyCP"/>
    <x v="0"/>
    <x v="1"/>
    <x v="3"/>
    <x v="23"/>
    <x v="2"/>
    <m/>
    <m/>
    <m/>
    <s v="TECNÓPOLIS"/>
    <m/>
    <x v="290"/>
    <s v="DNI"/>
    <n v="20742183"/>
    <n v="27207421834"/>
    <m/>
    <m/>
    <m/>
    <m/>
    <m/>
    <s v="LEY MARCO"/>
    <x v="1"/>
    <d v="2012-12-01T00:00:00"/>
    <d v="2016-12-31T00:00:00"/>
    <d v="2016-12-31T00:00:00"/>
    <s v="B5"/>
    <m/>
    <m/>
    <n v="25047.11"/>
    <x v="109"/>
    <x v="5"/>
  </r>
  <r>
    <s v="SFMyCP"/>
    <x v="0"/>
    <x v="1"/>
    <x v="3"/>
    <x v="32"/>
    <x v="2"/>
    <m/>
    <m/>
    <s v="CONTROL DE DEPOSITOS/RELEVAMIENTOS"/>
    <s v="TECNÓPOLIS"/>
    <s v="TECNOPOLIS"/>
    <x v="291"/>
    <s v="DNI"/>
    <n v="18220453"/>
    <n v="20182204537"/>
    <d v="1976-11-06T00:00:00"/>
    <m/>
    <m/>
    <m/>
    <m/>
    <s v="ASISTENCIA TÉCNICA"/>
    <x v="0"/>
    <d v="2013-06-01T00:00:00"/>
    <m/>
    <d v="2016-12-31T00:00:00"/>
    <m/>
    <s v="UNTREF"/>
    <s v="UNTREF"/>
    <n v="12273.52"/>
    <x v="122"/>
    <x v="5"/>
  </r>
  <r>
    <s v="SFMyCP"/>
    <x v="0"/>
    <x v="0"/>
    <x v="0"/>
    <x v="0"/>
    <x v="0"/>
    <m/>
    <s v="GESTION DE PROYECTOS"/>
    <s v="ANALISTA"/>
    <s v="PALPALÁ-JUJUY"/>
    <s v="PALPALÁ-JUJUY"/>
    <x v="292"/>
    <s v="DNI"/>
    <n v="31858106"/>
    <n v="20318581062"/>
    <d v="1985-09-01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0"/>
    <x v="0"/>
    <x v="0"/>
    <x v="8"/>
    <x v="6"/>
    <m/>
    <s v="PANORAMA ARGENTINO"/>
    <s v="ADMINISTRATIVO"/>
    <s v="CABILDO 65"/>
    <s v="CABILDO 65"/>
    <x v="293"/>
    <s v="DNI"/>
    <n v="20956958"/>
    <s v="20209569583"/>
    <d v="1969-08-28T00:00:00"/>
    <m/>
    <m/>
    <m/>
    <m/>
    <s v="ASISTENCIA TÉCNICA"/>
    <x v="0"/>
    <d v="2014-05-11T00:00:00"/>
    <m/>
    <d v="2016-12-31T00:00:00"/>
    <m/>
    <s v="UNTREF"/>
    <s v="UNSAM- LADA"/>
    <n v="20959"/>
    <x v="15"/>
    <x v="5"/>
  </r>
  <r>
    <s v="SFMyCP"/>
    <x v="0"/>
    <x v="0"/>
    <x v="0"/>
    <x v="0"/>
    <x v="0"/>
    <m/>
    <s v="DISEÑO"/>
    <s v="ANALISTA"/>
    <s v="PALPALÁ-JUJUY"/>
    <s v="PALPALÁ-JUJUY"/>
    <x v="294"/>
    <s v="DNI"/>
    <n v="29942530"/>
    <n v="20299425305"/>
    <d v="1982-12-23T00:00:00"/>
    <m/>
    <m/>
    <m/>
    <m/>
    <s v="ASISTENCIA TÉCNICA"/>
    <x v="0"/>
    <d v="2015-09-01T00:00:00"/>
    <m/>
    <d v="2016-12-31T00:00:00"/>
    <m/>
    <s v="UNTREF"/>
    <s v="UNSAM"/>
    <n v="13000"/>
    <x v="90"/>
    <x v="0"/>
  </r>
  <r>
    <s v="SFMyCP"/>
    <x v="0"/>
    <x v="1"/>
    <x v="1"/>
    <x v="16"/>
    <x v="2"/>
    <m/>
    <m/>
    <m/>
    <m/>
    <m/>
    <x v="295"/>
    <s v="DNI"/>
    <n v="30593086"/>
    <n v="20305930866"/>
    <m/>
    <m/>
    <m/>
    <m/>
    <m/>
    <m/>
    <x v="1"/>
    <d v="2005-08-01T00:00:00"/>
    <m/>
    <d v="2016-12-31T00:00:00"/>
    <s v="C0"/>
    <m/>
    <m/>
    <m/>
    <x v="18"/>
    <x v="3"/>
  </r>
  <r>
    <s v="SFMyCP"/>
    <x v="0"/>
    <x v="0"/>
    <x v="0"/>
    <x v="8"/>
    <x v="6"/>
    <m/>
    <s v="TÉCNICA Y TRANSMISIÓN"/>
    <s v="ADMINISTRATIVO"/>
    <s v="CABILDO 65"/>
    <s v="CABILDO 65"/>
    <x v="296"/>
    <s v="DNI"/>
    <n v="32188347"/>
    <s v="20321883479"/>
    <d v="1986-03-09T00:00:00"/>
    <m/>
    <m/>
    <m/>
    <m/>
    <s v="ASISTENCIA TÉCNICA"/>
    <x v="0"/>
    <d v="2015-07-01T00:00:00"/>
    <m/>
    <d v="2016-12-31T00:00:00"/>
    <m/>
    <s v="UNTREF"/>
    <s v="UNSAM- LADA"/>
    <n v="17849"/>
    <x v="83"/>
    <x v="5"/>
  </r>
  <r>
    <s v="SFMyCP"/>
    <x v="1"/>
    <x v="0"/>
    <x v="5"/>
    <x v="30"/>
    <x v="2"/>
    <m/>
    <s v=""/>
    <s v="ADMINISTRATIVO"/>
    <m/>
    <s v="CCK - Alem 351"/>
    <x v="297"/>
    <s v="DNI"/>
    <n v="34207982"/>
    <s v="27342079828"/>
    <d v="1989-01-23T00:00:00"/>
    <m/>
    <m/>
    <m/>
    <m/>
    <s v="ASISTENCIA TÉCNICA"/>
    <x v="0"/>
    <d v="2015-03-01T00:00:00"/>
    <m/>
    <d v="2016-12-31T00:00:00"/>
    <m/>
    <s v="UNTREF"/>
    <s v="UNLAM -TDA"/>
    <n v="12231"/>
    <x v="30"/>
    <x v="5"/>
  </r>
  <r>
    <s v="SFMyCP"/>
    <x v="0"/>
    <x v="1"/>
    <x v="1"/>
    <x v="10"/>
    <x v="2"/>
    <m/>
    <m/>
    <s v="ADMINISTRATIVA"/>
    <m/>
    <s v="CCK - Alem 351"/>
    <x v="298"/>
    <s v="DNI"/>
    <n v="17454322"/>
    <n v="20174543225"/>
    <d v="1965-10-19T00:00:00"/>
    <m/>
    <m/>
    <m/>
    <m/>
    <s v="ASISTENCIA TÉCNICA"/>
    <x v="0"/>
    <d v="2016-04-01T00:00:00"/>
    <m/>
    <d v="2016-12-31T00:00:00"/>
    <m/>
    <s v="UNTREF"/>
    <m/>
    <n v="26000"/>
    <x v="18"/>
    <x v="3"/>
  </r>
  <r>
    <s v="SFMyCP"/>
    <x v="0"/>
    <x v="0"/>
    <x v="0"/>
    <x v="8"/>
    <x v="6"/>
    <m/>
    <s v="PROMOCIONES"/>
    <s v="ADMINISTRATIVO"/>
    <s v="CABILDO 65"/>
    <s v="CABILDO 65"/>
    <x v="299"/>
    <s v="DNI"/>
    <n v="32783953"/>
    <s v="27327839530"/>
    <d v="1986-12-28T00:00:00"/>
    <m/>
    <m/>
    <m/>
    <m/>
    <s v="ASISTENCIA TÉCNICA"/>
    <x v="0"/>
    <d v="2015-07-01T00:00:00"/>
    <m/>
    <d v="2016-12-31T00:00:00"/>
    <m/>
    <s v="UNTREF"/>
    <s v="UNSAM- LADA"/>
    <n v="15234"/>
    <x v="22"/>
    <x v="5"/>
  </r>
  <r>
    <s v="SFMyCP"/>
    <x v="0"/>
    <x v="0"/>
    <x v="8"/>
    <x v="1"/>
    <x v="2"/>
    <m/>
    <m/>
    <s v="ADMINISTRATIVO"/>
    <m/>
    <s v="CCK - Alem 351"/>
    <x v="300"/>
    <s v="DNI"/>
    <n v="24903622"/>
    <s v="27249036221"/>
    <d v="1976-03-10T00:00:00"/>
    <m/>
    <m/>
    <m/>
    <m/>
    <s v="ASISTENCIA TÉCNICA"/>
    <x v="0"/>
    <m/>
    <m/>
    <d v="2016-12-31T00:00:00"/>
    <m/>
    <s v="UNTREF"/>
    <m/>
    <n v="19000"/>
    <x v="135"/>
    <x v="3"/>
  </r>
  <r>
    <s v="SFMyCP"/>
    <x v="0"/>
    <x v="0"/>
    <x v="0"/>
    <x v="8"/>
    <x v="6"/>
    <s v="CCK"/>
    <s v="PROGRAMA POLOS AUDIOVISUALES TECNOLÓGICOS"/>
    <m/>
    <s v="CABILDO 65"/>
    <m/>
    <x v="301"/>
    <s v="DNI"/>
    <n v="12633838"/>
    <n v="23126338384"/>
    <m/>
    <m/>
    <m/>
    <m/>
    <m/>
    <s v="LEY MARCO"/>
    <x v="1"/>
    <d v="2014-10-01T00:00:00"/>
    <d v="2016-03-31T00:00:00"/>
    <d v="2016-12-31T00:00:00"/>
    <s v="B0"/>
    <m/>
    <m/>
    <n v="17107"/>
    <x v="104"/>
    <x v="5"/>
  </r>
  <r>
    <s v="SFMyCP"/>
    <x v="0"/>
    <x v="1"/>
    <x v="3"/>
    <x v="2"/>
    <x v="2"/>
    <m/>
    <s v="PRIVADA"/>
    <s v="ADMINISTRATIVO"/>
    <s v="TECNÓPOLIS"/>
    <s v="TECNOPOLIS"/>
    <x v="302"/>
    <s v="DNI"/>
    <n v="28233579"/>
    <s v="23282335794"/>
    <d v="1980-07-02T00:00:00"/>
    <m/>
    <m/>
    <m/>
    <m/>
    <s v="ASISTENCIA TÉCNICA"/>
    <x v="0"/>
    <d v="2016-01-01T00:00:00"/>
    <m/>
    <d v="2016-12-31T00:00:00"/>
    <m/>
    <s v="UNTREF"/>
    <s v="UNSAM"/>
    <n v="15159.27"/>
    <x v="136"/>
    <x v="29"/>
  </r>
  <r>
    <s v="SFMyCP"/>
    <x v="0"/>
    <x v="0"/>
    <x v="0"/>
    <x v="8"/>
    <x v="6"/>
    <m/>
    <s v="TÉCNICA Y TRANSMISIÓN"/>
    <s v="ADMINISTRATIVO"/>
    <s v="CABILDO 65"/>
    <s v="CABILDO 65"/>
    <x v="303"/>
    <s v="DNI"/>
    <n v="23195541"/>
    <s v="20231955411"/>
    <d v="1973-02-19T00:00:00"/>
    <m/>
    <m/>
    <m/>
    <m/>
    <s v="ASISTENCIA TÉCNICA"/>
    <x v="0"/>
    <d v="2013-03-01T00:00:00"/>
    <m/>
    <d v="2016-12-31T00:00:00"/>
    <m/>
    <s v="UNTREF"/>
    <s v="UNSAM- LADA"/>
    <n v="22151"/>
    <x v="58"/>
    <x v="5"/>
  </r>
  <r>
    <s v="SFMyCP"/>
    <x v="0"/>
    <x v="1"/>
    <x v="3"/>
    <x v="6"/>
    <x v="2"/>
    <m/>
    <m/>
    <s v="MANTENIMIENTO GRAL DEL PARQUE"/>
    <s v="TECNÓPOLIS"/>
    <s v="TECNOPOLIS"/>
    <x v="304"/>
    <s v="DNI"/>
    <n v="34363932"/>
    <s v="20343639326"/>
    <d v="1990-08-31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0"/>
    <x v="0"/>
    <x v="8"/>
    <x v="6"/>
    <m/>
    <s v="POSTPRODUCCIÓN"/>
    <s v="EDICION"/>
    <s v="CABILDO 65"/>
    <s v="CABILDO 65"/>
    <x v="305"/>
    <s v="DNI"/>
    <n v="30861963"/>
    <s v="20308619630"/>
    <d v="1984-08-04T00:00:00"/>
    <m/>
    <m/>
    <m/>
    <m/>
    <s v="ASISTENCIA TÉCNICA"/>
    <x v="0"/>
    <d v="2014-06-23T00:00:00"/>
    <m/>
    <d v="2016-12-31T00:00:00"/>
    <m/>
    <s v="UNTREF"/>
    <m/>
    <n v="20959"/>
    <x v="15"/>
    <x v="3"/>
  </r>
  <r>
    <s v="SFMyCP"/>
    <x v="0"/>
    <x v="1"/>
    <x v="3"/>
    <x v="4"/>
    <x v="2"/>
    <m/>
    <s v="COCINA"/>
    <s v="ORGANIZACIÓN DE MERCADERÍA DE DEPÓSITOS/COMANDO DE ACTIVIDADES/PRODUCCIÓN GRAL DE RECETAS"/>
    <s v="TECNÓPOLIS"/>
    <s v="TECNOPOLIS"/>
    <x v="306"/>
    <s v="DNI"/>
    <n v="94512322"/>
    <s v="20945123223"/>
    <d v="1993-01-19T00:00:00"/>
    <m/>
    <m/>
    <m/>
    <m/>
    <s v="ASISTENCIA TÉCNICA"/>
    <x v="0"/>
    <d v="2012-07-01T00:00:00"/>
    <m/>
    <d v="2016-12-31T00:00:00"/>
    <m/>
    <s v="UNTREF"/>
    <s v="UNTREF"/>
    <n v="11449.4"/>
    <x v="8"/>
    <x v="5"/>
  </r>
  <r>
    <s v="SFMyCP"/>
    <x v="0"/>
    <x v="1"/>
    <x v="3"/>
    <x v="15"/>
    <x v="2"/>
    <m/>
    <m/>
    <m/>
    <s v="TECNÓPOLIS"/>
    <m/>
    <x v="307"/>
    <s v="DNI"/>
    <n v="20718608"/>
    <n v="20207186083"/>
    <m/>
    <m/>
    <m/>
    <m/>
    <m/>
    <s v="LEY MARCO"/>
    <x v="1"/>
    <d v="2012-02-01T00:00:00"/>
    <d v="2016-12-31T00:00:00"/>
    <d v="2016-12-31T00:00:00"/>
    <s v="C0"/>
    <m/>
    <m/>
    <n v="14667.81"/>
    <x v="137"/>
    <x v="5"/>
  </r>
  <r>
    <s v="SFMyCP"/>
    <x v="0"/>
    <x v="0"/>
    <x v="9"/>
    <x v="2"/>
    <x v="2"/>
    <m/>
    <m/>
    <s v="ADMINISTRATIVO"/>
    <m/>
    <s v="CCK - Alem 351"/>
    <x v="308"/>
    <s v="DNI"/>
    <n v="23275418"/>
    <s v="23232754184"/>
    <d v="1973-06-28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35"/>
    <x v="2"/>
    <m/>
    <m/>
    <m/>
    <s v="TECNÓPOLIS"/>
    <m/>
    <x v="309"/>
    <s v="DNI"/>
    <n v="23109452"/>
    <n v="20231094521"/>
    <m/>
    <m/>
    <m/>
    <m/>
    <m/>
    <s v="LEY MARCO"/>
    <x v="1"/>
    <d v="2012-02-01T00:00:00"/>
    <d v="2016-12-31T00:00:00"/>
    <d v="2016-12-31T00:00:00"/>
    <s v="C0"/>
    <m/>
    <m/>
    <n v="16544.11"/>
    <x v="138"/>
    <x v="5"/>
  </r>
  <r>
    <s v="SFMyCP"/>
    <x v="0"/>
    <x v="0"/>
    <x v="8"/>
    <x v="1"/>
    <x v="2"/>
    <m/>
    <m/>
    <m/>
    <s v="CCK"/>
    <s v="CCK - Alem 351"/>
    <x v="310"/>
    <s v="DNI"/>
    <n v="28334271"/>
    <n v="23283242714"/>
    <m/>
    <m/>
    <m/>
    <m/>
    <m/>
    <s v="LEY MARCO"/>
    <x v="1"/>
    <d v="2012-04-01T00:00:00"/>
    <d v="2016-12-31T00:00:00"/>
    <d v="2016-12-31T00:00:00"/>
    <s v="C0"/>
    <m/>
    <m/>
    <n v="15601"/>
    <x v="139"/>
    <x v="5"/>
  </r>
  <r>
    <s v="SFMyCP"/>
    <x v="1"/>
    <x v="0"/>
    <x v="5"/>
    <x v="17"/>
    <x v="12"/>
    <s v="AUTOMOTORES"/>
    <s v="CHOFER"/>
    <m/>
    <s v="CCK"/>
    <m/>
    <x v="311"/>
    <s v="DNI"/>
    <n v="14890843"/>
    <n v="20148908436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0"/>
    <x v="0"/>
    <x v="8"/>
    <x v="6"/>
    <m/>
    <s v="BACUA"/>
    <s v="ADMINISTRATIVO"/>
    <s v="CABILDO 65"/>
    <s v="CABILDO 65"/>
    <x v="312"/>
    <s v="DNI"/>
    <n v="34529374"/>
    <s v="23345293744"/>
    <d v="1989-05-13T00:00:00"/>
    <m/>
    <m/>
    <m/>
    <m/>
    <s v="ASISTENCIA TÉCNICA"/>
    <x v="0"/>
    <d v="2012-12-01T00:00:00"/>
    <m/>
    <d v="2016-12-31T00:00:00"/>
    <m/>
    <s v="UNTREF"/>
    <s v="UNSAM- LADA"/>
    <n v="16465"/>
    <x v="17"/>
    <x v="5"/>
  </r>
  <r>
    <s v="SFMyCP"/>
    <x v="0"/>
    <x v="1"/>
    <x v="1"/>
    <x v="31"/>
    <x v="2"/>
    <m/>
    <s v="ASESOR"/>
    <s v="ASESOR"/>
    <m/>
    <s v="CCK - Alem 351"/>
    <x v="313"/>
    <m/>
    <m/>
    <m/>
    <d v="1973-03-30T00:00:00"/>
    <m/>
    <m/>
    <m/>
    <m/>
    <m/>
    <x v="0"/>
    <d v="2016-07-01T00:00:00"/>
    <d v="2016-12-31T00:00:00"/>
    <d v="2016-12-31T00:00:00"/>
    <m/>
    <s v="UNTREF"/>
    <m/>
    <m/>
    <x v="18"/>
    <x v="3"/>
  </r>
  <r>
    <s v="SFMyCP"/>
    <x v="1"/>
    <x v="0"/>
    <x v="5"/>
    <x v="18"/>
    <x v="2"/>
    <m/>
    <m/>
    <s v="Asistencia Juridica"/>
    <m/>
    <s v="CCK - Alem 351"/>
    <x v="314"/>
    <s v="DNI"/>
    <n v="38861032"/>
    <n v="20388610329"/>
    <d v="1995-02-26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1"/>
    <x v="39"/>
    <x v="2"/>
    <m/>
    <s v="Administrativo"/>
    <s v="ADMINISTRATIVO"/>
    <s v="CCK"/>
    <s v="CCK - Alem 351"/>
    <x v="315"/>
    <s v="DNI"/>
    <n v="27822762"/>
    <s v="27278227621"/>
    <d v="1980-02-04T00:00:00"/>
    <m/>
    <m/>
    <m/>
    <m/>
    <s v="ASISTENCIA TÉCNICA"/>
    <x v="0"/>
    <d v="2013-11-16T00:00:00"/>
    <m/>
    <d v="2016-12-31T00:00:00"/>
    <m/>
    <s v="UNTREF"/>
    <s v="CULTURA"/>
    <n v="16000"/>
    <x v="29"/>
    <x v="12"/>
  </r>
  <r>
    <s v="SFMyCP"/>
    <x v="0"/>
    <x v="1"/>
    <x v="3"/>
    <x v="27"/>
    <x v="2"/>
    <m/>
    <m/>
    <m/>
    <s v="TECNÓPOLIS"/>
    <m/>
    <x v="316"/>
    <s v="DNI"/>
    <n v="29635339"/>
    <n v="20296353397"/>
    <m/>
    <m/>
    <m/>
    <m/>
    <m/>
    <s v="LEY MARCO"/>
    <x v="1"/>
    <d v="2010-04-01T00:00:00"/>
    <d v="2016-12-31T00:00:00"/>
    <d v="2016-12-31T00:00:00"/>
    <s v="C1"/>
    <m/>
    <m/>
    <n v="31094"/>
    <x v="140"/>
    <x v="5"/>
  </r>
  <r>
    <s v="SFMyCP"/>
    <x v="0"/>
    <x v="0"/>
    <x v="8"/>
    <x v="1"/>
    <x v="2"/>
    <m/>
    <m/>
    <s v="ADMINISTRATIVO"/>
    <m/>
    <s v="CCK - Alem 351"/>
    <x v="317"/>
    <s v="DNI"/>
    <n v="31559806"/>
    <n v="20315598061"/>
    <d v="1985-03-0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6"/>
    <x v="12"/>
    <x v="2"/>
    <m/>
    <m/>
    <s v="ADMINISTRATIVO"/>
    <m/>
    <s v="CCK - Alem 351"/>
    <x v="318"/>
    <s v="DNI"/>
    <n v="35368163"/>
    <n v="27353681635"/>
    <d v="1990-11-05T00:00:00"/>
    <m/>
    <m/>
    <m/>
    <m/>
    <s v="ASISTENCIA TÉCNICA"/>
    <x v="0"/>
    <m/>
    <m/>
    <d v="2016-12-31T00:00:00"/>
    <m/>
    <s v="UNTREF"/>
    <m/>
    <m/>
    <x v="90"/>
    <x v="3"/>
  </r>
  <r>
    <s v="SFMyCP"/>
    <x v="0"/>
    <x v="1"/>
    <x v="3"/>
    <x v="27"/>
    <x v="2"/>
    <m/>
    <m/>
    <m/>
    <s v="TECNÓPOLIS"/>
    <m/>
    <x v="319"/>
    <s v="DNI"/>
    <n v="30135252"/>
    <n v="20301352523"/>
    <m/>
    <m/>
    <m/>
    <m/>
    <m/>
    <s v="LEY MARCO"/>
    <x v="1"/>
    <d v="2013-04-01T00:00:00"/>
    <d v="2016-03-31T00:00:00"/>
    <d v="2016-12-31T00:00:00"/>
    <s v="D0"/>
    <m/>
    <m/>
    <n v="17672.34"/>
    <x v="141"/>
    <x v="5"/>
  </r>
  <r>
    <s v="SFMyCP"/>
    <x v="0"/>
    <x v="1"/>
    <x v="1"/>
    <x v="5"/>
    <x v="2"/>
    <m/>
    <m/>
    <s v="Auxiliar"/>
    <m/>
    <s v="CCK - Alem 351"/>
    <x v="320"/>
    <s v="DNI"/>
    <n v="28746454"/>
    <n v="20287464542"/>
    <d v="1970-12-15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39"/>
    <x v="2"/>
    <m/>
    <m/>
    <s v="ADMINISTRATIVO"/>
    <s v="CCK"/>
    <s v="CCK - Alem 351"/>
    <x v="321"/>
    <s v="DNI"/>
    <n v="23782289"/>
    <s v="27237822892"/>
    <d v="1974-01-18T00:00:00"/>
    <m/>
    <m/>
    <m/>
    <m/>
    <s v="ASISTENCIA TÉCNICA"/>
    <x v="0"/>
    <d v="2015-01-12T00:00:00"/>
    <m/>
    <d v="2016-12-31T00:00:00"/>
    <m/>
    <s v="UNTREF"/>
    <s v="UNSAM"/>
    <n v="10188"/>
    <x v="5"/>
    <x v="4"/>
  </r>
  <r>
    <s v="SFMyCP"/>
    <x v="0"/>
    <x v="1"/>
    <x v="3"/>
    <x v="24"/>
    <x v="2"/>
    <m/>
    <s v="Tareas Generales"/>
    <s v="MANTENIMIENTO DE ESPACIOS VERDES"/>
    <s v="TECNÓPOLIS"/>
    <m/>
    <x v="322"/>
    <s v="DNI"/>
    <n v="27888389"/>
    <n v="27278883898"/>
    <m/>
    <m/>
    <m/>
    <m/>
    <m/>
    <s v="ASISTENCIA TÉCNICA"/>
    <x v="2"/>
    <m/>
    <m/>
    <d v="2016-12-31T00:00:00"/>
    <m/>
    <s v="UNTREF"/>
    <s v="UNTREF"/>
    <n v="4700"/>
    <x v="142"/>
    <x v="5"/>
  </r>
  <r>
    <s v="SFMyCP"/>
    <x v="0"/>
    <x v="1"/>
    <x v="3"/>
    <x v="2"/>
    <x v="2"/>
    <m/>
    <s v="PRIVADA"/>
    <s v="ADMINISTRATIVO"/>
    <m/>
    <s v="TECNOPOLIS"/>
    <x v="323"/>
    <s v="DNI"/>
    <n v="33423803"/>
    <n v="20334238035"/>
    <d v="1987-10-2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s v="CCK"/>
    <s v="FOMENTO"/>
    <s v="ADMINISTRATIVO"/>
    <s v="CABILDO 65"/>
    <s v="CABILDO 65"/>
    <x v="324"/>
    <s v="DNI"/>
    <n v="27926754"/>
    <s v="27279267546"/>
    <d v="1980-02-25T00:00:00"/>
    <m/>
    <m/>
    <m/>
    <m/>
    <s v="ASISTENCIA TÉCNICA"/>
    <x v="0"/>
    <d v="2013-02-01T00:00:00"/>
    <m/>
    <d v="2016-12-31T00:00:00"/>
    <m/>
    <s v="UNTREF"/>
    <s v="UNSAM- LADA"/>
    <n v="16465"/>
    <x v="17"/>
    <x v="5"/>
  </r>
  <r>
    <s v="SFMyCP"/>
    <x v="0"/>
    <x v="1"/>
    <x v="1"/>
    <x v="16"/>
    <x v="11"/>
    <m/>
    <m/>
    <s v="VISITAS GUIADAS"/>
    <m/>
    <s v="CCK - Alem 351"/>
    <x v="325"/>
    <s v="DNI"/>
    <n v="34641137"/>
    <n v="20346411377"/>
    <d v="1989-06-19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8"/>
    <x v="6"/>
    <m/>
    <s v="PROMOCIONES"/>
    <s v="ADMINISTRATIVO"/>
    <s v="CABILDO 65"/>
    <s v="CABILDO 65"/>
    <x v="326"/>
    <s v="DNI"/>
    <n v="33498759"/>
    <s v="27334987596"/>
    <d v="1987-12-02T00:00:00"/>
    <m/>
    <m/>
    <m/>
    <m/>
    <s v="ASISTENCIA TÉCNICA"/>
    <x v="0"/>
    <d v="2009-11-19T00:00:00"/>
    <m/>
    <d v="2016-12-31T00:00:00"/>
    <m/>
    <s v="UNTREF"/>
    <s v="UNSAM- LADA"/>
    <n v="20545"/>
    <x v="143"/>
    <x v="5"/>
  </r>
  <r>
    <s v="SFMyCP"/>
    <x v="1"/>
    <x v="0"/>
    <x v="5"/>
    <x v="26"/>
    <x v="2"/>
    <m/>
    <s v="Analista"/>
    <s v="Analista"/>
    <s v="CCK"/>
    <s v="CCK - Alem 351"/>
    <x v="327"/>
    <s v="DNI"/>
    <n v="35429157"/>
    <s v="20354291577"/>
    <d v="1993-02-09T00:00:00"/>
    <m/>
    <m/>
    <m/>
    <m/>
    <s v="ASISTENCIA TÉCNICA"/>
    <x v="0"/>
    <d v="2015-04-01T00:00:00"/>
    <m/>
    <d v="2016-12-31T00:00:00"/>
    <m/>
    <s v="UNTREF"/>
    <s v="UNLAM- INFO"/>
    <n v="9000"/>
    <x v="5"/>
    <x v="4"/>
  </r>
  <r>
    <s v="SFMyCP"/>
    <x v="1"/>
    <x v="0"/>
    <x v="5"/>
    <x v="7"/>
    <x v="2"/>
    <m/>
    <m/>
    <m/>
    <m/>
    <m/>
    <x v="328"/>
    <s v="DNI"/>
    <n v="27311920"/>
    <n v="20273119206"/>
    <m/>
    <m/>
    <m/>
    <m/>
    <m/>
    <s v="LEY MARCO"/>
    <x v="1"/>
    <d v="2012-12-01T00:00:00"/>
    <d v="2016-12-31T00:00:00"/>
    <d v="2016-12-31T00:00:00"/>
    <s v="A0"/>
    <m/>
    <m/>
    <n v="22812"/>
    <x v="124"/>
    <x v="5"/>
  </r>
  <r>
    <s v="SFMyCP"/>
    <x v="0"/>
    <x v="1"/>
    <x v="3"/>
    <x v="6"/>
    <x v="2"/>
    <m/>
    <m/>
    <m/>
    <s v="TECNÓPOLIS"/>
    <m/>
    <x v="329"/>
    <s v="DNI"/>
    <n v="31135350"/>
    <m/>
    <m/>
    <m/>
    <m/>
    <m/>
    <m/>
    <s v="LEY MARCO"/>
    <x v="1"/>
    <d v="2011-06-01T00:00:00"/>
    <d v="2016-12-31T00:00:00"/>
    <d v="2016-12-31T00:00:00"/>
    <s v="C0"/>
    <m/>
    <m/>
    <n v="13533.35"/>
    <x v="144"/>
    <x v="5"/>
  </r>
  <r>
    <s v="SFMyCP"/>
    <x v="0"/>
    <x v="1"/>
    <x v="3"/>
    <x v="6"/>
    <x v="2"/>
    <m/>
    <m/>
    <s v="MANTENIMIENTO GRAL DEL PARQUE"/>
    <s v="TECNÓPOLIS"/>
    <s v="TECNOPOLIS"/>
    <x v="330"/>
    <s v="DNI"/>
    <n v="17928508"/>
    <s v="20179285089"/>
    <d v="1966-11-03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0"/>
    <x v="4"/>
    <x v="2"/>
    <x v="2"/>
    <m/>
    <s v="PRIVADA"/>
    <s v="ADMINISTRATIVO"/>
    <m/>
    <s v="CCK - Alem 351"/>
    <x v="331"/>
    <s v="DNI"/>
    <n v="25177118"/>
    <m/>
    <m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1"/>
    <x v="31"/>
    <x v="2"/>
    <m/>
    <s v="PRIVADA"/>
    <s v="ADMINISTRATIVO"/>
    <s v="CCK"/>
    <s v="CCK - Alem 351"/>
    <x v="332"/>
    <s v="DNI"/>
    <n v="39066240"/>
    <n v="27390662403"/>
    <d v="1995-07-21T00:00:00"/>
    <m/>
    <m/>
    <m/>
    <m/>
    <s v="ASISTENCIA TÉCNICA"/>
    <x v="0"/>
    <d v="2016-02-01T00:00:00"/>
    <m/>
    <d v="2016-12-31T00:00:00"/>
    <m/>
    <s v="UNTREF"/>
    <s v="UNSAM"/>
    <n v="28000"/>
    <x v="145"/>
    <x v="30"/>
  </r>
  <r>
    <s v="SFMyCP"/>
    <x v="0"/>
    <x v="0"/>
    <x v="0"/>
    <x v="8"/>
    <x v="4"/>
    <m/>
    <s v="PRODUCCIÓN"/>
    <s v="PRODUCTOR de EXTERIORES"/>
    <s v="CABILDO 65"/>
    <s v="CABILDO 65"/>
    <x v="333"/>
    <s v="DNI"/>
    <n v="27946545"/>
    <s v="20279465459"/>
    <d v="1980-03-25T00:00:00"/>
    <m/>
    <m/>
    <m/>
    <m/>
    <s v="ASISTENCIA TÉCNICA"/>
    <x v="0"/>
    <d v="2013-04-01T00:00:00"/>
    <m/>
    <d v="2016-12-31T00:00:00"/>
    <m/>
    <s v="UNTREF"/>
    <m/>
    <n v="19353"/>
    <x v="36"/>
    <x v="3"/>
  </r>
  <r>
    <s v="SFMyCP"/>
    <x v="0"/>
    <x v="1"/>
    <x v="3"/>
    <x v="10"/>
    <x v="2"/>
    <m/>
    <m/>
    <m/>
    <s v="TECNÓPOLIS"/>
    <m/>
    <x v="334"/>
    <s v="DNI"/>
    <n v="30571636"/>
    <n v="27305716362"/>
    <m/>
    <m/>
    <m/>
    <m/>
    <m/>
    <s v="LEY MARCO"/>
    <x v="1"/>
    <d v="2012-10-30T00:00:00"/>
    <d v="2016-12-31T00:00:00"/>
    <d v="2016-12-31T00:00:00"/>
    <s v="C0"/>
    <m/>
    <m/>
    <n v="27488.85"/>
    <x v="132"/>
    <x v="5"/>
  </r>
  <r>
    <s v="SFMyCP"/>
    <x v="0"/>
    <x v="0"/>
    <x v="0"/>
    <x v="8"/>
    <x v="6"/>
    <m/>
    <s v=""/>
    <s v="ADMINISTRATIVO"/>
    <s v="CABILDO 65"/>
    <s v="CABILDO 65"/>
    <x v="335"/>
    <s v="DNI"/>
    <n v="31343615"/>
    <s v="27313436158"/>
    <d v="1984-11-23T00:00:00"/>
    <m/>
    <m/>
    <m/>
    <m/>
    <s v="ASISTENCIA TÉCNICA"/>
    <x v="0"/>
    <d v="2012-12-01T00:00:00"/>
    <m/>
    <d v="2016-12-31T00:00:00"/>
    <m/>
    <s v="UNTREF"/>
    <s v="UNSAM- LADA"/>
    <n v="16465"/>
    <x v="17"/>
    <x v="5"/>
  </r>
  <r>
    <s v="SFMyCP"/>
    <x v="0"/>
    <x v="1"/>
    <x v="1"/>
    <x v="10"/>
    <x v="2"/>
    <m/>
    <m/>
    <s v="ADMINISTRATIVA"/>
    <m/>
    <s v="CCK - Alem 351"/>
    <x v="336"/>
    <s v="DNI"/>
    <n v="32236578"/>
    <s v="27322365786"/>
    <d v="1986-03-0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3"/>
    <x v="2"/>
    <m/>
    <m/>
    <s v="LIMPIEZA GENERAL DEL PARQUE"/>
    <s v="TECNÓPOLIS"/>
    <s v="TECNOPOLIS"/>
    <x v="337"/>
    <s v="DNI"/>
    <n v="16253797"/>
    <s v="27162537976"/>
    <d v="1964-08-15T00:00:00"/>
    <m/>
    <m/>
    <m/>
    <m/>
    <s v="ASISTENCIA TÉCNICA"/>
    <x v="0"/>
    <d v="2012-07-01T00:00:00"/>
    <m/>
    <d v="2016-12-31T00:00:00"/>
    <m/>
    <s v="UNTREF"/>
    <s v="UNTREF"/>
    <n v="9955.51"/>
    <x v="95"/>
    <x v="5"/>
  </r>
  <r>
    <s v="SFMyCP"/>
    <x v="0"/>
    <x v="1"/>
    <x v="3"/>
    <x v="40"/>
    <x v="2"/>
    <m/>
    <m/>
    <m/>
    <s v="TECNÓPOLIS"/>
    <m/>
    <x v="338"/>
    <s v="DNI"/>
    <n v="20965399"/>
    <n v="27209653996"/>
    <m/>
    <m/>
    <m/>
    <m/>
    <m/>
    <s v="LEY MARCO"/>
    <x v="1"/>
    <d v="2010-01-01T00:00:00"/>
    <d v="2016-12-31T00:00:00"/>
    <d v="2016-12-31T00:00:00"/>
    <s v="C1"/>
    <m/>
    <m/>
    <n v="17571.04"/>
    <x v="146"/>
    <x v="5"/>
  </r>
  <r>
    <s v="SFMyCP"/>
    <x v="0"/>
    <x v="0"/>
    <x v="0"/>
    <x v="8"/>
    <x v="6"/>
    <m/>
    <s v="BACUA"/>
    <s v="ADMINISTRATIVO"/>
    <s v="CABILDO 65"/>
    <s v="CABILDO 65"/>
    <x v="339"/>
    <s v="DNI"/>
    <n v="27537306"/>
    <s v="20275373061"/>
    <s v="14/08/1979"/>
    <m/>
    <m/>
    <m/>
    <m/>
    <s v="ASISTENCIA TÉCNICA"/>
    <x v="0"/>
    <d v="2011-05-09T00:00:00"/>
    <m/>
    <d v="2016-12-31T00:00:00"/>
    <m/>
    <s v="UNTREF"/>
    <s v="UNSAM- LADA"/>
    <n v="32782"/>
    <x v="80"/>
    <x v="5"/>
  </r>
  <r>
    <s v="SFMyCP"/>
    <x v="0"/>
    <x v="1"/>
    <x v="1"/>
    <x v="10"/>
    <x v="2"/>
    <m/>
    <m/>
    <s v="ADMINISTRATIVA"/>
    <m/>
    <s v="CCK - Alem 351"/>
    <x v="340"/>
    <s v="DNI"/>
    <n v="22825888"/>
    <s v="20228258882"/>
    <d v="1972-08-25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2"/>
    <x v="2"/>
    <x v="2"/>
    <m/>
    <s v="PRIVADA"/>
    <s v="ADMINISTRATIVO"/>
    <m/>
    <s v="CCK - Alem 351"/>
    <x v="341"/>
    <s v="DNI"/>
    <n v="37234433"/>
    <n v="23372344334"/>
    <d v="1973-07-05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0"/>
    <x v="1"/>
    <x v="3"/>
    <x v="3"/>
    <x v="2"/>
    <m/>
    <m/>
    <s v="LIMPIEZA GENERAL DEL PARQUE"/>
    <s v="TECNÓPOLIS"/>
    <s v="TECNOPOLIS"/>
    <x v="342"/>
    <s v="DNI"/>
    <n v="34669940"/>
    <s v="27346699405"/>
    <d v="1988-10-09T00:00:00"/>
    <m/>
    <m/>
    <m/>
    <m/>
    <s v="ASISTENCIA TÉCNICA"/>
    <x v="0"/>
    <d v="2013-07-01T00:00:00"/>
    <m/>
    <d v="2016-12-31T00:00:00"/>
    <m/>
    <s v="UNTREF"/>
    <s v="UNTREF"/>
    <n v="9995.51"/>
    <x v="19"/>
    <x v="5"/>
  </r>
  <r>
    <s v="SFMyCP"/>
    <x v="1"/>
    <x v="0"/>
    <x v="5"/>
    <x v="17"/>
    <x v="12"/>
    <s v="AUTOMOTORES"/>
    <s v="CHOFER"/>
    <m/>
    <s v="CCK"/>
    <m/>
    <x v="343"/>
    <s v="DNI"/>
    <n v="33928176"/>
    <n v="23339281769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0"/>
    <x v="0"/>
    <x v="8"/>
    <x v="6"/>
    <s v="CCK"/>
    <s v="PROGRAMA POLOS AUDIOVISUALES TECNOLÓGICOS"/>
    <m/>
    <s v="CABILDO 65"/>
    <m/>
    <x v="344"/>
    <s v="DNI"/>
    <n v="35561266"/>
    <n v="20355612660"/>
    <m/>
    <m/>
    <m/>
    <m/>
    <m/>
    <s v="LEY MARCO"/>
    <x v="1"/>
    <d v="2011-03-01T00:00:00"/>
    <d v="2016-12-31T00:00:00"/>
    <d v="2016-12-31T00:00:00"/>
    <s v="C1"/>
    <m/>
    <m/>
    <n v="12000"/>
    <x v="7"/>
    <x v="5"/>
  </r>
  <r>
    <s v="SFMyCP"/>
    <x v="0"/>
    <x v="0"/>
    <x v="8"/>
    <x v="1"/>
    <x v="2"/>
    <m/>
    <m/>
    <m/>
    <s v="CCK"/>
    <s v="CCK - Alem 351"/>
    <x v="345"/>
    <s v="DNI"/>
    <n v="23377687"/>
    <n v="20233776875"/>
    <m/>
    <m/>
    <m/>
    <m/>
    <m/>
    <s v="LEY MARCO"/>
    <x v="1"/>
    <d v="2012-11-30T00:00:00"/>
    <d v="2016-12-31T00:00:00"/>
    <d v="2016-12-31T00:00:00"/>
    <s v="B0"/>
    <m/>
    <m/>
    <n v="19096"/>
    <x v="81"/>
    <x v="5"/>
  </r>
  <r>
    <s v="SFMyCP"/>
    <x v="0"/>
    <x v="1"/>
    <x v="1"/>
    <x v="10"/>
    <x v="2"/>
    <m/>
    <m/>
    <s v="ADMINISTRATIVA"/>
    <m/>
    <s v="CCK - Alem 351"/>
    <x v="346"/>
    <s v="DNI"/>
    <n v="23602538"/>
    <n v="20236025382"/>
    <d v="1973-11-09T00:00:00"/>
    <m/>
    <m/>
    <m/>
    <m/>
    <s v="ASISTENCIA TÉCNICA"/>
    <x v="0"/>
    <d v="2016-05-01T00:00:00"/>
    <m/>
    <d v="2016-12-31T00:00:00"/>
    <m/>
    <s v="UNTREF"/>
    <m/>
    <s v="."/>
    <x v="14"/>
    <x v="3"/>
  </r>
  <r>
    <s v="SFMyCP"/>
    <x v="0"/>
    <x v="1"/>
    <x v="1"/>
    <x v="16"/>
    <x v="11"/>
    <m/>
    <m/>
    <s v="VISITAS GUIADAS"/>
    <m/>
    <s v="CCK - Alem 351"/>
    <x v="347"/>
    <s v="DNI"/>
    <n v="25736011"/>
    <n v="27257360119"/>
    <d v="1977-02-1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4"/>
    <m/>
    <s v="CONTENIDOS DIGITALES ABIERTOS CDA"/>
    <s v="PRODUCTOR de EXTERIORES"/>
    <s v="CABILDO 65"/>
    <s v="CABILDO 65"/>
    <x v="348"/>
    <s v="DNI"/>
    <n v="31061385"/>
    <s v="20310613852"/>
    <d v="1984-07-08T00:00:00"/>
    <m/>
    <m/>
    <m/>
    <m/>
    <s v="ASISTENCIA TÉCNICA"/>
    <x v="0"/>
    <d v="2015-08-13T00:00:00"/>
    <m/>
    <d v="2016-12-31T00:00:00"/>
    <m/>
    <s v="UNTREF"/>
    <s v="UNSAM- LADA"/>
    <n v="16465"/>
    <x v="17"/>
    <x v="5"/>
  </r>
  <r>
    <s v="SFMyCP"/>
    <x v="0"/>
    <x v="0"/>
    <x v="0"/>
    <x v="8"/>
    <x v="6"/>
    <m/>
    <s v="ADMINISTRACIÓN"/>
    <m/>
    <s v="CABILDO 65"/>
    <m/>
    <x v="349"/>
    <s v="DNI"/>
    <n v="27769740"/>
    <n v="27277697403"/>
    <m/>
    <m/>
    <m/>
    <m/>
    <m/>
    <s v="LEY MARCO"/>
    <x v="1"/>
    <d v="2015-03-01T00:00:00"/>
    <d v="2016-03-31T00:00:00"/>
    <d v="2016-12-31T00:00:00"/>
    <s v="D0"/>
    <m/>
    <m/>
    <n v="10000"/>
    <x v="0"/>
    <x v="5"/>
  </r>
  <r>
    <s v="SFMyCP"/>
    <x v="0"/>
    <x v="1"/>
    <x v="1"/>
    <x v="2"/>
    <x v="2"/>
    <m/>
    <s v="COORD GESTIÓN FEDERAL "/>
    <s v="ADMINISTRATIVO"/>
    <m/>
    <s v="CCK - Alem 351"/>
    <x v="350"/>
    <s v="DNI"/>
    <n v="13654259"/>
    <n v="20136542592"/>
    <d v="1959-12-2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6"/>
    <x v="2"/>
    <m/>
    <m/>
    <s v="MANTENIMIENTO GRAL DEL PARQUE"/>
    <s v="TECNÓPOLIS"/>
    <s v="TECNOPOLIS"/>
    <x v="351"/>
    <s v="DNI"/>
    <n v="20354090"/>
    <s v="20203540907"/>
    <d v="1968-06-07T00:00:00"/>
    <m/>
    <m/>
    <m/>
    <m/>
    <s v="ASISTENCIA TÉCNICA"/>
    <x v="0"/>
    <d v="2011-09-01T00:00:00"/>
    <m/>
    <d v="2016-12-31T00:00:00"/>
    <m/>
    <s v="UNTREF"/>
    <s v="UNTREF"/>
    <n v="16139.51"/>
    <x v="147"/>
    <x v="5"/>
  </r>
  <r>
    <s v="SFMyCP"/>
    <x v="0"/>
    <x v="1"/>
    <x v="3"/>
    <x v="6"/>
    <x v="2"/>
    <m/>
    <m/>
    <m/>
    <s v="TECNÓPOLIS"/>
    <m/>
    <x v="352"/>
    <s v="DNI"/>
    <n v="23402784"/>
    <n v="20234027841"/>
    <m/>
    <m/>
    <m/>
    <m/>
    <m/>
    <s v="LEY MARCO"/>
    <x v="1"/>
    <d v="2012-10-31T00:00:00"/>
    <d v="2016-12-31T00:00:00"/>
    <d v="2016-12-31T00:00:00"/>
    <s v="C0"/>
    <m/>
    <m/>
    <n v="25954"/>
    <x v="148"/>
    <x v="5"/>
  </r>
  <r>
    <s v="SFMyCP"/>
    <x v="0"/>
    <x v="1"/>
    <x v="1"/>
    <x v="10"/>
    <x v="2"/>
    <m/>
    <m/>
    <s v="ADMINISTRATIVA"/>
    <m/>
    <s v="CCK - Alem 351"/>
    <x v="353"/>
    <s v="DNI"/>
    <n v="32267824"/>
    <s v="20322678240"/>
    <d v="1986-04-04T00:00:00"/>
    <m/>
    <m/>
    <m/>
    <m/>
    <s v="ASISTENCIA TÉCNICA"/>
    <x v="0"/>
    <d v="2016-05-01T00:00:00"/>
    <m/>
    <d v="2016-12-31T00:00:00"/>
    <m/>
    <s v="UNTREF"/>
    <m/>
    <s v="."/>
    <x v="14"/>
    <x v="3"/>
  </r>
  <r>
    <s v="SFMyCP"/>
    <x v="0"/>
    <x v="1"/>
    <x v="1"/>
    <x v="27"/>
    <x v="2"/>
    <m/>
    <m/>
    <s v="OPERACIÓN/MONTAJE/MANTENIMIENTO"/>
    <m/>
    <s v="TECNOPOLIS"/>
    <x v="354"/>
    <s v="DNI"/>
    <n v="7961336"/>
    <n v="20079613364"/>
    <d v="1949-09-08T00:00:00"/>
    <m/>
    <m/>
    <m/>
    <m/>
    <s v="ASISTENCIA TÉCNICA"/>
    <x v="0"/>
    <d v="2016-05-01T00:00:00"/>
    <m/>
    <d v="2016-12-31T00:00:00"/>
    <m/>
    <s v="UNTREF"/>
    <m/>
    <n v="15000"/>
    <x v="110"/>
    <x v="3"/>
  </r>
  <r>
    <s v="SFMyCP"/>
    <x v="0"/>
    <x v="0"/>
    <x v="0"/>
    <x v="8"/>
    <x v="6"/>
    <m/>
    <s v="POSTPRODUCCIÓN"/>
    <s v="EDICION"/>
    <s v="CABILDO 65"/>
    <s v="CABILDO 65"/>
    <x v="355"/>
    <s v="DNI"/>
    <n v="24881120"/>
    <s v="20248811200"/>
    <d v="1975-09-04T00:00:00"/>
    <m/>
    <m/>
    <m/>
    <m/>
    <s v="ASISTENCIA TÉCNICA"/>
    <x v="0"/>
    <d v="2012-09-01T00:00:00"/>
    <m/>
    <d v="2016-12-31T00:00:00"/>
    <m/>
    <s v="UNTREF"/>
    <s v="UNSAM- LADA"/>
    <n v="24741"/>
    <x v="149"/>
    <x v="5"/>
  </r>
  <r>
    <s v="SFMyCP"/>
    <x v="0"/>
    <x v="1"/>
    <x v="1"/>
    <x v="10"/>
    <x v="2"/>
    <m/>
    <m/>
    <s v="ADMINISTRATIVA"/>
    <m/>
    <s v="CCK - Alem 351"/>
    <x v="356"/>
    <s v="DNI"/>
    <n v="21834189"/>
    <n v="27218341891"/>
    <d v="1970-11-1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24"/>
    <x v="2"/>
    <m/>
    <s v="Tareas Generales"/>
    <s v="TAREAS EN GENERAL TALLER CARPINTERIA/HERRERÍA/TEXTIL"/>
    <s v="TECNÓPOLIS"/>
    <m/>
    <x v="357"/>
    <s v="DNI"/>
    <n v="24319998"/>
    <n v="20243199981"/>
    <d v="1967-12-30T00:00:00"/>
    <m/>
    <m/>
    <m/>
    <m/>
    <s v="ASISTENCIA TÉCNICA"/>
    <x v="2"/>
    <d v="2011-11-03T00:00:00"/>
    <m/>
    <d v="2016-12-31T00:00:00"/>
    <m/>
    <s v="UNTREF"/>
    <s v="UNTREF"/>
    <n v="1700"/>
    <x v="42"/>
    <x v="5"/>
  </r>
  <r>
    <s v="SFMyCP"/>
    <x v="0"/>
    <x v="1"/>
    <x v="3"/>
    <x v="6"/>
    <x v="2"/>
    <m/>
    <m/>
    <m/>
    <s v="TECNÓPOLIS"/>
    <m/>
    <x v="358"/>
    <s v="DNI"/>
    <n v="35151859"/>
    <n v="20351518597"/>
    <m/>
    <m/>
    <m/>
    <m/>
    <m/>
    <s v="LEY MARCO"/>
    <x v="1"/>
    <d v="2011-06-01T00:00:00"/>
    <d v="2016-12-31T00:00:00"/>
    <d v="2016-12-31T00:00:00"/>
    <s v="D1"/>
    <m/>
    <m/>
    <n v="18324"/>
    <x v="150"/>
    <x v="5"/>
  </r>
  <r>
    <s v="SFMyCP"/>
    <x v="0"/>
    <x v="1"/>
    <x v="3"/>
    <x v="20"/>
    <x v="2"/>
    <m/>
    <m/>
    <m/>
    <s v="TECNÓPOLIS"/>
    <m/>
    <x v="359"/>
    <s v="DNI"/>
    <n v="35253895"/>
    <n v="20352538958"/>
    <m/>
    <m/>
    <m/>
    <m/>
    <m/>
    <s v="LEY MARCO"/>
    <x v="1"/>
    <d v="2012-11-01T00:00:00"/>
    <d v="2016-12-31T00:00:00"/>
    <d v="2016-12-31T00:00:00"/>
    <s v="C0"/>
    <m/>
    <m/>
    <n v="15043.07"/>
    <x v="107"/>
    <x v="5"/>
  </r>
  <r>
    <s v="SFMyCP"/>
    <x v="1"/>
    <x v="0"/>
    <x v="5"/>
    <x v="30"/>
    <x v="2"/>
    <m/>
    <s v="Administrativo"/>
    <s v="ADMINISTRATIVO"/>
    <m/>
    <s v="CCK - Alem 351"/>
    <x v="360"/>
    <s v="DNI"/>
    <n v="38997666"/>
    <s v="EN TRAMITE"/>
    <d v="1995-05-18T00:00:00"/>
    <m/>
    <m/>
    <m/>
    <m/>
    <s v="ASISTENCIA TÉCNICA"/>
    <x v="0"/>
    <d v="2016-07-18T00:00:00"/>
    <m/>
    <d v="2016-12-31T00:00:00"/>
    <m/>
    <s v="UNTREF"/>
    <m/>
    <m/>
    <x v="18"/>
    <x v="3"/>
  </r>
  <r>
    <s v="SFMyCP"/>
    <x v="0"/>
    <x v="1"/>
    <x v="1"/>
    <x v="5"/>
    <x v="14"/>
    <m/>
    <m/>
    <s v="Auxiliar"/>
    <m/>
    <s v="CCK - Alem 351"/>
    <x v="361"/>
    <s v="DNI"/>
    <n v="35255476"/>
    <s v="20352554767"/>
    <d v="1990-07-05T00:00:00"/>
    <m/>
    <m/>
    <m/>
    <m/>
    <s v="ASISTENCIA TÉCNICA"/>
    <x v="0"/>
    <d v="2014-08-01T00:00:00"/>
    <m/>
    <d v="2016-12-31T00:00:00"/>
    <m/>
    <s v="UNTREF"/>
    <m/>
    <n v="9479"/>
    <x v="18"/>
    <x v="3"/>
  </r>
  <r>
    <s v="SFMyCP"/>
    <x v="0"/>
    <x v="0"/>
    <x v="6"/>
    <x v="12"/>
    <x v="2"/>
    <m/>
    <m/>
    <s v="Orientador de Sala"/>
    <m/>
    <m/>
    <x v="362"/>
    <s v="DNI"/>
    <n v="92436017"/>
    <n v="27924360173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1"/>
    <x v="0"/>
    <x v="5"/>
    <x v="17"/>
    <x v="17"/>
    <m/>
    <s v="Analista de RR.HH."/>
    <s v="ADMINISTRATIVO"/>
    <s v="CCK"/>
    <s v="CCK - Alem 351"/>
    <x v="363"/>
    <s v="DNI"/>
    <n v="26938300"/>
    <s v="20269383004"/>
    <d v="1978-12-07T00:00:00"/>
    <m/>
    <m/>
    <m/>
    <m/>
    <s v="ASISTENCIA TÉCNICA"/>
    <x v="0"/>
    <d v="2015-03-01T00:00:00"/>
    <m/>
    <d v="2016-12-31T00:00:00"/>
    <m/>
    <s v="UNTREF"/>
    <s v="UNSAM-MINPLAN"/>
    <n v="12000"/>
    <x v="30"/>
    <x v="7"/>
  </r>
  <r>
    <s v="SFMyCP"/>
    <x v="0"/>
    <x v="1"/>
    <x v="1"/>
    <x v="5"/>
    <x v="13"/>
    <s v="ELECTRICIDAD"/>
    <s v="ASISTENTE"/>
    <s v="ASISTENTE"/>
    <s v="CCK"/>
    <s v="CCK - Alem 351"/>
    <x v="364"/>
    <s v="DNI"/>
    <n v="14972197"/>
    <s v="20149721976"/>
    <d v="1962-07-27T00:00:00"/>
    <m/>
    <m/>
    <m/>
    <m/>
    <s v="ASISTENCIA TÉCNICA"/>
    <x v="0"/>
    <d v="2015-06-01T00:00:00"/>
    <m/>
    <d v="2016-12-31T00:00:00"/>
    <m/>
    <s v="UNTREF"/>
    <s v="UNLAM- BICENTENARIO"/>
    <n v="11388"/>
    <x v="49"/>
    <x v="7"/>
  </r>
  <r>
    <s v="SFMyCP"/>
    <x v="0"/>
    <x v="1"/>
    <x v="3"/>
    <x v="15"/>
    <x v="2"/>
    <m/>
    <m/>
    <m/>
    <s v="TECNÓPOLIS"/>
    <m/>
    <x v="365"/>
    <s v="DNI"/>
    <n v="26965728"/>
    <n v="20269657287"/>
    <m/>
    <m/>
    <m/>
    <m/>
    <m/>
    <s v="LEY MARCO"/>
    <x v="1"/>
    <d v="2012-04-01T00:00:00"/>
    <d v="2016-12-31T00:00:00"/>
    <d v="2016-12-31T00:00:00"/>
    <s v="C0"/>
    <m/>
    <m/>
    <n v="20921.8"/>
    <x v="151"/>
    <x v="5"/>
  </r>
  <r>
    <s v="SFMyCP"/>
    <x v="1"/>
    <x v="0"/>
    <x v="2"/>
    <x v="2"/>
    <x v="2"/>
    <m/>
    <s v="PRIVADA"/>
    <s v="ADMINISTRATIVO"/>
    <m/>
    <s v="CCK - Alem 351"/>
    <x v="366"/>
    <s v="DNI"/>
    <n v="35323287"/>
    <n v="27353232873"/>
    <d v="1990-06-02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0"/>
    <x v="6"/>
    <x v="12"/>
    <x v="2"/>
    <m/>
    <s v="ADMINISTRACION"/>
    <m/>
    <s v="CCK"/>
    <m/>
    <x v="367"/>
    <s v="DNI"/>
    <n v="25555134"/>
    <n v="27255551340"/>
    <m/>
    <m/>
    <m/>
    <m/>
    <m/>
    <s v="LEY MARCO"/>
    <x v="1"/>
    <d v="2013-12-01T00:00:00"/>
    <d v="2016-03-31T00:00:00"/>
    <d v="2016-12-31T00:00:00"/>
    <s v="A2"/>
    <m/>
    <m/>
    <n v="30743"/>
    <x v="152"/>
    <x v="5"/>
  </r>
  <r>
    <s v="SFMyCP"/>
    <x v="0"/>
    <x v="0"/>
    <x v="0"/>
    <x v="8"/>
    <x v="4"/>
    <m/>
    <s v="PRODUCCIÓN"/>
    <s v="PRODUCTOR de EXTERIORES"/>
    <s v="CABILDO 65"/>
    <s v="CABILDO 65"/>
    <x v="368"/>
    <s v="DNI"/>
    <n v="34146409"/>
    <s v="23341464099"/>
    <d v="1988-10-14T00:00:00"/>
    <m/>
    <m/>
    <m/>
    <m/>
    <s v="ASISTENCIA TÉCNICA"/>
    <x v="0"/>
    <d v="2013-12-01T00:00:00"/>
    <m/>
    <d v="2016-12-31T00:00:00"/>
    <m/>
    <s v="UNTREF"/>
    <m/>
    <n v="16465"/>
    <x v="17"/>
    <x v="3"/>
  </r>
  <r>
    <s v="SFMyCP"/>
    <x v="0"/>
    <x v="0"/>
    <x v="0"/>
    <x v="8"/>
    <x v="6"/>
    <m/>
    <s v="PRODUCCIÓN"/>
    <s v="PRODUCTOR de EXTERIORES"/>
    <s v="CABILDO 65"/>
    <s v="CABILDO 65"/>
    <x v="369"/>
    <s v="DNI"/>
    <n v="29548353"/>
    <s v="23295483539"/>
    <d v="1982-10-24T00:00:00"/>
    <m/>
    <m/>
    <m/>
    <m/>
    <s v="ASISTENCIA TÉCNICA"/>
    <x v="0"/>
    <d v="2015-11-01T00:00:00"/>
    <m/>
    <d v="2016-12-31T00:00:00"/>
    <m/>
    <s v="UNTREF"/>
    <s v="UNSAM- LADA"/>
    <n v="16465"/>
    <x v="17"/>
    <x v="5"/>
  </r>
  <r>
    <s v="SFMyCP"/>
    <x v="0"/>
    <x v="1"/>
    <x v="1"/>
    <x v="5"/>
    <x v="14"/>
    <s v="CONTROL DE ACCESOS B"/>
    <s v="Asistente "/>
    <s v="Asistente "/>
    <s v="CCK"/>
    <s v="CCK - Alem 351"/>
    <x v="370"/>
    <s v="DNI"/>
    <n v="33426836"/>
    <s v="20334268366"/>
    <d v="1988-03-25T00:00:00"/>
    <m/>
    <m/>
    <m/>
    <m/>
    <s v="ASISTENCIA TÉCNICA"/>
    <x v="0"/>
    <d v="2015-08-01T00:00:00"/>
    <m/>
    <d v="2016-12-31T00:00:00"/>
    <m/>
    <s v="UNTREF"/>
    <s v="UNLAM- BICENTENARIO"/>
    <n v="10096"/>
    <x v="5"/>
    <x v="4"/>
  </r>
  <r>
    <s v="SFMyCP"/>
    <x v="0"/>
    <x v="1"/>
    <x v="1"/>
    <x v="5"/>
    <x v="14"/>
    <s v="CONTROL DE ACCESOS A"/>
    <s v="Responsable"/>
    <s v="Auxiliar"/>
    <s v="CCK"/>
    <s v="CCK - Alem 351"/>
    <x v="371"/>
    <s v="DNI"/>
    <n v="35569349"/>
    <s v="20355693490"/>
    <d v="1990-10-27T00:00:00"/>
    <m/>
    <m/>
    <m/>
    <m/>
    <s v="ASISTENCIA TÉCNICA"/>
    <x v="0"/>
    <d v="2015-02-23T00:00:00"/>
    <m/>
    <d v="2016-12-31T00:00:00"/>
    <m/>
    <s v="UNTREF"/>
    <s v="UNLAM -TDA"/>
    <n v="11721"/>
    <x v="49"/>
    <x v="7"/>
  </r>
  <r>
    <s v="SFMyCP"/>
    <x v="0"/>
    <x v="1"/>
    <x v="7"/>
    <x v="2"/>
    <x v="2"/>
    <m/>
    <s v="PRIVADA"/>
    <s v="ADMINISTRATIVO"/>
    <m/>
    <s v="CCK - Alem 351"/>
    <x v="372"/>
    <s v="DNI"/>
    <n v="31018424"/>
    <n v="27310184247"/>
    <d v="1984-07-14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6"/>
    <x v="2"/>
    <m/>
    <m/>
    <m/>
    <s v="TECNÓPOLIS"/>
    <m/>
    <x v="373"/>
    <s v="DNI"/>
    <n v="12728703"/>
    <n v="20127287032"/>
    <m/>
    <m/>
    <m/>
    <m/>
    <m/>
    <s v="LEY MARCO"/>
    <x v="1"/>
    <d v="2011-03-01T00:00:00"/>
    <d v="2016-12-31T00:00:00"/>
    <d v="2016-12-31T00:00:00"/>
    <s v="C0"/>
    <m/>
    <m/>
    <n v="25915.89"/>
    <x v="153"/>
    <x v="5"/>
  </r>
  <r>
    <s v="SFMyCP"/>
    <x v="0"/>
    <x v="1"/>
    <x v="1"/>
    <x v="10"/>
    <x v="2"/>
    <m/>
    <m/>
    <s v="ADMINISTRATIVO"/>
    <m/>
    <s v="CCK - Alem 351"/>
    <x v="374"/>
    <s v="DNI"/>
    <n v="16037424"/>
    <n v="27160374247"/>
    <d v="1962-03-23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41"/>
    <x v="22"/>
    <m/>
    <m/>
    <s v="MANTENIMIENTO DE ESPACIOS VERDES"/>
    <s v="TECNÓPOLIS"/>
    <s v="TECNOPOLIS"/>
    <x v="375"/>
    <s v="DNI"/>
    <n v="22351485"/>
    <n v="27223514850"/>
    <d v="1972-01-15T00:00:00"/>
    <m/>
    <m/>
    <m/>
    <m/>
    <s v="ASISTENCIA TÉCNICA"/>
    <x v="0"/>
    <d v="2011-07-01T00:00:00"/>
    <m/>
    <d v="2016-12-31T00:00:00"/>
    <m/>
    <s v="UNTREF"/>
    <s v="UNTREF"/>
    <n v="6000"/>
    <x v="154"/>
    <x v="5"/>
  </r>
  <r>
    <s v="SFMyCP"/>
    <x v="0"/>
    <x v="1"/>
    <x v="3"/>
    <x v="3"/>
    <x v="2"/>
    <m/>
    <m/>
    <s v="LIMPIEZA GENERAL DEL PARQUE"/>
    <s v="TECNÓPOLIS"/>
    <s v="TECNOPOLIS"/>
    <x v="376"/>
    <s v="DNI"/>
    <n v="17476516"/>
    <s v="27174765168"/>
    <d v="1965-07-25T00:00:00"/>
    <m/>
    <m/>
    <m/>
    <m/>
    <s v="ASISTENCIA TÉCNICA"/>
    <x v="0"/>
    <d v="2013-01-01T00:00:00"/>
    <m/>
    <d v="2016-12-31T00:00:00"/>
    <m/>
    <s v="UNTREF"/>
    <s v="UNTREF"/>
    <n v="11187.23"/>
    <x v="155"/>
    <x v="5"/>
  </r>
  <r>
    <s v="SFMyCP"/>
    <x v="0"/>
    <x v="1"/>
    <x v="1"/>
    <x v="5"/>
    <x v="14"/>
    <s v="CONTROL DE ACCESO B"/>
    <s v="Responsable"/>
    <s v="Auxiliar"/>
    <s v="CCK"/>
    <s v="CCK - Alem 351"/>
    <x v="377"/>
    <s v="DNI"/>
    <n v="35111771"/>
    <s v="20351117711"/>
    <d v="1990-02-04T00:00:00"/>
    <m/>
    <m/>
    <m/>
    <m/>
    <s v="ASISTENCIA TÉCNICA"/>
    <x v="0"/>
    <d v="2015-08-01T00:00:00"/>
    <m/>
    <d v="2016-12-31T00:00:00"/>
    <m/>
    <s v="UNTREF"/>
    <s v="UNLAM- BICENTENARIO"/>
    <n v="10807"/>
    <x v="5"/>
    <x v="7"/>
  </r>
  <r>
    <s v="SFMyCP"/>
    <x v="0"/>
    <x v="1"/>
    <x v="3"/>
    <x v="6"/>
    <x v="2"/>
    <m/>
    <m/>
    <s v="MANTENIMIENTO GRAL DEL PARQUE"/>
    <s v="TECNÓPOLIS"/>
    <s v="TECNOPOLIS"/>
    <x v="378"/>
    <s v="DNI"/>
    <n v="26053585"/>
    <s v="20260535855"/>
    <d v="1977-10-18T00:00:00"/>
    <m/>
    <m/>
    <m/>
    <m/>
    <s v="ASISTENCIA TÉCNICA"/>
    <x v="0"/>
    <m/>
    <m/>
    <d v="2016-12-31T00:00:00"/>
    <m/>
    <s v="UNTREF"/>
    <s v="UNTREF"/>
    <n v="9995.51"/>
    <x v="19"/>
    <x v="5"/>
  </r>
  <r>
    <s v="SFMyCP"/>
    <x v="1"/>
    <x v="0"/>
    <x v="2"/>
    <x v="2"/>
    <x v="2"/>
    <m/>
    <s v="PRIVADA"/>
    <s v="ADMINISTRATIVO"/>
    <m/>
    <s v="CCK - Alem 351"/>
    <x v="379"/>
    <s v="DNI"/>
    <n v="10795536"/>
    <s v="23107955364"/>
    <d v="1953-09-18T00:00:00"/>
    <m/>
    <m/>
    <m/>
    <m/>
    <s v="ASISTENCIA TÉCNICA"/>
    <x v="0"/>
    <d v="2016-01-01T00:00:00"/>
    <m/>
    <d v="2016-12-31T00:00:00"/>
    <m/>
    <s v="UNTREF"/>
    <s v="UNSAM"/>
    <n v="36529"/>
    <x v="156"/>
    <x v="31"/>
  </r>
  <r>
    <s v="SFMyCP"/>
    <x v="0"/>
    <x v="0"/>
    <x v="8"/>
    <x v="1"/>
    <x v="2"/>
    <m/>
    <m/>
    <s v="ADMINISTRATIVO"/>
    <m/>
    <s v="CCK - Alem 351"/>
    <x v="380"/>
    <s v="DNI"/>
    <n v="31014183"/>
    <n v="20310141837"/>
    <d v="1984-09-10T00:00:00"/>
    <m/>
    <m/>
    <m/>
    <m/>
    <s v="ASISTENCIA TÉCNICA"/>
    <x v="0"/>
    <m/>
    <m/>
    <d v="2016-12-31T00:00:00"/>
    <m/>
    <s v="UNTREF"/>
    <m/>
    <n v="12000"/>
    <x v="7"/>
    <x v="3"/>
  </r>
  <r>
    <s v="SFMyCP"/>
    <x v="0"/>
    <x v="1"/>
    <x v="7"/>
    <x v="2"/>
    <x v="2"/>
    <m/>
    <s v="Asesor"/>
    <m/>
    <m/>
    <m/>
    <x v="381"/>
    <s v="DNI"/>
    <n v="31541032"/>
    <n v="20315410321"/>
    <m/>
    <m/>
    <m/>
    <m/>
    <m/>
    <s v="LEY MARCO"/>
    <x v="1"/>
    <d v="2010-07-01T00:00:00"/>
    <d v="2016-12-31T00:00:00"/>
    <d v="2016-12-31T00:00:00"/>
    <s v="C1"/>
    <m/>
    <m/>
    <n v="13638.95"/>
    <x v="157"/>
    <x v="5"/>
  </r>
  <r>
    <s v="SFMyCP"/>
    <x v="0"/>
    <x v="1"/>
    <x v="3"/>
    <x v="27"/>
    <x v="2"/>
    <m/>
    <m/>
    <m/>
    <s v="TECNÓPOLIS"/>
    <m/>
    <x v="382"/>
    <s v="DNI"/>
    <n v="29117820"/>
    <n v="24291178207"/>
    <m/>
    <m/>
    <m/>
    <m/>
    <m/>
    <s v="LEY MARCO"/>
    <x v="1"/>
    <d v="2011-03-01T00:00:00"/>
    <d v="2016-12-31T00:00:00"/>
    <d v="2016-12-31T00:00:00"/>
    <s v="C0"/>
    <m/>
    <m/>
    <n v="29784"/>
    <x v="55"/>
    <x v="5"/>
  </r>
  <r>
    <s v="SFMyCP"/>
    <x v="0"/>
    <x v="1"/>
    <x v="3"/>
    <x v="6"/>
    <x v="2"/>
    <m/>
    <m/>
    <m/>
    <s v="TECNÓPOLIS"/>
    <m/>
    <x v="383"/>
    <s v="DNI"/>
    <n v="34690282"/>
    <n v="20346902826"/>
    <m/>
    <m/>
    <m/>
    <m/>
    <m/>
    <s v="LEY MARCO"/>
    <x v="1"/>
    <d v="2013-07-01T00:00:00"/>
    <d v="2016-03-31T00:00:00"/>
    <d v="2016-12-31T00:00:00"/>
    <s v="D1"/>
    <m/>
    <m/>
    <n v="18324"/>
    <x v="150"/>
    <x v="5"/>
  </r>
  <r>
    <s v="SFMyCP"/>
    <x v="1"/>
    <x v="0"/>
    <x v="5"/>
    <x v="18"/>
    <x v="2"/>
    <s v="(IGUALDAD CULTURAL)"/>
    <s v="Analista"/>
    <m/>
    <s v="CCK"/>
    <m/>
    <x v="384"/>
    <s v="DNI"/>
    <n v="29894708"/>
    <n v="27298947086"/>
    <m/>
    <m/>
    <m/>
    <m/>
    <m/>
    <s v="LEY MARCO"/>
    <x v="1"/>
    <d v="2011-06-06T00:00:00"/>
    <d v="2016-12-31T00:00:00"/>
    <d v="2016-12-31T00:00:00"/>
    <s v="B0"/>
    <m/>
    <m/>
    <n v="19096"/>
    <x v="81"/>
    <x v="5"/>
  </r>
  <r>
    <s v="SFMyCP"/>
    <x v="0"/>
    <x v="0"/>
    <x v="0"/>
    <x v="8"/>
    <x v="6"/>
    <m/>
    <s v="PRENSA Y COMUNICACIÓN"/>
    <s v="ADMINISTRATIVO"/>
    <s v="CABILDO 65"/>
    <s v="CABILDO 65"/>
    <x v="385"/>
    <s v="DNI"/>
    <n v="38444374"/>
    <s v="20384443746"/>
    <d v="1994-08-09T00:00:00"/>
    <m/>
    <m/>
    <m/>
    <m/>
    <s v="ASISTENCIA TÉCNICA"/>
    <x v="0"/>
    <d v="2013-11-11T00:00:00"/>
    <m/>
    <d v="2016-12-31T00:00:00"/>
    <m/>
    <s v="UNTREF"/>
    <s v="UNSAM- LADA"/>
    <n v="10188"/>
    <x v="5"/>
    <x v="4"/>
  </r>
  <r>
    <s v="SFMyCP"/>
    <x v="0"/>
    <x v="1"/>
    <x v="1"/>
    <x v="10"/>
    <x v="2"/>
    <m/>
    <s v="Analista"/>
    <s v="ADMINISTRATIVA"/>
    <s v="CCK"/>
    <s v="CCK - Alem 351"/>
    <x v="386"/>
    <s v="DNI"/>
    <n v="35728494"/>
    <s v="27357284940"/>
    <d v="1991-01-23T00:00:00"/>
    <m/>
    <m/>
    <m/>
    <m/>
    <s v="ASISTENCIA TÉCNICA"/>
    <x v="0"/>
    <d v="2015-05-04T00:00:00"/>
    <m/>
    <d v="2016-12-31T00:00:00"/>
    <m/>
    <s v="UNTREF"/>
    <s v="UNSAM-MINPLAN"/>
    <n v="12000"/>
    <x v="30"/>
    <x v="12"/>
  </r>
  <r>
    <s v="SFMyCP"/>
    <x v="0"/>
    <x v="1"/>
    <x v="1"/>
    <x v="2"/>
    <x v="2"/>
    <m/>
    <s v="COORD GESTIÓN FEDERAL Z. NORTE"/>
    <s v="ADMINISTRATIVO"/>
    <m/>
    <s v="CCK - Alem 351"/>
    <x v="387"/>
    <s v="DNI"/>
    <n v="10424747"/>
    <n v="20104247475"/>
    <d v="1952-04-13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2"/>
    <x v="0"/>
    <x v="4"/>
    <x v="2"/>
    <x v="2"/>
    <m/>
    <s v="PRIVADA"/>
    <s v="ADMINISTRATIVO"/>
    <m/>
    <s v="CCK - Alem 351"/>
    <x v="388"/>
    <s v="DNI"/>
    <n v="20372601"/>
    <n v="27203726010"/>
    <d v="1968-06-07T00:00:00"/>
    <m/>
    <m/>
    <m/>
    <m/>
    <s v="ASISTENCIA TÉCNICA"/>
    <x v="0"/>
    <d v="2016-01-01T00:00:00"/>
    <m/>
    <d v="2016-12-31T00:00:00"/>
    <m/>
    <s v="UNTREF"/>
    <s v="UNSAM"/>
    <n v="27370"/>
    <x v="112"/>
    <x v="2"/>
  </r>
  <r>
    <s v="SFMyCP"/>
    <x v="0"/>
    <x v="1"/>
    <x v="1"/>
    <x v="34"/>
    <x v="2"/>
    <m/>
    <s v="Asistente"/>
    <s v="Asistente"/>
    <s v="CCK"/>
    <s v="CCK - Alem 351"/>
    <x v="389"/>
    <s v="DNI"/>
    <n v="32438452"/>
    <s v="27324384524"/>
    <d v="1986-06-29T00:00:00"/>
    <m/>
    <m/>
    <m/>
    <m/>
    <s v="ASISTENCIA TÉCNICA"/>
    <x v="0"/>
    <d v="2016-02-01T00:00:00"/>
    <m/>
    <d v="2016-12-31T00:00:00"/>
    <m/>
    <s v="UNTREF"/>
    <s v="UNSAM"/>
    <n v="13000"/>
    <x v="113"/>
    <x v="8"/>
  </r>
  <r>
    <s v="SFMyCP"/>
    <x v="0"/>
    <x v="0"/>
    <x v="6"/>
    <x v="12"/>
    <x v="2"/>
    <m/>
    <m/>
    <m/>
    <m/>
    <m/>
    <x v="390"/>
    <s v="DNI"/>
    <n v="18549052"/>
    <n v="20185490522"/>
    <m/>
    <m/>
    <m/>
    <m/>
    <m/>
    <m/>
    <x v="0"/>
    <d v="2016-08-01T00:00:00"/>
    <m/>
    <d v="2016-10-30T00:00:00"/>
    <m/>
    <s v="UNTREF"/>
    <m/>
    <m/>
    <x v="18"/>
    <x v="3"/>
  </r>
  <r>
    <s v="SFMyCP"/>
    <x v="0"/>
    <x v="0"/>
    <x v="0"/>
    <x v="8"/>
    <x v="6"/>
    <m/>
    <s v="POSTPRODUCCIÓN"/>
    <s v="ADMINISTRATIVO"/>
    <s v="CABILDO 65"/>
    <s v="CABILDO 65"/>
    <x v="391"/>
    <s v="DNI"/>
    <n v="10476319"/>
    <s v="20104763198"/>
    <d v="1952-06-04T00:00:00"/>
    <m/>
    <m/>
    <m/>
    <m/>
    <s v="ASISTENCIA TÉCNICA"/>
    <x v="0"/>
    <d v="2012-11-01T00:00:00"/>
    <m/>
    <d v="2016-12-31T00:00:00"/>
    <m/>
    <s v="UNTREF"/>
    <s v="UNSAM- LADA"/>
    <n v="39000"/>
    <x v="158"/>
    <x v="5"/>
  </r>
  <r>
    <s v="SFMyCP"/>
    <x v="1"/>
    <x v="0"/>
    <x v="10"/>
    <x v="2"/>
    <x v="2"/>
    <m/>
    <s v="ASISTENTE"/>
    <s v="Administrativo"/>
    <s v="CCK"/>
    <s v="CCK - Alem 351"/>
    <x v="392"/>
    <s v="DNI"/>
    <n v="33780682"/>
    <s v="20337806822"/>
    <d v="1988-08-26T00:00:00"/>
    <m/>
    <m/>
    <m/>
    <m/>
    <s v="ASISTENCIA TÉCNICA"/>
    <x v="0"/>
    <d v="2015-09-21T00:00:00"/>
    <m/>
    <d v="2016-12-31T00:00:00"/>
    <m/>
    <s v="UNTREF"/>
    <s v="UNSAM-MINPLAN"/>
    <n v="10000"/>
    <x v="5"/>
    <x v="4"/>
  </r>
  <r>
    <s v="SFMyCP"/>
    <x v="0"/>
    <x v="0"/>
    <x v="0"/>
    <x v="8"/>
    <x v="6"/>
    <m/>
    <s v="ADMINISTRACIÓN"/>
    <m/>
    <s v="CABILDO 65"/>
    <m/>
    <x v="393"/>
    <s v="DNI"/>
    <n v="30035347"/>
    <n v="27300353474"/>
    <m/>
    <m/>
    <m/>
    <m/>
    <m/>
    <s v="LEY MARCO"/>
    <x v="1"/>
    <d v="2013-12-01T00:00:00"/>
    <d v="2016-03-31T00:00:00"/>
    <d v="2016-12-31T00:00:00"/>
    <s v="B1"/>
    <m/>
    <m/>
    <n v="20266"/>
    <x v="24"/>
    <x v="5"/>
  </r>
  <r>
    <s v="SFMyCP"/>
    <x v="0"/>
    <x v="1"/>
    <x v="1"/>
    <x v="16"/>
    <x v="11"/>
    <m/>
    <m/>
    <s v="VISITAS GUIADAS"/>
    <m/>
    <s v="CCK - Alem 351"/>
    <x v="394"/>
    <s v="DNI"/>
    <n v="35109083"/>
    <n v="23351090839"/>
    <d v="1990-06-19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1"/>
    <x v="14"/>
    <x v="2"/>
    <s v="(GESTIÓN OPERATIVA)"/>
    <m/>
    <s v="ADMINISTRATIVO"/>
    <s v="CCK"/>
    <s v="CCK - Alem 351"/>
    <x v="395"/>
    <s v="DNI"/>
    <n v="25936671"/>
    <s v="20259366713"/>
    <d v="1977-07-08T00:00:00"/>
    <m/>
    <m/>
    <m/>
    <m/>
    <s v="ASISTENCIA TÉCNICA"/>
    <x v="0"/>
    <d v="2013-05-01T00:00:00"/>
    <m/>
    <d v="2016-12-31T00:00:00"/>
    <m/>
    <s v="UNTREF"/>
    <s v="UNSAM"/>
    <n v="24333"/>
    <x v="159"/>
    <x v="11"/>
  </r>
  <r>
    <s v="SFMyCP"/>
    <x v="0"/>
    <x v="1"/>
    <x v="3"/>
    <x v="3"/>
    <x v="2"/>
    <m/>
    <m/>
    <s v="LIMPIEZA GENERAL DEL PARQUE"/>
    <s v="TECNÓPOLIS"/>
    <s v="TECNOPOLIS"/>
    <x v="396"/>
    <s v="DNI"/>
    <n v="11958625"/>
    <s v="27119586254"/>
    <d v="1958-01-11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0"/>
    <x v="0"/>
    <x v="8"/>
    <x v="6"/>
    <s v="CCK"/>
    <s v="PROGRAMA POLOS AUDIOVISUALES TECNOLÓGICOS"/>
    <m/>
    <s v="CABILDO 65"/>
    <m/>
    <x v="397"/>
    <s v="DNI"/>
    <n v="29019894"/>
    <n v="27290198947"/>
    <m/>
    <m/>
    <m/>
    <m/>
    <m/>
    <s v="LEY MARCO"/>
    <x v="1"/>
    <d v="2012-12-01T00:00:00"/>
    <d v="2016-12-31T00:00:00"/>
    <d v="2016-12-31T00:00:00"/>
    <s v="B1"/>
    <m/>
    <m/>
    <n v="20266"/>
    <x v="24"/>
    <x v="5"/>
  </r>
  <r>
    <s v="SFMyCP"/>
    <x v="0"/>
    <x v="1"/>
    <x v="3"/>
    <x v="15"/>
    <x v="2"/>
    <m/>
    <m/>
    <m/>
    <s v="TECNÓPOLIS"/>
    <m/>
    <x v="398"/>
    <s v="DNI"/>
    <n v="37339485"/>
    <n v="20373394859"/>
    <m/>
    <m/>
    <m/>
    <m/>
    <m/>
    <s v="LEY MARCO"/>
    <x v="1"/>
    <d v="2012-11-30T00:00:00"/>
    <d v="2016-12-31T00:00:00"/>
    <d v="2016-12-31T00:00:00"/>
    <s v="F0"/>
    <m/>
    <m/>
    <n v="13135.25"/>
    <x v="160"/>
    <x v="5"/>
  </r>
  <r>
    <s v="SFMyCP"/>
    <x v="0"/>
    <x v="0"/>
    <x v="0"/>
    <x v="8"/>
    <x v="6"/>
    <m/>
    <s v="TÉCNICA Y TRANSMISIÓN"/>
    <s v="ADMINISTRATIVO"/>
    <s v="CABILDO 65"/>
    <s v="CABILDO 65"/>
    <x v="399"/>
    <s v="DNI"/>
    <n v="16895479"/>
    <s v="20168954795"/>
    <d v="1964-06-16T00:00:00"/>
    <m/>
    <m/>
    <m/>
    <m/>
    <s v="ASISTENCIA TÉCNICA"/>
    <x v="0"/>
    <d v="2015-04-01T00:00:00"/>
    <m/>
    <d v="2016-12-31T00:00:00"/>
    <m/>
    <s v="UNTREF"/>
    <s v="UNSAM- LADA"/>
    <n v="20545"/>
    <x v="143"/>
    <x v="5"/>
  </r>
  <r>
    <s v="SFMyCP"/>
    <x v="0"/>
    <x v="0"/>
    <x v="8"/>
    <x v="1"/>
    <x v="2"/>
    <m/>
    <m/>
    <s v="ADMINISTRATIVO"/>
    <m/>
    <s v="CCK - Alem 351"/>
    <x v="400"/>
    <s v="DNI"/>
    <n v="36904627"/>
    <n v="27369046271"/>
    <d v="1992-06-08T00:00:00"/>
    <m/>
    <m/>
    <m/>
    <m/>
    <s v="ASISTENCIA TÉCNICA"/>
    <x v="0"/>
    <d v="2016-06-21T00:00:00"/>
    <m/>
    <d v="2016-12-31T00:00:00"/>
    <m/>
    <s v="UNTREF"/>
    <m/>
    <m/>
    <x v="18"/>
    <x v="3"/>
  </r>
  <r>
    <s v="SFMyCP"/>
    <x v="0"/>
    <x v="1"/>
    <x v="1"/>
    <x v="31"/>
    <x v="2"/>
    <m/>
    <s v="PRIVADA"/>
    <s v="ADMINISTRATIVO"/>
    <s v="CCK"/>
    <s v="CCK - Alem 351"/>
    <x v="401"/>
    <s v="DNI"/>
    <n v="33768361"/>
    <n v="20337683615"/>
    <d v="1988-05-15T00:00:00"/>
    <m/>
    <m/>
    <m/>
    <m/>
    <s v="ASISTENCIA TÉCNICA"/>
    <x v="0"/>
    <d v="2016-02-01T00:00:00"/>
    <m/>
    <d v="2016-12-31T00:00:00"/>
    <m/>
    <s v="UNTREF"/>
    <s v="UNSAM"/>
    <n v="28000"/>
    <x v="145"/>
    <x v="30"/>
  </r>
  <r>
    <s v="SFMyCP"/>
    <x v="1"/>
    <x v="0"/>
    <x v="5"/>
    <x v="26"/>
    <x v="2"/>
    <s v="operaciones"/>
    <s v="Analista"/>
    <s v="Analista"/>
    <s v="CCK"/>
    <s v="CCK - Alem 351"/>
    <x v="402"/>
    <s v="DNI"/>
    <n v="34771528"/>
    <s v="20347715280"/>
    <d v="1989-11-27T00:00:00"/>
    <m/>
    <m/>
    <m/>
    <m/>
    <s v="ASISTENCIA TÉCNICA"/>
    <x v="0"/>
    <d v="2014-03-21T00:00:00"/>
    <m/>
    <d v="2016-12-31T00:00:00"/>
    <m/>
    <s v="UNTREF"/>
    <s v="UNLAM- INFO"/>
    <n v="12246"/>
    <x v="30"/>
    <x v="7"/>
  </r>
  <r>
    <s v="SFMyCP"/>
    <x v="0"/>
    <x v="1"/>
    <x v="3"/>
    <x v="20"/>
    <x v="2"/>
    <m/>
    <m/>
    <m/>
    <s v="TECNÓPOLIS"/>
    <m/>
    <x v="403"/>
    <s v="DNI"/>
    <n v="29753648"/>
    <n v="20297536487"/>
    <m/>
    <m/>
    <m/>
    <m/>
    <m/>
    <s v="LEY MARCO"/>
    <x v="1"/>
    <d v="2011-07-01T00:00:00"/>
    <d v="2016-12-31T00:00:00"/>
    <d v="2016-12-31T00:00:00"/>
    <s v="D1"/>
    <m/>
    <m/>
    <n v="19334"/>
    <x v="161"/>
    <x v="5"/>
  </r>
  <r>
    <s v="SFMyCP"/>
    <x v="1"/>
    <x v="0"/>
    <x v="5"/>
    <x v="30"/>
    <x v="2"/>
    <m/>
    <s v="Asistente"/>
    <m/>
    <s v="CCK"/>
    <m/>
    <x v="404"/>
    <s v="DNI"/>
    <n v="21111727"/>
    <n v="27211117279"/>
    <m/>
    <m/>
    <m/>
    <m/>
    <m/>
    <s v="LEY MARCO"/>
    <x v="1"/>
    <d v="2011-06-29T00:00:00"/>
    <d v="2016-12-31T00:00:00"/>
    <d v="2016-12-31T00:00:00"/>
    <s v="C1"/>
    <m/>
    <m/>
    <n v="13500"/>
    <x v="49"/>
    <x v="5"/>
  </r>
  <r>
    <s v="SFMyCP"/>
    <x v="0"/>
    <x v="1"/>
    <x v="1"/>
    <x v="5"/>
    <x v="2"/>
    <m/>
    <m/>
    <s v="ADMINISTRATIVO"/>
    <m/>
    <s v="CCK - Alem 351"/>
    <x v="405"/>
    <s v="DNI"/>
    <n v="22472515"/>
    <n v="23224725159"/>
    <d v="1972-12-02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6"/>
    <s v="CCK"/>
    <s v="FOMENTO"/>
    <s v="ADMINISTRATIVO"/>
    <s v="CABILDO 65"/>
    <s v="CABILDO 65"/>
    <x v="406"/>
    <s v="DNI"/>
    <n v="26805036"/>
    <s v="27268050367"/>
    <d v="1978-07-20T00:00:00"/>
    <m/>
    <m/>
    <m/>
    <m/>
    <s v="ASISTENCIA TÉCNICA"/>
    <x v="0"/>
    <d v="2012-06-01T00:00:00"/>
    <m/>
    <d v="2016-12-31T00:00:00"/>
    <m/>
    <s v="UNTREF"/>
    <s v="UNSAM- LADA"/>
    <n v="21056"/>
    <x v="66"/>
    <x v="5"/>
  </r>
  <r>
    <s v="SFMyCP"/>
    <x v="0"/>
    <x v="0"/>
    <x v="0"/>
    <x v="8"/>
    <x v="6"/>
    <m/>
    <s v="POSTPRODUCCIÓN"/>
    <s v="EDICION"/>
    <s v="CABILDO 65"/>
    <s v="CABILDO 65"/>
    <x v="407"/>
    <s v="DNI"/>
    <n v="32224230"/>
    <s v="27322242307"/>
    <d v="1986-03-11T00:00:00"/>
    <m/>
    <m/>
    <m/>
    <m/>
    <s v="ASISTENCIA TÉCNICA"/>
    <x v="0"/>
    <d v="2011-09-22T00:00:00"/>
    <m/>
    <d v="2016-12-31T00:00:00"/>
    <m/>
    <s v="UNTREF"/>
    <s v="UNSAM- LADA"/>
    <n v="21056"/>
    <x v="66"/>
    <x v="5"/>
  </r>
  <r>
    <s v="SFMyCP"/>
    <x v="0"/>
    <x v="1"/>
    <x v="3"/>
    <x v="23"/>
    <x v="2"/>
    <m/>
    <m/>
    <m/>
    <s v="TECNÓPOLIS"/>
    <m/>
    <x v="408"/>
    <s v="DNI"/>
    <n v="24515335"/>
    <n v="27245153355"/>
    <m/>
    <m/>
    <m/>
    <m/>
    <m/>
    <s v="LEY MARCO"/>
    <x v="1"/>
    <d v="2013-11-01T00:00:00"/>
    <d v="2016-03-31T00:00:00"/>
    <d v="2016-12-31T00:00:00"/>
    <s v="C0"/>
    <m/>
    <m/>
    <n v="22829"/>
    <x v="162"/>
    <x v="5"/>
  </r>
  <r>
    <s v="SFMyCP"/>
    <x v="0"/>
    <x v="1"/>
    <x v="3"/>
    <x v="24"/>
    <x v="2"/>
    <m/>
    <s v="Tareas Generales"/>
    <s v="TAREAS EN GENERAL TALLER CARPINTERIA/HERRERÍA/TEXTIL"/>
    <s v="TECNÓPOLIS"/>
    <m/>
    <x v="409"/>
    <s v="DNI"/>
    <n v="34556569"/>
    <n v="27345565693"/>
    <d v="1989-12-15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1"/>
    <x v="1"/>
    <x v="16"/>
    <x v="20"/>
    <m/>
    <m/>
    <s v="Tecnico"/>
    <m/>
    <s v="CCK - Alem 351"/>
    <x v="410"/>
    <s v="DNI"/>
    <n v="13976769"/>
    <n v="20139767692"/>
    <d v="1960-01-13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6"/>
    <m/>
    <s v="TÉCNICA Y TRANSMISIÓN"/>
    <s v="ADMINISTRATIVO"/>
    <s v="CABILDO 65"/>
    <s v="CABILDO 65"/>
    <x v="411"/>
    <s v="DNI"/>
    <n v="17815852"/>
    <s v="20178158520"/>
    <d v="1966-06-16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0"/>
    <x v="0"/>
    <x v="0"/>
    <x v="8"/>
    <x v="6"/>
    <m/>
    <s v="BACUA"/>
    <s v="ADMINISTRATIVO"/>
    <s v="CABILDO 65"/>
    <s v="CABILDO 65"/>
    <x v="412"/>
    <s v="DNI"/>
    <n v="33700374"/>
    <s v="27337003740"/>
    <d v="1988-04-07T00:00:00"/>
    <m/>
    <m/>
    <m/>
    <m/>
    <s v="ASISTENCIA TÉCNICA"/>
    <x v="0"/>
    <d v="2013-03-01T00:00:00"/>
    <m/>
    <d v="2016-12-31T00:00:00"/>
    <m/>
    <s v="UNTREF"/>
    <s v="UNSAM- LADA"/>
    <n v="16465"/>
    <x v="17"/>
    <x v="5"/>
  </r>
  <r>
    <s v="SFMyCP"/>
    <x v="0"/>
    <x v="1"/>
    <x v="3"/>
    <x v="3"/>
    <x v="2"/>
    <m/>
    <m/>
    <m/>
    <s v="TECNÓPOLIS"/>
    <m/>
    <x v="413"/>
    <s v="DNI"/>
    <n v="23551187"/>
    <n v="27235511873"/>
    <m/>
    <m/>
    <m/>
    <m/>
    <m/>
    <s v="LEY MARCO"/>
    <x v="1"/>
    <d v="2012-10-31T00:00:00"/>
    <d v="2016-12-31T00:00:00"/>
    <d v="2016-12-31T00:00:00"/>
    <s v="D1"/>
    <m/>
    <m/>
    <n v="14242.4"/>
    <x v="163"/>
    <x v="5"/>
  </r>
  <r>
    <s v="SFMyCP"/>
    <x v="0"/>
    <x v="1"/>
    <x v="3"/>
    <x v="24"/>
    <x v="2"/>
    <m/>
    <s v="Tareas Generales"/>
    <s v="TAREAS EN GENERAL PAÑOL"/>
    <s v="TECNÓPOLIS"/>
    <m/>
    <x v="414"/>
    <s v="DNI"/>
    <n v="28328515"/>
    <n v="23283285154"/>
    <m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1"/>
    <x v="1"/>
    <x v="5"/>
    <x v="14"/>
    <m/>
    <s v="Asistente"/>
    <s v="Asistente "/>
    <s v="CCK"/>
    <s v="CCK - Alem 351"/>
    <x v="415"/>
    <s v="DNI"/>
    <n v="36086487"/>
    <s v="20360864872"/>
    <d v="1991-10-30T00:00:00"/>
    <m/>
    <m/>
    <m/>
    <m/>
    <s v="ASISTENCIA TÉCNICA"/>
    <x v="0"/>
    <d v="2015-08-03T00:00:00"/>
    <m/>
    <d v="2016-12-31T00:00:00"/>
    <m/>
    <s v="UNTREF"/>
    <s v="UNLAM- BICENTENARIO"/>
    <n v="10096"/>
    <x v="5"/>
    <x v="4"/>
  </r>
  <r>
    <s v="SFMyCP"/>
    <x v="0"/>
    <x v="1"/>
    <x v="3"/>
    <x v="6"/>
    <x v="2"/>
    <m/>
    <m/>
    <s v="MANTENIMIENTO GRAL DEL PARQUE"/>
    <s v="TECNÓPOLIS"/>
    <s v="TECNOPOLIS"/>
    <x v="416"/>
    <s v="DNI"/>
    <n v="38629669"/>
    <s v="20386296694"/>
    <d v="1994-04-06T00:00:00"/>
    <m/>
    <m/>
    <m/>
    <m/>
    <s v="ASISTENCIA TÉCNICA"/>
    <x v="0"/>
    <d v="2013-06-01T00:00:00"/>
    <m/>
    <d v="2016-12-31T00:00:00"/>
    <m/>
    <s v="UNTREF"/>
    <s v="UNTREF"/>
    <n v="11449.4"/>
    <x v="8"/>
    <x v="5"/>
  </r>
  <r>
    <s v="SFMyCP"/>
    <x v="0"/>
    <x v="1"/>
    <x v="3"/>
    <x v="6"/>
    <x v="2"/>
    <m/>
    <m/>
    <s v="MANTENIMIENTO GRAL DEL PARQUE"/>
    <s v="TECNÓPOLIS"/>
    <s v="TECNOPOLIS"/>
    <x v="417"/>
    <s v="DNI"/>
    <n v="23356117"/>
    <s v="20233561178"/>
    <d v="1973-09-15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1"/>
    <x v="3"/>
    <x v="3"/>
    <x v="2"/>
    <m/>
    <m/>
    <m/>
    <s v="TECNÓPOLIS"/>
    <m/>
    <x v="418"/>
    <s v="DNI"/>
    <n v="20405235"/>
    <n v="27204052358"/>
    <m/>
    <m/>
    <m/>
    <m/>
    <m/>
    <s v="LEY MARCO"/>
    <x v="1"/>
    <d v="2011-08-01T00:00:00"/>
    <d v="2016-12-31T00:00:00"/>
    <d v="2016-12-31T00:00:00"/>
    <s v="F0"/>
    <m/>
    <m/>
    <n v="23039"/>
    <x v="164"/>
    <x v="5"/>
  </r>
  <r>
    <s v="SFMyCP"/>
    <x v="0"/>
    <x v="1"/>
    <x v="1"/>
    <x v="1"/>
    <x v="1"/>
    <m/>
    <m/>
    <s v="ADMINISTRATIVO"/>
    <m/>
    <s v="CCK - Alem 351"/>
    <x v="419"/>
    <s v="DNI"/>
    <n v="31114117"/>
    <n v="27311141177"/>
    <d v="1984-09-04T00:00:00"/>
    <m/>
    <m/>
    <m/>
    <m/>
    <s v="ASISTENCIA TÉCNICA"/>
    <x v="0"/>
    <d v="2016-05-15T00:00:00"/>
    <m/>
    <d v="2016-12-31T00:00:00"/>
    <m/>
    <s v="UNTREF"/>
    <m/>
    <n v="17000"/>
    <x v="50"/>
    <x v="3"/>
  </r>
  <r>
    <s v="SFMyCP"/>
    <x v="0"/>
    <x v="0"/>
    <x v="8"/>
    <x v="1"/>
    <x v="2"/>
    <m/>
    <m/>
    <s v="ADMINISTRATIVO"/>
    <m/>
    <s v="CCK - Alem 351"/>
    <x v="420"/>
    <s v="DNI"/>
    <n v="28080987"/>
    <n v="27280809875"/>
    <d v="1980-05-01T00:00:00"/>
    <m/>
    <m/>
    <m/>
    <m/>
    <s v="ASISTENCIA TÉCNICA"/>
    <x v="0"/>
    <d v="2016-06-21T00:00:00"/>
    <m/>
    <d v="2016-12-31T00:00:00"/>
    <m/>
    <s v="UNTREF"/>
    <m/>
    <m/>
    <x v="18"/>
    <x v="3"/>
  </r>
  <r>
    <s v="SFMyCP"/>
    <x v="0"/>
    <x v="1"/>
    <x v="1"/>
    <x v="5"/>
    <x v="13"/>
    <s v="LOGISTICA OPERATIVA"/>
    <s v="Técnico"/>
    <s v="Técnico"/>
    <s v="CCK"/>
    <s v="CCK - Alem 351"/>
    <x v="421"/>
    <s v="DNI"/>
    <n v="94929982"/>
    <s v="20949299822"/>
    <d v="1990-01-04T00:00:00"/>
    <m/>
    <m/>
    <m/>
    <m/>
    <s v="ASISTENCIA TÉCNICA"/>
    <x v="0"/>
    <m/>
    <m/>
    <d v="2016-12-31T00:00:00"/>
    <m/>
    <s v="UNTREF"/>
    <s v="UNSAM-MINPLAN"/>
    <n v="12500"/>
    <x v="30"/>
    <x v="7"/>
  </r>
  <r>
    <s v="SFMyCP"/>
    <x v="0"/>
    <x v="1"/>
    <x v="3"/>
    <x v="24"/>
    <x v="2"/>
    <m/>
    <s v="Tareas Generales"/>
    <s v="TAREAS EN GENERAL TALLER CARPINTERIA/HERRERÍA/TEXTIL"/>
    <s v="TECNÓPOLIS"/>
    <m/>
    <x v="422"/>
    <s v="DNI"/>
    <n v="31750830"/>
    <m/>
    <d v="1985-08-15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1"/>
    <x v="3"/>
    <x v="27"/>
    <x v="2"/>
    <m/>
    <m/>
    <m/>
    <s v="TECNÓPOLIS"/>
    <m/>
    <x v="423"/>
    <s v="DNI"/>
    <n v="24220906"/>
    <n v="20242209061"/>
    <m/>
    <m/>
    <m/>
    <m/>
    <m/>
    <s v="LEY MARCO"/>
    <x v="1"/>
    <d v="2012-01-01T00:00:00"/>
    <d v="2016-12-31T00:00:00"/>
    <d v="2016-12-31T00:00:00"/>
    <s v="C0"/>
    <m/>
    <m/>
    <n v="27576"/>
    <x v="165"/>
    <x v="5"/>
  </r>
  <r>
    <s v="SFMyCP"/>
    <x v="0"/>
    <x v="1"/>
    <x v="1"/>
    <x v="16"/>
    <x v="11"/>
    <m/>
    <m/>
    <s v="VISITAS GUIADAS"/>
    <m/>
    <s v="CCK - Alem 351"/>
    <x v="424"/>
    <s v="DNI"/>
    <n v="40747726"/>
    <n v="20407477260"/>
    <d v="1997-10-21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3"/>
    <x v="2"/>
    <x v="2"/>
    <m/>
    <s v="PRIVADA"/>
    <s v="ADMINISTRATIVO"/>
    <m/>
    <s v="TECNOPOLIS"/>
    <x v="425"/>
    <s v="DNI"/>
    <n v="31215701"/>
    <n v="20312157013"/>
    <d v="1985-02-07T00:00:00"/>
    <m/>
    <m/>
    <m/>
    <m/>
    <s v="ASISTENCIA TÉCNICA"/>
    <x v="0"/>
    <m/>
    <m/>
    <d v="2016-12-31T00:00:00"/>
    <m/>
    <s v="UNTREF"/>
    <m/>
    <n v="20000"/>
    <x v="113"/>
    <x v="8"/>
  </r>
  <r>
    <s v="SFMyCP"/>
    <x v="1"/>
    <x v="0"/>
    <x v="2"/>
    <x v="2"/>
    <x v="2"/>
    <m/>
    <s v="PRIVADA"/>
    <s v="ADMINISTRATIVO"/>
    <m/>
    <s v="CCK - Alem 351"/>
    <x v="426"/>
    <s v="DNI"/>
    <n v="22825030"/>
    <s v="23228250309"/>
    <d v="1972-07-29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1"/>
    <x v="1"/>
    <x v="16"/>
    <x v="2"/>
    <m/>
    <s v="Asistente funcional"/>
    <s v="asistente funcional"/>
    <s v="CCK"/>
    <s v="CCK - Alem 351"/>
    <x v="427"/>
    <s v="DNI"/>
    <n v="13852028"/>
    <s v="20138520286"/>
    <d v="1960-04-11T00:00:00"/>
    <m/>
    <m/>
    <m/>
    <m/>
    <s v="ASISTENCIA TÉCNICA"/>
    <x v="0"/>
    <d v="2009-04-01T00:00:00"/>
    <m/>
    <d v="2016-12-31T00:00:00"/>
    <m/>
    <s v="UNTREF"/>
    <s v="UNLAM- BICENTENARIO"/>
    <n v="18500"/>
    <x v="166"/>
    <x v="32"/>
  </r>
  <r>
    <s v="SFMyCP"/>
    <x v="0"/>
    <x v="1"/>
    <x v="3"/>
    <x v="3"/>
    <x v="2"/>
    <m/>
    <m/>
    <m/>
    <s v="TECNÓPOLIS"/>
    <m/>
    <x v="428"/>
    <s v="DNI"/>
    <n v="36251926"/>
    <n v="20362519269"/>
    <m/>
    <m/>
    <m/>
    <m/>
    <m/>
    <s v="LEY MARCO"/>
    <x v="1"/>
    <d v="2013-05-01T00:00:00"/>
    <d v="2016-03-31T00:00:00"/>
    <d v="2016-12-31T00:00:00"/>
    <s v="D0"/>
    <m/>
    <m/>
    <n v="10731"/>
    <x v="167"/>
    <x v="5"/>
  </r>
  <r>
    <s v="SFMyCP"/>
    <x v="0"/>
    <x v="0"/>
    <x v="0"/>
    <x v="8"/>
    <x v="6"/>
    <m/>
    <s v="BACUA"/>
    <s v="ADMINISTRATIVO"/>
    <s v="CABILDO 65"/>
    <s v="CABILDO 65"/>
    <x v="429"/>
    <s v="DNI"/>
    <n v="31292772"/>
    <s v="27312927727"/>
    <d v="1984-12-07T00:00:00"/>
    <m/>
    <m/>
    <m/>
    <m/>
    <s v="ASISTENCIA TÉCNICA"/>
    <x v="0"/>
    <d v="2013-08-01T00:00:00"/>
    <m/>
    <d v="2016-12-31T00:00:00"/>
    <m/>
    <s v="UNTREF"/>
    <s v="UNSAM- LADA"/>
    <n v="16465"/>
    <x v="17"/>
    <x v="5"/>
  </r>
  <r>
    <s v="SFMyCP"/>
    <x v="0"/>
    <x v="1"/>
    <x v="3"/>
    <x v="3"/>
    <x v="2"/>
    <m/>
    <m/>
    <m/>
    <s v="TECNÓPOLIS"/>
    <m/>
    <x v="430"/>
    <s v="DNI"/>
    <n v="29624857"/>
    <n v="27296248571"/>
    <m/>
    <m/>
    <m/>
    <m/>
    <m/>
    <s v="LEY MARCO"/>
    <x v="1"/>
    <d v="2011-07-01T00:00:00"/>
    <d v="2016-12-31T00:00:00"/>
    <d v="2016-12-31T00:00:00"/>
    <s v="D0"/>
    <m/>
    <m/>
    <n v="22640"/>
    <x v="168"/>
    <x v="5"/>
  </r>
  <r>
    <s v="SFMyCP"/>
    <x v="0"/>
    <x v="1"/>
    <x v="1"/>
    <x v="5"/>
    <x v="3"/>
    <s v="LOGISTICA OPERATIVA"/>
    <s v="Técnico"/>
    <s v="OPERATIVA Y LOGISTICA"/>
    <s v="CCK"/>
    <s v="CCK - Alem 351"/>
    <x v="431"/>
    <s v="DNI"/>
    <n v="22609036"/>
    <s v="20226090364"/>
    <d v="1972-02-18T00:00:00"/>
    <m/>
    <m/>
    <m/>
    <m/>
    <s v="ASISTENCIA TÉCNICA"/>
    <x v="0"/>
    <d v="2015-06-10T00:00:00"/>
    <m/>
    <d v="2016-12-31T00:00:00"/>
    <m/>
    <s v="UNTREF"/>
    <s v="UNTREF"/>
    <n v="12500"/>
    <x v="30"/>
    <x v="33"/>
  </r>
  <r>
    <s v="SFMyCP"/>
    <x v="1"/>
    <x v="0"/>
    <x v="2"/>
    <x v="2"/>
    <x v="2"/>
    <m/>
    <s v="PRIVADA"/>
    <s v="ADMINISTRATIVO"/>
    <m/>
    <s v="CCK - Alem 351"/>
    <x v="432"/>
    <s v="DNI"/>
    <n v="34975868"/>
    <s v="20349758688"/>
    <d v="1989-11-21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0"/>
    <x v="1"/>
    <x v="1"/>
    <x v="10"/>
    <x v="2"/>
    <m/>
    <s v="PRIVADA"/>
    <s v="ADMINISTRATIVA"/>
    <s v="CCK"/>
    <s v="CCK - Alem 351"/>
    <x v="433"/>
    <s v="DNI"/>
    <n v="25495401"/>
    <s v="27254954018"/>
    <d v="1976-01-27T00:00:00"/>
    <m/>
    <m/>
    <m/>
    <m/>
    <s v="ASISTENCIA TÉCNICA"/>
    <x v="0"/>
    <d v="2016-02-01T00:00:00"/>
    <m/>
    <d v="2016-12-31T00:00:00"/>
    <m/>
    <s v="UNTREF"/>
    <s v="UNSAM"/>
    <n v="15000"/>
    <x v="57"/>
    <x v="14"/>
  </r>
  <r>
    <s v="SFMyCP"/>
    <x v="1"/>
    <x v="0"/>
    <x v="5"/>
    <x v="37"/>
    <x v="2"/>
    <s v="SOPORTE ADMINISTRATIVO"/>
    <s v="SECRETARIA"/>
    <s v="Asistente"/>
    <s v="CCK"/>
    <s v="CCK - Alem 351"/>
    <x v="434"/>
    <s v="DNI"/>
    <n v="38399930"/>
    <s v="27383999303"/>
    <d v="1994-06-30T00:00:00"/>
    <m/>
    <m/>
    <m/>
    <m/>
    <s v="ASISTENCIA TÉCNICA"/>
    <x v="0"/>
    <d v="2015-09-01T00:00:00"/>
    <m/>
    <d v="2016-12-31T00:00:00"/>
    <m/>
    <s v="UNTREF"/>
    <s v="UNLAM- BICENTENARIO"/>
    <n v="10807"/>
    <x v="30"/>
    <x v="18"/>
  </r>
  <r>
    <s v="SFMyCP"/>
    <x v="0"/>
    <x v="1"/>
    <x v="1"/>
    <x v="10"/>
    <x v="10"/>
    <m/>
    <m/>
    <s v="ADMINISTRATIVA"/>
    <m/>
    <s v="CCK - Alem 351"/>
    <x v="435"/>
    <s v="DNI"/>
    <n v="36596267"/>
    <n v="20365962678"/>
    <d v="1991-11-1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5"/>
    <x v="3"/>
    <s v="LIMPIEZA (En comisión Tecnópolis)"/>
    <s v="Auxiliar"/>
    <s v="OPERATIVA Y LOGISTICA"/>
    <s v="CCK"/>
    <s v="CCK - Alem 351"/>
    <x v="436"/>
    <s v="DNI"/>
    <n v="36660968"/>
    <s v="20366609688"/>
    <d v="1991-11-29T00:00:00"/>
    <m/>
    <m/>
    <m/>
    <m/>
    <s v="ASISTENCIA TÉCNICA"/>
    <x v="0"/>
    <d v="2015-06-10T00:00:00"/>
    <m/>
    <d v="2016-12-31T00:00:00"/>
    <m/>
    <s v="UNTREF"/>
    <s v="UNTREF"/>
    <n v="10495"/>
    <x v="5"/>
    <x v="4"/>
  </r>
  <r>
    <s v="SFMyCP"/>
    <x v="0"/>
    <x v="1"/>
    <x v="3"/>
    <x v="20"/>
    <x v="2"/>
    <m/>
    <m/>
    <m/>
    <s v="TECNÓPOLIS"/>
    <m/>
    <x v="437"/>
    <s v="DNI"/>
    <n v="23672087"/>
    <n v="20236720870"/>
    <m/>
    <m/>
    <m/>
    <m/>
    <m/>
    <s v="LEY MARCO"/>
    <x v="1"/>
    <d v="2011-07-01T00:00:00"/>
    <d v="2016-12-31T00:00:00"/>
    <d v="2016-12-31T00:00:00"/>
    <s v="D1"/>
    <m/>
    <m/>
    <n v="26690"/>
    <x v="169"/>
    <x v="5"/>
  </r>
  <r>
    <s v="SFMyCP"/>
    <x v="0"/>
    <x v="1"/>
    <x v="3"/>
    <x v="42"/>
    <x v="2"/>
    <m/>
    <m/>
    <m/>
    <s v="TECNÓPOLIS"/>
    <m/>
    <x v="438"/>
    <s v="DNI"/>
    <n v="22503320"/>
    <n v="27225033205"/>
    <m/>
    <m/>
    <m/>
    <m/>
    <m/>
    <s v="LEY MARCO"/>
    <x v="1"/>
    <d v="2011-07-01T00:00:00"/>
    <d v="2016-12-31T00:00:00"/>
    <d v="2016-12-31T00:00:00"/>
    <s v="C0"/>
    <m/>
    <m/>
    <n v="29747"/>
    <x v="117"/>
    <x v="5"/>
  </r>
  <r>
    <s v="SFMyCP"/>
    <x v="0"/>
    <x v="1"/>
    <x v="3"/>
    <x v="6"/>
    <x v="2"/>
    <m/>
    <m/>
    <s v="MANTENIMIENTO GRAL DEL PARQUE"/>
    <s v="TECNÓPOLIS"/>
    <s v="TECNOPOLIS"/>
    <x v="439"/>
    <s v="DNI"/>
    <n v="23656609"/>
    <s v="23236566099"/>
    <d v="1973-08-08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0"/>
    <x v="0"/>
    <x v="2"/>
    <x v="2"/>
    <m/>
    <m/>
    <s v="ADMINISTRATIVO"/>
    <m/>
    <s v="CCK - Alem 351"/>
    <x v="440"/>
    <s v="DNI"/>
    <n v="20611734"/>
    <n v="2026117347"/>
    <d v="1969-03-08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1"/>
    <x v="5"/>
    <x v="14"/>
    <m/>
    <s v="Asistente"/>
    <s v="Asistente "/>
    <s v="CCK"/>
    <s v="CCK - Alem 351"/>
    <x v="441"/>
    <s v="DNI"/>
    <n v="33426846"/>
    <s v="27334268468"/>
    <d v="1988-05-02T00:00:00"/>
    <m/>
    <m/>
    <m/>
    <m/>
    <s v="ASISTENCIA TÉCNICA"/>
    <x v="0"/>
    <d v="2015-08-02T00:00:00"/>
    <m/>
    <d v="2016-12-31T00:00:00"/>
    <m/>
    <s v="UNTREF"/>
    <s v="UNLAM- BICENTENARIO"/>
    <n v="10096"/>
    <x v="5"/>
    <x v="4"/>
  </r>
  <r>
    <s v="SFMyCP"/>
    <x v="0"/>
    <x v="1"/>
    <x v="3"/>
    <x v="9"/>
    <x v="2"/>
    <m/>
    <s v="ADMINISTRATIVO"/>
    <m/>
    <s v="TECNÓPOLIS"/>
    <m/>
    <x v="442"/>
    <s v="DNI"/>
    <n v="27457003"/>
    <n v="27274570046"/>
    <m/>
    <m/>
    <m/>
    <m/>
    <m/>
    <s v="LEY MARCO"/>
    <x v="1"/>
    <d v="2012-05-01T00:00:00"/>
    <d v="2016-12-31T00:00:00"/>
    <d v="2016-12-31T00:00:00"/>
    <s v="C0"/>
    <m/>
    <m/>
    <n v="29747"/>
    <x v="117"/>
    <x v="5"/>
  </r>
  <r>
    <s v="SFMyCP"/>
    <x v="0"/>
    <x v="1"/>
    <x v="7"/>
    <x v="2"/>
    <x v="2"/>
    <m/>
    <s v="PRIVADA"/>
    <s v="ADMINISTRATIVO"/>
    <m/>
    <s v="CCK - Alem 351"/>
    <x v="443"/>
    <s v="DNI"/>
    <n v="11735933"/>
    <s v="20117359337"/>
    <d v="1938-08-03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33"/>
    <x v="2"/>
    <m/>
    <s v="ADMINISTRATIVO"/>
    <m/>
    <s v="TECNÓPOLIS"/>
    <m/>
    <x v="444"/>
    <s v="DNI"/>
    <n v="16225344"/>
    <n v="27162253447"/>
    <m/>
    <m/>
    <m/>
    <m/>
    <m/>
    <s v="LEY MARCO"/>
    <x v="1"/>
    <d v="2013-07-01T00:00:00"/>
    <d v="2016-03-31T00:00:00"/>
    <d v="2016-12-31T00:00:00"/>
    <s v="C1"/>
    <m/>
    <m/>
    <n v="27262"/>
    <x v="170"/>
    <x v="5"/>
  </r>
  <r>
    <s v="SFMyCP"/>
    <x v="0"/>
    <x v="1"/>
    <x v="3"/>
    <x v="15"/>
    <x v="2"/>
    <m/>
    <m/>
    <m/>
    <s v="TECNÓPOLIS"/>
    <m/>
    <x v="445"/>
    <s v="DNI"/>
    <n v="14689931"/>
    <n v="20146899316"/>
    <m/>
    <m/>
    <m/>
    <m/>
    <m/>
    <s v="LEY MARCO"/>
    <x v="1"/>
    <d v="2012-10-31T00:00:00"/>
    <d v="2016-12-31T00:00:00"/>
    <d v="2016-12-31T00:00:00"/>
    <s v="C0"/>
    <m/>
    <m/>
    <n v="27420"/>
    <x v="171"/>
    <x v="5"/>
  </r>
  <r>
    <s v="SFMyCP"/>
    <x v="1"/>
    <x v="0"/>
    <x v="5"/>
    <x v="7"/>
    <x v="2"/>
    <m/>
    <m/>
    <m/>
    <s v="CCK"/>
    <m/>
    <x v="446"/>
    <s v="DNI"/>
    <n v="34712943"/>
    <n v="27347129432"/>
    <m/>
    <m/>
    <m/>
    <m/>
    <m/>
    <s v="LEY MARCO"/>
    <x v="1"/>
    <d v="2015-09-01T00:00:00"/>
    <d v="2016-03-31T00:00:00"/>
    <d v="2016-12-31T00:00:00"/>
    <s v="B0"/>
    <m/>
    <m/>
    <n v="17107"/>
    <x v="104"/>
    <x v="5"/>
  </r>
  <r>
    <s v="SFMyCP"/>
    <x v="0"/>
    <x v="1"/>
    <x v="1"/>
    <x v="10"/>
    <x v="10"/>
    <m/>
    <m/>
    <m/>
    <m/>
    <m/>
    <x v="447"/>
    <s v="DNI"/>
    <n v="24600825"/>
    <n v="20246008257"/>
    <m/>
    <m/>
    <m/>
    <m/>
    <m/>
    <m/>
    <x v="1"/>
    <d v="2012-12-01T00:00:00"/>
    <m/>
    <d v="2016-12-31T00:00:00"/>
    <s v="B3"/>
    <m/>
    <m/>
    <m/>
    <x v="18"/>
    <x v="3"/>
  </r>
  <r>
    <s v="SFMyCP"/>
    <x v="0"/>
    <x v="0"/>
    <x v="0"/>
    <x v="2"/>
    <x v="2"/>
    <m/>
    <s v="PRIVADA"/>
    <s v="ADMINISTRATIVO"/>
    <m/>
    <s v="CCK - Alem 351"/>
    <x v="448"/>
    <s v="DNI"/>
    <n v="22796345"/>
    <s v="20227963450"/>
    <d v="1972-09-27T00:00:00"/>
    <m/>
    <m/>
    <m/>
    <m/>
    <s v="ASISTENCIA TÉCNICA"/>
    <x v="0"/>
    <d v="2016-04-01T00:00:00"/>
    <m/>
    <d v="2016-12-31T00:00:00"/>
    <m/>
    <s v="UNTREF"/>
    <m/>
    <n v="22000"/>
    <x v="172"/>
    <x v="34"/>
  </r>
  <r>
    <s v="SFMyCP"/>
    <x v="0"/>
    <x v="1"/>
    <x v="1"/>
    <x v="10"/>
    <x v="2"/>
    <m/>
    <s v="Analista"/>
    <s v="ADMINISTRATIVA"/>
    <s v="CCK"/>
    <s v="CCK - Alem 351"/>
    <x v="449"/>
    <s v="DNI"/>
    <n v="35320893"/>
    <s v="23353208934"/>
    <d v="1990-09-28T00:00:00"/>
    <m/>
    <m/>
    <m/>
    <m/>
    <s v="ASISTENCIA TÉCNICA"/>
    <x v="0"/>
    <d v="2015-05-15T00:00:00"/>
    <m/>
    <d v="2016-12-31T00:00:00"/>
    <m/>
    <s v="UNTREF"/>
    <s v="UNSAM-MINPLAN"/>
    <n v="12000"/>
    <x v="30"/>
    <x v="12"/>
  </r>
  <r>
    <s v="SFMyCP"/>
    <x v="0"/>
    <x v="1"/>
    <x v="1"/>
    <x v="5"/>
    <x v="2"/>
    <m/>
    <m/>
    <s v="ADMINISTRATIVO"/>
    <m/>
    <s v="CCK - Alem 351"/>
    <x v="450"/>
    <s v="DNI"/>
    <n v="24222400"/>
    <n v="20242224001"/>
    <d v="1975-01-2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6"/>
    <x v="2"/>
    <m/>
    <m/>
    <s v="MANTENIMIENTO GRAL DEL PARQUE"/>
    <s v="TECNÓPOLIS"/>
    <s v="TECNOPOLIS"/>
    <x v="451"/>
    <s v="DNI"/>
    <n v="25838929"/>
    <s v="20258389299"/>
    <d v="1977-02-23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1"/>
    <x v="0"/>
    <x v="2"/>
    <x v="2"/>
    <x v="2"/>
    <m/>
    <s v="PRIVADA"/>
    <s v="ADMINISTRATIVO"/>
    <m/>
    <s v="CCK - Alem 351"/>
    <x v="452"/>
    <s v="DNI"/>
    <n v="26819198"/>
    <s v="20268191985"/>
    <d v="1978-08-25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0"/>
    <x v="1"/>
    <x v="3"/>
    <x v="6"/>
    <x v="2"/>
    <m/>
    <m/>
    <s v="MANTENIMIENTO GRAL DEL PARQUE"/>
    <s v="TECNÓPOLIS"/>
    <s v="TECNOPOLIS"/>
    <x v="453"/>
    <s v="DNI"/>
    <n v="32595983"/>
    <s v="20325959836"/>
    <d v="1987-04-03T00:00:00"/>
    <m/>
    <m/>
    <m/>
    <m/>
    <s v="ASISTENCIA TÉCNICA"/>
    <x v="0"/>
    <d v="2013-06-01T00:00:00"/>
    <m/>
    <d v="2016-12-31T00:00:00"/>
    <m/>
    <s v="UNTREF"/>
    <s v="UNTREF"/>
    <n v="11449.4"/>
    <x v="8"/>
    <x v="5"/>
  </r>
  <r>
    <s v="SFMyCP"/>
    <x v="1"/>
    <x v="0"/>
    <x v="2"/>
    <x v="2"/>
    <x v="2"/>
    <m/>
    <s v="PRIVADA"/>
    <s v="ADMINISTRATIVO"/>
    <m/>
    <s v="CCK - Alem 351"/>
    <x v="454"/>
    <s v="DNI"/>
    <n v="14314816"/>
    <s v="20143148166"/>
    <d v="1961-07-10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0"/>
    <x v="1"/>
    <x v="1"/>
    <x v="5"/>
    <x v="23"/>
    <m/>
    <m/>
    <m/>
    <m/>
    <m/>
    <x v="455"/>
    <s v="DNI"/>
    <n v="35970957"/>
    <m/>
    <m/>
    <m/>
    <m/>
    <m/>
    <m/>
    <m/>
    <x v="1"/>
    <m/>
    <m/>
    <d v="2016-12-31T00:00:00"/>
    <s v="C0"/>
    <m/>
    <m/>
    <m/>
    <x v="18"/>
    <x v="3"/>
  </r>
  <r>
    <s v="SFMyCP"/>
    <x v="1"/>
    <x v="0"/>
    <x v="2"/>
    <x v="2"/>
    <x v="2"/>
    <m/>
    <s v="PRIVADA"/>
    <s v="ADMINISTRATIVO"/>
    <m/>
    <s v="CCK - Alem 351"/>
    <x v="456"/>
    <s v="DNI"/>
    <n v="24962533"/>
    <s v="20249625338"/>
    <d v="1975-09-24T00:00:00"/>
    <m/>
    <m/>
    <m/>
    <m/>
    <s v="ASISTENCIA TÉCNICA"/>
    <x v="0"/>
    <d v="2016-01-01T00:00:00"/>
    <m/>
    <d v="2016-12-31T00:00:00"/>
    <m/>
    <s v="UNTREF"/>
    <s v="UNSAM"/>
    <n v="12275"/>
    <x v="62"/>
    <x v="15"/>
  </r>
  <r>
    <s v="SFMyCP"/>
    <x v="0"/>
    <x v="1"/>
    <x v="3"/>
    <x v="39"/>
    <x v="2"/>
    <m/>
    <s v="ADMINISTRATIVO"/>
    <m/>
    <s v="TECNÓPOLIS"/>
    <m/>
    <x v="457"/>
    <s v="DNI"/>
    <n v="25144136"/>
    <n v="27251441362"/>
    <m/>
    <m/>
    <m/>
    <m/>
    <m/>
    <s v="LEY MARCO"/>
    <x v="1"/>
    <d v="2010-03-01T00:00:00"/>
    <d v="2016-12-31T00:00:00"/>
    <d v="2016-12-31T00:00:00"/>
    <s v="C1"/>
    <m/>
    <m/>
    <n v="31056"/>
    <x v="173"/>
    <x v="5"/>
  </r>
  <r>
    <s v="SFMyCP"/>
    <x v="0"/>
    <x v="1"/>
    <x v="3"/>
    <x v="39"/>
    <x v="2"/>
    <m/>
    <s v="ADMINISTRATIVO"/>
    <m/>
    <s v="TECNÓPOLIS"/>
    <m/>
    <x v="458"/>
    <s v="DNI"/>
    <n v="26019114"/>
    <n v="23260191144"/>
    <m/>
    <m/>
    <m/>
    <m/>
    <m/>
    <s v="LEY MARCO"/>
    <x v="1"/>
    <d v="2010-04-01T00:00:00"/>
    <d v="2016-12-31T00:00:00"/>
    <d v="2016-12-31T00:00:00"/>
    <s v="B1"/>
    <m/>
    <m/>
    <n v="20266.82"/>
    <x v="174"/>
    <x v="5"/>
  </r>
  <r>
    <s v="SFMyCP"/>
    <x v="0"/>
    <x v="0"/>
    <x v="0"/>
    <x v="8"/>
    <x v="6"/>
    <m/>
    <m/>
    <s v="ADMINISTRATIVO"/>
    <s v="CABILDO 65"/>
    <s v="CABILDO 65"/>
    <x v="459"/>
    <s v="DNI"/>
    <n v="27027265"/>
    <s v="20270272658"/>
    <d v="1978-12-17T00:00:00"/>
    <m/>
    <m/>
    <m/>
    <m/>
    <s v="ASISTENCIA TÉCNICA"/>
    <x v="0"/>
    <d v="2010-04-01T00:00:00"/>
    <m/>
    <d v="2016-12-31T00:00:00"/>
    <m/>
    <s v="UNTREF"/>
    <s v="UNSAM- LADA"/>
    <n v="20545"/>
    <x v="143"/>
    <x v="5"/>
  </r>
  <r>
    <s v="SFMyCP"/>
    <x v="0"/>
    <x v="0"/>
    <x v="0"/>
    <x v="2"/>
    <x v="2"/>
    <s v="(GESTIÓN OPERATIVA)"/>
    <m/>
    <m/>
    <s v="CCK"/>
    <m/>
    <x v="460"/>
    <s v="DNI"/>
    <n v="24159112"/>
    <n v="27241591129"/>
    <m/>
    <m/>
    <m/>
    <m/>
    <m/>
    <s v="LEY MARCO"/>
    <x v="1"/>
    <d v="2010-04-01T00:00:00"/>
    <d v="2016-12-31T00:00:00"/>
    <d v="2016-12-31T00:00:00"/>
    <s v="B1"/>
    <m/>
    <m/>
    <n v="18277"/>
    <x v="88"/>
    <x v="5"/>
  </r>
  <r>
    <s v="SFMyCP"/>
    <x v="0"/>
    <x v="0"/>
    <x v="0"/>
    <x v="43"/>
    <x v="2"/>
    <m/>
    <s v=""/>
    <m/>
    <s v="CCK"/>
    <m/>
    <x v="461"/>
    <s v="DNI"/>
    <n v="34681893"/>
    <n v="20346818930"/>
    <m/>
    <m/>
    <m/>
    <m/>
    <m/>
    <s v="LEY MARCO"/>
    <x v="1"/>
    <d v="2011-11-01T00:00:00"/>
    <d v="2016-12-31T00:00:00"/>
    <d v="2016-12-31T00:00:00"/>
    <s v="C0"/>
    <m/>
    <m/>
    <n v="12274"/>
    <x v="23"/>
    <x v="5"/>
  </r>
  <r>
    <s v="SFMyCP"/>
    <x v="1"/>
    <x v="0"/>
    <x v="5"/>
    <x v="30"/>
    <x v="2"/>
    <s v="CONTROL DE ACCESOS  B"/>
    <s v="Asistente"/>
    <s v="ADMINISTRATIVO"/>
    <s v="CCK"/>
    <s v="CCK - Alem 351"/>
    <x v="462"/>
    <s v="DNI"/>
    <n v="37023551"/>
    <s v="27370235517"/>
    <d v="1992-11-25T00:00:00"/>
    <m/>
    <m/>
    <m/>
    <m/>
    <s v="ASISTENCIA TÉCNICA"/>
    <x v="0"/>
    <m/>
    <m/>
    <d v="2016-12-31T00:00:00"/>
    <m/>
    <s v="UNTREF"/>
    <s v="UNLAM- BICENTENARIO"/>
    <n v="10096"/>
    <x v="5"/>
    <x v="4"/>
  </r>
  <r>
    <s v="SFMyCP"/>
    <x v="0"/>
    <x v="1"/>
    <x v="1"/>
    <x v="5"/>
    <x v="14"/>
    <m/>
    <s v="Asistente"/>
    <s v="Asistente "/>
    <s v="CCK"/>
    <s v="CCK - Alem 351"/>
    <x v="463"/>
    <s v="DNI"/>
    <n v="37900697"/>
    <s v="27379006979"/>
    <d v="1994-06-15T00:00:00"/>
    <m/>
    <m/>
    <m/>
    <m/>
    <s v="ASISTENCIA TÉCNICA"/>
    <x v="0"/>
    <d v="2015-06-01T00:00:00"/>
    <m/>
    <d v="2016-12-31T00:00:00"/>
    <m/>
    <s v="UNTREF"/>
    <s v="UNLAM- BICENTENARIO"/>
    <n v="10807"/>
    <x v="5"/>
    <x v="4"/>
  </r>
  <r>
    <s v="SFMyCP"/>
    <x v="1"/>
    <x v="0"/>
    <x v="5"/>
    <x v="17"/>
    <x v="15"/>
    <m/>
    <s v="Enfermera/o"/>
    <m/>
    <s v="CCK"/>
    <m/>
    <x v="464"/>
    <s v="DNI"/>
    <n v="28633654"/>
    <n v="27286336545"/>
    <m/>
    <m/>
    <m/>
    <m/>
    <m/>
    <s v="LEY MARCO"/>
    <x v="1"/>
    <d v="2015-06-01T00:00:00"/>
    <d v="2016-03-31T00:00:00"/>
    <d v="2016-12-31T00:00:00"/>
    <s v="C0"/>
    <m/>
    <m/>
    <n v="11730"/>
    <x v="51"/>
    <x v="5"/>
  </r>
  <r>
    <s v="SFMyCP"/>
    <x v="1"/>
    <x v="0"/>
    <x v="5"/>
    <x v="17"/>
    <x v="15"/>
    <m/>
    <s v="Enfermera/o"/>
    <m/>
    <s v="CCK"/>
    <m/>
    <x v="465"/>
    <s v="DNI"/>
    <n v="27493096"/>
    <n v="27274930964"/>
    <d v="1979-06-09T00:00:00"/>
    <m/>
    <m/>
    <m/>
    <m/>
    <s v="ASISTENCIA TÉCNICA"/>
    <x v="0"/>
    <d v="2016-08-02T00:00:00"/>
    <m/>
    <d v="2016-12-31T00:00:00"/>
    <m/>
    <m/>
    <m/>
    <m/>
    <x v="18"/>
    <x v="3"/>
  </r>
  <r>
    <s v="SFMyCP"/>
    <x v="0"/>
    <x v="1"/>
    <x v="3"/>
    <x v="3"/>
    <x v="2"/>
    <m/>
    <m/>
    <m/>
    <s v="TECNÓPOLIS"/>
    <m/>
    <x v="466"/>
    <s v="DNI"/>
    <n v="28496920"/>
    <n v="27284969206"/>
    <m/>
    <m/>
    <m/>
    <m/>
    <m/>
    <s v="LEY MARCO"/>
    <x v="1"/>
    <d v="2012-10-31T00:00:00"/>
    <d v="2016-12-31T00:00:00"/>
    <d v="2016-12-31T00:00:00"/>
    <s v="F0"/>
    <m/>
    <m/>
    <n v="13783.6"/>
    <x v="175"/>
    <x v="5"/>
  </r>
  <r>
    <s v="SFMyCP"/>
    <x v="0"/>
    <x v="1"/>
    <x v="3"/>
    <x v="20"/>
    <x v="2"/>
    <m/>
    <m/>
    <m/>
    <s v="TECNÓPOLIS"/>
    <m/>
    <x v="467"/>
    <s v="DNI"/>
    <n v="30277829"/>
    <n v="23302778299"/>
    <m/>
    <m/>
    <m/>
    <m/>
    <m/>
    <s v="LEY MARCO"/>
    <x v="1"/>
    <d v="2012-10-31T00:00:00"/>
    <d v="2016-12-31T00:00:00"/>
    <d v="2016-12-31T00:00:00"/>
    <s v="C0"/>
    <m/>
    <m/>
    <n v="29747"/>
    <x v="117"/>
    <x v="5"/>
  </r>
  <r>
    <s v="SFMyCP"/>
    <x v="1"/>
    <x v="0"/>
    <x v="5"/>
    <x v="17"/>
    <x v="17"/>
    <s v="COMUNICACIÓN"/>
    <s v="COMUNICACIÓN"/>
    <m/>
    <m/>
    <m/>
    <x v="468"/>
    <s v="DNI"/>
    <n v="31641802"/>
    <n v="20316418024"/>
    <m/>
    <m/>
    <m/>
    <m/>
    <m/>
    <s v="LEY MARCO"/>
    <x v="1"/>
    <d v="2011-07-28T00:00:00"/>
    <d v="2016-12-31T00:00:00"/>
    <d v="2016-12-31T00:00:00"/>
    <s v="C1"/>
    <m/>
    <m/>
    <n v="12003"/>
    <x v="59"/>
    <x v="5"/>
  </r>
  <r>
    <s v="SFMyCP"/>
    <x v="1"/>
    <x v="0"/>
    <x v="5"/>
    <x v="30"/>
    <x v="2"/>
    <m/>
    <m/>
    <s v="ADMINISTRATIVO"/>
    <m/>
    <s v="CCK - Alem 351"/>
    <x v="469"/>
    <s v="DNI"/>
    <n v="14289145"/>
    <s v="20142891450"/>
    <d v="1960-11-16T00:00:00"/>
    <m/>
    <m/>
    <m/>
    <m/>
    <s v="ASISTENCIA TÉCNICA"/>
    <x v="0"/>
    <d v="2016-01-01T00:00:00"/>
    <m/>
    <d v="2016-12-31T00:00:00"/>
    <m/>
    <s v="UNTREF"/>
    <s v="UNSAM"/>
    <n v="27000"/>
    <x v="53"/>
    <x v="13"/>
  </r>
  <r>
    <s v="SFMyCP"/>
    <x v="1"/>
    <x v="0"/>
    <x v="5"/>
    <x v="7"/>
    <x v="2"/>
    <m/>
    <m/>
    <s v="ADMINISTRATIVO"/>
    <m/>
    <s v="CCK - Alem 351"/>
    <x v="470"/>
    <s v="DNI"/>
    <n v="35569357"/>
    <s v="20355693571"/>
    <d v="1990-11-14T00:00:00"/>
    <m/>
    <m/>
    <m/>
    <m/>
    <s v="ASISTENCIA TÉCNICA"/>
    <x v="0"/>
    <m/>
    <m/>
    <d v="2016-12-31T00:00:00"/>
    <m/>
    <s v="UNTREF"/>
    <m/>
    <n v="12246"/>
    <x v="176"/>
    <x v="5"/>
  </r>
  <r>
    <s v="SFMyCP"/>
    <x v="0"/>
    <x v="1"/>
    <x v="1"/>
    <x v="5"/>
    <x v="13"/>
    <s v="LOGISTICA OPERATIVA"/>
    <s v="Auxiliar de Mantenimiento"/>
    <s v="Auxiliar de Mantenimiento"/>
    <s v="CCK"/>
    <s v="CCK - Alem 351"/>
    <x v="471"/>
    <s v="DNI"/>
    <n v="35897670"/>
    <s v="20358976701"/>
    <d v="1992-10-02T00:00:00"/>
    <m/>
    <m/>
    <m/>
    <m/>
    <s v="ASISTENCIA TÉCNICA"/>
    <x v="0"/>
    <d v="2015-06-01T00:00:00"/>
    <m/>
    <d v="2016-12-31T00:00:00"/>
    <m/>
    <s v="UNTREF"/>
    <s v="UNSAM-MINPLAN"/>
    <n v="10188"/>
    <x v="5"/>
    <x v="7"/>
  </r>
  <r>
    <s v="SFMyCP"/>
    <x v="1"/>
    <x v="0"/>
    <x v="5"/>
    <x v="17"/>
    <x v="12"/>
    <s v="AUTOMOTORES"/>
    <s v="CHOFER"/>
    <m/>
    <s v="CCK"/>
    <m/>
    <x v="472"/>
    <s v="DNI"/>
    <n v="14619813"/>
    <n v="23146198139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1"/>
    <x v="0"/>
    <x v="5"/>
    <x v="17"/>
    <x v="17"/>
    <m/>
    <m/>
    <m/>
    <m/>
    <m/>
    <x v="473"/>
    <s v="DNI"/>
    <n v="30762932"/>
    <n v="27307629327"/>
    <m/>
    <m/>
    <m/>
    <m/>
    <m/>
    <m/>
    <x v="1"/>
    <d v="2008-10-01T00:00:00"/>
    <m/>
    <d v="2016-12-31T00:00:00"/>
    <s v="C1"/>
    <m/>
    <m/>
    <m/>
    <x v="18"/>
    <x v="3"/>
  </r>
  <r>
    <s v="SFMyCP"/>
    <x v="1"/>
    <x v="0"/>
    <x v="5"/>
    <x v="30"/>
    <x v="2"/>
    <m/>
    <m/>
    <m/>
    <s v="CCK"/>
    <m/>
    <x v="474"/>
    <s v="DNI"/>
    <n v="18780444"/>
    <n v="20187804443"/>
    <m/>
    <m/>
    <m/>
    <m/>
    <m/>
    <s v="LEY MARCO"/>
    <x v="1"/>
    <d v="2007-01-01T00:00:00"/>
    <d v="2016-12-31T00:00:00"/>
    <d v="2016-12-31T00:00:00"/>
    <s v="A3"/>
    <m/>
    <m/>
    <n v="32195"/>
    <x v="177"/>
    <x v="5"/>
  </r>
  <r>
    <s v="SFMyCP"/>
    <x v="0"/>
    <x v="0"/>
    <x v="8"/>
    <x v="1"/>
    <x v="2"/>
    <m/>
    <m/>
    <s v="ADMINISTRATIVO"/>
    <m/>
    <s v="CCK - Alem 351"/>
    <x v="475"/>
    <s v="DNI"/>
    <n v="35962369"/>
    <n v="27359623696"/>
    <d v="1991-03-26T00:00:00"/>
    <m/>
    <m/>
    <m/>
    <m/>
    <s v="ASISTENCIA TÉCNICA"/>
    <x v="0"/>
    <d v="2016-07-04T00:00:00"/>
    <m/>
    <d v="2016-12-31T00:00:00"/>
    <m/>
    <s v="UNTREF"/>
    <m/>
    <m/>
    <x v="18"/>
    <x v="3"/>
  </r>
  <r>
    <s v="SFMyCP"/>
    <x v="0"/>
    <x v="1"/>
    <x v="3"/>
    <x v="6"/>
    <x v="2"/>
    <m/>
    <m/>
    <s v="MANTENIMIENTO GRAL DEL PARQUE"/>
    <s v="TECNÓPOLIS"/>
    <s v="TECNOPOLIS"/>
    <x v="476"/>
    <s v="DNI"/>
    <n v="35766149"/>
    <s v="20357661499"/>
    <d v="1989-07-13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0"/>
    <x v="0"/>
    <x v="8"/>
    <x v="4"/>
    <m/>
    <s v="POSTPRODUCCIÓN"/>
    <s v="ADMINISTRATIVO"/>
    <s v="CABILDO 65"/>
    <s v="CABILDO 65"/>
    <x v="477"/>
    <s v="DNI"/>
    <n v="27264874"/>
    <s v="27272648749"/>
    <d v="1979-07-27T00:00:00"/>
    <m/>
    <m/>
    <m/>
    <m/>
    <s v="ASISTENCIA TÉCNICA"/>
    <x v="0"/>
    <d v="2013-09-09T00:00:00"/>
    <m/>
    <d v="2016-12-31T00:00:00"/>
    <m/>
    <s v="UNTREF"/>
    <m/>
    <n v="25252"/>
    <x v="38"/>
    <x v="3"/>
  </r>
  <r>
    <s v="SFMyCP"/>
    <x v="0"/>
    <x v="1"/>
    <x v="1"/>
    <x v="31"/>
    <x v="2"/>
    <m/>
    <s v="Sub Director"/>
    <m/>
    <m/>
    <m/>
    <x v="478"/>
    <s v="DNI"/>
    <m/>
    <m/>
    <m/>
    <m/>
    <m/>
    <m/>
    <m/>
    <m/>
    <x v="3"/>
    <m/>
    <m/>
    <d v="2016-12-31T00:00:00"/>
    <m/>
    <m/>
    <m/>
    <s v="."/>
    <x v="14"/>
    <x v="5"/>
  </r>
  <r>
    <s v="SFMyCP"/>
    <x v="0"/>
    <x v="0"/>
    <x v="6"/>
    <x v="12"/>
    <x v="2"/>
    <m/>
    <m/>
    <s v="ADMINISTRATIVO"/>
    <m/>
    <s v="CCK - Alem 351"/>
    <x v="479"/>
    <s v="DNI"/>
    <n v="28950634"/>
    <s v="23289506349"/>
    <d v="1981-08-14T00:00:00"/>
    <m/>
    <m/>
    <m/>
    <m/>
    <s v="ASISTENCIA TÉCNICA"/>
    <x v="0"/>
    <d v="2016-01-01T00:00:00"/>
    <m/>
    <d v="2016-12-31T00:00:00"/>
    <m/>
    <s v="UNTREF"/>
    <m/>
    <n v="17000"/>
    <x v="50"/>
    <x v="12"/>
  </r>
  <r>
    <s v="SFMyCP"/>
    <x v="1"/>
    <x v="0"/>
    <x v="5"/>
    <x v="26"/>
    <x v="2"/>
    <m/>
    <s v="Técnico"/>
    <s v="Analista"/>
    <s v="CCK"/>
    <s v="CCK - Alem 351"/>
    <x v="480"/>
    <s v="DNI"/>
    <n v="26580826"/>
    <s v="20265808264"/>
    <d v="1977-12-26T00:00:00"/>
    <m/>
    <m/>
    <m/>
    <m/>
    <s v="ASISTENCIA TÉCNICA"/>
    <x v="0"/>
    <d v="2013-11-26T00:00:00"/>
    <m/>
    <d v="2016-12-31T00:00:00"/>
    <m/>
    <s v="UNTREF"/>
    <s v="UNLAM- INFO"/>
    <n v="13062"/>
    <x v="30"/>
    <x v="7"/>
  </r>
  <r>
    <s v="SFMyCP"/>
    <x v="1"/>
    <x v="0"/>
    <x v="5"/>
    <x v="17"/>
    <x v="15"/>
    <m/>
    <s v="Enfermera/o"/>
    <m/>
    <s v="CCK"/>
    <m/>
    <x v="481"/>
    <s v="DNI"/>
    <n v="23120215"/>
    <n v="27231202159"/>
    <m/>
    <m/>
    <m/>
    <m/>
    <m/>
    <s v="LEY MARCO"/>
    <x v="1"/>
    <d v="2015-05-21T00:00:00"/>
    <d v="2016-03-31T00:00:00"/>
    <d v="2016-12-31T00:00:00"/>
    <s v="C0"/>
    <m/>
    <m/>
    <n v="12000"/>
    <x v="7"/>
    <x v="5"/>
  </r>
  <r>
    <s v="SFMyCP"/>
    <x v="0"/>
    <x v="1"/>
    <x v="1"/>
    <x v="16"/>
    <x v="11"/>
    <m/>
    <m/>
    <s v="VISITAS GUIADAS"/>
    <m/>
    <s v="CCK - Alem 351"/>
    <x v="482"/>
    <s v="DNI"/>
    <n v="39910014"/>
    <n v="20399100144"/>
    <d v="1996-08-16T00:00:00"/>
    <m/>
    <m/>
    <m/>
    <m/>
    <s v="ASISTENCIA TÉCNICA"/>
    <x v="0"/>
    <d v="2016-05-15T00:00:00"/>
    <m/>
    <d v="2016-12-31T00:00:00"/>
    <m/>
    <s v="UNTREF"/>
    <m/>
    <m/>
    <x v="18"/>
    <x v="3"/>
  </r>
  <r>
    <s v="SFMyCP"/>
    <x v="0"/>
    <x v="1"/>
    <x v="3"/>
    <x v="24"/>
    <x v="2"/>
    <m/>
    <s v="Tareas Generales"/>
    <s v="TAREAS EN GENERAL TALLER CARPINTERIA/HERRERÍA/TEXTIL"/>
    <s v="TECNÓPOLIS"/>
    <m/>
    <x v="483"/>
    <s v="DNI"/>
    <n v="22228890"/>
    <n v="27222288903"/>
    <d v="1971-06-09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1"/>
    <x v="0"/>
    <x v="5"/>
    <x v="25"/>
    <x v="2"/>
    <m/>
    <s v="Asistente administrativo."/>
    <m/>
    <s v="CCK"/>
    <m/>
    <x v="484"/>
    <s v="DNI"/>
    <n v="33546747"/>
    <n v="20335467478"/>
    <m/>
    <m/>
    <m/>
    <m/>
    <m/>
    <s v="LEY MARCO"/>
    <x v="1"/>
    <d v="2013-01-02T00:00:00"/>
    <d v="2016-03-31T00:00:00"/>
    <d v="2016-12-31T00:00:00"/>
    <s v="D0"/>
    <m/>
    <m/>
    <n v="10190"/>
    <x v="45"/>
    <x v="5"/>
  </r>
  <r>
    <s v="SFMyCP"/>
    <x v="0"/>
    <x v="0"/>
    <x v="0"/>
    <x v="8"/>
    <x v="6"/>
    <m/>
    <s v="POSTPRODUCCIÓN"/>
    <s v="EDICION"/>
    <s v="CABILDO 65"/>
    <s v="CABILDO 65"/>
    <x v="485"/>
    <s v="DNI"/>
    <n v="24921752"/>
    <s v="20249217523"/>
    <d v="1975-10-12T00:00:00"/>
    <m/>
    <m/>
    <m/>
    <m/>
    <s v="ASISTENCIA TÉCNICA"/>
    <x v="0"/>
    <d v="2014-04-01T00:00:00"/>
    <m/>
    <d v="2016-12-31T00:00:00"/>
    <m/>
    <s v="UNTREF"/>
    <s v="UNSAM- LADA"/>
    <n v="24060"/>
    <x v="73"/>
    <x v="5"/>
  </r>
  <r>
    <s v="SFMyCP"/>
    <x v="0"/>
    <x v="0"/>
    <x v="0"/>
    <x v="8"/>
    <x v="6"/>
    <m/>
    <s v="POSTPRODUCCIÓN"/>
    <s v="EDICION"/>
    <s v="CABILDO 65"/>
    <s v="CABILDO 65"/>
    <x v="486"/>
    <s v="DNI"/>
    <n v="16237010"/>
    <s v="20162370104"/>
    <d v="1963-01-12T00:00:00"/>
    <m/>
    <m/>
    <m/>
    <m/>
    <s v="ASISTENCIA TÉCNICA"/>
    <x v="0"/>
    <d v="2013-06-01T00:00:00"/>
    <m/>
    <d v="2016-12-31T00:00:00"/>
    <m/>
    <s v="UNTREF"/>
    <m/>
    <n v="32782"/>
    <x v="80"/>
    <x v="3"/>
  </r>
  <r>
    <s v="SFMyCP"/>
    <x v="0"/>
    <x v="1"/>
    <x v="1"/>
    <x v="1"/>
    <x v="1"/>
    <m/>
    <m/>
    <s v="ADMINISTRATIVO"/>
    <m/>
    <s v="CCK - Alem 351"/>
    <x v="487"/>
    <s v="DNI"/>
    <n v="28778937"/>
    <n v="27287789373"/>
    <d v="1981-05-15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488"/>
    <s v="DNI"/>
    <m/>
    <m/>
    <m/>
    <m/>
    <m/>
    <m/>
    <m/>
    <m/>
    <x v="0"/>
    <m/>
    <m/>
    <d v="2016-12-31T00:00:00"/>
    <m/>
    <s v="UNTREF"/>
    <m/>
    <m/>
    <x v="18"/>
    <x v="3"/>
  </r>
  <r>
    <s v="SFMyCP"/>
    <x v="0"/>
    <x v="0"/>
    <x v="6"/>
    <x v="12"/>
    <x v="2"/>
    <m/>
    <m/>
    <s v="Orientador de Sala"/>
    <m/>
    <m/>
    <x v="489"/>
    <s v="DNI"/>
    <n v="26392514"/>
    <n v="27263925144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0"/>
    <x v="0"/>
    <x v="0"/>
    <x v="8"/>
    <x v="6"/>
    <m/>
    <s v="PANORAMA ARGENTINO"/>
    <s v="ADMINISTRATIVO"/>
    <s v="CABILDO 65"/>
    <s v="CABILDO 65"/>
    <x v="490"/>
    <s v="DNI"/>
    <n v="17964747"/>
    <s v="20179647479"/>
    <d v="1966-10-13T00:00:00"/>
    <m/>
    <m/>
    <m/>
    <m/>
    <s v="ASISTENCIA TÉCNICA"/>
    <x v="0"/>
    <d v="2012-03-01T00:00:00"/>
    <m/>
    <d v="2016-12-31T00:00:00"/>
    <m/>
    <s v="UNTREF"/>
    <s v="UNSAM- LADA"/>
    <n v="10829"/>
    <x v="178"/>
    <x v="4"/>
  </r>
  <r>
    <s v="SFMyCP"/>
    <x v="0"/>
    <x v="1"/>
    <x v="3"/>
    <x v="13"/>
    <x v="2"/>
    <m/>
    <s v="Administrativo"/>
    <m/>
    <s v="TECNÓPOLIS"/>
    <m/>
    <x v="491"/>
    <s v="DNI"/>
    <n v="28814776"/>
    <n v="27288147766"/>
    <m/>
    <m/>
    <m/>
    <m/>
    <m/>
    <s v="LEY MARCO"/>
    <x v="1"/>
    <d v="2015-03-01T00:00:00"/>
    <d v="2016-03-31T00:00:00"/>
    <d v="2016-12-31T00:00:00"/>
    <s v="C0"/>
    <m/>
    <m/>
    <n v="17065"/>
    <x v="179"/>
    <x v="5"/>
  </r>
  <r>
    <s v="SFMyCP"/>
    <x v="1"/>
    <x v="0"/>
    <x v="5"/>
    <x v="30"/>
    <x v="2"/>
    <m/>
    <s v="Asistente"/>
    <m/>
    <s v="CCK"/>
    <m/>
    <x v="492"/>
    <s v="DNI"/>
    <n v="29192074"/>
    <n v="20291920749"/>
    <m/>
    <m/>
    <m/>
    <m/>
    <m/>
    <s v="LEY MARCO"/>
    <x v="1"/>
    <d v="2010-06-01T00:00:00"/>
    <d v="2016-12-31T00:00:00"/>
    <d v="2016-12-31T00:00:00"/>
    <s v="C1"/>
    <m/>
    <m/>
    <n v="11730"/>
    <x v="51"/>
    <x v="5"/>
  </r>
  <r>
    <s v="SFMyCP"/>
    <x v="0"/>
    <x v="0"/>
    <x v="0"/>
    <x v="8"/>
    <x v="6"/>
    <m/>
    <s v="PANORAMA ARGENTINO"/>
    <s v="PRODUCTOR de EXTERIORES"/>
    <s v="CABILDO 65"/>
    <s v="CABILDO 65"/>
    <x v="493"/>
    <s v="DNI"/>
    <n v="28080101"/>
    <s v="20280801012"/>
    <d v="1980-04-14T00:00:00"/>
    <m/>
    <m/>
    <m/>
    <m/>
    <s v="ASISTENCIA TÉCNICA"/>
    <x v="0"/>
    <d v="2015-04-15T00:00:00"/>
    <m/>
    <d v="2016-12-31T00:00:00"/>
    <m/>
    <s v="UNTREF"/>
    <s v="UNSAM- LADA"/>
    <n v="18795"/>
    <x v="37"/>
    <x v="5"/>
  </r>
  <r>
    <s v="SFMyCP"/>
    <x v="0"/>
    <x v="1"/>
    <x v="1"/>
    <x v="16"/>
    <x v="2"/>
    <m/>
    <m/>
    <m/>
    <s v="CCK"/>
    <m/>
    <x v="494"/>
    <s v="DNI"/>
    <n v="16765329"/>
    <n v="24167653290"/>
    <m/>
    <m/>
    <m/>
    <m/>
    <m/>
    <s v="LEY MARCO"/>
    <x v="1"/>
    <d v="2010-06-01T00:00:00"/>
    <d v="2016-12-31T00:00:00"/>
    <d v="2016-12-31T00:00:00"/>
    <s v="C0"/>
    <m/>
    <m/>
    <n v="12000"/>
    <x v="7"/>
    <x v="5"/>
  </r>
  <r>
    <s v="SFMyCP"/>
    <x v="0"/>
    <x v="1"/>
    <x v="3"/>
    <x v="20"/>
    <x v="2"/>
    <m/>
    <m/>
    <s v="CONTROL DE ACCESOS/DIGITALIZACION VEHICULAR"/>
    <s v="TECNÓPOLIS"/>
    <s v="TECNOPOLIS"/>
    <x v="495"/>
    <s v="DNI"/>
    <n v="17802888"/>
    <s v="27178028885"/>
    <d v="1965-10-25T00:00:00"/>
    <m/>
    <m/>
    <m/>
    <m/>
    <s v="ASISTENCIA TÉCNICA"/>
    <x v="0"/>
    <d v="2013-07-01T00:00:00"/>
    <m/>
    <d v="2016-12-31T00:00:00"/>
    <m/>
    <s v="UNTREF"/>
    <s v="UNTREF"/>
    <n v="11289.69"/>
    <x v="180"/>
    <x v="5"/>
  </r>
  <r>
    <s v="SFMyCP"/>
    <x v="0"/>
    <x v="1"/>
    <x v="1"/>
    <x v="27"/>
    <x v="2"/>
    <m/>
    <m/>
    <s v="OPERACIÓN/MONTAJE/MANTENIMIENTO"/>
    <m/>
    <s v="TECNOPOLIS"/>
    <x v="496"/>
    <s v="DNI"/>
    <n v="14596714"/>
    <n v="20145967148"/>
    <d v="1961-07-03T00:00:00"/>
    <m/>
    <m/>
    <m/>
    <m/>
    <s v="ASISTENCIA TÉCNICA"/>
    <x v="0"/>
    <d v="2016-05-01T00:00:00"/>
    <m/>
    <d v="2016-12-31T00:00:00"/>
    <m/>
    <s v="UNTREF"/>
    <m/>
    <n v="15000"/>
    <x v="110"/>
    <x v="3"/>
  </r>
  <r>
    <s v="SFMyCP"/>
    <x v="0"/>
    <x v="1"/>
    <x v="1"/>
    <x v="5"/>
    <x v="23"/>
    <m/>
    <m/>
    <m/>
    <m/>
    <m/>
    <x v="497"/>
    <s v="DNI"/>
    <n v="33194188"/>
    <m/>
    <m/>
    <m/>
    <m/>
    <m/>
    <m/>
    <m/>
    <x v="1"/>
    <m/>
    <m/>
    <d v="2016-12-31T00:00:00"/>
    <s v="C1"/>
    <m/>
    <m/>
    <m/>
    <x v="18"/>
    <x v="3"/>
  </r>
  <r>
    <s v="SFMyCP"/>
    <x v="0"/>
    <x v="1"/>
    <x v="1"/>
    <x v="16"/>
    <x v="11"/>
    <m/>
    <m/>
    <s v="VISITAS GUIADAS"/>
    <m/>
    <s v="CCK - Alem 351"/>
    <x v="498"/>
    <s v="DNI"/>
    <n v="39624844"/>
    <n v="20396248442"/>
    <d v="1996-03-31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10"/>
    <x v="2"/>
    <x v="2"/>
    <m/>
    <s v="PRIVADA"/>
    <m/>
    <s v="CCK"/>
    <m/>
    <x v="499"/>
    <s v="DNI"/>
    <n v="38357064"/>
    <n v="20383570647"/>
    <m/>
    <m/>
    <m/>
    <m/>
    <m/>
    <s v="ASISTENCIA TÉCNICA"/>
    <x v="0"/>
    <m/>
    <m/>
    <m/>
    <m/>
    <m/>
    <m/>
    <m/>
    <x v="18"/>
    <x v="3"/>
  </r>
  <r>
    <s v="SFMyCP"/>
    <x v="0"/>
    <x v="0"/>
    <x v="0"/>
    <x v="8"/>
    <x v="6"/>
    <m/>
    <s v="PANORAMA ARGENTINO"/>
    <s v="ADMINISTRATIVO"/>
    <s v="CABILDO 65"/>
    <s v="CABILDO 65"/>
    <x v="500"/>
    <s v="DNI"/>
    <n v="22478193"/>
    <s v="20224781939"/>
    <d v="1970-04-30T00:00:00"/>
    <m/>
    <m/>
    <m/>
    <m/>
    <s v="ASISTENCIA TÉCNICA"/>
    <x v="0"/>
    <d v="2011-06-01T00:00:00"/>
    <m/>
    <d v="2016-12-31T00:00:00"/>
    <m/>
    <s v="UNTREF"/>
    <s v="UNSAM- LADA"/>
    <n v="16465"/>
    <x v="17"/>
    <x v="5"/>
  </r>
  <r>
    <s v="SFMyCP"/>
    <x v="0"/>
    <x v="0"/>
    <x v="0"/>
    <x v="8"/>
    <x v="6"/>
    <m/>
    <s v="PANORAMA ARGENTINO"/>
    <m/>
    <s v="CABILDO 65"/>
    <m/>
    <x v="501"/>
    <s v="DNI"/>
    <n v="32890956"/>
    <n v="27328909567"/>
    <m/>
    <m/>
    <m/>
    <m/>
    <m/>
    <s v="LEY MARCO"/>
    <x v="1"/>
    <d v="2011-05-01T00:00:00"/>
    <d v="2016-12-31T00:00:00"/>
    <d v="2016-12-31T00:00:00"/>
    <s v="C1"/>
    <m/>
    <m/>
    <n v="12000"/>
    <x v="7"/>
    <x v="5"/>
  </r>
  <r>
    <s v="SFMyCP"/>
    <x v="1"/>
    <x v="0"/>
    <x v="2"/>
    <x v="2"/>
    <x v="2"/>
    <m/>
    <s v="PRIVADA"/>
    <s v="ADMINISTRATIVO"/>
    <m/>
    <s v="CCK - Alem 351"/>
    <x v="502"/>
    <s v="DNI"/>
    <n v="21850394"/>
    <n v="27218503948"/>
    <d v="1970-10-17T00:00:00"/>
    <m/>
    <m/>
    <m/>
    <m/>
    <s v="ASISTENCIA TÉCNICA"/>
    <x v="0"/>
    <m/>
    <m/>
    <d v="2016-12-31T00:00:00"/>
    <m/>
    <s v="UNTREF"/>
    <m/>
    <m/>
    <x v="18"/>
    <x v="3"/>
  </r>
  <r>
    <s v="SFMyCP"/>
    <x v="1"/>
    <x v="0"/>
    <x v="5"/>
    <x v="18"/>
    <x v="2"/>
    <m/>
    <s v=""/>
    <s v="Asistencia Juridica"/>
    <m/>
    <s v="CCK - Alem 351"/>
    <x v="503"/>
    <s v="DNI"/>
    <n v="33839983"/>
    <s v="27338399834"/>
    <d v="1989-03-16T00:00:00"/>
    <m/>
    <m/>
    <m/>
    <m/>
    <s v="ASISTENCIA TÉCNICA"/>
    <x v="0"/>
    <d v="2015-09-01T00:00:00"/>
    <m/>
    <d v="2016-12-31T00:00:00"/>
    <m/>
    <s v="UNTREF"/>
    <s v="UNLAM -TDA"/>
    <n v="12063"/>
    <x v="30"/>
    <x v="7"/>
  </r>
  <r>
    <s v="SFMyCP"/>
    <x v="0"/>
    <x v="1"/>
    <x v="1"/>
    <x v="16"/>
    <x v="11"/>
    <m/>
    <m/>
    <s v="VISITAS GUIADAS"/>
    <m/>
    <s v="CCK - Alem 351"/>
    <x v="504"/>
    <s v="DNI"/>
    <n v="40734118"/>
    <n v="27407341185"/>
    <d v="1997-11-13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16"/>
    <x v="11"/>
    <m/>
    <m/>
    <s v="VISITAS GUIADAS"/>
    <m/>
    <s v="CCK - Alem 351"/>
    <x v="505"/>
    <s v="DNI"/>
    <n v="39214117"/>
    <n v="20392141171"/>
    <d v="1995-09-1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1"/>
    <x v="2"/>
    <m/>
    <m/>
    <m/>
    <s v="CCK"/>
    <m/>
    <x v="506"/>
    <s v="DNI"/>
    <n v="27860764"/>
    <n v="20278607640"/>
    <m/>
    <m/>
    <m/>
    <m/>
    <m/>
    <s v="LEY MARCO"/>
    <x v="1"/>
    <d v="2011-11-01T00:00:00"/>
    <d v="2016-12-31T00:00:00"/>
    <d v="2016-12-31T00:00:00"/>
    <s v="B0"/>
    <m/>
    <m/>
    <n v="17107"/>
    <x v="104"/>
    <x v="5"/>
  </r>
  <r>
    <s v="SFMyCP"/>
    <x v="0"/>
    <x v="0"/>
    <x v="0"/>
    <x v="8"/>
    <x v="6"/>
    <s v="CCK"/>
    <s v="ADMINISTRACIÓN"/>
    <s v="ADMINISTRATIVO"/>
    <s v="CABILDO 65"/>
    <s v="CCK - Alem 351"/>
    <x v="507"/>
    <s v="DNI"/>
    <n v="26365492"/>
    <s v="20263654928"/>
    <d v="1978-02-26T00:00:00"/>
    <m/>
    <m/>
    <m/>
    <m/>
    <s v="ASISTENCIA TÉCNICA"/>
    <x v="0"/>
    <d v="2015-09-01T00:00:00"/>
    <m/>
    <d v="2016-12-31T00:00:00"/>
    <m/>
    <s v="UNTREF"/>
    <s v="UNSAM- LADA"/>
    <n v="10188"/>
    <x v="5"/>
    <x v="10"/>
  </r>
  <r>
    <s v="SFMyCP"/>
    <x v="1"/>
    <x v="0"/>
    <x v="2"/>
    <x v="2"/>
    <x v="2"/>
    <m/>
    <s v="PRIVADA"/>
    <s v="ADMINISTRATIVO"/>
    <m/>
    <s v="CCK - Alem 351"/>
    <x v="508"/>
    <s v="DNI"/>
    <n v="18393076"/>
    <s v="20183930762"/>
    <d v="1967-11-16T00:00:00"/>
    <m/>
    <m/>
    <m/>
    <m/>
    <s v="ASISTENCIA TÉCNICA"/>
    <x v="0"/>
    <d v="2016-01-01T00:00:00"/>
    <m/>
    <d v="2016-12-31T00:00:00"/>
    <m/>
    <s v="UNTREF"/>
    <s v="UNSAM"/>
    <n v="19000"/>
    <x v="135"/>
    <x v="35"/>
  </r>
  <r>
    <s v="SFMyCP"/>
    <x v="0"/>
    <x v="1"/>
    <x v="1"/>
    <x v="16"/>
    <x v="2"/>
    <m/>
    <m/>
    <s v="asistente funcional"/>
    <s v="CCK"/>
    <s v="CCK - Alem 351"/>
    <x v="509"/>
    <s v="DNI"/>
    <n v="25248374"/>
    <n v="27252483743"/>
    <d v="1976-07-03T00:00:00"/>
    <m/>
    <m/>
    <m/>
    <m/>
    <s v="ASISTENCIA TÉCNICA"/>
    <x v="0"/>
    <d v="2016-01-01T00:00:00"/>
    <m/>
    <d v="2016-12-31T00:00:00"/>
    <m/>
    <s v="UNTREF"/>
    <s v="UNSAM"/>
    <n v="19000"/>
    <x v="135"/>
    <x v="36"/>
  </r>
  <r>
    <s v="SFMyCP"/>
    <x v="1"/>
    <x v="0"/>
    <x v="5"/>
    <x v="17"/>
    <x v="12"/>
    <s v="AUTOMOTORES"/>
    <s v="CHOFER"/>
    <m/>
    <s v="CCK"/>
    <m/>
    <x v="510"/>
    <s v="DNI"/>
    <n v="25974116"/>
    <n v="20259741166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0"/>
    <x v="0"/>
    <x v="8"/>
    <x v="6"/>
    <m/>
    <s v="ACUA MAYOR"/>
    <s v="ADMINISTRATIVO"/>
    <s v="CABILDO 65"/>
    <s v="CABILDO 65"/>
    <x v="511"/>
    <s v="DNI"/>
    <n v="23510339"/>
    <s v="20235103398"/>
    <d v="1973-08-15T00:00:00"/>
    <m/>
    <m/>
    <m/>
    <m/>
    <s v="ASISTENCIA TÉCNICA"/>
    <x v="0"/>
    <d v="2010-11-01T00:00:00"/>
    <m/>
    <d v="2016-12-31T00:00:00"/>
    <m/>
    <s v="UNTREF"/>
    <s v="UNSAM- LADA"/>
    <n v="28909"/>
    <x v="181"/>
    <x v="5"/>
  </r>
  <r>
    <s v="SFMyCP"/>
    <x v="0"/>
    <x v="0"/>
    <x v="8"/>
    <x v="1"/>
    <x v="2"/>
    <m/>
    <m/>
    <s v="ADMINISTRATIVO"/>
    <m/>
    <s v="CCK - Alem 351"/>
    <x v="512"/>
    <s v="DNI"/>
    <n v="27680627"/>
    <n v="27276806276"/>
    <d v="1979-09-1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6"/>
    <m/>
    <s v="CONTENIDOS DIGITALES ABIERTOS CDA"/>
    <s v="ADMINISTRATIVO"/>
    <s v="CABILDO 65"/>
    <s v="CABILDO 65"/>
    <x v="513"/>
    <s v="DNI"/>
    <n v="24261523"/>
    <s v="27242615234"/>
    <d v="1974-12-29T00:00:00"/>
    <m/>
    <m/>
    <m/>
    <m/>
    <s v="ASISTENCIA TÉCNICA"/>
    <x v="0"/>
    <d v="2015-04-01T00:00:00"/>
    <m/>
    <d v="2016-12-31T00:00:00"/>
    <m/>
    <s v="UNTREF"/>
    <s v="UNSAM- LADA"/>
    <n v="19353"/>
    <x v="36"/>
    <x v="5"/>
  </r>
  <r>
    <s v="SFMyCP"/>
    <x v="1"/>
    <x v="0"/>
    <x v="5"/>
    <x v="17"/>
    <x v="12"/>
    <s v="AUTOMOTORES"/>
    <s v="CHOFER"/>
    <m/>
    <s v="CCK"/>
    <m/>
    <x v="514"/>
    <s v="DNI"/>
    <n v="17380002"/>
    <n v="23173800029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1"/>
    <x v="3"/>
    <x v="10"/>
    <x v="2"/>
    <m/>
    <m/>
    <m/>
    <s v="TECNÓPOLIS"/>
    <m/>
    <x v="515"/>
    <s v="DNI"/>
    <n v="21671582"/>
    <n v="23216715829"/>
    <m/>
    <m/>
    <m/>
    <m/>
    <m/>
    <s v="LEY MARCO"/>
    <x v="1"/>
    <d v="2011-07-01T00:00:00"/>
    <d v="2016-12-31T00:00:00"/>
    <d v="2016-12-31T00:00:00"/>
    <s v="C0"/>
    <m/>
    <m/>
    <n v="29206.37"/>
    <x v="182"/>
    <x v="5"/>
  </r>
  <r>
    <s v="SFMyCP"/>
    <x v="0"/>
    <x v="1"/>
    <x v="1"/>
    <x v="1"/>
    <x v="1"/>
    <m/>
    <m/>
    <s v="ADMINISTRATIVO"/>
    <m/>
    <s v="CCK - Alem 351"/>
    <x v="516"/>
    <s v="DNI"/>
    <n v="29591878"/>
    <n v="20295918781"/>
    <d v="1982-06-24T00:00:00"/>
    <m/>
    <m/>
    <m/>
    <m/>
    <s v="ASISTENCIA TÉCNICA"/>
    <x v="0"/>
    <d v="2016-06-01T00:00:00"/>
    <m/>
    <d v="2016-12-31T00:00:00"/>
    <m/>
    <s v="UNTREF"/>
    <m/>
    <n v="20000"/>
    <x v="113"/>
    <x v="3"/>
  </r>
  <r>
    <s v="SFMyCP"/>
    <x v="0"/>
    <x v="1"/>
    <x v="1"/>
    <x v="5"/>
    <x v="13"/>
    <m/>
    <m/>
    <s v="Auxiliar de Mantenimiento"/>
    <m/>
    <s v="CCK - Alem 351"/>
    <x v="517"/>
    <s v="DNI"/>
    <n v="37878033"/>
    <n v="20378780331"/>
    <d v="1993-07-12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0"/>
    <x v="4"/>
    <x v="2"/>
    <x v="2"/>
    <m/>
    <s v="PRIVADA"/>
    <s v="ADMINISTRATIVO"/>
    <m/>
    <s v="CCK - Alem 351"/>
    <x v="518"/>
    <s v="DNI"/>
    <n v="29353203"/>
    <n v="27293532031"/>
    <d v="1982-02-06T00:00:00"/>
    <m/>
    <m/>
    <m/>
    <m/>
    <s v="ASISTENCIA TÉCNICA"/>
    <x v="0"/>
    <d v="2016-01-01T00:00:00"/>
    <m/>
    <d v="2016-12-31T00:00:00"/>
    <m/>
    <s v="UNTREF"/>
    <s v="UNSAM"/>
    <n v="19000"/>
    <x v="135"/>
    <x v="35"/>
  </r>
  <r>
    <s v="SFMyCP"/>
    <x v="0"/>
    <x v="0"/>
    <x v="0"/>
    <x v="8"/>
    <x v="6"/>
    <s v="CCK"/>
    <s v="PROGRAMA POLOS AUDIOVISUALES TECNOLÓGICOS"/>
    <m/>
    <s v="CABILDO 65"/>
    <m/>
    <x v="519"/>
    <s v="DNI"/>
    <n v="30060661"/>
    <n v="27300606615"/>
    <m/>
    <m/>
    <m/>
    <m/>
    <m/>
    <s v="LEY MARCO"/>
    <x v="1"/>
    <d v="2011-03-01T00:00:00"/>
    <d v="2016-12-31T00:00:00"/>
    <d v="2016-12-31T00:00:00"/>
    <s v="C1"/>
    <m/>
    <m/>
    <n v="12547"/>
    <x v="9"/>
    <x v="5"/>
  </r>
  <r>
    <s v="SFMyCP"/>
    <x v="1"/>
    <x v="0"/>
    <x v="5"/>
    <x v="7"/>
    <x v="2"/>
    <s v="REFERENTE"/>
    <m/>
    <m/>
    <s v="CCK"/>
    <m/>
    <x v="520"/>
    <s v="DNI"/>
    <n v="34253941"/>
    <n v="20342539417"/>
    <m/>
    <m/>
    <m/>
    <m/>
    <m/>
    <s v="LEY MARCO"/>
    <x v="1"/>
    <d v="2012-12-01T00:00:00"/>
    <d v="2016-12-31T00:00:00"/>
    <d v="2016-12-31T00:00:00"/>
    <s v="A1"/>
    <m/>
    <m/>
    <n v="26237"/>
    <x v="183"/>
    <x v="5"/>
  </r>
  <r>
    <s v="SFMyCP"/>
    <x v="1"/>
    <x v="0"/>
    <x v="5"/>
    <x v="7"/>
    <x v="2"/>
    <m/>
    <m/>
    <s v="ADMINISTRATIVO"/>
    <m/>
    <s v="CCK - Alem 351"/>
    <x v="521"/>
    <s v="DNI"/>
    <n v="35569382"/>
    <n v="20355693822"/>
    <d v="1990-12-19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0"/>
    <x v="8"/>
    <x v="1"/>
    <x v="2"/>
    <m/>
    <m/>
    <s v="ADMINISTRATIVO"/>
    <s v="CCK"/>
    <s v="CCK - Alem 351"/>
    <x v="522"/>
    <s v="DNI"/>
    <n v="32949122"/>
    <s v="24329491222"/>
    <d v="1987-02-05T00:00:00"/>
    <m/>
    <m/>
    <m/>
    <m/>
    <s v="ASISTENCIA TÉCNICA"/>
    <x v="0"/>
    <d v="2014-06-01T00:00:00"/>
    <m/>
    <d v="2016-12-31T00:00:00"/>
    <m/>
    <s v="UNTREF"/>
    <s v="UNTREF"/>
    <n v="13593.330000000002"/>
    <x v="184"/>
    <x v="5"/>
  </r>
  <r>
    <s v="SFMyCP"/>
    <x v="0"/>
    <x v="0"/>
    <x v="0"/>
    <x v="8"/>
    <x v="6"/>
    <m/>
    <s v="BACUA"/>
    <s v="ADMINISTRATIVO"/>
    <s v="CABILDO 65"/>
    <s v="CABILDO 65"/>
    <x v="523"/>
    <s v="DNI"/>
    <n v="32603492"/>
    <s v="20326034925"/>
    <d v="1986-09-19T00:00:00"/>
    <m/>
    <m/>
    <m/>
    <m/>
    <s v="ASISTENCIA TÉCNICA"/>
    <x v="0"/>
    <d v="2013-02-01T00:00:00"/>
    <m/>
    <d v="2016-12-31T00:00:00"/>
    <m/>
    <s v="UNTREF"/>
    <s v="UNSAM- LADA"/>
    <n v="16465"/>
    <x v="17"/>
    <x v="5"/>
  </r>
  <r>
    <s v="SFMyCP"/>
    <x v="0"/>
    <x v="1"/>
    <x v="3"/>
    <x v="23"/>
    <x v="2"/>
    <m/>
    <m/>
    <m/>
    <s v="TECNÓPOLIS"/>
    <m/>
    <x v="524"/>
    <s v="DNI"/>
    <n v="24646302"/>
    <n v="20246463027"/>
    <m/>
    <m/>
    <m/>
    <m/>
    <m/>
    <s v="LEY MARCO"/>
    <x v="1"/>
    <d v="2012-04-01T00:00:00"/>
    <d v="2016-12-31T00:00:00"/>
    <d v="2016-12-31T00:00:00"/>
    <s v="C0"/>
    <m/>
    <m/>
    <n v="16242.17"/>
    <x v="185"/>
    <x v="5"/>
  </r>
  <r>
    <s v="SFMyCP"/>
    <x v="0"/>
    <x v="0"/>
    <x v="4"/>
    <x v="2"/>
    <x v="2"/>
    <m/>
    <s v="PRIVADA"/>
    <s v="ADMINISTRATIVO"/>
    <m/>
    <s v="CCK - Alem 351"/>
    <x v="525"/>
    <s v="DNI"/>
    <n v="34653242"/>
    <n v="23346532424"/>
    <d v="1986-10-22T00:00:00"/>
    <m/>
    <m/>
    <m/>
    <m/>
    <m/>
    <x v="0"/>
    <m/>
    <m/>
    <d v="2016-12-31T00:00:00"/>
    <m/>
    <s v="UNTREF"/>
    <m/>
    <m/>
    <x v="18"/>
    <x v="3"/>
  </r>
  <r>
    <s v="SFMyCP"/>
    <x v="0"/>
    <x v="0"/>
    <x v="4"/>
    <x v="2"/>
    <x v="2"/>
    <m/>
    <s v="PRIVADA"/>
    <s v="ADMINISTRATIVO"/>
    <m/>
    <s v="CCK - Alem 351"/>
    <x v="526"/>
    <s v="DNI"/>
    <n v="32677592"/>
    <n v="23326775924"/>
    <d v="1986-10-2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m/>
    <s v="PANORAMA ARGENTINO"/>
    <s v="ADMINISTRATIVO"/>
    <s v="CABILDO 65"/>
    <s v="CABILDO 65"/>
    <x v="527"/>
    <s v="DNI"/>
    <n v="26338210"/>
    <s v="20263382103"/>
    <d v="1977-11-25T00:00:00"/>
    <m/>
    <m/>
    <m/>
    <m/>
    <s v="ASISTENCIA TÉCNICA"/>
    <x v="0"/>
    <d v="2013-03-01T00:00:00"/>
    <m/>
    <d v="2016-12-31T00:00:00"/>
    <m/>
    <s v="UNTREF"/>
    <s v="UNSAM- LADA"/>
    <n v="16465"/>
    <x v="17"/>
    <x v="5"/>
  </r>
  <r>
    <s v="SFMyCP"/>
    <x v="1"/>
    <x v="0"/>
    <x v="5"/>
    <x v="7"/>
    <x v="2"/>
    <m/>
    <m/>
    <s v="ADMINISTRATIVO"/>
    <m/>
    <s v="CCK - Alem 351"/>
    <x v="528"/>
    <s v="DNI"/>
    <n v="35634548"/>
    <n v="20356345488"/>
    <d v="1990-08-3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5"/>
    <x v="17"/>
    <x v="15"/>
    <m/>
    <s v="Enfermera/o"/>
    <m/>
    <s v="CCK"/>
    <m/>
    <x v="529"/>
    <s v="DNI"/>
    <n v="27948229"/>
    <n v="27279482293"/>
    <m/>
    <m/>
    <m/>
    <m/>
    <m/>
    <s v="LEY MARCO"/>
    <x v="1"/>
    <d v="2015-06-01T00:00:00"/>
    <d v="2016-03-31T00:00:00"/>
    <d v="2016-12-31T00:00:00"/>
    <s v="B0"/>
    <s v="U. LA MATANZA"/>
    <s v="LEY MARCO "/>
    <n v="19096"/>
    <x v="81"/>
    <x v="5"/>
  </r>
  <r>
    <s v="SFMyCP"/>
    <x v="0"/>
    <x v="0"/>
    <x v="0"/>
    <x v="2"/>
    <x v="2"/>
    <m/>
    <m/>
    <s v="ADMINISTRATIVO"/>
    <m/>
    <s v="CCK - Alem 351"/>
    <x v="530"/>
    <s v="DNI"/>
    <n v="92485428"/>
    <n v="20924854287"/>
    <d v="1976-09-29T00:00:00"/>
    <m/>
    <m/>
    <m/>
    <m/>
    <s v="ASISTENCIA TÉCNICA"/>
    <x v="0"/>
    <m/>
    <m/>
    <d v="2016-12-31T00:00:00"/>
    <m/>
    <s v="UNTREF"/>
    <m/>
    <n v="32363"/>
    <x v="186"/>
    <x v="3"/>
  </r>
  <r>
    <s v="SFMyCP"/>
    <x v="0"/>
    <x v="0"/>
    <x v="4"/>
    <x v="11"/>
    <x v="7"/>
    <m/>
    <s v="PRIVADA"/>
    <s v="ADMINISTRATIVO"/>
    <m/>
    <s v="NO ENTREGAR"/>
    <x v="531"/>
    <s v="DNI"/>
    <n v="29998060"/>
    <n v="20299980605"/>
    <d v="1983-02-17T00:00:00"/>
    <m/>
    <m/>
    <m/>
    <m/>
    <s v="ASISTENCIA TÉCNICA"/>
    <x v="0"/>
    <d v="2016-03-15T00:00:00"/>
    <m/>
    <d v="2016-08-31T00:00:00"/>
    <m/>
    <s v="UNTREF"/>
    <m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532"/>
    <s v="DNI"/>
    <n v="34482878"/>
    <s v="23344828784"/>
    <d v="1989-04-17T00:00:00"/>
    <m/>
    <m/>
    <m/>
    <m/>
    <s v="ASISTENCIA TÉCNICA"/>
    <x v="0"/>
    <d v="2015-06-01T00:00:00"/>
    <m/>
    <d v="2016-12-31T00:00:00"/>
    <m/>
    <s v="UNTREF"/>
    <s v="UNSAM- LADA"/>
    <n v="17564"/>
    <x v="187"/>
    <x v="5"/>
  </r>
  <r>
    <s v="SFMyCP"/>
    <x v="0"/>
    <x v="0"/>
    <x v="0"/>
    <x v="8"/>
    <x v="6"/>
    <m/>
    <s v="POSTPRODUCCIÓN"/>
    <s v="EDICION"/>
    <s v="CABILDO 65"/>
    <s v="CABILDO 65"/>
    <x v="533"/>
    <s v="DNI"/>
    <n v="31772426"/>
    <s v="20317724269"/>
    <d v="1985-02-25T00:00:00"/>
    <m/>
    <m/>
    <m/>
    <m/>
    <s v="ASISTENCIA TÉCNICA"/>
    <x v="0"/>
    <d v="2013-12-12T00:00:00"/>
    <m/>
    <d v="2016-12-31T00:00:00"/>
    <m/>
    <s v="UNTREF"/>
    <s v="UNSAM- LADA"/>
    <n v="24060"/>
    <x v="73"/>
    <x v="5"/>
  </r>
  <r>
    <s v="SFMyCP"/>
    <x v="0"/>
    <x v="0"/>
    <x v="0"/>
    <x v="8"/>
    <x v="6"/>
    <m/>
    <s v="PRODUCCIÓN"/>
    <s v="PRODUCTOR de EXTERIORES"/>
    <s v="CABILDO 65"/>
    <s v="CABILDO 65"/>
    <x v="534"/>
    <s v="DNI"/>
    <n v="35269809"/>
    <s v="27352698097"/>
    <d v="1990-07-21T00:00:00"/>
    <m/>
    <m/>
    <m/>
    <m/>
    <s v="ASISTENCIA TÉCNICA"/>
    <x v="0"/>
    <d v="2015-05-04T00:00:00"/>
    <m/>
    <d v="2016-12-31T00:00:00"/>
    <m/>
    <s v="UNTREF"/>
    <s v="UNSAM- LADA"/>
    <n v="18795"/>
    <x v="37"/>
    <x v="5"/>
  </r>
  <r>
    <s v="SFMyCP"/>
    <x v="0"/>
    <x v="1"/>
    <x v="3"/>
    <x v="2"/>
    <x v="2"/>
    <m/>
    <s v="PRIVADA"/>
    <s v="ADMINISTRATIVO"/>
    <m/>
    <s v="TECNOPOLIS"/>
    <x v="535"/>
    <s v="DNI"/>
    <n v="14957725"/>
    <n v="20149577255"/>
    <d v="1962-08-06T00:00:00"/>
    <m/>
    <m/>
    <m/>
    <m/>
    <s v="ASISTENCIA TÉCNICA"/>
    <x v="0"/>
    <d v="2016-03-01T00:00:00"/>
    <m/>
    <d v="2016-12-31T00:00:00"/>
    <m/>
    <s v="UNTREF"/>
    <m/>
    <n v="35000"/>
    <x v="76"/>
    <x v="19"/>
  </r>
  <r>
    <s v="SFMyCP"/>
    <x v="0"/>
    <x v="1"/>
    <x v="7"/>
    <x v="2"/>
    <x v="2"/>
    <m/>
    <s v="PRIVADA"/>
    <s v="ADMINISTRATIVO"/>
    <m/>
    <s v="CCK - Alem 351"/>
    <x v="536"/>
    <s v="DNI"/>
    <n v="24524414"/>
    <s v="27245244148"/>
    <d v="1975-08-09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0"/>
    <x v="0"/>
    <m/>
    <s v="DESARROLLOS"/>
    <s v="ANALISTA"/>
    <s v="PALPALÁ-JUJUY"/>
    <s v="PALPALÁ-JUJUY"/>
    <x v="537"/>
    <s v="DNI"/>
    <n v="35931200"/>
    <n v="20359312009"/>
    <d v="1991-07-16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0"/>
    <x v="0"/>
    <x v="0"/>
    <x v="0"/>
    <m/>
    <s v="DISEÑO"/>
    <s v="ANALISTA"/>
    <s v="PALPALÁ-JUJUY"/>
    <s v="PALPALÁ-JUJUY"/>
    <x v="538"/>
    <s v="DNI"/>
    <n v="29419234"/>
    <n v="20294192345"/>
    <d v="1982-07-07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1"/>
    <x v="1"/>
    <x v="5"/>
    <x v="14"/>
    <s v="LIMPIEZA (En comisión Tecnópolis)"/>
    <s v="Auxiliar"/>
    <s v="Auxiliar"/>
    <s v="CCK"/>
    <s v="CCK - Alem 351"/>
    <x v="539"/>
    <s v="DNI"/>
    <n v="39000432"/>
    <s v="27390004325"/>
    <d v="1986-04-26T00:00:00"/>
    <m/>
    <m/>
    <m/>
    <m/>
    <s v="ASISTENCIA TÉCNICA"/>
    <x v="0"/>
    <d v="2015-06-10T00:00:00"/>
    <m/>
    <d v="2016-12-31T00:00:00"/>
    <m/>
    <s v="UNTREF"/>
    <s v="UNTREF"/>
    <n v="10495"/>
    <x v="5"/>
    <x v="4"/>
  </r>
  <r>
    <s v="SFMyCP"/>
    <x v="0"/>
    <x v="0"/>
    <x v="0"/>
    <x v="8"/>
    <x v="6"/>
    <m/>
    <s v="POSTPRODUCCIÓN"/>
    <s v="EDICION"/>
    <s v="CABILDO 65"/>
    <s v="CABILDO 65"/>
    <x v="540"/>
    <s v="DNI"/>
    <n v="92778623"/>
    <s v="20927786231"/>
    <d v="1982-11-22T00:00:00"/>
    <m/>
    <m/>
    <m/>
    <m/>
    <s v="ASISTENCIA TÉCNICA"/>
    <x v="0"/>
    <d v="2013-04-20T00:00:00"/>
    <m/>
    <d v="2016-12-31T00:00:00"/>
    <m/>
    <s v="UNTREF"/>
    <m/>
    <n v="24060"/>
    <x v="73"/>
    <x v="3"/>
  </r>
  <r>
    <s v="SFMyCP"/>
    <x v="0"/>
    <x v="1"/>
    <x v="3"/>
    <x v="6"/>
    <x v="2"/>
    <m/>
    <m/>
    <m/>
    <s v="TECNÓPOLIS"/>
    <m/>
    <x v="541"/>
    <s v="DNI"/>
    <n v="39761602"/>
    <n v="23397616029"/>
    <m/>
    <m/>
    <m/>
    <m/>
    <m/>
    <s v="LEY MARCO"/>
    <x v="1"/>
    <d v="2011-07-01T00:00:00"/>
    <d v="2016-12-31T00:00:00"/>
    <d v="2016-12-31T00:00:00"/>
    <s v="D0"/>
    <m/>
    <m/>
    <n v="13786"/>
    <x v="188"/>
    <x v="5"/>
  </r>
  <r>
    <s v="SFMyCP"/>
    <x v="0"/>
    <x v="1"/>
    <x v="3"/>
    <x v="24"/>
    <x v="2"/>
    <m/>
    <s v="Tareas Generales"/>
    <s v="CARPINTERO"/>
    <s v="TECNÓPOLIS"/>
    <m/>
    <x v="542"/>
    <s v="DNI"/>
    <n v="36175840"/>
    <n v="20361758405"/>
    <m/>
    <m/>
    <m/>
    <m/>
    <m/>
    <s v="ASISTENCIA TÉCNICA"/>
    <x v="2"/>
    <m/>
    <m/>
    <d v="2016-12-31T00:00:00"/>
    <m/>
    <s v="UNTREF"/>
    <s v="UNTREF"/>
    <n v="4700"/>
    <x v="142"/>
    <x v="5"/>
  </r>
  <r>
    <s v="SFMyCP"/>
    <x v="0"/>
    <x v="1"/>
    <x v="3"/>
    <x v="24"/>
    <x v="2"/>
    <m/>
    <s v="Tareas Generales"/>
    <s v="Tareas Generales"/>
    <s v="TECNÓPOLIS"/>
    <m/>
    <x v="543"/>
    <s v="DNI"/>
    <n v="23033997"/>
    <m/>
    <m/>
    <m/>
    <m/>
    <m/>
    <m/>
    <s v="ASISTENCIA TÉCNICA"/>
    <x v="2"/>
    <m/>
    <m/>
    <d v="2016-12-31T00:00:00"/>
    <m/>
    <s v="UNTREF"/>
    <s v="UNTREF"/>
    <n v="4700"/>
    <x v="142"/>
    <x v="5"/>
  </r>
  <r>
    <s v="SFMyCP"/>
    <x v="0"/>
    <x v="1"/>
    <x v="1"/>
    <x v="2"/>
    <x v="2"/>
    <m/>
    <m/>
    <s v="asistente funcional"/>
    <s v="CCK"/>
    <s v="CCK - Alem 351"/>
    <x v="544"/>
    <s v="DNI"/>
    <n v="23447824"/>
    <s v="27234478244"/>
    <d v="1973-07-25T00:00:00"/>
    <m/>
    <m/>
    <m/>
    <m/>
    <s v="ASISTENCIA TÉCNICA"/>
    <x v="0"/>
    <d v="2013-09-02T00:00:00"/>
    <m/>
    <d v="2016-12-31T00:00:00"/>
    <m/>
    <s v="UNTREF"/>
    <s v="UNLAM -TDA"/>
    <n v="16292"/>
    <x v="189"/>
    <x v="37"/>
  </r>
  <r>
    <s v="SFMyCP"/>
    <x v="0"/>
    <x v="1"/>
    <x v="1"/>
    <x v="14"/>
    <x v="2"/>
    <m/>
    <m/>
    <m/>
    <s v="CCK"/>
    <s v="CCK - Alem 351"/>
    <x v="545"/>
    <s v="DNI"/>
    <n v="29191202"/>
    <n v="20291912029"/>
    <m/>
    <m/>
    <m/>
    <m/>
    <m/>
    <s v="LEY MARCO"/>
    <x v="1"/>
    <d v="2012-07-01T00:00:00"/>
    <d v="2016-12-31T00:00:00"/>
    <d v="2016-12-31T00:00:00"/>
    <s v="C0"/>
    <m/>
    <m/>
    <n v="25021.33"/>
    <x v="190"/>
    <x v="5"/>
  </r>
  <r>
    <s v="SFMyCP"/>
    <x v="1"/>
    <x v="0"/>
    <x v="5"/>
    <x v="17"/>
    <x v="9"/>
    <m/>
    <s v="RECURSOS HUMANOS"/>
    <m/>
    <s v="CABILDO 65"/>
    <m/>
    <x v="546"/>
    <s v="DNI"/>
    <n v="27382228"/>
    <n v="27273822289"/>
    <m/>
    <m/>
    <m/>
    <m/>
    <m/>
    <s v="LEY MARCO"/>
    <x v="1"/>
    <d v="2010-04-01T00:00:00"/>
    <d v="2016-12-31T00:00:00"/>
    <d v="2016-12-31T00:00:00"/>
    <s v="B1"/>
    <m/>
    <m/>
    <n v="20266"/>
    <x v="24"/>
    <x v="5"/>
  </r>
  <r>
    <s v="SFMyCP"/>
    <x v="0"/>
    <x v="0"/>
    <x v="0"/>
    <x v="8"/>
    <x v="4"/>
    <m/>
    <s v="PRODUCCIÓN"/>
    <s v="PRODUCTOR de EXTERIORES"/>
    <s v="CABILDO 65"/>
    <s v="CABILDO 65"/>
    <x v="547"/>
    <s v="DNI"/>
    <n v="31732531"/>
    <s v="20317325313"/>
    <d v="1985-06-05T00:00:00"/>
    <m/>
    <m/>
    <m/>
    <m/>
    <s v="ASISTENCIA TÉCNICA"/>
    <x v="0"/>
    <d v="2013-12-10T00:00:00"/>
    <m/>
    <d v="2016-12-31T00:00:00"/>
    <m/>
    <s v="UNTREF"/>
    <m/>
    <n v="18795"/>
    <x v="37"/>
    <x v="3"/>
  </r>
  <r>
    <s v="SFMyCP"/>
    <x v="1"/>
    <x v="0"/>
    <x v="5"/>
    <x v="18"/>
    <x v="2"/>
    <m/>
    <m/>
    <m/>
    <s v="CCK"/>
    <m/>
    <x v="548"/>
    <s v="DNI"/>
    <n v="32576720"/>
    <n v="20325767201"/>
    <m/>
    <m/>
    <m/>
    <m/>
    <m/>
    <s v="LEY MARCO"/>
    <x v="1"/>
    <d v="2013-01-01T00:00:00"/>
    <d v="2016-03-31T00:00:00"/>
    <d v="2016-12-31T00:00:00"/>
    <s v="B0"/>
    <m/>
    <m/>
    <n v="17107"/>
    <x v="104"/>
    <x v="5"/>
  </r>
  <r>
    <s v="SFMyCP"/>
    <x v="0"/>
    <x v="0"/>
    <x v="0"/>
    <x v="8"/>
    <x v="6"/>
    <m/>
    <s v="PROMOCIONES"/>
    <s v="ADMINISTRATIVO"/>
    <s v="CABILDO 65"/>
    <s v="CABILDO 65"/>
    <x v="549"/>
    <s v="DNI"/>
    <n v="29951587"/>
    <s v="27299515872"/>
    <d v="1982-12-03T00:00:00"/>
    <m/>
    <m/>
    <m/>
    <m/>
    <s v="ASISTENCIA TÉCNICA"/>
    <x v="0"/>
    <d v="2012-08-01T00:00:00"/>
    <m/>
    <d v="2016-12-31T00:00:00"/>
    <m/>
    <s v="UNTREF"/>
    <s v="UNSAM- LADA"/>
    <n v="20545"/>
    <x v="143"/>
    <x v="5"/>
  </r>
  <r>
    <s v="SFMyCP"/>
    <x v="0"/>
    <x v="1"/>
    <x v="3"/>
    <x v="24"/>
    <x v="2"/>
    <m/>
    <s v="Tareas Generales"/>
    <s v="MANTENIMIENTO DE ESPACIOS VERDES"/>
    <s v="TECNÓPOLIS"/>
    <m/>
    <x v="550"/>
    <s v="DNI"/>
    <n v="14620292"/>
    <n v="27146202921"/>
    <m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0"/>
    <x v="0"/>
    <x v="8"/>
    <x v="6"/>
    <m/>
    <s v="TÉCNICA Y TRANSMISIÓN"/>
    <s v="ADMINISTRATIVO"/>
    <s v="CABILDO 65"/>
    <s v="CABILDO 65"/>
    <x v="551"/>
    <s v="DNI"/>
    <n v="34001226"/>
    <s v="27340012262"/>
    <d v="1988-07-29T00:00:00"/>
    <m/>
    <m/>
    <m/>
    <m/>
    <s v="ASISTENCIA TÉCNICA"/>
    <x v="0"/>
    <d v="2015-10-01T00:00:00"/>
    <m/>
    <d v="2016-12-31T00:00:00"/>
    <m/>
    <s v="UNTREF"/>
    <s v="UNSAM- LADA"/>
    <n v="16465"/>
    <x v="17"/>
    <x v="5"/>
  </r>
  <r>
    <s v="SFMyCP"/>
    <x v="0"/>
    <x v="0"/>
    <x v="0"/>
    <x v="8"/>
    <x v="6"/>
    <m/>
    <s v="POSTPRODUCCIÓN"/>
    <s v="EDICION"/>
    <s v="CABILDO 65"/>
    <s v="CABILDO 65"/>
    <x v="552"/>
    <s v="DNI"/>
    <n v="18205034"/>
    <s v="20182050343"/>
    <d v="1966-06-17T00:00:00"/>
    <m/>
    <m/>
    <m/>
    <m/>
    <s v="ASISTENCIA TÉCNICA"/>
    <x v="0"/>
    <d v="2012-05-08T00:00:00"/>
    <m/>
    <d v="2016-12-31T00:00:00"/>
    <m/>
    <s v="UNTREF"/>
    <s v="UNSAM- LADA"/>
    <n v="24060"/>
    <x v="73"/>
    <x v="5"/>
  </r>
  <r>
    <s v="SFMyCP"/>
    <x v="0"/>
    <x v="1"/>
    <x v="1"/>
    <x v="5"/>
    <x v="5"/>
    <m/>
    <s v="SECRETARÍA"/>
    <m/>
    <s v="CCK"/>
    <m/>
    <x v="553"/>
    <s v="LC"/>
    <n v="27642766"/>
    <n v="27276427666"/>
    <m/>
    <m/>
    <m/>
    <m/>
    <m/>
    <s v="LEY MARCO"/>
    <x v="1"/>
    <d v="2006-04-01T00:00:00"/>
    <d v="2016-12-31T00:00:00"/>
    <d v="2016-12-31T00:00:00"/>
    <s v="B3"/>
    <m/>
    <m/>
    <n v="20839"/>
    <x v="191"/>
    <x v="5"/>
  </r>
  <r>
    <s v="SFMyCP"/>
    <x v="0"/>
    <x v="1"/>
    <x v="3"/>
    <x v="2"/>
    <x v="2"/>
    <m/>
    <s v="PRIVADA"/>
    <s v="ADMINISTRATIVO"/>
    <m/>
    <s v="TECNOPOLIS"/>
    <x v="554"/>
    <s v="DNI"/>
    <n v="22792210"/>
    <n v="27227922104"/>
    <d v="1972-08-02T00:00:00"/>
    <m/>
    <m/>
    <m/>
    <m/>
    <s v="ASISTENCIA TÉCNICA"/>
    <x v="0"/>
    <d v="2016-03-01T00:00:00"/>
    <m/>
    <d v="2016-12-31T00:00:00"/>
    <m/>
    <s v="UNTREF"/>
    <m/>
    <n v="20000"/>
    <x v="113"/>
    <x v="8"/>
  </r>
  <r>
    <s v="SFMyCP"/>
    <x v="0"/>
    <x v="1"/>
    <x v="1"/>
    <x v="5"/>
    <x v="21"/>
    <m/>
    <s v="Ing Seguridad e Higiene"/>
    <s v="Ing Seguridad e Higiene"/>
    <s v="CCK"/>
    <s v="CCK - Alem 351"/>
    <x v="555"/>
    <s v="DNI"/>
    <n v="11387784"/>
    <n v="20113877848"/>
    <d v="1955-07-23T00:00:00"/>
    <m/>
    <m/>
    <m/>
    <m/>
    <s v="ASISTENCIA TÉCNICA"/>
    <x v="0"/>
    <d v="2015-05-02T00:00:00"/>
    <m/>
    <d v="2016-12-31T00:00:00"/>
    <m/>
    <s v="UNTREF"/>
    <s v="UNLAM- BICENTENARIO"/>
    <n v="27366"/>
    <x v="192"/>
    <x v="38"/>
  </r>
  <r>
    <s v="SFMyCP"/>
    <x v="0"/>
    <x v="1"/>
    <x v="3"/>
    <x v="44"/>
    <x v="2"/>
    <m/>
    <m/>
    <m/>
    <s v="TECNÓPOLIS"/>
    <m/>
    <x v="556"/>
    <s v="DNI"/>
    <n v="27344679"/>
    <n v="20273446797"/>
    <m/>
    <m/>
    <m/>
    <m/>
    <m/>
    <s v="LEY MARCO"/>
    <x v="1"/>
    <d v="2011-03-01T00:00:00"/>
    <d v="2016-12-31T00:00:00"/>
    <d v="2016-12-31T00:00:00"/>
    <s v="C0"/>
    <m/>
    <m/>
    <n v="20628.54"/>
    <x v="193"/>
    <x v="5"/>
  </r>
  <r>
    <s v="SFMyCP"/>
    <x v="0"/>
    <x v="0"/>
    <x v="0"/>
    <x v="8"/>
    <x v="6"/>
    <m/>
    <s v="ADMINISTRACIÓN"/>
    <m/>
    <s v="CABILDO 65"/>
    <m/>
    <x v="557"/>
    <s v="DNI"/>
    <n v="31376447"/>
    <n v="20313764479"/>
    <m/>
    <m/>
    <m/>
    <m/>
    <m/>
    <s v="LEY MARCO"/>
    <x v="1"/>
    <d v="2011-03-01T00:00:00"/>
    <d v="2016-12-31T00:00:00"/>
    <d v="2016-12-31T00:00:00"/>
    <s v="D1"/>
    <m/>
    <m/>
    <n v="10553"/>
    <x v="16"/>
    <x v="5"/>
  </r>
  <r>
    <s v="SFMyCP"/>
    <x v="0"/>
    <x v="0"/>
    <x v="0"/>
    <x v="0"/>
    <x v="0"/>
    <m/>
    <s v="ANIMACION"/>
    <s v="ANALISTA"/>
    <s v="PALPALÁ-JUJUY"/>
    <s v="PALPALÁ-JUJUY"/>
    <x v="558"/>
    <s v="DNI"/>
    <n v="31961383"/>
    <n v="20319613839"/>
    <d v="1986-03-22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1"/>
    <x v="0"/>
    <x v="5"/>
    <x v="26"/>
    <x v="2"/>
    <m/>
    <m/>
    <m/>
    <s v="CCK"/>
    <s v="CCK - Alem 351"/>
    <x v="559"/>
    <s v="DNI"/>
    <n v="34489609"/>
    <n v="27344896092"/>
    <m/>
    <m/>
    <m/>
    <m/>
    <m/>
    <s v="LEY MARCO"/>
    <x v="1"/>
    <d v="2013-08-01T00:00:00"/>
    <d v="2016-03-31T00:00:00"/>
    <d v="2016-12-31T00:00:00"/>
    <s v="B0"/>
    <m/>
    <m/>
    <n v="17107"/>
    <x v="104"/>
    <x v="5"/>
  </r>
  <r>
    <s v="SFMyCP"/>
    <x v="0"/>
    <x v="0"/>
    <x v="0"/>
    <x v="8"/>
    <x v="4"/>
    <m/>
    <s v="POSTPRODUCCIÓN"/>
    <s v="ADMINISTRATIVO"/>
    <s v="CABILDO 65"/>
    <s v="CABILDO 65"/>
    <x v="560"/>
    <s v="DNI"/>
    <n v="28801969"/>
    <s v="20288019690"/>
    <d v="1981-04-18T00:00:00"/>
    <m/>
    <m/>
    <m/>
    <m/>
    <s v="ASISTENCIA TÉCNICA"/>
    <x v="0"/>
    <d v="2012-01-01T00:00:00"/>
    <m/>
    <d v="2016-12-31T00:00:00"/>
    <m/>
    <s v="UNTREF"/>
    <m/>
    <n v="24060"/>
    <x v="73"/>
    <x v="3"/>
  </r>
  <r>
    <s v="SFMyCP"/>
    <x v="0"/>
    <x v="1"/>
    <x v="1"/>
    <x v="10"/>
    <x v="2"/>
    <m/>
    <m/>
    <s v="ADMINISTRATIVA"/>
    <m/>
    <s v="CCK - Alem 351"/>
    <x v="561"/>
    <s v="DNI"/>
    <n v="34411918"/>
    <n v="20344119180"/>
    <d v="1988-10-16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23"/>
    <x v="2"/>
    <m/>
    <m/>
    <s v="ARQUITECTO"/>
    <s v="TECNÓPOLIS"/>
    <s v="TECNOPOLIS"/>
    <x v="562"/>
    <s v="DNI"/>
    <n v="4607118"/>
    <s v="20046071183"/>
    <d v="1944-11-26T00:00:00"/>
    <m/>
    <m/>
    <m/>
    <m/>
    <s v="ASISTENCIA TÉCNICA"/>
    <x v="0"/>
    <d v="2012-04-01T00:00:00"/>
    <m/>
    <d v="2016-12-31T00:00:00"/>
    <m/>
    <s v="UNTREF"/>
    <s v="UNTREF"/>
    <n v="21963.653000000002"/>
    <x v="194"/>
    <x v="5"/>
  </r>
  <r>
    <s v="SFMyCP"/>
    <x v="0"/>
    <x v="1"/>
    <x v="3"/>
    <x v="9"/>
    <x v="2"/>
    <m/>
    <s v="ADMINISTRATIVO"/>
    <m/>
    <s v="TECNÓPOLIS"/>
    <m/>
    <x v="563"/>
    <s v="DNI"/>
    <n v="36741755"/>
    <n v="27367417558"/>
    <m/>
    <m/>
    <m/>
    <m/>
    <m/>
    <s v="LEY MARCO"/>
    <x v="1"/>
    <d v="2011-11-01T00:00:00"/>
    <d v="2016-12-31T00:00:00"/>
    <d v="2016-12-31T00:00:00"/>
    <s v="C0"/>
    <m/>
    <m/>
    <n v="23810"/>
    <x v="195"/>
    <x v="5"/>
  </r>
  <r>
    <s v="SFMyCP"/>
    <x v="0"/>
    <x v="1"/>
    <x v="7"/>
    <x v="2"/>
    <x v="2"/>
    <m/>
    <s v="PRIVADA"/>
    <s v="ADMINISTRATIVO"/>
    <m/>
    <s v="CCK - Alem 351"/>
    <x v="564"/>
    <s v="DNI"/>
    <n v="29319713"/>
    <n v="27293197135"/>
    <d v="1981-02-13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m/>
    <s v="ACUA FEDERAL"/>
    <s v="ADMINISTRATIVO"/>
    <s v="CABILDO 65"/>
    <s v="CABILDO 65"/>
    <x v="565"/>
    <s v="DNI"/>
    <n v="27576288"/>
    <s v="27275762887"/>
    <d v="1979-04-27T00:00:00"/>
    <m/>
    <m/>
    <m/>
    <m/>
    <s v="ASISTENCIA TÉCNICA"/>
    <x v="0"/>
    <d v="2013-10-01T00:00:00"/>
    <m/>
    <d v="2016-12-31T00:00:00"/>
    <m/>
    <s v="UNTREF"/>
    <s v="UNSAM- LADA"/>
    <n v="29420"/>
    <x v="60"/>
    <x v="5"/>
  </r>
  <r>
    <s v="SFMyCP"/>
    <x v="0"/>
    <x v="0"/>
    <x v="6"/>
    <x v="12"/>
    <x v="2"/>
    <m/>
    <m/>
    <m/>
    <m/>
    <m/>
    <x v="566"/>
    <s v="DNI"/>
    <n v="12471569"/>
    <n v="20124715696"/>
    <m/>
    <m/>
    <m/>
    <m/>
    <m/>
    <m/>
    <x v="0"/>
    <d v="2016-07-01T00:00:00"/>
    <m/>
    <d v="2016-08-31T00:00:00"/>
    <m/>
    <s v="UNTREF"/>
    <m/>
    <m/>
    <x v="18"/>
    <x v="3"/>
  </r>
  <r>
    <s v="SFMyCP"/>
    <x v="1"/>
    <x v="0"/>
    <x v="5"/>
    <x v="17"/>
    <x v="17"/>
    <m/>
    <m/>
    <m/>
    <m/>
    <m/>
    <x v="567"/>
    <s v="DNI"/>
    <n v="3243932"/>
    <n v="27324397324"/>
    <m/>
    <m/>
    <m/>
    <m/>
    <m/>
    <m/>
    <x v="1"/>
    <d v="2006-12-01T00:00:00"/>
    <m/>
    <d v="2016-12-31T00:00:00"/>
    <s v="D2"/>
    <m/>
    <m/>
    <m/>
    <x v="18"/>
    <x v="3"/>
  </r>
  <r>
    <s v="SFMyCP"/>
    <x v="0"/>
    <x v="0"/>
    <x v="0"/>
    <x v="8"/>
    <x v="6"/>
    <m/>
    <s v="CONTENIDOS DIGITALES ABIERTOS CDA"/>
    <s v="ADMINISTRATIVO"/>
    <s v="CABILDO 65"/>
    <s v="CABILDO 65"/>
    <x v="568"/>
    <s v="DNI"/>
    <n v="30927415"/>
    <s v="27309274151"/>
    <d v="1984-04-29T00:00:00"/>
    <m/>
    <m/>
    <m/>
    <m/>
    <s v="ASISTENCIA TÉCNICA"/>
    <x v="0"/>
    <d v="2012-08-01T00:00:00"/>
    <m/>
    <d v="2016-12-31T00:00:00"/>
    <m/>
    <s v="UNTREF"/>
    <s v="UNSAM- LADA"/>
    <n v="25981"/>
    <x v="196"/>
    <x v="5"/>
  </r>
  <r>
    <s v="SFMyCP"/>
    <x v="0"/>
    <x v="1"/>
    <x v="3"/>
    <x v="15"/>
    <x v="2"/>
    <m/>
    <m/>
    <m/>
    <s v="TECNÓPOLIS"/>
    <m/>
    <x v="569"/>
    <s v="DNI"/>
    <n v="94048478"/>
    <n v="20940484783"/>
    <m/>
    <m/>
    <m/>
    <m/>
    <m/>
    <s v="LEY MARCO"/>
    <x v="1"/>
    <d v="2012-05-01T00:00:00"/>
    <d v="2016-12-31T00:00:00"/>
    <d v="2016-12-31T00:00:00"/>
    <s v="D0"/>
    <m/>
    <m/>
    <n v="10731"/>
    <x v="167"/>
    <x v="5"/>
  </r>
  <r>
    <s v="SFMyCP"/>
    <x v="0"/>
    <x v="0"/>
    <x v="0"/>
    <x v="8"/>
    <x v="6"/>
    <m/>
    <s v="CONTENIDOS DIGITALES ABIERTOS CDA"/>
    <s v="ADMINISTRATIVO"/>
    <s v="CABILDO 65"/>
    <s v="CABILDO 65"/>
    <x v="570"/>
    <s v="DNI"/>
    <n v="38402296"/>
    <s v="20384022961"/>
    <d v="1994-11-08T00:00:00"/>
    <m/>
    <m/>
    <m/>
    <m/>
    <s v="ASISTENCIA TÉCNICA"/>
    <x v="0"/>
    <d v="2015-09-01T00:00:00"/>
    <m/>
    <d v="2016-12-31T00:00:00"/>
    <m/>
    <s v="UNTREF"/>
    <s v="UNSAM- LADA"/>
    <n v="15234"/>
    <x v="22"/>
    <x v="5"/>
  </r>
  <r>
    <s v="SFMyCP"/>
    <x v="0"/>
    <x v="0"/>
    <x v="8"/>
    <x v="1"/>
    <x v="2"/>
    <m/>
    <m/>
    <m/>
    <s v="CCK"/>
    <s v="CCK - Alem 351"/>
    <x v="571"/>
    <s v="DNI"/>
    <n v="29040990"/>
    <n v="27290409905"/>
    <m/>
    <m/>
    <m/>
    <m/>
    <m/>
    <s v="LEY MARCO"/>
    <x v="1"/>
    <d v="2012-06-11T00:00:00"/>
    <d v="2016-12-31T00:00:00"/>
    <d v="2016-12-31T00:00:00"/>
    <s v="B0"/>
    <m/>
    <m/>
    <n v="19096"/>
    <x v="81"/>
    <x v="5"/>
  </r>
  <r>
    <s v="SFMyCP"/>
    <x v="0"/>
    <x v="1"/>
    <x v="3"/>
    <x v="15"/>
    <x v="2"/>
    <m/>
    <m/>
    <s v="HERRERO"/>
    <s v="TECNÓPOLIS"/>
    <s v="TECNOPOLIS"/>
    <x v="572"/>
    <s v="DNI"/>
    <n v="12803975"/>
    <s v="23128039759"/>
    <d v="1957-02-13T00:00:00"/>
    <m/>
    <m/>
    <m/>
    <m/>
    <s v="ASISTENCIA TÉCNICA"/>
    <x v="0"/>
    <d v="2014-06-01T00:00:00"/>
    <m/>
    <d v="2016-12-31T00:00:00"/>
    <m/>
    <s v="UNTREF"/>
    <s v="UNTREF"/>
    <n v="11289.69"/>
    <x v="180"/>
    <x v="5"/>
  </r>
  <r>
    <s v="SFMyCP"/>
    <x v="0"/>
    <x v="1"/>
    <x v="1"/>
    <x v="5"/>
    <x v="3"/>
    <s v="LIMPIEZA (En comisión Tecnópolis)"/>
    <s v="Auxiliar"/>
    <s v="OPERATIVA Y LOGISTICA"/>
    <s v="CCK"/>
    <s v="CCK - Alem 351"/>
    <x v="573"/>
    <s v="DNI"/>
    <n v="16095673"/>
    <s v="23160956739"/>
    <d v="1963-01-15T00:00:00"/>
    <m/>
    <m/>
    <m/>
    <m/>
    <s v="ASISTENCIA TÉCNICA"/>
    <x v="0"/>
    <d v="2015-06-10T00:00:00"/>
    <m/>
    <d v="2016-12-31T00:00:00"/>
    <m/>
    <s v="UNTREF"/>
    <s v="UNTREF"/>
    <n v="10500"/>
    <x v="5"/>
    <x v="4"/>
  </r>
  <r>
    <s v="SFMyCP"/>
    <x v="0"/>
    <x v="1"/>
    <x v="1"/>
    <x v="5"/>
    <x v="5"/>
    <s v="SOPORTE ADMINISTRATIVO"/>
    <s v="Administrativo"/>
    <s v="ADMINISTRATIVO"/>
    <s v="CCK"/>
    <s v="CCK - Alem 351"/>
    <x v="574"/>
    <s v="DNI"/>
    <n v="17332501"/>
    <s v="27173325016"/>
    <d v="1964-12-07T00:00:00"/>
    <m/>
    <m/>
    <m/>
    <m/>
    <s v="ASISTENCIA TÉCNICA"/>
    <x v="0"/>
    <d v="2015-07-01T00:00:00"/>
    <m/>
    <d v="2016-12-31T00:00:00"/>
    <m/>
    <s v="UNTREF"/>
    <s v="UNLAM- BICENTENARIO"/>
    <n v="15730"/>
    <x v="197"/>
    <x v="39"/>
  </r>
  <r>
    <s v="SFMyCP"/>
    <x v="0"/>
    <x v="0"/>
    <x v="4"/>
    <x v="2"/>
    <x v="2"/>
    <m/>
    <s v="PRIVADA"/>
    <m/>
    <m/>
    <m/>
    <x v="575"/>
    <s v="DNI"/>
    <n v="26333383"/>
    <m/>
    <d v="1977-11-15T00:00:00"/>
    <m/>
    <m/>
    <m/>
    <m/>
    <m/>
    <x v="3"/>
    <d v="2016-01-01T00:00:00"/>
    <m/>
    <d v="2016-12-31T00:00:00"/>
    <m/>
    <s v="U. SAN MARTÍN"/>
    <s v="UNSAM"/>
    <n v="36000"/>
    <x v="112"/>
    <x v="22"/>
  </r>
  <r>
    <s v="SFMyCP"/>
    <x v="1"/>
    <x v="0"/>
    <x v="5"/>
    <x v="7"/>
    <x v="2"/>
    <m/>
    <m/>
    <s v="ADMINISTRATIVO"/>
    <m/>
    <m/>
    <x v="576"/>
    <s v="DNI"/>
    <n v="33897153"/>
    <m/>
    <m/>
    <m/>
    <m/>
    <m/>
    <m/>
    <s v="LEY MARCO"/>
    <x v="1"/>
    <m/>
    <m/>
    <d v="2016-12-31T00:00:00"/>
    <s v="C1"/>
    <m/>
    <m/>
    <m/>
    <x v="18"/>
    <x v="3"/>
  </r>
  <r>
    <s v="SFMyCP"/>
    <x v="0"/>
    <x v="0"/>
    <x v="0"/>
    <x v="8"/>
    <x v="6"/>
    <m/>
    <s v="POSTPRODUCCIÓN"/>
    <s v="EDICION"/>
    <s v="CABILDO 65"/>
    <s v="CABILDO 65"/>
    <x v="577"/>
    <s v="DNI"/>
    <n v="29359743"/>
    <s v="20293597430"/>
    <d v="1982-03-26T00:00:00"/>
    <m/>
    <m/>
    <m/>
    <m/>
    <s v="ASISTENCIA TÉCNICA"/>
    <x v="0"/>
    <d v="2015-07-01T00:00:00"/>
    <m/>
    <d v="2016-12-31T00:00:00"/>
    <m/>
    <s v="UNTREF"/>
    <s v="UNSAM- LADA"/>
    <n v="19353"/>
    <x v="36"/>
    <x v="5"/>
  </r>
  <r>
    <s v="SFMyCP"/>
    <x v="0"/>
    <x v="0"/>
    <x v="0"/>
    <x v="8"/>
    <x v="6"/>
    <m/>
    <s v="Responsable Radio Igualdad"/>
    <m/>
    <s v="CABILDO 65"/>
    <m/>
    <x v="578"/>
    <s v="DNI"/>
    <n v="23889942"/>
    <n v="20238899428"/>
    <m/>
    <m/>
    <m/>
    <m/>
    <m/>
    <s v="LEY MARCO"/>
    <x v="1"/>
    <d v="2015-01-01T00:00:00"/>
    <d v="2016-03-31T00:00:00"/>
    <d v="2016-12-31T00:00:00"/>
    <s v="A1"/>
    <m/>
    <m/>
    <n v="29089"/>
    <x v="33"/>
    <x v="5"/>
  </r>
  <r>
    <s v="SFMyCP"/>
    <x v="1"/>
    <x v="0"/>
    <x v="5"/>
    <x v="7"/>
    <x v="2"/>
    <m/>
    <m/>
    <s v="ADMINISTRATIVO"/>
    <m/>
    <s v="CCK - Alem 351"/>
    <x v="579"/>
    <s v="DNI"/>
    <n v="38551275"/>
    <s v="23385512759"/>
    <d v="1994-12-05T00:00:00"/>
    <m/>
    <m/>
    <m/>
    <m/>
    <s v="ASISTENCIA TÉCNICA"/>
    <x v="0"/>
    <m/>
    <m/>
    <d v="2016-12-31T00:00:00"/>
    <m/>
    <s v="UNTREF"/>
    <m/>
    <n v="12500"/>
    <x v="5"/>
    <x v="5"/>
  </r>
  <r>
    <s v="SFMyCP"/>
    <x v="1"/>
    <x v="0"/>
    <x v="5"/>
    <x v="30"/>
    <x v="2"/>
    <m/>
    <s v="Analista"/>
    <s v="ADMINISTRATIVO"/>
    <m/>
    <s v="CCK - Alem 351"/>
    <x v="580"/>
    <s v="DNI"/>
    <n v="32102678"/>
    <s v="27321026783"/>
    <d v="1987-01-22T00:00:00"/>
    <m/>
    <m/>
    <m/>
    <m/>
    <s v="ASISTENCIA TÉCNICA"/>
    <x v="0"/>
    <d v="2016-05-02T00:00:00"/>
    <m/>
    <d v="2016-12-31T00:00:00"/>
    <m/>
    <s v="UNTREF"/>
    <m/>
    <s v="."/>
    <x v="110"/>
    <x v="3"/>
  </r>
  <r>
    <s v="SFMyCP"/>
    <x v="0"/>
    <x v="1"/>
    <x v="1"/>
    <x v="39"/>
    <x v="2"/>
    <m/>
    <s v="Administrativo"/>
    <s v="ADMINISTRATIVO"/>
    <s v="CCK"/>
    <s v="CCK - Alem 351"/>
    <x v="581"/>
    <s v="DNI"/>
    <n v="28077190"/>
    <s v="27280771908"/>
    <d v="1980-03-25T00:00:00"/>
    <m/>
    <m/>
    <m/>
    <m/>
    <s v="ASISTENCIA TÉCNICA"/>
    <x v="0"/>
    <d v="2014-12-15T00:00:00"/>
    <m/>
    <d v="2016-12-31T00:00:00"/>
    <m/>
    <s v="UNTREF"/>
    <s v="CULTURA"/>
    <n v="14000"/>
    <x v="30"/>
    <x v="12"/>
  </r>
  <r>
    <s v="SFMyCP"/>
    <x v="0"/>
    <x v="1"/>
    <x v="1"/>
    <x v="5"/>
    <x v="24"/>
    <m/>
    <s v="INVESTIGACION APLICADA"/>
    <s v="ADMINISTRATIVO"/>
    <s v="CCK"/>
    <s v="CCK - Alem 351"/>
    <x v="582"/>
    <s v="DNI"/>
    <n v="23179837"/>
    <s v="20231798375"/>
    <d v="1973-05-28T00:00:00"/>
    <m/>
    <m/>
    <m/>
    <m/>
    <s v="ASISTENCIA TÉCNICA"/>
    <x v="0"/>
    <m/>
    <m/>
    <d v="2016-12-31T00:00:00"/>
    <m/>
    <s v="UNTREF"/>
    <s v="UNSAM"/>
    <n v="30145"/>
    <x v="198"/>
    <x v="40"/>
  </r>
  <r>
    <s v="SFMyCP"/>
    <x v="1"/>
    <x v="0"/>
    <x v="5"/>
    <x v="30"/>
    <x v="2"/>
    <m/>
    <s v="Administración"/>
    <s v="ADMINISTRATIVO"/>
    <s v="CCK"/>
    <s v="CCK - Alem 351"/>
    <x v="583"/>
    <s v="DNI"/>
    <n v="32478554"/>
    <s v="20324785540"/>
    <d v="1986-07-27T00:00:00"/>
    <m/>
    <m/>
    <m/>
    <m/>
    <s v="ASISTENCIA TÉCNICA"/>
    <x v="0"/>
    <d v="2015-04-20T00:00:00"/>
    <m/>
    <d v="2016-12-31T00:00:00"/>
    <m/>
    <s v="UNTREF"/>
    <s v="UNSAM"/>
    <n v="17102"/>
    <x v="1"/>
    <x v="5"/>
  </r>
  <r>
    <s v="SFMyCP"/>
    <x v="0"/>
    <x v="1"/>
    <x v="3"/>
    <x v="22"/>
    <x v="2"/>
    <m/>
    <m/>
    <m/>
    <s v="TECNÓPOLIS"/>
    <m/>
    <x v="584"/>
    <s v="DNI"/>
    <n v="29014857"/>
    <n v="27290148575"/>
    <m/>
    <m/>
    <m/>
    <m/>
    <m/>
    <s v="LEY MARCO"/>
    <x v="1"/>
    <d v="2011-07-01T00:00:00"/>
    <d v="2016-12-31T00:00:00"/>
    <d v="2016-12-31T00:00:00"/>
    <s v="D1"/>
    <m/>
    <m/>
    <n v="13106"/>
    <x v="199"/>
    <x v="5"/>
  </r>
  <r>
    <s v="SFMyCP"/>
    <x v="0"/>
    <x v="0"/>
    <x v="0"/>
    <x v="8"/>
    <x v="6"/>
    <m/>
    <s v="POSTPRODUCCIÓN"/>
    <s v="EDICION"/>
    <s v="CABILDO 65"/>
    <s v="CABILDO 65"/>
    <x v="585"/>
    <s v="DNI"/>
    <n v="27113656"/>
    <s v="27271136566"/>
    <d v="1978-12-22T00:00:00"/>
    <m/>
    <m/>
    <m/>
    <m/>
    <s v="ASISTENCIA TÉCNICA"/>
    <x v="0"/>
    <d v="2012-08-01T00:00:00"/>
    <m/>
    <d v="2016-12-31T00:00:00"/>
    <m/>
    <s v="UNTREF"/>
    <m/>
    <n v="21640"/>
    <x v="200"/>
    <x v="3"/>
  </r>
  <r>
    <s v="SFMyCP"/>
    <x v="0"/>
    <x v="1"/>
    <x v="1"/>
    <x v="5"/>
    <x v="8"/>
    <m/>
    <s v="Asistente Técnico"/>
    <s v="ADMINISTRATIVO"/>
    <s v="CCK"/>
    <s v="CCK - Alem 351"/>
    <x v="586"/>
    <s v="DNI"/>
    <n v="33403626"/>
    <s v="20334036260"/>
    <d v="1987-11-21T00:00:00"/>
    <m/>
    <m/>
    <m/>
    <m/>
    <s v="ASISTENCIA TÉCNICA"/>
    <x v="0"/>
    <d v="2015-06-02T00:00:00"/>
    <m/>
    <d v="2016-12-31T00:00:00"/>
    <m/>
    <s v="UNTREF"/>
    <s v="UNLAM- BICENTENARIO"/>
    <n v="10807"/>
    <x v="5"/>
    <x v="9"/>
  </r>
  <r>
    <s v="SFMyCP"/>
    <x v="1"/>
    <x v="0"/>
    <x v="5"/>
    <x v="26"/>
    <x v="2"/>
    <m/>
    <s v="Analista"/>
    <s v="Analista"/>
    <s v="CCK"/>
    <s v="CCK - Alem 351"/>
    <x v="587"/>
    <s v="DNI"/>
    <n v="37007907"/>
    <s v="20370079073"/>
    <d v="1992-06-23T00:00:00"/>
    <m/>
    <m/>
    <m/>
    <m/>
    <s v="ASISTENCIA TÉCNICA"/>
    <x v="0"/>
    <d v="2015-10-01T00:00:00"/>
    <m/>
    <d v="2016-12-31T00:00:00"/>
    <m/>
    <s v="UNTREF"/>
    <s v="UNLAM- INFO"/>
    <n v="7500"/>
    <x v="28"/>
    <x v="4"/>
  </r>
  <r>
    <s v="SFMyCP"/>
    <x v="1"/>
    <x v="0"/>
    <x v="2"/>
    <x v="2"/>
    <x v="2"/>
    <m/>
    <s v="PRIVADA"/>
    <s v="ADMINISTRATIVO"/>
    <m/>
    <s v="CCK - Alem 351"/>
    <x v="588"/>
    <s v="DNI"/>
    <n v="24963883"/>
    <n v="27249638833"/>
    <d v="1975-11-02T00:00:00"/>
    <m/>
    <m/>
    <m/>
    <m/>
    <s v="ASISTENCIA TÉCNICA"/>
    <x v="0"/>
    <d v="2016-01-01T00:00:00"/>
    <m/>
    <d v="2016-12-31T00:00:00"/>
    <m/>
    <s v="UNTREF"/>
    <s v="UNSAM"/>
    <n v="12275"/>
    <x v="62"/>
    <x v="15"/>
  </r>
  <r>
    <s v="SFMyCP"/>
    <x v="0"/>
    <x v="0"/>
    <x v="0"/>
    <x v="8"/>
    <x v="6"/>
    <m/>
    <s v="BACUA"/>
    <m/>
    <s v="CABILDO 65"/>
    <m/>
    <x v="589"/>
    <s v="DNI"/>
    <n v="29193974"/>
    <n v="27291939746"/>
    <m/>
    <m/>
    <m/>
    <m/>
    <m/>
    <s v="LEY MARCO"/>
    <x v="1"/>
    <d v="2013-12-01T00:00:00"/>
    <d v="2016-03-31T00:00:00"/>
    <d v="2016-12-31T00:00:00"/>
    <s v="A1"/>
    <m/>
    <m/>
    <n v="29089"/>
    <x v="33"/>
    <x v="5"/>
  </r>
  <r>
    <s v="SFMyCP"/>
    <x v="0"/>
    <x v="1"/>
    <x v="3"/>
    <x v="2"/>
    <x v="2"/>
    <m/>
    <m/>
    <s v="MANTENIMIENTO DE ESPACIOS VERDES"/>
    <m/>
    <s v="TECNOPOLIS"/>
    <x v="590"/>
    <s v="DNI"/>
    <n v="36492782"/>
    <s v="20364927828"/>
    <d v="1991-11-24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4"/>
    <x v="2"/>
    <m/>
    <s v="COCINA"/>
    <s v="CHEF EJECUTIVO"/>
    <m/>
    <s v="TECNOPOLIS"/>
    <x v="591"/>
    <s v="DNI"/>
    <n v="31764002"/>
    <n v="20317640022"/>
    <d v="1985-08-04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1"/>
    <x v="0"/>
    <x v="5"/>
    <x v="30"/>
    <x v="2"/>
    <m/>
    <m/>
    <s v="ADMINISTRATIVO"/>
    <m/>
    <s v="CCK - Alem 351"/>
    <x v="592"/>
    <s v="DNI"/>
    <n v="37755992"/>
    <s v="20377559925"/>
    <d v="1993-06-17T00:00:00"/>
    <m/>
    <m/>
    <m/>
    <m/>
    <s v="ASISTENCIA TÉCNICA"/>
    <x v="0"/>
    <m/>
    <m/>
    <d v="2016-12-31T00:00:00"/>
    <m/>
    <s v="UNTREF"/>
    <m/>
    <n v="10910"/>
    <x v="201"/>
    <x v="3"/>
  </r>
  <r>
    <s v="SFMyCP"/>
    <x v="0"/>
    <x v="1"/>
    <x v="1"/>
    <x v="16"/>
    <x v="11"/>
    <m/>
    <m/>
    <s v="VISITAS GUIADAS"/>
    <m/>
    <s v="CCK - Alem 351"/>
    <x v="593"/>
    <s v="DNI"/>
    <n v="37424425"/>
    <n v="27374244251"/>
    <d v="1993-04-28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6"/>
    <m/>
    <s v="CONTENIDOS DIGITALES ABIERTOS CDA"/>
    <s v="ADMINISTRATIVO"/>
    <s v="CABILDO 65"/>
    <s v="CABILDO 65"/>
    <x v="594"/>
    <s v="DNI"/>
    <n v="37806458"/>
    <s v="27378064584"/>
    <d v="1993-08-13T00:00:00"/>
    <m/>
    <m/>
    <m/>
    <m/>
    <s v="ASISTENCIA TÉCNICA"/>
    <x v="0"/>
    <d v="2012-10-01T00:00:00"/>
    <m/>
    <d v="2016-12-31T00:00:00"/>
    <m/>
    <s v="UNTREF"/>
    <s v="UNSAM- LADA"/>
    <n v="15234"/>
    <x v="22"/>
    <x v="5"/>
  </r>
  <r>
    <s v="SFMyCP"/>
    <x v="1"/>
    <x v="0"/>
    <x v="5"/>
    <x v="7"/>
    <x v="25"/>
    <m/>
    <s v="Asistente"/>
    <s v="ADMINISTRATIVO"/>
    <s v="CCK"/>
    <s v="CCK - Alem 351"/>
    <x v="595"/>
    <s v="DNI"/>
    <n v="32969084"/>
    <s v="23329690849"/>
    <d v="1987-10-28T00:00:00"/>
    <m/>
    <m/>
    <m/>
    <m/>
    <s v="ASISTENCIA TÉCNICA"/>
    <x v="0"/>
    <d v="2014-12-10T00:00:00"/>
    <m/>
    <d v="2016-12-31T00:00:00"/>
    <m/>
    <s v="UNTREF"/>
    <s v="UNLAM- DGA"/>
    <n v="10187"/>
    <x v="5"/>
    <x v="10"/>
  </r>
  <r>
    <s v="SFMyCP"/>
    <x v="0"/>
    <x v="1"/>
    <x v="1"/>
    <x v="5"/>
    <x v="3"/>
    <s v="LOGISTICA OPERATIVA"/>
    <s v="Asistente Técnico Operativo"/>
    <s v="OPERATIVA Y LOGISTICA"/>
    <s v="CCK"/>
    <s v="CCK - Alem 351"/>
    <x v="596"/>
    <s v="DNI"/>
    <n v="30920038"/>
    <s v="20309200382"/>
    <d v="1984-06-26T00:00:00"/>
    <m/>
    <m/>
    <m/>
    <m/>
    <s v="ASISTENCIA TÉCNICA"/>
    <x v="0"/>
    <d v="2015-07-13T00:00:00"/>
    <m/>
    <d v="2016-12-31T00:00:00"/>
    <m/>
    <s v="UNTREF"/>
    <s v="UNLAM- BICENTENARIO"/>
    <n v="10807"/>
    <x v="5"/>
    <x v="4"/>
  </r>
  <r>
    <s v="SFMyCP"/>
    <x v="0"/>
    <x v="1"/>
    <x v="3"/>
    <x v="15"/>
    <x v="2"/>
    <m/>
    <m/>
    <m/>
    <s v="TECNÓPOLIS"/>
    <m/>
    <x v="597"/>
    <s v="DNI"/>
    <n v="23331504"/>
    <n v="20233315045"/>
    <m/>
    <m/>
    <m/>
    <m/>
    <m/>
    <s v="LEY MARCO"/>
    <x v="1"/>
    <d v="2013-05-01T00:00:00"/>
    <d v="2016-03-31T00:00:00"/>
    <d v="2016-12-31T00:00:00"/>
    <s v="C0"/>
    <m/>
    <m/>
    <n v="20106.650000000001"/>
    <x v="202"/>
    <x v="5"/>
  </r>
  <r>
    <s v="SFMyCP"/>
    <x v="0"/>
    <x v="0"/>
    <x v="0"/>
    <x v="8"/>
    <x v="6"/>
    <m/>
    <s v="BACUA"/>
    <m/>
    <s v="CABILDO 65"/>
    <m/>
    <x v="598"/>
    <s v="DNI"/>
    <n v="34152110"/>
    <n v="27341521101"/>
    <m/>
    <m/>
    <m/>
    <m/>
    <m/>
    <s v="LEY MARCO"/>
    <x v="1"/>
    <d v="2009-01-01T00:00:00"/>
    <d v="2016-12-31T00:00:00"/>
    <d v="2016-12-31T00:00:00"/>
    <s v="C2"/>
    <m/>
    <m/>
    <n v="12960"/>
    <x v="203"/>
    <x v="5"/>
  </r>
  <r>
    <s v="SFMyCP"/>
    <x v="0"/>
    <x v="0"/>
    <x v="4"/>
    <x v="2"/>
    <x v="2"/>
    <m/>
    <s v="PRIVADA"/>
    <s v="ADMINISTRATIVO"/>
    <m/>
    <s v="CCK - Alem 351"/>
    <x v="599"/>
    <s v="DNI"/>
    <n v="24230223"/>
    <n v="20242302231"/>
    <d v="1975-03-30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2"/>
    <x v="2"/>
    <m/>
    <m/>
    <s v="ADMINISTRATIVO"/>
    <m/>
    <s v="CCK - Alem 351"/>
    <x v="600"/>
    <s v="DNI"/>
    <n v="21731906"/>
    <n v="20217319065"/>
    <d v="1970-09-12T00:00:00"/>
    <m/>
    <m/>
    <m/>
    <m/>
    <s v="ASISTENCIA TÉCNICA"/>
    <x v="0"/>
    <d v="2016-04-01T00:00:00"/>
    <m/>
    <d v="2016-08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601"/>
    <s v="DNI"/>
    <n v="21167373"/>
    <s v="20211673738"/>
    <d v="1969-12-04T00:00:00"/>
    <m/>
    <m/>
    <m/>
    <m/>
    <s v="ASISTENCIA TÉCNICA"/>
    <x v="0"/>
    <d v="2016-01-01T00:00:00"/>
    <m/>
    <d v="2016-12-31T00:00:00"/>
    <m/>
    <s v="UNTREF"/>
    <s v="UNSAM"/>
    <n v="19000"/>
    <x v="135"/>
    <x v="35"/>
  </r>
  <r>
    <s v="SFMyCP"/>
    <x v="0"/>
    <x v="1"/>
    <x v="1"/>
    <x v="10"/>
    <x v="2"/>
    <m/>
    <m/>
    <s v="ADMINISTRATIVA"/>
    <m/>
    <s v="CCK - Alem 351"/>
    <x v="602"/>
    <s v="DNI"/>
    <n v="16988106"/>
    <n v="20169881066"/>
    <d v="1963-02-03T00:00:00"/>
    <m/>
    <m/>
    <m/>
    <m/>
    <s v="ASISTENCIA TÉCNICA"/>
    <x v="0"/>
    <d v="2016-04-15T00:00:00"/>
    <m/>
    <d v="2016-12-31T00:00:00"/>
    <m/>
    <s v="UNTREF"/>
    <m/>
    <s v="."/>
    <x v="14"/>
    <x v="3"/>
  </r>
  <r>
    <s v="SFMyCP"/>
    <x v="0"/>
    <x v="1"/>
    <x v="1"/>
    <x v="16"/>
    <x v="2"/>
    <m/>
    <m/>
    <m/>
    <s v="CCK"/>
    <m/>
    <x v="603"/>
    <s v="DNI"/>
    <n v="29946823"/>
    <n v="27292468933"/>
    <m/>
    <m/>
    <m/>
    <m/>
    <m/>
    <s v="LEY MARCO"/>
    <x v="1"/>
    <d v="2012-12-01T00:00:00"/>
    <d v="2016-12-31T00:00:00"/>
    <d v="2016-12-31T00:00:00"/>
    <s v="A1"/>
    <m/>
    <m/>
    <n v="26237"/>
    <x v="183"/>
    <x v="5"/>
  </r>
  <r>
    <s v="SFMyCP"/>
    <x v="0"/>
    <x v="1"/>
    <x v="3"/>
    <x v="21"/>
    <x v="2"/>
    <m/>
    <m/>
    <s v="MANTENIMIENTO DE ESPACIOS VERDES"/>
    <s v="TECNÓPOLIS"/>
    <s v="TECNOPOLIS"/>
    <x v="604"/>
    <s v="DNI"/>
    <n v="39706510"/>
    <s v="20397065104"/>
    <d v="1995-08-24T00:00:00"/>
    <m/>
    <m/>
    <m/>
    <m/>
    <s v="ASISTENCIA TÉCNICA"/>
    <x v="0"/>
    <d v="2014-06-01T00:00:00"/>
    <m/>
    <d v="2016-12-31T00:00:00"/>
    <m/>
    <s v="UNTREF"/>
    <s v="UNTREF"/>
    <n v="9995.51"/>
    <x v="19"/>
    <x v="5"/>
  </r>
  <r>
    <s v="SFMyCP"/>
    <x v="0"/>
    <x v="1"/>
    <x v="1"/>
    <x v="5"/>
    <x v="18"/>
    <s v="REFERENTE"/>
    <s v="Coordinador de DTO"/>
    <s v="ADMINISTRATIVO"/>
    <s v="CCK"/>
    <s v="CCK - Alem 351"/>
    <x v="605"/>
    <s v="DNI"/>
    <n v="32944728"/>
    <s v="20329447287"/>
    <d v="1987-03-06T00:00:00"/>
    <m/>
    <m/>
    <m/>
    <m/>
    <s v="ASISTENCIA TÉCNICA"/>
    <x v="0"/>
    <d v="2015-02-01T00:00:00"/>
    <m/>
    <d v="2016-12-31T00:00:00"/>
    <m/>
    <s v="UNTREF"/>
    <s v="UNLAM- BICENTENARIO"/>
    <n v="24500"/>
    <x v="53"/>
    <x v="20"/>
  </r>
  <r>
    <s v="SFMyCP"/>
    <x v="0"/>
    <x v="1"/>
    <x v="3"/>
    <x v="2"/>
    <x v="2"/>
    <m/>
    <s v="PRIVADA"/>
    <s v="ADMINISTRATIVO"/>
    <s v="TECNÓPOLIS"/>
    <s v="TECNOPOLIS"/>
    <x v="606"/>
    <s v="DNI"/>
    <n v="23415236"/>
    <n v="27234152365"/>
    <d v="1973-09-13T00:00:00"/>
    <m/>
    <m/>
    <m/>
    <m/>
    <s v="ASISTENCIA TÉCNICA"/>
    <x v="0"/>
    <d v="2016-01-01T00:00:00"/>
    <m/>
    <d v="2016-12-31T00:00:00"/>
    <m/>
    <s v="UNTREF"/>
    <s v="UNSAM"/>
    <n v="30000"/>
    <x v="93"/>
    <x v="20"/>
  </r>
  <r>
    <s v="SFMyCP"/>
    <x v="0"/>
    <x v="1"/>
    <x v="3"/>
    <x v="4"/>
    <x v="2"/>
    <m/>
    <m/>
    <s v="ADMINISTRATIVO"/>
    <s v="TECNÓPOLIS"/>
    <m/>
    <x v="607"/>
    <s v="DNI"/>
    <n v="28972145"/>
    <n v="27289721458"/>
    <d v="1981-05-08T00:00:00"/>
    <m/>
    <m/>
    <m/>
    <m/>
    <s v="ASISTENCIA TÉCNICA"/>
    <x v="0"/>
    <m/>
    <m/>
    <m/>
    <m/>
    <m/>
    <m/>
    <m/>
    <x v="18"/>
    <x v="3"/>
  </r>
  <r>
    <s v="SFMyCP"/>
    <x v="0"/>
    <x v="0"/>
    <x v="0"/>
    <x v="0"/>
    <x v="0"/>
    <m/>
    <s v="DESARROLLOS"/>
    <s v="ANALISTA"/>
    <s v="PALPALÁ-JUJUY"/>
    <s v="PALPALÁ-JUJUY"/>
    <x v="608"/>
    <s v="DNI"/>
    <n v="26451548"/>
    <n v="20264515484"/>
    <d v="1978-04-17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0"/>
    <x v="6"/>
    <x v="12"/>
    <x v="2"/>
    <m/>
    <m/>
    <s v="Orientador de Sala"/>
    <m/>
    <m/>
    <x v="609"/>
    <s v="DNI"/>
    <n v="94779981"/>
    <n v="27947799814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1"/>
    <x v="0"/>
    <x v="5"/>
    <x v="17"/>
    <x v="17"/>
    <m/>
    <m/>
    <m/>
    <m/>
    <m/>
    <x v="610"/>
    <s v="DNI"/>
    <n v="31985771"/>
    <n v="20319857711"/>
    <m/>
    <m/>
    <m/>
    <m/>
    <m/>
    <s v="LEY MARCO"/>
    <x v="1"/>
    <d v="2015-03-01T00:00:00"/>
    <m/>
    <d v="2016-12-31T00:00:00"/>
    <s v="B1"/>
    <m/>
    <m/>
    <m/>
    <x v="18"/>
    <x v="3"/>
  </r>
  <r>
    <s v="SFMyCP"/>
    <x v="0"/>
    <x v="1"/>
    <x v="1"/>
    <x v="39"/>
    <x v="2"/>
    <m/>
    <s v="Administrativo"/>
    <s v="ADMINISTRATIVO"/>
    <s v="CCK"/>
    <s v="CCK - Alem 351"/>
    <x v="611"/>
    <s v="DNI"/>
    <n v="27704110"/>
    <s v="20277041104"/>
    <d v="1979-12-12T00:00:00"/>
    <m/>
    <m/>
    <m/>
    <m/>
    <s v="ASISTENCIA TÉCNICA"/>
    <x v="0"/>
    <d v="2014-10-01T00:00:00"/>
    <m/>
    <d v="2016-12-31T00:00:00"/>
    <m/>
    <s v="UNTREF"/>
    <s v="CULTURA"/>
    <n v="20000"/>
    <x v="113"/>
    <x v="8"/>
  </r>
  <r>
    <s v="SFMyCP"/>
    <x v="0"/>
    <x v="0"/>
    <x v="0"/>
    <x v="8"/>
    <x v="4"/>
    <m/>
    <s v="PRODUCCIÓN"/>
    <s v="PRODUCTOR de EXTERIORES"/>
    <s v="CABILDO 65"/>
    <s v="CABILDO 65"/>
    <x v="612"/>
    <s v="DNI"/>
    <n v="30278656"/>
    <s v="27302786564"/>
    <d v="1983-04-06T00:00:00"/>
    <m/>
    <m/>
    <m/>
    <m/>
    <s v="ASISTENCIA TÉCNICA"/>
    <x v="0"/>
    <d v="2015-03-16T00:00:00"/>
    <m/>
    <d v="2016-12-31T00:00:00"/>
    <m/>
    <s v="UNTREF"/>
    <s v="UNSAM- LADA"/>
    <n v="18795"/>
    <x v="37"/>
    <x v="5"/>
  </r>
  <r>
    <s v="SFMyCP"/>
    <x v="1"/>
    <x v="0"/>
    <x v="5"/>
    <x v="17"/>
    <x v="17"/>
    <s v="COMUNICACIÓN"/>
    <s v="COMUNICACIÓN"/>
    <m/>
    <s v="CCK"/>
    <m/>
    <x v="613"/>
    <s v="DNI"/>
    <n v="28807853"/>
    <n v="27288078535"/>
    <m/>
    <m/>
    <m/>
    <m/>
    <m/>
    <s v="LEY MARCO"/>
    <x v="1"/>
    <d v="2013-12-01T00:00:00"/>
    <d v="2016-03-31T00:00:00"/>
    <d v="2016-12-31T00:00:00"/>
    <s v="B1"/>
    <m/>
    <m/>
    <n v="20266"/>
    <x v="24"/>
    <x v="5"/>
  </r>
  <r>
    <s v="SFMyCP"/>
    <x v="1"/>
    <x v="0"/>
    <x v="5"/>
    <x v="17"/>
    <x v="12"/>
    <s v="AUTOMOTORES"/>
    <s v="CHOFER"/>
    <m/>
    <s v="CCK"/>
    <m/>
    <x v="614"/>
    <s v="DNI"/>
    <n v="17513017"/>
    <n v="23175130179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0"/>
    <x v="0"/>
    <x v="8"/>
    <x v="6"/>
    <m/>
    <s v="POSTPRODUCCIÓN"/>
    <s v="EDICION"/>
    <s v="CABILDO 65"/>
    <s v="CABILDO 65"/>
    <x v="615"/>
    <s v="DNI"/>
    <n v="29414541"/>
    <s v="23294145419"/>
    <d v="1982-03-30T00:00:00"/>
    <m/>
    <m/>
    <m/>
    <m/>
    <s v="ASISTENCIA TÉCNICA"/>
    <x v="0"/>
    <d v="2015-11-01T00:00:00"/>
    <m/>
    <d v="2016-12-31T00:00:00"/>
    <m/>
    <s v="UNTREF"/>
    <m/>
    <n v="19353"/>
    <x v="36"/>
    <x v="3"/>
  </r>
  <r>
    <s v="SFMyCP"/>
    <x v="0"/>
    <x v="0"/>
    <x v="0"/>
    <x v="0"/>
    <x v="0"/>
    <m/>
    <s v="DESARROLLOS"/>
    <s v="ANALISTA"/>
    <s v="PALPALÁ-JUJUY"/>
    <s v="PALPALÁ-JUJUY"/>
    <x v="616"/>
    <s v="DNI"/>
    <n v="23053676"/>
    <n v="20230536768"/>
    <d v="1972-09-23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0"/>
    <x v="1"/>
    <x v="1"/>
    <x v="16"/>
    <x v="11"/>
    <m/>
    <m/>
    <s v="VISITAS GUIADAS"/>
    <m/>
    <s v="CCK - Alem 351"/>
    <x v="617"/>
    <s v="DNI"/>
    <n v="34304285"/>
    <n v="20343042850"/>
    <d v="1989-02-07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8"/>
    <x v="6"/>
    <m/>
    <s v="PROGRAMA POLOS AUDIOVISUALES TECNOLÓGICOS"/>
    <m/>
    <s v="CABILDO 65"/>
    <m/>
    <x v="618"/>
    <s v="DNI"/>
    <n v="16598752"/>
    <n v="20165987528"/>
    <m/>
    <m/>
    <m/>
    <m/>
    <m/>
    <s v="LEY MARCO"/>
    <x v="1"/>
    <d v="2013-12-01T00:00:00"/>
    <d v="2016-03-31T00:00:00"/>
    <d v="2016-12-31T00:00:00"/>
    <s v="B1"/>
    <m/>
    <m/>
    <n v="18277"/>
    <x v="88"/>
    <x v="5"/>
  </r>
  <r>
    <s v="SFMyCP"/>
    <x v="0"/>
    <x v="1"/>
    <x v="1"/>
    <x v="10"/>
    <x v="2"/>
    <m/>
    <m/>
    <s v="ADMINISTRATIVO"/>
    <m/>
    <s v="CCK - Alem 351"/>
    <x v="619"/>
    <s v="DNI"/>
    <n v="27113663"/>
    <n v="27271136639"/>
    <d v="1978-12-25T00:00:00"/>
    <m/>
    <m/>
    <m/>
    <m/>
    <s v="ASISTENCIA TÉCNICA"/>
    <x v="0"/>
    <d v="2016-05-15T00:00:00"/>
    <m/>
    <d v="2016-12-31T00:00:00"/>
    <m/>
    <s v="UNTREF"/>
    <m/>
    <m/>
    <x v="18"/>
    <x v="3"/>
  </r>
  <r>
    <s v="SFMyCP"/>
    <x v="0"/>
    <x v="0"/>
    <x v="6"/>
    <x v="12"/>
    <x v="2"/>
    <m/>
    <m/>
    <s v="Orientador de Sala"/>
    <m/>
    <m/>
    <x v="620"/>
    <s v="DNI"/>
    <n v="38865071"/>
    <n v="27388650716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0"/>
    <x v="1"/>
    <x v="1"/>
    <x v="5"/>
    <x v="3"/>
    <s v="LOGISTICA OPERATIVA"/>
    <s v="Asistente Técnico Operativo"/>
    <s v="OPERATIVA Y LOGISTICA"/>
    <s v="CCK"/>
    <s v="CCK - Alem 351"/>
    <x v="621"/>
    <s v="DNI"/>
    <n v="29704359"/>
    <s v="20297043596"/>
    <d v="1982-10-28T00:00:00"/>
    <m/>
    <m/>
    <m/>
    <m/>
    <s v="ASISTENCIA TÉCNICA"/>
    <x v="0"/>
    <d v="2015-07-01T00:00:00"/>
    <m/>
    <d v="2016-12-31T00:00:00"/>
    <m/>
    <s v="UNTREF"/>
    <s v="UNLAM- BICENTENARIO"/>
    <n v="10807"/>
    <x v="5"/>
    <x v="4"/>
  </r>
  <r>
    <s v="SFMyCP"/>
    <x v="0"/>
    <x v="1"/>
    <x v="1"/>
    <x v="5"/>
    <x v="16"/>
    <m/>
    <m/>
    <m/>
    <m/>
    <m/>
    <x v="622"/>
    <s v="DNI"/>
    <n v="10776913"/>
    <m/>
    <m/>
    <m/>
    <m/>
    <m/>
    <m/>
    <m/>
    <x v="1"/>
    <m/>
    <m/>
    <d v="2016-12-31T00:00:00"/>
    <s v="B3"/>
    <m/>
    <m/>
    <m/>
    <x v="18"/>
    <x v="3"/>
  </r>
  <r>
    <s v="SFMyCP"/>
    <x v="0"/>
    <x v="0"/>
    <x v="0"/>
    <x v="0"/>
    <x v="0"/>
    <m/>
    <s v="DESARROLLOS"/>
    <s v="ANALISTA"/>
    <s v="PALPALÁ-JUJUY"/>
    <s v="PALPALÁ-JUJUY"/>
    <x v="623"/>
    <s v="DNI"/>
    <n v="34524500"/>
    <s v="20345245007"/>
    <d v="1989-05-08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0"/>
    <x v="0"/>
    <x v="8"/>
    <x v="6"/>
    <m/>
    <s v="ACUA FEDERAL"/>
    <s v="ADMINISTRATIVO"/>
    <s v="CABILDO 65"/>
    <s v="CABILDO 65"/>
    <x v="624"/>
    <s v="DNI"/>
    <n v="31632162"/>
    <s v="27316321629"/>
    <d v="1985-06-11T00:00:00"/>
    <m/>
    <m/>
    <m/>
    <m/>
    <s v="ASISTENCIA TÉCNICA"/>
    <x v="0"/>
    <d v="2015-05-15T00:00:00"/>
    <m/>
    <d v="2016-12-31T00:00:00"/>
    <m/>
    <s v="UNTREF"/>
    <s v="UNSAM- LADA"/>
    <n v="17849"/>
    <x v="83"/>
    <x v="5"/>
  </r>
  <r>
    <s v="SFMyCP"/>
    <x v="1"/>
    <x v="0"/>
    <x v="5"/>
    <x v="30"/>
    <x v="2"/>
    <m/>
    <s v="Administrativo"/>
    <m/>
    <s v="CCK"/>
    <m/>
    <x v="625"/>
    <s v="DNI"/>
    <n v="30652310"/>
    <n v="20306523105"/>
    <m/>
    <m/>
    <m/>
    <m/>
    <m/>
    <s v="LEY MARCO"/>
    <x v="1"/>
    <d v="2009-08-01T00:00:00"/>
    <d v="2016-12-31T00:00:00"/>
    <d v="2016-12-31T00:00:00"/>
    <s v="D0"/>
    <m/>
    <m/>
    <n v="10190"/>
    <x v="45"/>
    <x v="5"/>
  </r>
  <r>
    <s v="SFMyCP"/>
    <x v="0"/>
    <x v="0"/>
    <x v="8"/>
    <x v="1"/>
    <x v="2"/>
    <m/>
    <m/>
    <m/>
    <s v="CCK"/>
    <s v="CCK - Alem 351"/>
    <x v="626"/>
    <s v="DNI"/>
    <n v="33850467"/>
    <n v="27338504670"/>
    <m/>
    <m/>
    <m/>
    <m/>
    <m/>
    <s v="LEY MARCO"/>
    <x v="1"/>
    <d v="2012-07-01T00:00:00"/>
    <d v="2016-12-31T00:00:00"/>
    <d v="2016-12-31T00:00:00"/>
    <s v="C0"/>
    <m/>
    <m/>
    <n v="16470.8"/>
    <x v="204"/>
    <x v="5"/>
  </r>
  <r>
    <s v="SFMyCP"/>
    <x v="1"/>
    <x v="0"/>
    <x v="5"/>
    <x v="7"/>
    <x v="2"/>
    <m/>
    <m/>
    <s v="ADMINISTRATIVO"/>
    <m/>
    <s v="CCK - Alem 351"/>
    <x v="627"/>
    <s v="DNI"/>
    <n v="36735601"/>
    <n v="27367356019"/>
    <d v="1991-12-26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1"/>
    <x v="0"/>
    <x v="5"/>
    <x v="30"/>
    <x v="2"/>
    <m/>
    <s v="Administrativo"/>
    <m/>
    <s v="CCK"/>
    <m/>
    <x v="628"/>
    <s v="DNI"/>
    <n v="23587261"/>
    <n v="27235872612"/>
    <m/>
    <m/>
    <m/>
    <m/>
    <m/>
    <s v="LEY MARCO"/>
    <x v="1"/>
    <d v="2014-10-01T00:00:00"/>
    <d v="2016-03-31T00:00:00"/>
    <d v="2016-12-31T00:00:00"/>
    <s v="B1"/>
    <m/>
    <m/>
    <n v="20266"/>
    <x v="24"/>
    <x v="5"/>
  </r>
  <r>
    <s v="SFMyCP"/>
    <x v="1"/>
    <x v="0"/>
    <x v="5"/>
    <x v="30"/>
    <x v="2"/>
    <m/>
    <s v="Analista"/>
    <s v="ADMINISTRATIVO"/>
    <m/>
    <s v="CCK - Alem 351"/>
    <x v="629"/>
    <s v="DNI"/>
    <n v="27664255"/>
    <s v="27276642559"/>
    <d v="1979-10-13T00:00:00"/>
    <m/>
    <m/>
    <m/>
    <m/>
    <s v="ASISTENCIA TÉCNICA"/>
    <x v="0"/>
    <d v="2016-05-02T00:00:00"/>
    <m/>
    <d v="2016-12-31T00:00:00"/>
    <m/>
    <s v="UNTREF"/>
    <m/>
    <s v="."/>
    <x v="29"/>
    <x v="3"/>
  </r>
  <r>
    <s v="SFMyCP"/>
    <x v="0"/>
    <x v="0"/>
    <x v="0"/>
    <x v="0"/>
    <x v="0"/>
    <m/>
    <s v="DISEÑO"/>
    <s v="ANALISTA"/>
    <s v="PALPALÁ-JUJUY"/>
    <s v="PALPALÁ-JUJUY"/>
    <x v="630"/>
    <s v="DNI"/>
    <n v="28036334"/>
    <n v="20280363341"/>
    <d v="1980-04-30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1"/>
    <x v="3"/>
    <x v="2"/>
    <x v="2"/>
    <m/>
    <m/>
    <s v="SUPERVISORA DE LIMPIEZA"/>
    <m/>
    <s v="TECNOPOLIS"/>
    <x v="631"/>
    <s v="DNI"/>
    <n v="23037805"/>
    <s v="27230378059"/>
    <d v="1972-12-28T00:00:00"/>
    <m/>
    <m/>
    <m/>
    <m/>
    <s v="ASISTENCIA TÉCNICA"/>
    <x v="0"/>
    <m/>
    <m/>
    <d v="2016-12-31T00:00:00"/>
    <m/>
    <s v="UNTREF"/>
    <m/>
    <m/>
    <x v="18"/>
    <x v="3"/>
  </r>
  <r>
    <s v="SFMyCP"/>
    <x v="1"/>
    <x v="0"/>
    <x v="5"/>
    <x v="17"/>
    <x v="12"/>
    <s v="AUTOMOTORES"/>
    <s v="CHOFER"/>
    <m/>
    <s v="CCK"/>
    <m/>
    <x v="632"/>
    <s v="DNI"/>
    <n v="34738717"/>
    <n v="20347387178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1"/>
    <x v="3"/>
    <x v="20"/>
    <x v="2"/>
    <m/>
    <m/>
    <m/>
    <s v="TECNÓPOLIS"/>
    <m/>
    <x v="633"/>
    <s v="DNI"/>
    <n v="23313220"/>
    <n v="23233132209"/>
    <m/>
    <m/>
    <m/>
    <m/>
    <m/>
    <s v="LEY MARCO"/>
    <x v="1"/>
    <d v="2011-07-01T00:00:00"/>
    <d v="2016-12-31T00:00:00"/>
    <d v="2016-12-31T00:00:00"/>
    <s v="D1"/>
    <m/>
    <m/>
    <n v="21576.62"/>
    <x v="205"/>
    <x v="5"/>
  </r>
  <r>
    <s v="SFMyCP"/>
    <x v="0"/>
    <x v="1"/>
    <x v="3"/>
    <x v="15"/>
    <x v="2"/>
    <m/>
    <m/>
    <s v="MANEJO DE IMPRESORA DIGITAL PLOTTER MIMAKI DE MATERIALES DE GRAFICA PARA COLOCACIÓN. MANTENIMIENTO DÉPOSITO/CARTELERÍA"/>
    <s v="TECNÓPOLIS"/>
    <s v="TECNOPOLIS"/>
    <x v="634"/>
    <s v="DNI"/>
    <n v="35348638"/>
    <s v="20353486382"/>
    <d v="1990-06-10T00:00:00"/>
    <m/>
    <m/>
    <m/>
    <m/>
    <s v="ASISTENCIA TÉCNICA"/>
    <x v="0"/>
    <d v="2013-07-01T00:00:00"/>
    <m/>
    <d v="2016-12-31T00:00:00"/>
    <m/>
    <s v="UNTREF"/>
    <s v="UNTREF"/>
    <n v="11449.4"/>
    <x v="8"/>
    <x v="5"/>
  </r>
  <r>
    <s v="SFMyCP"/>
    <x v="0"/>
    <x v="0"/>
    <x v="0"/>
    <x v="8"/>
    <x v="6"/>
    <m/>
    <s v="ACUA MAYOR"/>
    <s v="ADMINISTRATIVO"/>
    <s v="CABILDO 65"/>
    <s v="CABILDO 65"/>
    <x v="635"/>
    <s v="DNI"/>
    <n v="23326986"/>
    <s v="27233269862"/>
    <d v="1973-05-05T00:00:00"/>
    <m/>
    <m/>
    <m/>
    <m/>
    <s v="ASISTENCIA TÉCNICA"/>
    <x v="0"/>
    <d v="2011-04-01T00:00:00"/>
    <m/>
    <d v="2016-12-31T00:00:00"/>
    <m/>
    <s v="UNTREF"/>
    <s v="UNSAM- LADA"/>
    <n v="22151"/>
    <x v="58"/>
    <x v="5"/>
  </r>
  <r>
    <s v="SFMyCP"/>
    <x v="0"/>
    <x v="0"/>
    <x v="0"/>
    <x v="8"/>
    <x v="6"/>
    <m/>
    <s v="CONTENIDOS DIGITALES ABIERTOS CDA"/>
    <s v="ADMINISTRATIVO"/>
    <s v="CABILDO 65"/>
    <s v="CABILDO 65"/>
    <x v="636"/>
    <s v="DNI"/>
    <n v="38995191"/>
    <s v="27389951914"/>
    <d v="1995-05-03T00:00:00"/>
    <m/>
    <m/>
    <m/>
    <m/>
    <s v="ASISTENCIA TÉCNICA"/>
    <x v="0"/>
    <d v="2015-08-01T00:00:00"/>
    <m/>
    <d v="2016-12-31T00:00:00"/>
    <m/>
    <s v="UNTREF"/>
    <s v="UNSAM- LADA"/>
    <n v="16465"/>
    <x v="17"/>
    <x v="5"/>
  </r>
  <r>
    <s v="SFMyCP"/>
    <x v="0"/>
    <x v="1"/>
    <x v="7"/>
    <x v="2"/>
    <x v="2"/>
    <m/>
    <s v="PRIVADA"/>
    <s v="ADMINISTRATIVO"/>
    <m/>
    <s v="CCK - Alem 351"/>
    <x v="637"/>
    <s v="DNI"/>
    <n v="16161406"/>
    <n v="27161614063"/>
    <d v="1962-07-04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1"/>
    <x v="5"/>
    <x v="14"/>
    <s v="SOPORTE ADMINISTRATIVO"/>
    <s v="Responsable"/>
    <s v="Responsable"/>
    <s v="CCK"/>
    <s v="CCK - Alem 351"/>
    <x v="638"/>
    <s v="DNI"/>
    <n v="32422072"/>
    <s v="20324220721"/>
    <d v="1986-03-25T00:00:00"/>
    <m/>
    <m/>
    <m/>
    <m/>
    <s v="ASISTENCIA TÉCNICA"/>
    <x v="0"/>
    <d v="2011-07-01T00:00:00"/>
    <m/>
    <d v="2016-12-31T00:00:00"/>
    <m/>
    <s v="UNTREF"/>
    <s v="UNLAM -TDA"/>
    <n v="12246"/>
    <x v="135"/>
    <x v="35"/>
  </r>
  <r>
    <s v="SFMyCP"/>
    <x v="0"/>
    <x v="0"/>
    <x v="4"/>
    <x v="2"/>
    <x v="2"/>
    <m/>
    <s v="PRIVADA"/>
    <s v="ADMINISTRATIVO"/>
    <s v="TECNÓPOLIS"/>
    <s v="CCK - Alem 351"/>
    <x v="639"/>
    <s v="DNI"/>
    <n v="12610450"/>
    <n v="27126104508"/>
    <d v="1958-05-22T00:00:00"/>
    <m/>
    <m/>
    <m/>
    <m/>
    <s v="ASISTENCIA TÉCNICA"/>
    <x v="0"/>
    <d v="2016-01-01T00:00:00"/>
    <m/>
    <d v="2016-12-31T00:00:00"/>
    <m/>
    <s v="UNTREF"/>
    <s v="UNSAM"/>
    <n v="10533"/>
    <x v="5"/>
    <x v="41"/>
  </r>
  <r>
    <s v="SFMyCP"/>
    <x v="0"/>
    <x v="1"/>
    <x v="3"/>
    <x v="6"/>
    <x v="2"/>
    <m/>
    <m/>
    <s v="MANTENIMIENTO GRAL DEL PARQUE"/>
    <s v="TECNÓPOLIS"/>
    <s v="TECNOPOLIS"/>
    <x v="640"/>
    <s v="DNI"/>
    <n v="37969951"/>
    <s v="20379699511"/>
    <d v="1993-03-13T00:00:00"/>
    <m/>
    <m/>
    <m/>
    <m/>
    <s v="ASISTENCIA TÉCNICA"/>
    <x v="0"/>
    <d v="2014-04-01T00:00:00"/>
    <m/>
    <d v="2016-12-31T00:00:00"/>
    <m/>
    <s v="UNTREF"/>
    <s v="UNTREF"/>
    <n v="10497.15"/>
    <x v="206"/>
    <x v="5"/>
  </r>
  <r>
    <s v="SFMyCP"/>
    <x v="0"/>
    <x v="1"/>
    <x v="3"/>
    <x v="24"/>
    <x v="2"/>
    <m/>
    <s v="Tareas Generales"/>
    <s v="Tareas Generales"/>
    <s v="TECNÓPOLIS"/>
    <m/>
    <x v="641"/>
    <s v="DNI"/>
    <n v="25001961"/>
    <m/>
    <d v="1993-03-13T00:00:00"/>
    <m/>
    <m/>
    <m/>
    <m/>
    <s v="ASISTENCIA TÉCNICA"/>
    <x v="2"/>
    <m/>
    <m/>
    <d v="2016-12-31T00:00:00"/>
    <m/>
    <s v="UNTREF"/>
    <s v="UNTREF"/>
    <n v="4700"/>
    <x v="142"/>
    <x v="5"/>
  </r>
  <r>
    <s v="SFMyCP"/>
    <x v="0"/>
    <x v="1"/>
    <x v="3"/>
    <x v="44"/>
    <x v="2"/>
    <m/>
    <m/>
    <m/>
    <s v="TECNÓPOLIS"/>
    <m/>
    <x v="642"/>
    <s v="DNI"/>
    <n v="29026896"/>
    <n v="20290268967"/>
    <m/>
    <m/>
    <m/>
    <m/>
    <m/>
    <s v="LEY MARCO"/>
    <x v="1"/>
    <d v="2012-10-31T00:00:00"/>
    <d v="2016-12-31T00:00:00"/>
    <d v="2016-12-31T00:00:00"/>
    <s v="C0"/>
    <m/>
    <m/>
    <n v="13990"/>
    <x v="207"/>
    <x v="5"/>
  </r>
  <r>
    <s v="SFMyCP"/>
    <x v="0"/>
    <x v="1"/>
    <x v="1"/>
    <x v="5"/>
    <x v="8"/>
    <m/>
    <s v="Asistente"/>
    <s v="ADMINISTRATIVO"/>
    <s v="CCK"/>
    <s v="CCK - Alem 351"/>
    <x v="643"/>
    <s v="DNI"/>
    <n v="25190198"/>
    <s v="27251901983"/>
    <d v="1976-03-02T00:00:00"/>
    <m/>
    <m/>
    <m/>
    <m/>
    <s v="ASISTENCIA TÉCNICA"/>
    <x v="0"/>
    <d v="2015-06-01T00:00:00"/>
    <m/>
    <d v="2016-12-31T00:00:00"/>
    <m/>
    <s v="UNTREF"/>
    <s v="UNLAM- BICENTENARIO"/>
    <n v="15732"/>
    <x v="126"/>
    <x v="26"/>
  </r>
  <r>
    <s v="SFMyCP"/>
    <x v="0"/>
    <x v="0"/>
    <x v="4"/>
    <x v="2"/>
    <x v="2"/>
    <m/>
    <s v="PRIVADA"/>
    <s v="ADMINISTRATIVO"/>
    <m/>
    <s v="CCK - Alem 351"/>
    <x v="644"/>
    <s v="DNI"/>
    <n v="32956861"/>
    <n v="27329568615"/>
    <d v="1987-06-04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4"/>
    <m/>
    <s v="PRODUCCIÓN"/>
    <s v="PRODUCTOR de EXTERIORES"/>
    <s v="CABILDO 65"/>
    <s v="CABILDO 65"/>
    <x v="645"/>
    <s v="DNI"/>
    <n v="18847242"/>
    <s v="27188472422"/>
    <d v="1981-06-05T00:00:00"/>
    <m/>
    <m/>
    <m/>
    <m/>
    <s v="ASISTENCIA TÉCNICA"/>
    <x v="0"/>
    <d v="2013-04-01T00:00:00"/>
    <m/>
    <d v="2016-12-31T00:00:00"/>
    <m/>
    <s v="UNTREF"/>
    <s v="UNSAM- LADA"/>
    <n v="23386"/>
    <x v="208"/>
    <x v="5"/>
  </r>
  <r>
    <s v="SFMyCP"/>
    <x v="0"/>
    <x v="0"/>
    <x v="0"/>
    <x v="8"/>
    <x v="6"/>
    <m/>
    <s v="POSTPRODUCCIÓN"/>
    <s v="EDICION"/>
    <s v="CABILDO 65"/>
    <s v="CABILDO 65"/>
    <x v="646"/>
    <s v="DNI"/>
    <n v="32500963"/>
    <s v="20325009633"/>
    <d v="1986-12-10T00:00:00"/>
    <m/>
    <m/>
    <m/>
    <m/>
    <s v="ASISTENCIA TÉCNICA"/>
    <x v="0"/>
    <d v="2011-09-01T00:00:00"/>
    <m/>
    <d v="2016-12-31T00:00:00"/>
    <m/>
    <s v="UNTREF"/>
    <s v="UNSAM- LADA"/>
    <n v="25763"/>
    <x v="114"/>
    <x v="5"/>
  </r>
  <r>
    <s v="SFMyCP"/>
    <x v="0"/>
    <x v="1"/>
    <x v="7"/>
    <x v="2"/>
    <x v="2"/>
    <m/>
    <s v="Asistente"/>
    <s v="Asistente"/>
    <s v="CCK"/>
    <s v="CCK - Alem 351"/>
    <x v="647"/>
    <s v="DNI"/>
    <n v="30516545"/>
    <s v="27305165455"/>
    <d v="1983-09-06T00:00:00"/>
    <m/>
    <m/>
    <m/>
    <m/>
    <s v="ASISTENCIA TÉCNICA"/>
    <x v="0"/>
    <d v="2013-07-01T00:00:00"/>
    <m/>
    <d v="2016-12-31T00:00:00"/>
    <m/>
    <s v="UNTREF"/>
    <s v="UNLAM -TDA"/>
    <n v="12740"/>
    <x v="30"/>
    <x v="18"/>
  </r>
  <r>
    <s v="SFMyCP"/>
    <x v="0"/>
    <x v="1"/>
    <x v="3"/>
    <x v="27"/>
    <x v="2"/>
    <m/>
    <m/>
    <m/>
    <s v="TECNÓPOLIS"/>
    <m/>
    <x v="648"/>
    <s v="DNI"/>
    <n v="33188115"/>
    <n v="20331881156"/>
    <m/>
    <m/>
    <m/>
    <m/>
    <m/>
    <s v="LEY MARCO"/>
    <x v="1"/>
    <d v="2013-05-01T00:00:00"/>
    <d v="2016-03-31T00:00:00"/>
    <d v="2016-12-31T00:00:00"/>
    <s v="C0"/>
    <m/>
    <m/>
    <n v="23901"/>
    <x v="209"/>
    <x v="5"/>
  </r>
  <r>
    <s v="SFMyCP"/>
    <x v="1"/>
    <x v="0"/>
    <x v="5"/>
    <x v="30"/>
    <x v="2"/>
    <m/>
    <m/>
    <s v="ADMINISTRATIVO"/>
    <m/>
    <s v="CCK - Alem 351"/>
    <x v="649"/>
    <s v="DNI"/>
    <n v="32636605"/>
    <n v="20326366057"/>
    <d v="1986-10-05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5"/>
    <x v="17"/>
    <x v="17"/>
    <m/>
    <s v="Analista"/>
    <s v="ADMINISTRATIVO"/>
    <s v="CCK"/>
    <s v="CCK - Alem 351"/>
    <x v="650"/>
    <s v="DNI"/>
    <n v="33792938"/>
    <s v="23337929389"/>
    <d v="1988-10-05T00:00:00"/>
    <m/>
    <m/>
    <m/>
    <m/>
    <s v="ASISTENCIA TÉCNICA"/>
    <x v="0"/>
    <d v="2014-01-13T00:00:00"/>
    <m/>
    <d v="2016-12-31T00:00:00"/>
    <m/>
    <s v="UNTREF"/>
    <s v="UNSAM- LADA"/>
    <n v="10188"/>
    <x v="5"/>
    <x v="7"/>
  </r>
  <r>
    <s v="SFMyCP"/>
    <x v="0"/>
    <x v="1"/>
    <x v="3"/>
    <x v="15"/>
    <x v="2"/>
    <m/>
    <m/>
    <m/>
    <s v="TECNÓPOLIS"/>
    <m/>
    <x v="651"/>
    <s v="DNI"/>
    <n v="10760860"/>
    <n v="20107608606"/>
    <m/>
    <m/>
    <m/>
    <m/>
    <m/>
    <s v="LEY MARCO"/>
    <x v="1"/>
    <d v="2012-11-30T00:00:00"/>
    <d v="2016-12-31T00:00:00"/>
    <d v="2016-12-31T00:00:00"/>
    <s v="F0"/>
    <m/>
    <m/>
    <n v="13783.6"/>
    <x v="175"/>
    <x v="5"/>
  </r>
  <r>
    <s v="SFMyCP"/>
    <x v="0"/>
    <x v="1"/>
    <x v="3"/>
    <x v="20"/>
    <x v="2"/>
    <m/>
    <m/>
    <s v="CONTROL DE ACCESOS/DEPOSITOS DEL PREDIO TURNO NOCHE"/>
    <s v="TECNÓPOLIS"/>
    <s v="TECNOPOLIS"/>
    <x v="652"/>
    <s v="DNI"/>
    <n v="33084823"/>
    <s v="20330848236"/>
    <d v="1987-05-17T00:00:00"/>
    <m/>
    <m/>
    <m/>
    <m/>
    <s v="ASISTENCIA TÉCNICA"/>
    <x v="0"/>
    <d v="2013-04-01T00:00:00"/>
    <m/>
    <d v="2016-12-31T00:00:00"/>
    <m/>
    <s v="UNTREF"/>
    <s v="UNTREF"/>
    <n v="11657.4"/>
    <x v="210"/>
    <x v="5"/>
  </r>
  <r>
    <s v="SFMyCP"/>
    <x v="0"/>
    <x v="1"/>
    <x v="3"/>
    <x v="6"/>
    <x v="2"/>
    <m/>
    <m/>
    <s v="MANTENIMIENTO GRAL DEL PARQUE"/>
    <s v="TECNÓPOLIS"/>
    <s v="TECNOPOLIS"/>
    <x v="653"/>
    <s v="DNI"/>
    <n v="36560622"/>
    <s v="20365606227"/>
    <d v="1991-12-29T00:00:00"/>
    <m/>
    <m/>
    <m/>
    <m/>
    <s v="ASISTENCIA TÉCNICA"/>
    <x v="0"/>
    <d v="2013-07-01T00:00:00"/>
    <m/>
    <d v="2016-12-31T00:00:00"/>
    <m/>
    <s v="UNTREF"/>
    <s v="UNTREF"/>
    <n v="9995.51"/>
    <x v="19"/>
    <x v="5"/>
  </r>
  <r>
    <s v="SFMyCP"/>
    <x v="0"/>
    <x v="1"/>
    <x v="3"/>
    <x v="3"/>
    <x v="2"/>
    <m/>
    <m/>
    <s v="LIMPIEZA GENERAL DEL PARQUE"/>
    <s v="TECNÓPOLIS"/>
    <s v="TECNOPOLIS"/>
    <x v="654"/>
    <s v="DNI"/>
    <n v="35713189"/>
    <s v="20357131899"/>
    <d v="1990-06-29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1"/>
    <x v="3"/>
    <x v="2"/>
    <x v="2"/>
    <m/>
    <s v="PRIVADA"/>
    <s v="ADMINISTRATIVO"/>
    <m/>
    <s v="TECNOPOLIS"/>
    <x v="655"/>
    <s v="DNI"/>
    <n v="92565540"/>
    <n v="27925655401"/>
    <d v="1981-11-05T00:00:00"/>
    <m/>
    <m/>
    <m/>
    <m/>
    <s v="ASISTENCIA TÉCNICA"/>
    <x v="0"/>
    <d v="2016-03-01T00:00:00"/>
    <m/>
    <d v="2016-12-31T00:00:00"/>
    <m/>
    <s v="UNTREF"/>
    <m/>
    <n v="15000"/>
    <x v="110"/>
    <x v="9"/>
  </r>
  <r>
    <s v="SFMyCP"/>
    <x v="2"/>
    <x v="0"/>
    <x v="4"/>
    <x v="2"/>
    <x v="2"/>
    <m/>
    <m/>
    <s v="ADMINISTRATIVO"/>
    <m/>
    <s v="CCK - Alem 351"/>
    <x v="656"/>
    <s v="DNI"/>
    <n v="18752447"/>
    <n v="23187524474"/>
    <d v="1970-08-27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1"/>
    <x v="27"/>
    <x v="2"/>
    <m/>
    <m/>
    <s v="ADMINISTRATIVO"/>
    <m/>
    <s v="CCK - Alem 351"/>
    <x v="657"/>
    <s v="DNI"/>
    <n v="33017958"/>
    <n v="27330179584"/>
    <d v="1987-04-1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6"/>
    <m/>
    <s v="ACUA MAYOR"/>
    <s v="ADMINISTRATIVO"/>
    <s v="CABILDO 65"/>
    <s v="CABILDO 65"/>
    <x v="658"/>
    <s v="DNI"/>
    <n v="32359444"/>
    <s v="27323594444"/>
    <d v="1986-04-30T00:00:00"/>
    <m/>
    <m/>
    <m/>
    <m/>
    <s v="ASISTENCIA TÉCNICA"/>
    <x v="0"/>
    <d v="2012-04-23T00:00:00"/>
    <m/>
    <d v="2016-12-31T00:00:00"/>
    <m/>
    <s v="UNTREF"/>
    <s v="UNSAM- LADA"/>
    <n v="18168"/>
    <x v="211"/>
    <x v="5"/>
  </r>
  <r>
    <s v="SFMyCP"/>
    <x v="0"/>
    <x v="1"/>
    <x v="1"/>
    <x v="16"/>
    <x v="11"/>
    <m/>
    <m/>
    <s v="VISITAS GUIADAS"/>
    <m/>
    <s v="CCK - Alem 351"/>
    <x v="659"/>
    <s v="DNI"/>
    <n v="39696295"/>
    <n v="27396962956"/>
    <d v="1996-07-19T00:00:00"/>
    <m/>
    <m/>
    <m/>
    <m/>
    <s v="ASISTENCIA TÉCNICA"/>
    <x v="0"/>
    <d v="2016-05-15T00:00:00"/>
    <m/>
    <d v="2016-12-31T00:00:00"/>
    <m/>
    <s v="UNTREF"/>
    <m/>
    <m/>
    <x v="18"/>
    <x v="3"/>
  </r>
  <r>
    <s v="SFMyCP"/>
    <x v="0"/>
    <x v="0"/>
    <x v="0"/>
    <x v="8"/>
    <x v="6"/>
    <m/>
    <s v="ACUA MAYOR"/>
    <s v="ADMINISTRATIVO"/>
    <s v="CABILDO 65"/>
    <s v="CABILDO 65"/>
    <x v="660"/>
    <s v="DNI"/>
    <n v="26580860"/>
    <s v="20265808604"/>
    <d v="1977-12-24T00:00:00"/>
    <m/>
    <m/>
    <m/>
    <m/>
    <s v="ASISTENCIA TÉCNICA"/>
    <x v="0"/>
    <d v="2010-10-01T00:00:00"/>
    <m/>
    <d v="2016-12-31T00:00:00"/>
    <m/>
    <s v="UNTREF"/>
    <s v="UNSAM- LADA"/>
    <n v="28909"/>
    <x v="181"/>
    <x v="5"/>
  </r>
  <r>
    <s v="SFMyCP"/>
    <x v="0"/>
    <x v="1"/>
    <x v="1"/>
    <x v="2"/>
    <x v="2"/>
    <m/>
    <s v="ASISTENTE COORD SUR"/>
    <s v="ADMINISTRATIVO"/>
    <m/>
    <s v="CCK - Alem 351"/>
    <x v="661"/>
    <s v="DNI"/>
    <n v="13275295"/>
    <n v="27132752953"/>
    <d v="1957-05-10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0"/>
    <x v="0"/>
    <m/>
    <s v="ANIMACION"/>
    <s v="ANALISTA"/>
    <s v="PALPALÁ-JUJUY"/>
    <s v="PALPALÁ-JUJUY"/>
    <x v="662"/>
    <s v="DNI"/>
    <n v="32930419"/>
    <n v="27329304197"/>
    <d v="1987-02-12T00:00:00"/>
    <m/>
    <m/>
    <m/>
    <m/>
    <s v="ASISTENCIA TÉCNICA"/>
    <x v="0"/>
    <d v="2015-09-01T00:00:00"/>
    <m/>
    <d v="2016-12-31T00:00:00"/>
    <m/>
    <s v="UNTREF"/>
    <s v="UNSAM"/>
    <n v="8000"/>
    <x v="40"/>
    <x v="0"/>
  </r>
  <r>
    <s v="SFMyCP"/>
    <x v="1"/>
    <x v="0"/>
    <x v="5"/>
    <x v="30"/>
    <x v="2"/>
    <m/>
    <s v="Analista"/>
    <s v="ADMINISTRATIVO"/>
    <m/>
    <s v="CCK - Alem 351"/>
    <x v="663"/>
    <s v="DNI"/>
    <n v="30277471"/>
    <s v="23302774714"/>
    <d v="1983-05-16T00:00:00"/>
    <m/>
    <m/>
    <m/>
    <m/>
    <s v="ASISTENCIA TÉCNICA"/>
    <x v="0"/>
    <d v="2016-05-02T00:00:00"/>
    <m/>
    <d v="2016-12-31T00:00:00"/>
    <m/>
    <s v="UNTREF"/>
    <m/>
    <s v="."/>
    <x v="57"/>
    <x v="3"/>
  </r>
  <r>
    <s v="SFMyCP"/>
    <x v="0"/>
    <x v="1"/>
    <x v="3"/>
    <x v="3"/>
    <x v="2"/>
    <m/>
    <m/>
    <s v="ENCARGADO DE LIMPIEZA"/>
    <s v="TECNÓPOLIS"/>
    <s v="TECNOPOLIS"/>
    <x v="664"/>
    <s v="DNI"/>
    <n v="94654784"/>
    <s v="27946547846"/>
    <d v="1979-09-17T00:00:00"/>
    <m/>
    <m/>
    <m/>
    <m/>
    <s v="ASISTENCIA TÉCNICA"/>
    <x v="0"/>
    <d v="2011-12-01T00:00:00"/>
    <m/>
    <d v="2016-12-31T00:00:00"/>
    <m/>
    <s v="UNTREF"/>
    <s v="UNTREF"/>
    <n v="13079.52"/>
    <x v="212"/>
    <x v="5"/>
  </r>
  <r>
    <s v="SFMyCP"/>
    <x v="1"/>
    <x v="0"/>
    <x v="5"/>
    <x v="17"/>
    <x v="15"/>
    <m/>
    <s v="Enfermera/o"/>
    <s v="ADMINISTRATIVO"/>
    <m/>
    <s v="CCK - Alem 351"/>
    <x v="665"/>
    <s v="DNI"/>
    <n v="28618309"/>
    <m/>
    <d v="1981-01-20T00:00:00"/>
    <m/>
    <m/>
    <m/>
    <m/>
    <s v="ASISTENCIA TÉCNICA"/>
    <x v="0"/>
    <d v="2016-07-14T00:00:00"/>
    <m/>
    <d v="2016-12-31T00:00:00"/>
    <m/>
    <s v="UNTREF"/>
    <m/>
    <m/>
    <x v="18"/>
    <x v="3"/>
  </r>
  <r>
    <s v="SFMyCP"/>
    <x v="0"/>
    <x v="1"/>
    <x v="3"/>
    <x v="24"/>
    <x v="2"/>
    <m/>
    <s v="Tareas Generales"/>
    <s v="TAREAS EN GENERAL TALLER CARPINTERIA/HERRERÍA/TEXTIL"/>
    <s v="TECNÓPOLIS"/>
    <m/>
    <x v="666"/>
    <s v="DNI"/>
    <n v="32575288"/>
    <n v="27325752888"/>
    <d v="1986-09-24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0"/>
    <x v="0"/>
    <x v="8"/>
    <x v="4"/>
    <m/>
    <s v="POSTPRODUCCIÓN"/>
    <s v="ADMINISTRATIVO"/>
    <s v="CABILDO 65"/>
    <s v="CABILDO 65"/>
    <x v="667"/>
    <s v="DNI"/>
    <n v="29130054"/>
    <s v="27291300540"/>
    <d v="1982-01-13T00:00:00"/>
    <m/>
    <m/>
    <m/>
    <m/>
    <s v="ASISTENCIA TÉCNICA"/>
    <x v="0"/>
    <d v="2013-09-16T00:00:00"/>
    <m/>
    <d v="2016-12-31T00:00:00"/>
    <m/>
    <s v="UNTREF"/>
    <s v="UNSAM- LADA"/>
    <n v="24060"/>
    <x v="73"/>
    <x v="5"/>
  </r>
  <r>
    <s v="SFMyCP"/>
    <x v="0"/>
    <x v="1"/>
    <x v="3"/>
    <x v="28"/>
    <x v="2"/>
    <m/>
    <m/>
    <m/>
    <s v="TECNÓPOLIS"/>
    <m/>
    <x v="668"/>
    <s v="DNI"/>
    <n v="35561238"/>
    <n v="20355612385"/>
    <m/>
    <m/>
    <m/>
    <m/>
    <m/>
    <s v="LEY MARCO"/>
    <x v="1"/>
    <d v="2013-04-01T00:00:00"/>
    <d v="2016-03-31T00:00:00"/>
    <d v="2016-12-31T00:00:00"/>
    <s v="C0"/>
    <m/>
    <m/>
    <n v="17074"/>
    <x v="43"/>
    <x v="5"/>
  </r>
  <r>
    <s v="SFMyCP"/>
    <x v="0"/>
    <x v="1"/>
    <x v="3"/>
    <x v="42"/>
    <x v="2"/>
    <m/>
    <m/>
    <m/>
    <s v="TECNÓPOLIS"/>
    <m/>
    <x v="669"/>
    <s v="DNI"/>
    <n v="33258936"/>
    <n v="23332589369"/>
    <m/>
    <m/>
    <m/>
    <m/>
    <m/>
    <s v="LEY MARCO"/>
    <x v="1"/>
    <d v="2012-07-01T00:00:00"/>
    <d v="2016-12-31T00:00:00"/>
    <d v="2016-12-31T00:00:00"/>
    <s v="D1"/>
    <m/>
    <m/>
    <n v="16053"/>
    <x v="213"/>
    <x v="5"/>
  </r>
  <r>
    <s v="SFMyCP"/>
    <x v="0"/>
    <x v="1"/>
    <x v="1"/>
    <x v="10"/>
    <x v="10"/>
    <m/>
    <s v="Analista"/>
    <m/>
    <s v="CCK"/>
    <m/>
    <x v="670"/>
    <s v="DNI"/>
    <n v="29393244"/>
    <n v="27293932447"/>
    <m/>
    <m/>
    <m/>
    <m/>
    <m/>
    <s v="LEY MARCO"/>
    <x v="1"/>
    <d v="2015-06-01T00:00:00"/>
    <d v="2016-03-31T00:00:00"/>
    <d v="2016-12-31T00:00:00"/>
    <s v="B1"/>
    <m/>
    <m/>
    <n v="20266"/>
    <x v="24"/>
    <x v="5"/>
  </r>
  <r>
    <s v="SFMyCP"/>
    <x v="0"/>
    <x v="1"/>
    <x v="3"/>
    <x v="3"/>
    <x v="2"/>
    <m/>
    <m/>
    <s v="LIMPIEZA GENERAL DEL PARQUE"/>
    <s v="TECNÓPOLIS"/>
    <s v="TECNOPOLIS"/>
    <x v="671"/>
    <s v="DNI"/>
    <n v="32842913"/>
    <s v="20328429137"/>
    <d v="1987-01-22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1"/>
    <x v="3"/>
    <x v="3"/>
    <x v="2"/>
    <m/>
    <m/>
    <s v="LIMPIEZA GENERAL DEL PARQUE"/>
    <s v="TECNÓPOLIS"/>
    <s v="TECNOPOLIS"/>
    <x v="672"/>
    <s v="DNI"/>
    <n v="28628292"/>
    <s v="27286282925"/>
    <d v="1981-02-18T00:00:00"/>
    <m/>
    <m/>
    <m/>
    <m/>
    <s v="ASISTENCIA TÉCNICA"/>
    <x v="0"/>
    <d v="2014-10-01T00:00:00"/>
    <m/>
    <d v="2016-12-31T00:00:00"/>
    <m/>
    <s v="UNTREF"/>
    <s v="UNTREF"/>
    <n v="9995.51"/>
    <x v="19"/>
    <x v="5"/>
  </r>
  <r>
    <s v="SFMyCP"/>
    <x v="0"/>
    <x v="1"/>
    <x v="1"/>
    <x v="31"/>
    <x v="2"/>
    <m/>
    <s v="Director"/>
    <m/>
    <m/>
    <m/>
    <x v="673"/>
    <s v="DNI"/>
    <m/>
    <m/>
    <m/>
    <m/>
    <m/>
    <m/>
    <m/>
    <m/>
    <x v="3"/>
    <m/>
    <m/>
    <d v="2016-12-31T00:00:00"/>
    <m/>
    <m/>
    <m/>
    <s v="."/>
    <x v="14"/>
    <x v="5"/>
  </r>
  <r>
    <s v="SFMyCP"/>
    <x v="0"/>
    <x v="1"/>
    <x v="1"/>
    <x v="2"/>
    <x v="2"/>
    <m/>
    <s v="ASISTENTE COORD NORTE"/>
    <s v="ADMINISTRATIVO"/>
    <m/>
    <s v="CCK - Alem 351"/>
    <x v="674"/>
    <s v="DNI"/>
    <n v="6410816"/>
    <n v="27064108161"/>
    <d v="1950-11-16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14"/>
    <x v="2"/>
    <m/>
    <m/>
    <s v="ADMINISTRATIVO"/>
    <m/>
    <s v="CCK - Alem 351"/>
    <x v="675"/>
    <s v="DNI"/>
    <n v="24569258"/>
    <n v="20245692588"/>
    <d v="1975-06-26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10"/>
    <x v="2"/>
    <m/>
    <m/>
    <s v="ADMINISTRATIVA"/>
    <m/>
    <s v="CCK - Alem 351"/>
    <x v="676"/>
    <s v="DNI"/>
    <n v="20294419"/>
    <s v="20202944192"/>
    <d v="1968-11-06T00:00:00"/>
    <m/>
    <m/>
    <m/>
    <m/>
    <s v="ASISTENCIA TÉCNICA"/>
    <x v="0"/>
    <d v="2016-04-01T00:00:00"/>
    <m/>
    <d v="2016-12-31T00:00:00"/>
    <m/>
    <s v="UNTREF"/>
    <m/>
    <n v="20000"/>
    <x v="18"/>
    <x v="3"/>
  </r>
  <r>
    <s v="SFMyCP"/>
    <x v="1"/>
    <x v="0"/>
    <x v="10"/>
    <x v="2"/>
    <x v="2"/>
    <m/>
    <m/>
    <m/>
    <m/>
    <m/>
    <x v="677"/>
    <s v="DNI"/>
    <n v="24170797"/>
    <n v="20241707971"/>
    <d v="1974-09-24T00:00:00"/>
    <m/>
    <m/>
    <m/>
    <m/>
    <s v="ASISTENCIA TÉCNICA"/>
    <x v="0"/>
    <d v="2016-08-01T00:00:00"/>
    <m/>
    <d v="2016-12-31T00:00:00"/>
    <m/>
    <m/>
    <m/>
    <m/>
    <x v="18"/>
    <x v="3"/>
  </r>
  <r>
    <s v="SFMyCP"/>
    <x v="1"/>
    <x v="0"/>
    <x v="10"/>
    <x v="2"/>
    <x v="2"/>
    <m/>
    <m/>
    <m/>
    <m/>
    <m/>
    <x v="678"/>
    <s v="DNI"/>
    <n v="36791184"/>
    <n v="20367911847"/>
    <d v="1992-01-09T00:00:00"/>
    <m/>
    <m/>
    <m/>
    <m/>
    <s v="ASISTENCIA TÉCNICA"/>
    <x v="0"/>
    <d v="2016-08-01T00:00:00"/>
    <m/>
    <d v="2016-12-31T00:00:00"/>
    <m/>
    <m/>
    <m/>
    <m/>
    <x v="18"/>
    <x v="3"/>
  </r>
  <r>
    <s v="SFMyCP"/>
    <x v="1"/>
    <x v="0"/>
    <x v="10"/>
    <x v="2"/>
    <x v="2"/>
    <m/>
    <m/>
    <m/>
    <m/>
    <m/>
    <x v="679"/>
    <s v="DNI"/>
    <n v="8557802"/>
    <n v="20085578023"/>
    <d v="1951-03-11T00:00:00"/>
    <m/>
    <m/>
    <m/>
    <m/>
    <s v="ASISTENCIA TÉCNICA"/>
    <x v="0"/>
    <d v="2016-08-01T00:00:00"/>
    <m/>
    <d v="2016-09-30T00:00:00"/>
    <m/>
    <m/>
    <m/>
    <m/>
    <x v="18"/>
    <x v="3"/>
  </r>
  <r>
    <s v="SFMyCP"/>
    <x v="1"/>
    <x v="0"/>
    <x v="10"/>
    <x v="2"/>
    <x v="2"/>
    <m/>
    <m/>
    <m/>
    <m/>
    <m/>
    <x v="680"/>
    <s v="DNI"/>
    <n v="29497455"/>
    <n v="27294974550"/>
    <d v="1982-06-14T00:00:00"/>
    <m/>
    <m/>
    <m/>
    <m/>
    <s v="ASISTENCIA TÉCNICA"/>
    <x v="0"/>
    <d v="2016-08-01T00:00:00"/>
    <m/>
    <d v="2016-12-31T00:00:00"/>
    <m/>
    <m/>
    <m/>
    <m/>
    <x v="18"/>
    <x v="3"/>
  </r>
  <r>
    <s v="SFMyCP"/>
    <x v="1"/>
    <x v="0"/>
    <x v="10"/>
    <x v="2"/>
    <x v="2"/>
    <m/>
    <m/>
    <m/>
    <m/>
    <m/>
    <x v="681"/>
    <s v="DNI"/>
    <n v="16345393"/>
    <n v="27163453938"/>
    <d v="1963-01-14T00:00:00"/>
    <m/>
    <m/>
    <m/>
    <m/>
    <s v="ASISTENCIA TÉCNICA"/>
    <x v="0"/>
    <d v="2016-08-01T00:00:00"/>
    <m/>
    <d v="2016-12-30T00:00:00"/>
    <m/>
    <m/>
    <m/>
    <m/>
    <x v="18"/>
    <x v="3"/>
  </r>
  <r>
    <s v="SFMyCP"/>
    <x v="0"/>
    <x v="0"/>
    <x v="8"/>
    <x v="1"/>
    <x v="2"/>
    <m/>
    <s v="DIRECTOR"/>
    <s v="ADMINISTRATIVO"/>
    <m/>
    <s v="CCK - Alem 351"/>
    <x v="682"/>
    <s v="DNI"/>
    <n v="29040298"/>
    <s v="20290402981"/>
    <d v="1981-09-01T00:00:00"/>
    <m/>
    <m/>
    <m/>
    <m/>
    <s v="ASISTENCIA TÉCNICA"/>
    <x v="0"/>
    <d v="2016-01-01T00:00:00"/>
    <m/>
    <d v="2016-12-31T00:00:00"/>
    <m/>
    <s v="UNTREF"/>
    <s v="UNSAM"/>
    <n v="36000"/>
    <x v="112"/>
    <x v="22"/>
  </r>
  <r>
    <s v="SFMyCP"/>
    <x v="0"/>
    <x v="0"/>
    <x v="0"/>
    <x v="8"/>
    <x v="6"/>
    <m/>
    <s v="PRODUCCIÓN"/>
    <s v="PAÑOL"/>
    <s v="CABILDO 65"/>
    <s v="CABILDO 65"/>
    <x v="683"/>
    <s v="DNI"/>
    <n v="30411280"/>
    <s v="20304112809"/>
    <d v="1983-07-16T00:00:00"/>
    <m/>
    <m/>
    <m/>
    <m/>
    <s v="ASISTENCIA TÉCNICA"/>
    <x v="0"/>
    <d v="2015-02-02T00:00:00"/>
    <m/>
    <d v="2016-12-31T00:00:00"/>
    <m/>
    <s v="UNTREF"/>
    <s v="UNSAM- LADA"/>
    <n v="15234"/>
    <x v="22"/>
    <x v="5"/>
  </r>
  <r>
    <s v="SFMyCP"/>
    <x v="0"/>
    <x v="0"/>
    <x v="0"/>
    <x v="8"/>
    <x v="6"/>
    <m/>
    <s v="POSTPRODUCCIÓN"/>
    <s v="EDICION"/>
    <s v="CABILDO 65"/>
    <s v="CABILDO 65"/>
    <x v="684"/>
    <s v="DNI"/>
    <n v="28644032"/>
    <s v="20286440321"/>
    <d v="1980-12-03T00:00:00"/>
    <m/>
    <m/>
    <m/>
    <m/>
    <s v="ASISTENCIA TÉCNICA"/>
    <x v="0"/>
    <d v="2013-03-01T00:00:00"/>
    <m/>
    <d v="2016-12-31T00:00:00"/>
    <m/>
    <s v="UNTREF"/>
    <m/>
    <n v="20959"/>
    <x v="15"/>
    <x v="3"/>
  </r>
  <r>
    <s v="SFMyCP"/>
    <x v="0"/>
    <x v="0"/>
    <x v="0"/>
    <x v="8"/>
    <x v="6"/>
    <m/>
    <s v="TÉCNICA Y TRANSMISIÓN"/>
    <s v="PRODUCTOR de EXTERIORES"/>
    <s v="CABILDO 65"/>
    <s v="CABILDO 65"/>
    <x v="685"/>
    <s v="DNI"/>
    <n v="23426521"/>
    <s v="20234265211"/>
    <d v="1973-11-12T00:00:00"/>
    <m/>
    <m/>
    <m/>
    <m/>
    <s v="ASISTENCIA TÉCNICA"/>
    <x v="0"/>
    <d v="2010-04-20T00:00:00"/>
    <m/>
    <d v="2016-12-31T00:00:00"/>
    <m/>
    <s v="UNTREF"/>
    <s v="UNSAM- LADA"/>
    <n v="16465"/>
    <x v="17"/>
    <x v="5"/>
  </r>
  <r>
    <s v="SFMyCP"/>
    <x v="0"/>
    <x v="1"/>
    <x v="7"/>
    <x v="2"/>
    <x v="2"/>
    <m/>
    <s v="PRIVADA"/>
    <s v="ADMINISTRATIVO"/>
    <m/>
    <s v="CCK - Alem 351"/>
    <x v="686"/>
    <s v="DNI"/>
    <n v="34203786"/>
    <n v="27342037866"/>
    <d v="1988-12-26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687"/>
    <s v="DNI"/>
    <n v="14156490"/>
    <n v="20141564901"/>
    <d v="1960-02-11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0"/>
    <x v="0"/>
    <x v="8"/>
    <x v="6"/>
    <m/>
    <s v="ACUA FEDERAL"/>
    <s v="ADMINISTRATIVO"/>
    <s v="CABILDO 65"/>
    <s v="CABILDO 65"/>
    <x v="688"/>
    <s v="DNI"/>
    <n v="31425968"/>
    <s v="27314259683"/>
    <d v="1985-03-14T00:00:00"/>
    <m/>
    <m/>
    <m/>
    <m/>
    <s v="ASISTENCIA TÉCNICA"/>
    <x v="0"/>
    <d v="2012-05-01T00:00:00"/>
    <m/>
    <d v="2016-12-31T00:00:00"/>
    <m/>
    <s v="UNTREF"/>
    <s v="UNSAM- LADA"/>
    <n v="7680"/>
    <x v="214"/>
    <x v="5"/>
  </r>
  <r>
    <s v="SFMyCP"/>
    <x v="0"/>
    <x v="1"/>
    <x v="3"/>
    <x v="4"/>
    <x v="2"/>
    <m/>
    <s v="COCINA"/>
    <s v="SUPERVISIÓN DEL ESTADO DE MODULOS GASTRONOMICOS INTERIOR Y EXTERIOR"/>
    <s v="TECNÓPOLIS"/>
    <s v="TECNOPOLIS"/>
    <x v="689"/>
    <s v="DNI"/>
    <n v="31725315"/>
    <n v="20317253150"/>
    <d v="1985-07-04T00:00:00"/>
    <m/>
    <m/>
    <m/>
    <m/>
    <s v="ASISTENCIA TÉCNICA"/>
    <x v="0"/>
    <d v="2015-05-01T00:00:00"/>
    <m/>
    <d v="2016-12-31T00:00:00"/>
    <m/>
    <s v="UNTREF"/>
    <s v="UNTREF"/>
    <n v="18000"/>
    <x v="57"/>
    <x v="5"/>
  </r>
  <r>
    <s v="SFMyCP"/>
    <x v="0"/>
    <x v="1"/>
    <x v="1"/>
    <x v="16"/>
    <x v="2"/>
    <m/>
    <m/>
    <s v="ADMINISTRATIVO"/>
    <m/>
    <s v="CCK - Alem 351"/>
    <x v="690"/>
    <s v="DNI"/>
    <n v="14106221"/>
    <s v="27141062218"/>
    <d v="1960-06-03T00:00:00"/>
    <m/>
    <m/>
    <m/>
    <m/>
    <s v="ASISTENCIA TÉCNICA"/>
    <x v="0"/>
    <m/>
    <m/>
    <d v="2016-12-31T00:00:00"/>
    <m/>
    <s v="UNTREF"/>
    <m/>
    <n v="15000"/>
    <x v="110"/>
    <x v="3"/>
  </r>
  <r>
    <s v="SFMyCP"/>
    <x v="1"/>
    <x v="0"/>
    <x v="2"/>
    <x v="2"/>
    <x v="2"/>
    <m/>
    <s v="PRIVADA"/>
    <s v="ADMINISTRATIVO"/>
    <m/>
    <s v="CCK - Alem 351"/>
    <x v="691"/>
    <s v="DNI"/>
    <n v="30742365"/>
    <n v="27307423656"/>
    <d v="1983-12-30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0"/>
    <x v="0"/>
    <x v="8"/>
    <x v="4"/>
    <m/>
    <s v="PRODUCCIÓN"/>
    <s v="PRODUCTOR de EXTERIORES"/>
    <s v="CABILDO 65"/>
    <s v="CABILDO 65"/>
    <x v="692"/>
    <s v="DNI"/>
    <n v="26844495"/>
    <s v="20268444956"/>
    <d v="1978-10-10T00:00:00"/>
    <m/>
    <m/>
    <m/>
    <m/>
    <s v="ASISTENCIA TÉCNICA"/>
    <x v="0"/>
    <d v="2011-08-01T00:00:00"/>
    <m/>
    <d v="2016-12-31T00:00:00"/>
    <m/>
    <s v="UNTREF"/>
    <m/>
    <n v="24060"/>
    <x v="73"/>
    <x v="3"/>
  </r>
  <r>
    <s v="SFMyCP"/>
    <x v="0"/>
    <x v="1"/>
    <x v="7"/>
    <x v="2"/>
    <x v="2"/>
    <m/>
    <s v="PRIVADA"/>
    <s v="ADMINISTRATIVO"/>
    <m/>
    <s v="CCK - Alem 351"/>
    <x v="693"/>
    <s v="DNI"/>
    <n v="23764787"/>
    <n v="23237647874"/>
    <d v="1974-12-0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3"/>
    <x v="2"/>
    <m/>
    <m/>
    <s v="LIMPIEZA GENERAL DEL PARQUE"/>
    <s v="TECNÓPOLIS"/>
    <s v="TECNOPOLIS"/>
    <x v="694"/>
    <s v="DNI"/>
    <n v="17972399"/>
    <s v="27179723994"/>
    <d v="1966-03-11T00:00:00"/>
    <m/>
    <m/>
    <m/>
    <m/>
    <s v="ASISTENCIA TÉCNICA"/>
    <x v="0"/>
    <d v="2013-07-01T00:00:00"/>
    <m/>
    <d v="2016-12-31T00:00:00"/>
    <m/>
    <s v="UNTREF"/>
    <s v="UNTREF"/>
    <n v="9995.51"/>
    <x v="19"/>
    <x v="5"/>
  </r>
  <r>
    <s v="SFMyCP"/>
    <x v="0"/>
    <x v="1"/>
    <x v="7"/>
    <x v="2"/>
    <x v="2"/>
    <m/>
    <s v="Secretaria"/>
    <s v="Secretaria"/>
    <s v="CCK"/>
    <s v="CCK - Alem 351"/>
    <x v="695"/>
    <s v="DNI"/>
    <n v="38464250"/>
    <s v="27384642506"/>
    <d v="1994-08-02T00:00:00"/>
    <m/>
    <m/>
    <m/>
    <m/>
    <s v="ASISTENCIA TÉCNICA"/>
    <x v="0"/>
    <d v="2015-08-01T00:00:00"/>
    <m/>
    <d v="2016-12-31T00:00:00"/>
    <m/>
    <s v="UNTREF"/>
    <s v="UNLAM- BICENTENARIO"/>
    <n v="10096"/>
    <x v="30"/>
    <x v="18"/>
  </r>
  <r>
    <s v="SFMyCP"/>
    <x v="0"/>
    <x v="1"/>
    <x v="1"/>
    <x v="16"/>
    <x v="2"/>
    <m/>
    <s v="Asistente funcional"/>
    <s v="asistente funcional"/>
    <s v="CCK"/>
    <s v="CCK - Alem 351"/>
    <x v="696"/>
    <s v="DNI"/>
    <n v="38176579"/>
    <s v="20381765793"/>
    <d v="1994-06-07T00:00:00"/>
    <m/>
    <m/>
    <m/>
    <m/>
    <s v="ASISTENCIA TÉCNICA"/>
    <x v="0"/>
    <d v="2014-03-01T00:00:00"/>
    <m/>
    <d v="2016-12-31T00:00:00"/>
    <m/>
    <s v="UNTREF"/>
    <s v="UNLAM- FUSION"/>
    <n v="10614"/>
    <x v="5"/>
    <x v="9"/>
  </r>
  <r>
    <s v="SFMyCP"/>
    <x v="1"/>
    <x v="0"/>
    <x v="5"/>
    <x v="7"/>
    <x v="2"/>
    <m/>
    <s v="Analista"/>
    <m/>
    <m/>
    <m/>
    <x v="697"/>
    <s v="DNI"/>
    <n v="30724860"/>
    <n v="20307249600"/>
    <m/>
    <m/>
    <m/>
    <m/>
    <m/>
    <s v="LEY MARCO"/>
    <x v="1"/>
    <d v="2013-12-01T00:00:00"/>
    <m/>
    <d v="2016-12-31T00:00:00"/>
    <s v="B1"/>
    <m/>
    <m/>
    <m/>
    <x v="18"/>
    <x v="3"/>
  </r>
  <r>
    <s v="SFMyCP"/>
    <x v="0"/>
    <x v="1"/>
    <x v="1"/>
    <x v="5"/>
    <x v="19"/>
    <m/>
    <s v="ASISTENTE"/>
    <s v="ASISTENTE"/>
    <s v="CCK"/>
    <s v="CCK - Alem 351"/>
    <x v="698"/>
    <s v="DNI"/>
    <n v="16965144"/>
    <s v="20169651443"/>
    <d v="1964-07-26T00:00:00"/>
    <m/>
    <m/>
    <m/>
    <m/>
    <s v="ASISTENCIA TÉCNICA"/>
    <x v="0"/>
    <d v="2015-08-01T00:00:00"/>
    <m/>
    <d v="2016-12-31T00:00:00"/>
    <m/>
    <s v="UNTREF"/>
    <s v="UNLAM- BICENTENARIO"/>
    <n v="10900"/>
    <x v="5"/>
    <x v="4"/>
  </r>
  <r>
    <s v="SFMyCP"/>
    <x v="0"/>
    <x v="1"/>
    <x v="3"/>
    <x v="3"/>
    <x v="2"/>
    <m/>
    <m/>
    <m/>
    <s v="TECNÓPOLIS"/>
    <m/>
    <x v="699"/>
    <s v="DNI"/>
    <n v="32911473"/>
    <n v="27329114738"/>
    <m/>
    <m/>
    <m/>
    <m/>
    <m/>
    <s v="LEY MARCO"/>
    <x v="1"/>
    <d v="2011-07-01T00:00:00"/>
    <d v="2016-12-31T00:00:00"/>
    <d v="2016-12-31T00:00:00"/>
    <s v="D0"/>
    <m/>
    <m/>
    <n v="15679.55"/>
    <x v="215"/>
    <x v="5"/>
  </r>
  <r>
    <s v="SFMyCP"/>
    <x v="0"/>
    <x v="0"/>
    <x v="0"/>
    <x v="8"/>
    <x v="6"/>
    <m/>
    <m/>
    <s v="PRODUCTOR de EXTERIORES"/>
    <s v="CABILDO 65"/>
    <s v="CABILDO 65"/>
    <x v="700"/>
    <s v="DNI"/>
    <n v="39372456"/>
    <n v="20393724561"/>
    <d v="1996-01-09T00:00:00"/>
    <m/>
    <m/>
    <m/>
    <m/>
    <s v="ASISTENCIA TÉCNICA"/>
    <x v="0"/>
    <d v="2015-08-01T00:00:00"/>
    <m/>
    <d v="2016-12-31T00:00:00"/>
    <m/>
    <s v="UNTREF"/>
    <s v="UNSAM- LADA"/>
    <n v="14027"/>
    <x v="216"/>
    <x v="5"/>
  </r>
  <r>
    <s v="SFMyCP"/>
    <x v="0"/>
    <x v="0"/>
    <x v="0"/>
    <x v="8"/>
    <x v="6"/>
    <m/>
    <s v="PRODUCCIÓN"/>
    <s v="PRODUCTOR de EXTERIORES"/>
    <s v="CABILDO 65"/>
    <s v="CABILDO 65"/>
    <x v="701"/>
    <s v="DNI"/>
    <n v="33486041"/>
    <s v="20334860419"/>
    <d v="1987-12-09T00:00:00"/>
    <m/>
    <m/>
    <m/>
    <m/>
    <s v="ASISTENCIA TÉCNICA"/>
    <x v="0"/>
    <d v="2013-06-13T00:00:00"/>
    <m/>
    <d v="2016-12-31T00:00:00"/>
    <m/>
    <s v="UNTREF"/>
    <m/>
    <n v="18795"/>
    <x v="37"/>
    <x v="3"/>
  </r>
  <r>
    <s v="SFMyCP"/>
    <x v="0"/>
    <x v="1"/>
    <x v="7"/>
    <x v="2"/>
    <x v="2"/>
    <m/>
    <s v="PRIVADA"/>
    <s v="ADMINISTRATIVO"/>
    <m/>
    <s v="CCK - Alem 351"/>
    <x v="702"/>
    <s v="DNI"/>
    <n v="30335285"/>
    <n v="20303352857"/>
    <d v="1983-06-1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2"/>
    <x v="2"/>
    <m/>
    <m/>
    <s v="ADMINISTRATIVO"/>
    <m/>
    <s v="CCK - Alem 351"/>
    <x v="703"/>
    <s v="DNI"/>
    <n v="31041736"/>
    <s v="20310417360"/>
    <d v="1984-06-28T00:00:00"/>
    <m/>
    <m/>
    <m/>
    <m/>
    <s v="ASISTENCIA TÉCNICA"/>
    <x v="0"/>
    <d v="2016-01-01T00:00:00"/>
    <m/>
    <d v="2016-12-31T00:00:00"/>
    <m/>
    <s v="UNTREF"/>
    <s v="UNSAM"/>
    <n v="36000"/>
    <x v="112"/>
    <x v="22"/>
  </r>
  <r>
    <s v="SFMyCP"/>
    <x v="0"/>
    <x v="0"/>
    <x v="0"/>
    <x v="8"/>
    <x v="6"/>
    <m/>
    <s v="PRODUCCIÓN"/>
    <s v="PRODUCTOR de EXTERIORES"/>
    <s v="CABILDO 65"/>
    <s v="CABILDO 65"/>
    <x v="704"/>
    <s v="DNI"/>
    <n v="32823856"/>
    <s v="20328238560"/>
    <d v="1987-01-28T00:00:00"/>
    <m/>
    <m/>
    <m/>
    <m/>
    <s v="ASISTENCIA TÉCNICA"/>
    <x v="0"/>
    <d v="2011-07-01T00:00:00"/>
    <m/>
    <d v="2016-12-31T00:00:00"/>
    <m/>
    <s v="UNTREF"/>
    <s v="UNSAM- LADA"/>
    <n v="21683"/>
    <x v="217"/>
    <x v="5"/>
  </r>
  <r>
    <s v="SFMyCP"/>
    <x v="1"/>
    <x v="0"/>
    <x v="5"/>
    <x v="25"/>
    <x v="2"/>
    <m/>
    <s v="Responsable"/>
    <s v="Administrativo"/>
    <s v="CCK"/>
    <s v="CCK - Alem 351"/>
    <x v="705"/>
    <s v="DNI"/>
    <n v="24756319"/>
    <s v="23247563199"/>
    <d v="1976-01-14T00:00:00"/>
    <m/>
    <m/>
    <m/>
    <m/>
    <s v="ASISTENCIA TÉCNICA"/>
    <x v="0"/>
    <d v="2015-07-12T00:00:00"/>
    <m/>
    <d v="2016-12-31T00:00:00"/>
    <m/>
    <s v="UNTREF"/>
    <s v="UNLAM -TDA"/>
    <n v="17098"/>
    <x v="53"/>
    <x v="36"/>
  </r>
  <r>
    <s v="SFMyCP"/>
    <x v="0"/>
    <x v="0"/>
    <x v="8"/>
    <x v="1"/>
    <x v="2"/>
    <m/>
    <m/>
    <s v="ADMINISTRATIVO"/>
    <m/>
    <s v="CCK - Alem 351"/>
    <x v="706"/>
    <s v="DNI"/>
    <n v="36931486"/>
    <n v="20369314867"/>
    <d v="1992-08-17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2"/>
    <x v="2"/>
    <m/>
    <s v="PRIVADA"/>
    <s v="ADMINISTRATIVO"/>
    <m/>
    <s v="TECNOPOLIS"/>
    <x v="707"/>
    <s v="DNI"/>
    <n v="33672652"/>
    <n v="20336726523"/>
    <d v="1998-03-29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5"/>
    <x v="14"/>
    <m/>
    <m/>
    <s v="Asistente"/>
    <m/>
    <s v="CCK - Alem 351"/>
    <x v="708"/>
    <s v="DNI"/>
    <n v="34417823"/>
    <s v="27344178238"/>
    <d v="1989-12-30T00:00:00"/>
    <m/>
    <m/>
    <m/>
    <m/>
    <s v="ASISTENCIA TÉCNICA"/>
    <x v="0"/>
    <d v="2013-11-01T00:00:00"/>
    <m/>
    <d v="2016-12-31T00:00:00"/>
    <m/>
    <s v="UNTREF"/>
    <m/>
    <n v="9479"/>
    <x v="18"/>
    <x v="3"/>
  </r>
  <r>
    <s v="SFMyCP"/>
    <x v="0"/>
    <x v="1"/>
    <x v="3"/>
    <x v="10"/>
    <x v="2"/>
    <m/>
    <m/>
    <m/>
    <s v="TECNÓPOLIS"/>
    <m/>
    <x v="709"/>
    <s v="DNI"/>
    <n v="33507251"/>
    <n v="20335072511"/>
    <m/>
    <m/>
    <m/>
    <m/>
    <m/>
    <s v="LEY MARCO"/>
    <x v="1"/>
    <d v="2010-03-01T00:00:00"/>
    <d v="2016-12-31T00:00:00"/>
    <d v="2016-12-31T00:00:00"/>
    <s v="C1"/>
    <m/>
    <m/>
    <n v="18118.63"/>
    <x v="218"/>
    <x v="5"/>
  </r>
  <r>
    <s v="SFMyCP"/>
    <x v="0"/>
    <x v="1"/>
    <x v="3"/>
    <x v="4"/>
    <x v="2"/>
    <m/>
    <s v="PRIVADA"/>
    <s v="Coordinador"/>
    <m/>
    <s v="TECNOPOLIS"/>
    <x v="710"/>
    <s v="DNI"/>
    <n v="27641729"/>
    <n v="27276417296"/>
    <d v="1979-03-01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3"/>
    <x v="23"/>
    <x v="2"/>
    <m/>
    <m/>
    <m/>
    <s v="TECNÓPOLIS"/>
    <m/>
    <x v="711"/>
    <s v="DNI"/>
    <n v="11078343"/>
    <n v="20110783435"/>
    <m/>
    <m/>
    <m/>
    <m/>
    <m/>
    <s v="LEY MARCO"/>
    <x v="1"/>
    <d v="2012-12-01T00:00:00"/>
    <d v="2016-12-31T00:00:00"/>
    <d v="2016-12-31T00:00:00"/>
    <s v="C0"/>
    <m/>
    <m/>
    <n v="24716"/>
    <x v="219"/>
    <x v="5"/>
  </r>
  <r>
    <s v="SFMyCP"/>
    <x v="0"/>
    <x v="1"/>
    <x v="3"/>
    <x v="24"/>
    <x v="2"/>
    <m/>
    <s v="Tareas Generales"/>
    <s v="TAREAS EN GENERAL TALLER CARPINTERIA/HERRERÍA/TEXTIL"/>
    <s v="TECNÓPOLIS"/>
    <m/>
    <x v="712"/>
    <s v="DNI"/>
    <n v="22232165"/>
    <n v="20222321655"/>
    <d v="1971-07-21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0"/>
    <x v="0"/>
    <x v="8"/>
    <x v="6"/>
    <m/>
    <s v="PRODUCCIÓN"/>
    <s v="PRODUCTOR de EXTERIORES"/>
    <s v="CABILDO 65"/>
    <s v="CABILDO 65"/>
    <x v="713"/>
    <s v="DNI"/>
    <n v="30979332"/>
    <s v="20309793324"/>
    <d v="1984-05-10T00:00:00"/>
    <m/>
    <m/>
    <m/>
    <m/>
    <s v="ASISTENCIA TÉCNICA"/>
    <x v="0"/>
    <d v="2012-08-01T00:00:00"/>
    <m/>
    <d v="2016-12-31T00:00:00"/>
    <m/>
    <s v="UNTREF"/>
    <m/>
    <n v="21683"/>
    <x v="217"/>
    <x v="3"/>
  </r>
  <r>
    <s v="SFMyCP"/>
    <x v="0"/>
    <x v="1"/>
    <x v="3"/>
    <x v="15"/>
    <x v="2"/>
    <m/>
    <m/>
    <s v="COORDINADOR DE TALLER"/>
    <s v="TECNÓPOLIS"/>
    <s v="TECNOPOLIS"/>
    <x v="714"/>
    <s v="DNI"/>
    <n v="20477882"/>
    <s v="20204778826"/>
    <d v="1968-10-15T00:00:00"/>
    <m/>
    <m/>
    <m/>
    <m/>
    <s v="ASISTENCIA TÉCNICA"/>
    <x v="0"/>
    <d v="2014-04-01T00:00:00"/>
    <m/>
    <d v="2016-12-31T00:00:00"/>
    <m/>
    <s v="UNTREF"/>
    <s v="UNTREF"/>
    <n v="17567.86"/>
    <x v="220"/>
    <x v="5"/>
  </r>
  <r>
    <s v="SFMyCP"/>
    <x v="0"/>
    <x v="1"/>
    <x v="3"/>
    <x v="15"/>
    <x v="2"/>
    <m/>
    <m/>
    <s v="MANTENIMIENTO GRAL DE GRÁFICA/CONFECCIÓN DE ESTRUCTURAS/COLOCACIÓN VINILO/REPARACIÓN DE ESTRUCTURAS"/>
    <s v="TECNÓPOLIS"/>
    <s v="TECNOPOLIS"/>
    <x v="715"/>
    <s v="DNI"/>
    <n v="29018545"/>
    <s v="23290185459"/>
    <d v="1981-07-04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1"/>
    <x v="1"/>
    <x v="5"/>
    <x v="14"/>
    <m/>
    <s v="control acceso"/>
    <s v="Auxiliar"/>
    <s v="CCK"/>
    <s v="CCK - Alem 351"/>
    <x v="716"/>
    <s v="DNI"/>
    <n v="37233955"/>
    <s v="20372339552"/>
    <d v="1993-06-07T00:00:00"/>
    <m/>
    <m/>
    <m/>
    <m/>
    <s v="ASISTENCIA TÉCNICA"/>
    <x v="0"/>
    <d v="2015-08-01T00:00:00"/>
    <m/>
    <d v="2016-12-31T00:00:00"/>
    <m/>
    <s v="UNTREF"/>
    <s v="UNLAM- BICENTENARIO"/>
    <n v="10096"/>
    <x v="5"/>
    <x v="4"/>
  </r>
  <r>
    <s v="SFMyCP"/>
    <x v="2"/>
    <x v="0"/>
    <x v="4"/>
    <x v="2"/>
    <x v="2"/>
    <m/>
    <m/>
    <s v="ADMINISTRATIVO"/>
    <m/>
    <s v="CCK - Alem 351"/>
    <x v="717"/>
    <s v="DNI"/>
    <n v="23118409"/>
    <m/>
    <d v="1972-12-10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0"/>
    <x v="4"/>
    <x v="11"/>
    <x v="2"/>
    <m/>
    <s v="PRIVADA"/>
    <s v="ADMINISTRATIVO"/>
    <m/>
    <s v="CCK - Alem 351"/>
    <x v="718"/>
    <s v="DNI"/>
    <n v="20117208"/>
    <n v="27201172085"/>
    <d v="1968-03-0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9"/>
    <x v="2"/>
    <m/>
    <s v="ADMINISTRATIVO"/>
    <s v="COORDINADORA PERSONAL TEMPORARIO"/>
    <s v="TECNÓPOLIS"/>
    <s v="TECNOPOLIS"/>
    <x v="719"/>
    <s v="DNI"/>
    <n v="6237441"/>
    <s v="27062374417"/>
    <d v="1949-12-26T00:00:00"/>
    <m/>
    <m/>
    <m/>
    <m/>
    <s v="ASISTENCIA TÉCNICA"/>
    <x v="0"/>
    <d v="2013-06-01T00:00:00"/>
    <m/>
    <d v="2016-12-31T00:00:00"/>
    <m/>
    <s v="UNTREF"/>
    <s v="UNTREF"/>
    <n v="21340.27"/>
    <x v="221"/>
    <x v="42"/>
  </r>
  <r>
    <s v="SFMyCP"/>
    <x v="0"/>
    <x v="1"/>
    <x v="1"/>
    <x v="16"/>
    <x v="2"/>
    <m/>
    <s v="Analista"/>
    <m/>
    <s v="CCK"/>
    <m/>
    <x v="720"/>
    <s v="DNI"/>
    <n v="25065302"/>
    <n v="27250653021"/>
    <m/>
    <m/>
    <m/>
    <m/>
    <m/>
    <s v="LEY MARCO"/>
    <x v="1"/>
    <d v="2011-02-01T00:00:00"/>
    <d v="2016-12-31T00:00:00"/>
    <d v="2016-12-31T00:00:00"/>
    <s v="B3"/>
    <m/>
    <m/>
    <n v="22828"/>
    <x v="222"/>
    <x v="5"/>
  </r>
  <r>
    <s v="SFMyCP"/>
    <x v="0"/>
    <x v="0"/>
    <x v="8"/>
    <x v="1"/>
    <x v="2"/>
    <m/>
    <m/>
    <s v="ADMINISTRATIVO"/>
    <m/>
    <s v="CCK - Alem 351"/>
    <x v="721"/>
    <s v="DNI"/>
    <n v="29986135"/>
    <s v="27299861355"/>
    <d v="1982-12-30T00:00:00"/>
    <m/>
    <m/>
    <m/>
    <m/>
    <s v="ASISTENCIA TÉCNICA"/>
    <x v="0"/>
    <d v="2016-01-01T00:00:00"/>
    <m/>
    <d v="2016-12-31T00:00:00"/>
    <m/>
    <s v="UNTREF"/>
    <m/>
    <n v="15000"/>
    <x v="110"/>
    <x v="9"/>
  </r>
  <r>
    <s v="SFMyCP"/>
    <x v="1"/>
    <x v="0"/>
    <x v="5"/>
    <x v="17"/>
    <x v="15"/>
    <m/>
    <s v="DOCTOR"/>
    <s v="ADMINISTRATIVO"/>
    <m/>
    <s v="CCK - Alem 351"/>
    <x v="722"/>
    <s v="DNI"/>
    <n v="33435429"/>
    <n v="27334354291"/>
    <d v="1988-02-24T00:00:00"/>
    <m/>
    <m/>
    <m/>
    <m/>
    <s v="ASISTENCIA TÉCNICA"/>
    <x v="0"/>
    <d v="2016-07-14T00:00:00"/>
    <m/>
    <d v="2016-12-31T00:00:00"/>
    <m/>
    <s v="UNTREF"/>
    <m/>
    <m/>
    <x v="18"/>
    <x v="3"/>
  </r>
  <r>
    <s v="SFMyCP"/>
    <x v="0"/>
    <x v="0"/>
    <x v="0"/>
    <x v="8"/>
    <x v="6"/>
    <m/>
    <s v="BACUA"/>
    <s v="ADMINISTRATIVO"/>
    <s v="CABILDO 65"/>
    <s v="CABILDO 65"/>
    <x v="723"/>
    <s v="DNI"/>
    <n v="32262741"/>
    <s v="27322627411"/>
    <d v="1986-04-20T00:00:00"/>
    <m/>
    <m/>
    <m/>
    <m/>
    <s v="ASISTENCIA TÉCNICA"/>
    <x v="0"/>
    <d v="2012-12-01T00:00:00"/>
    <m/>
    <d v="2016-12-31T00:00:00"/>
    <m/>
    <s v="UNTREF"/>
    <s v="UNSAM- LADA"/>
    <n v="16465"/>
    <x v="17"/>
    <x v="5"/>
  </r>
  <r>
    <s v="SFMyCP"/>
    <x v="0"/>
    <x v="0"/>
    <x v="0"/>
    <x v="8"/>
    <x v="6"/>
    <m/>
    <s v="PANORAMA ARGENTINO"/>
    <s v="ADMINISTRATIVO"/>
    <s v="CABILDO 65"/>
    <s v="CABILDO 65"/>
    <x v="724"/>
    <s v="DNI"/>
    <n v="20552687"/>
    <s v="20205526871"/>
    <d v="1968-11-01T00:00:00"/>
    <m/>
    <m/>
    <m/>
    <m/>
    <s v="ASISTENCIA TÉCNICA"/>
    <x v="0"/>
    <d v="2012-04-23T00:00:00"/>
    <m/>
    <d v="2016-12-31T00:00:00"/>
    <m/>
    <s v="UNTREF"/>
    <s v="UNSAM- LADA"/>
    <n v="23386"/>
    <x v="208"/>
    <x v="5"/>
  </r>
  <r>
    <s v="SFMyCP"/>
    <x v="0"/>
    <x v="1"/>
    <x v="7"/>
    <x v="2"/>
    <x v="2"/>
    <m/>
    <s v="ASISTENTE"/>
    <m/>
    <s v="CCK"/>
    <m/>
    <x v="725"/>
    <s v="DNI"/>
    <n v="30800939"/>
    <n v="23308009394"/>
    <m/>
    <m/>
    <m/>
    <m/>
    <m/>
    <s v="LEY MARCO"/>
    <x v="1"/>
    <d v="2013-12-01T00:00:00"/>
    <d v="2016-03-31T00:00:00"/>
    <d v="2016-12-31T00:00:00"/>
    <s v="B1"/>
    <m/>
    <m/>
    <n v="20266"/>
    <x v="24"/>
    <x v="5"/>
  </r>
  <r>
    <s v="SFMyCP"/>
    <x v="0"/>
    <x v="1"/>
    <x v="3"/>
    <x v="3"/>
    <x v="2"/>
    <m/>
    <m/>
    <s v="LIMPIEZA GENERAL DEL PARQUE"/>
    <s v="TECNÓPOLIS"/>
    <s v="TECNOPOLIS"/>
    <x v="726"/>
    <s v="DNI"/>
    <n v="29871046"/>
    <s v="27298710469"/>
    <d v="1982-06-02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0"/>
    <x v="0"/>
    <x v="8"/>
    <x v="6"/>
    <m/>
    <s v="PROMOCIONES"/>
    <s v="ADMINISTRATIVO"/>
    <s v="CABILDO 65"/>
    <s v="CABILDO 65"/>
    <x v="727"/>
    <s v="DNI"/>
    <n v="25554128"/>
    <s v="27255541280"/>
    <d v="1976-10-10T00:00:00"/>
    <m/>
    <m/>
    <m/>
    <m/>
    <s v="ASISTENCIA TÉCNICA"/>
    <x v="0"/>
    <d v="2012-05-03T00:00:00"/>
    <m/>
    <d v="2016-12-31T00:00:00"/>
    <m/>
    <s v="UNTREF"/>
    <s v="UNSAM- LADA"/>
    <n v="19552"/>
    <x v="223"/>
    <x v="5"/>
  </r>
  <r>
    <s v="SFMyCP"/>
    <x v="0"/>
    <x v="0"/>
    <x v="4"/>
    <x v="2"/>
    <x v="2"/>
    <m/>
    <s v="PRIVADA"/>
    <s v="ADMINISTRATIVO"/>
    <m/>
    <s v="CCK - Alem 351"/>
    <x v="728"/>
    <s v="DNI"/>
    <n v="6717338"/>
    <n v="23067173384"/>
    <d v="1951-04-24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1"/>
    <x v="0"/>
    <x v="5"/>
    <x v="7"/>
    <x v="2"/>
    <m/>
    <m/>
    <s v="ADMINISTRATIVO"/>
    <m/>
    <s v="CCK - Alem 351"/>
    <x v="729"/>
    <s v="DNI"/>
    <n v="34103577"/>
    <s v="27341035770"/>
    <d v="1989-01-29T00:00:00"/>
    <m/>
    <m/>
    <m/>
    <m/>
    <s v="ASISTENCIA TÉCNICA"/>
    <x v="0"/>
    <d v="2016-06-01T00:00:00"/>
    <m/>
    <d v="2016-12-31T00:00:00"/>
    <m/>
    <s v="UNTREF"/>
    <m/>
    <n v="14000"/>
    <x v="18"/>
    <x v="3"/>
  </r>
  <r>
    <s v="SFMyCP"/>
    <x v="0"/>
    <x v="1"/>
    <x v="3"/>
    <x v="15"/>
    <x v="2"/>
    <m/>
    <m/>
    <m/>
    <s v="TECNÓPOLIS"/>
    <m/>
    <x v="730"/>
    <s v="DNI"/>
    <n v="35360516"/>
    <n v="20353605160"/>
    <m/>
    <m/>
    <m/>
    <m/>
    <m/>
    <s v="LEY MARCO"/>
    <x v="1"/>
    <d v="2014-07-01T00:00:00"/>
    <d v="2016-03-31T00:00:00"/>
    <d v="2016-12-31T00:00:00"/>
    <s v="D1"/>
    <m/>
    <m/>
    <n v="19499.72"/>
    <x v="224"/>
    <x v="5"/>
  </r>
  <r>
    <s v="SFMyCP"/>
    <x v="0"/>
    <x v="1"/>
    <x v="3"/>
    <x v="15"/>
    <x v="2"/>
    <m/>
    <m/>
    <m/>
    <s v="TECNÓPOLIS"/>
    <m/>
    <x v="731"/>
    <s v="DNI"/>
    <n v="36426532"/>
    <n v="20364265329"/>
    <m/>
    <m/>
    <m/>
    <m/>
    <m/>
    <s v="LEY MARCO"/>
    <x v="1"/>
    <d v="2012-08-01T00:00:00"/>
    <d v="2016-12-31T00:00:00"/>
    <d v="2016-12-31T00:00:00"/>
    <s v="D0"/>
    <m/>
    <m/>
    <n v="9991"/>
    <x v="225"/>
    <x v="5"/>
  </r>
  <r>
    <s v="SFMyCP"/>
    <x v="0"/>
    <x v="1"/>
    <x v="3"/>
    <x v="4"/>
    <x v="2"/>
    <m/>
    <s v="COCINA"/>
    <s v="PRODUCCION GRAL DE RECETAS, MANIPULACIÓN DE INGREDIENTES, DESPCAHO DE ALIMENTOS"/>
    <s v="TECNÓPOLIS"/>
    <s v="TECNOPOLIS"/>
    <x v="732"/>
    <s v="DNI"/>
    <n v="39562840"/>
    <s v="20395628403"/>
    <d v="1996-03-22T00:00:00"/>
    <m/>
    <m/>
    <m/>
    <m/>
    <s v="ASISTENCIA TÉCNICA"/>
    <x v="0"/>
    <d v="2014-04-01T00:00:00"/>
    <m/>
    <d v="2016-12-31T00:00:00"/>
    <m/>
    <s v="UNTREF"/>
    <s v="UNTREF"/>
    <n v="10408.549999999999"/>
    <x v="13"/>
    <x v="5"/>
  </r>
  <r>
    <s v="SFMyCP"/>
    <x v="0"/>
    <x v="1"/>
    <x v="3"/>
    <x v="44"/>
    <x v="2"/>
    <m/>
    <m/>
    <m/>
    <s v="TECNÓPOLIS"/>
    <m/>
    <x v="733"/>
    <s v="DNI"/>
    <n v="16965096"/>
    <n v="23169650969"/>
    <m/>
    <m/>
    <m/>
    <m/>
    <m/>
    <s v="LEY MARCO"/>
    <x v="1"/>
    <d v="2012-10-31T00:00:00"/>
    <d v="2016-12-31T00:00:00"/>
    <d v="2016-12-31T00:00:00"/>
    <s v="C0"/>
    <m/>
    <m/>
    <n v="29724.25"/>
    <x v="226"/>
    <x v="5"/>
  </r>
  <r>
    <s v="SFMyCP"/>
    <x v="0"/>
    <x v="1"/>
    <x v="3"/>
    <x v="3"/>
    <x v="2"/>
    <m/>
    <m/>
    <s v="ENCARGADO DE LIMPIEZA"/>
    <s v="TECNÓPOLIS"/>
    <s v="TECNOPOLIS"/>
    <x v="734"/>
    <s v="DNI"/>
    <n v="18221165"/>
    <s v="27182211651"/>
    <d v="1966-11-25T00:00:00"/>
    <m/>
    <m/>
    <m/>
    <m/>
    <s v="ASISTENCIA TÉCNICA"/>
    <x v="0"/>
    <d v="2012-07-01T00:00:00"/>
    <m/>
    <d v="2016-12-31T00:00:00"/>
    <m/>
    <s v="UNTREF"/>
    <s v="UNTREF"/>
    <n v="13450"/>
    <x v="87"/>
    <x v="5"/>
  </r>
  <r>
    <s v="SFMyCP"/>
    <x v="0"/>
    <x v="1"/>
    <x v="3"/>
    <x v="6"/>
    <x v="2"/>
    <m/>
    <m/>
    <s v="TRASLADOS/CARGA Y DESCARGA"/>
    <s v="TECNÓPOLIS"/>
    <s v="TECNOPOLIS"/>
    <x v="735"/>
    <s v="DNI"/>
    <n v="32525350"/>
    <s v="23325253509"/>
    <d v="1986-09-24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1"/>
    <x v="1"/>
    <x v="16"/>
    <x v="11"/>
    <m/>
    <m/>
    <s v="VISITAS GUIADAS"/>
    <m/>
    <s v="CCK - Alem 351"/>
    <x v="736"/>
    <s v="DNI"/>
    <n v="37143089"/>
    <n v="27371443895"/>
    <d v="1992-10-16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2"/>
    <x v="0"/>
    <x v="4"/>
    <x v="2"/>
    <x v="2"/>
    <m/>
    <s v="PRIVADA"/>
    <s v="ADMINISTRATIVO"/>
    <m/>
    <s v="CCK - Alem 351"/>
    <x v="737"/>
    <s v="DNI"/>
    <n v="20405368"/>
    <s v="20204053686"/>
    <d v="1968-07-25T00:00:00"/>
    <m/>
    <m/>
    <m/>
    <m/>
    <s v="ASISTENCIA TÉCNICA"/>
    <x v="0"/>
    <d v="2016-01-01T00:00:00"/>
    <m/>
    <d v="2016-12-31T00:00:00"/>
    <m/>
    <s v="UNTREF"/>
    <s v="UNSAM"/>
    <n v="27370"/>
    <x v="112"/>
    <x v="2"/>
  </r>
  <r>
    <s v="SFMyCP"/>
    <x v="0"/>
    <x v="1"/>
    <x v="3"/>
    <x v="10"/>
    <x v="2"/>
    <m/>
    <m/>
    <m/>
    <s v="TECNÓPOLIS"/>
    <m/>
    <x v="738"/>
    <s v="DNI"/>
    <n v="23877871"/>
    <n v="23238778719"/>
    <m/>
    <m/>
    <m/>
    <m/>
    <m/>
    <s v="LEY MARCO"/>
    <x v="1"/>
    <d v="2012-10-31T00:00:00"/>
    <d v="2016-12-31T00:00:00"/>
    <d v="2016-12-31T00:00:00"/>
    <s v="C0"/>
    <m/>
    <m/>
    <n v="29784"/>
    <x v="55"/>
    <x v="5"/>
  </r>
  <r>
    <s v="SFMyCP"/>
    <x v="0"/>
    <x v="0"/>
    <x v="0"/>
    <x v="8"/>
    <x v="6"/>
    <m/>
    <s v="TÉCNICA Y TRANSMISIÓN"/>
    <s v="ADMINISTRATIVO"/>
    <s v="CABILDO 65"/>
    <s v="CABILDO 65"/>
    <x v="739"/>
    <s v="DNI"/>
    <n v="38357112"/>
    <s v="27383571125"/>
    <d v="1994-06-05T00:00:00"/>
    <m/>
    <m/>
    <m/>
    <m/>
    <s v="ASISTENCIA TÉCNICA"/>
    <x v="0"/>
    <d v="2015-02-02T00:00:00"/>
    <m/>
    <d v="2016-12-31T00:00:00"/>
    <m/>
    <s v="UNTREF"/>
    <s v="UNSAM- LADA"/>
    <n v="16465"/>
    <x v="17"/>
    <x v="5"/>
  </r>
  <r>
    <s v="SFMyCP"/>
    <x v="0"/>
    <x v="1"/>
    <x v="1"/>
    <x v="5"/>
    <x v="21"/>
    <m/>
    <s v="Asistente"/>
    <m/>
    <s v="CCK"/>
    <m/>
    <x v="740"/>
    <s v="DNI"/>
    <n v="34294750"/>
    <n v="27342947501"/>
    <m/>
    <m/>
    <m/>
    <m/>
    <m/>
    <s v="LEY MARCO"/>
    <x v="1"/>
    <d v="2011-06-18T00:00:00"/>
    <d v="2016-12-31T00:00:00"/>
    <d v="2016-12-31T00:00:00"/>
    <s v="C0"/>
    <m/>
    <m/>
    <n v="11456"/>
    <x v="227"/>
    <x v="5"/>
  </r>
  <r>
    <s v="SFMyCP"/>
    <x v="1"/>
    <x v="0"/>
    <x v="2"/>
    <x v="2"/>
    <x v="2"/>
    <m/>
    <s v="PRIVADA"/>
    <s v="ADMINISTRATIVO"/>
    <m/>
    <s v="CCK - Alem 351"/>
    <x v="741"/>
    <s v="DNI"/>
    <n v="4522026"/>
    <n v="20045220266"/>
    <d v="1945-02-20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3"/>
    <x v="2"/>
    <m/>
    <m/>
    <m/>
    <s v="TECNÓPOLIS"/>
    <m/>
    <x v="742"/>
    <s v="DNI"/>
    <n v="13780199"/>
    <n v="27137801995"/>
    <m/>
    <m/>
    <m/>
    <m/>
    <m/>
    <s v="LEY MARCO"/>
    <x v="1"/>
    <d v="2011-12-01T00:00:00"/>
    <d v="2016-12-31T00:00:00"/>
    <d v="2016-12-31T00:00:00"/>
    <s v="D0"/>
    <m/>
    <m/>
    <n v="23404"/>
    <x v="228"/>
    <x v="5"/>
  </r>
  <r>
    <s v="SFMyCP"/>
    <x v="0"/>
    <x v="1"/>
    <x v="3"/>
    <x v="10"/>
    <x v="2"/>
    <m/>
    <m/>
    <m/>
    <s v="TECNÓPOLIS"/>
    <m/>
    <x v="743"/>
    <s v="DNI"/>
    <n v="23222525"/>
    <n v="20232225255"/>
    <m/>
    <m/>
    <m/>
    <m/>
    <m/>
    <s v="LEY MARCO"/>
    <x v="1"/>
    <d v="2012-10-31T00:00:00"/>
    <d v="2016-12-31T00:00:00"/>
    <d v="2016-12-31T00:00:00"/>
    <s v="C0"/>
    <m/>
    <m/>
    <n v="29078"/>
    <x v="55"/>
    <x v="5"/>
  </r>
  <r>
    <s v="SFMyCP"/>
    <x v="0"/>
    <x v="0"/>
    <x v="4"/>
    <x v="2"/>
    <x v="2"/>
    <m/>
    <s v="PRIVADA"/>
    <s v="ADMINISTRATIVO"/>
    <m/>
    <s v="CCK - Alem 351"/>
    <x v="744"/>
    <s v="DNI"/>
    <n v="20964558"/>
    <n v="20209645581"/>
    <d v="1969-06-03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1"/>
    <x v="14"/>
    <x v="2"/>
    <m/>
    <m/>
    <s v="ADMINISTRATIVO"/>
    <m/>
    <s v="CCK - Alem 351"/>
    <x v="745"/>
    <s v="DNI"/>
    <n v="18780914"/>
    <s v="20187809143"/>
    <d v="1966-01-22T00:00:00"/>
    <m/>
    <m/>
    <m/>
    <m/>
    <s v="ASISTENCIA TÉCNICA"/>
    <x v="0"/>
    <d v="2011-03-03T00:00:00"/>
    <m/>
    <d v="2016-12-31T00:00:00"/>
    <m/>
    <s v="UNTREF"/>
    <s v="UNTREF"/>
    <n v="13531.11"/>
    <x v="229"/>
    <x v="5"/>
  </r>
  <r>
    <s v="SFMyCP"/>
    <x v="0"/>
    <x v="1"/>
    <x v="3"/>
    <x v="15"/>
    <x v="2"/>
    <m/>
    <m/>
    <s v="CONTROL DE STOCK Y EVOLUCIÓN DE HERRAMIENTAS"/>
    <s v="TECNÓPOLIS"/>
    <s v="TECNOPOLIS"/>
    <x v="746"/>
    <s v="DNI"/>
    <n v="23496931"/>
    <s v="20234969316"/>
    <d v="1974-03-08T00:00:00"/>
    <m/>
    <m/>
    <m/>
    <m/>
    <s v="ASISTENCIA TÉCNICA"/>
    <x v="0"/>
    <d v="2014-07-01T00:00:00"/>
    <m/>
    <d v="2016-12-31T00:00:00"/>
    <m/>
    <s v="UNTREF"/>
    <s v="UNTREF"/>
    <n v="11449.4"/>
    <x v="8"/>
    <x v="5"/>
  </r>
  <r>
    <s v="SFMyCP"/>
    <x v="0"/>
    <x v="1"/>
    <x v="7"/>
    <x v="2"/>
    <x v="2"/>
    <m/>
    <s v="PRIVADA"/>
    <s v="ADMINISTRATIVO"/>
    <m/>
    <s v="CCK - Alem 351"/>
    <x v="747"/>
    <s v="DNI"/>
    <n v="6082291"/>
    <m/>
    <d v="1949-03-09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0"/>
    <x v="0"/>
    <x v="8"/>
    <x v="6"/>
    <m/>
    <s v="PRENSA Y COMUNICACIÓN"/>
    <m/>
    <s v="CABILDO 65"/>
    <m/>
    <x v="748"/>
    <s v="DNI"/>
    <n v="25639689"/>
    <n v="20256396891"/>
    <m/>
    <m/>
    <m/>
    <m/>
    <m/>
    <s v="LEY MARCO"/>
    <x v="1"/>
    <d v="2015-03-01T00:00:00"/>
    <d v="2016-03-31T00:00:00"/>
    <d v="2016-12-31T00:00:00"/>
    <s v="B0"/>
    <m/>
    <m/>
    <n v="19096"/>
    <x v="81"/>
    <x v="5"/>
  </r>
  <r>
    <s v="SFMyCP"/>
    <x v="0"/>
    <x v="1"/>
    <x v="3"/>
    <x v="6"/>
    <x v="2"/>
    <m/>
    <m/>
    <s v="MANTENIMIENTO GRAL DEL PARQUE"/>
    <s v="TECNÓPOLIS"/>
    <s v="TECNOPOLIS"/>
    <x v="749"/>
    <s v="DNI"/>
    <n v="26949673"/>
    <s v="20269496739"/>
    <d v="1979-02-05T00:00:00"/>
    <m/>
    <m/>
    <m/>
    <m/>
    <s v="ASISTENCIA TÉCNICA"/>
    <x v="0"/>
    <d v="2014-06-01T00:00:00"/>
    <m/>
    <d v="2016-12-31T00:00:00"/>
    <m/>
    <s v="UNTREF"/>
    <s v="UNTREF"/>
    <n v="9995.51"/>
    <x v="19"/>
    <x v="5"/>
  </r>
  <r>
    <s v="SFMyCP"/>
    <x v="0"/>
    <x v="0"/>
    <x v="4"/>
    <x v="2"/>
    <x v="2"/>
    <m/>
    <s v="PRIVADA"/>
    <s v="ADMINISTRATIVO"/>
    <m/>
    <s v="CCK - Alem 351"/>
    <x v="750"/>
    <s v="DNI"/>
    <n v="31614943"/>
    <n v="20316149430"/>
    <d v="1985-05-24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1"/>
    <x v="16"/>
    <x v="2"/>
    <m/>
    <s v="Analista"/>
    <m/>
    <s v="CCK"/>
    <m/>
    <x v="751"/>
    <s v="DNI"/>
    <n v="25730787"/>
    <n v="20257307876"/>
    <m/>
    <m/>
    <m/>
    <m/>
    <m/>
    <s v="LEY MARCO"/>
    <x v="1"/>
    <d v="2007-11-05T00:00:00"/>
    <d v="2016-12-31T00:00:00"/>
    <d v="2016-12-31T00:00:00"/>
    <s v="B2"/>
    <m/>
    <m/>
    <n v="19528"/>
    <x v="133"/>
    <x v="5"/>
  </r>
  <r>
    <s v="SFMyCP"/>
    <x v="0"/>
    <x v="0"/>
    <x v="0"/>
    <x v="8"/>
    <x v="6"/>
    <m/>
    <s v="PRENSA Y COMUNICACIÓN"/>
    <m/>
    <s v="CABILDO 65"/>
    <m/>
    <x v="752"/>
    <s v="LE"/>
    <n v="26183522"/>
    <n v="27261835229"/>
    <m/>
    <m/>
    <m/>
    <m/>
    <m/>
    <s v="LEY MARCO"/>
    <x v="1"/>
    <d v="2013-12-01T00:00:00"/>
    <d v="2016-03-31T00:00:00"/>
    <d v="2016-12-31T00:00:00"/>
    <s v="B1"/>
    <m/>
    <m/>
    <n v="18277"/>
    <x v="88"/>
    <x v="5"/>
  </r>
  <r>
    <s v="SFMyCP"/>
    <x v="0"/>
    <x v="1"/>
    <x v="3"/>
    <x v="2"/>
    <x v="2"/>
    <m/>
    <s v="PRIVADA"/>
    <s v="ADMINISTRATIVO"/>
    <s v="TECNÓPOLIS"/>
    <s v="TECNOPOLIS"/>
    <x v="753"/>
    <s v="DNI"/>
    <n v="18303910"/>
    <s v="20183039106"/>
    <d v="1967-08-09T00:00:00"/>
    <m/>
    <m/>
    <m/>
    <m/>
    <s v="ASISTENCIA TÉCNICA"/>
    <x v="0"/>
    <d v="2016-01-01T00:00:00"/>
    <m/>
    <d v="2016-12-31T00:00:00"/>
    <m/>
    <s v="UNTREF"/>
    <s v="UNSAM"/>
    <n v="21928.32"/>
    <x v="230"/>
    <x v="43"/>
  </r>
  <r>
    <s v="SFMyCP"/>
    <x v="0"/>
    <x v="0"/>
    <x v="6"/>
    <x v="12"/>
    <x v="2"/>
    <m/>
    <m/>
    <m/>
    <m/>
    <m/>
    <x v="754"/>
    <s v="DNI"/>
    <n v="17547110"/>
    <n v="20175471104"/>
    <m/>
    <m/>
    <m/>
    <m/>
    <m/>
    <m/>
    <x v="0"/>
    <d v="2016-07-01T00:00:00"/>
    <m/>
    <d v="2016-09-30T00:00:00"/>
    <m/>
    <s v="UNTREF"/>
    <m/>
    <m/>
    <x v="18"/>
    <x v="3"/>
  </r>
  <r>
    <s v="SFMyCP"/>
    <x v="0"/>
    <x v="0"/>
    <x v="6"/>
    <x v="12"/>
    <x v="2"/>
    <m/>
    <m/>
    <m/>
    <m/>
    <m/>
    <x v="755"/>
    <s v="DNI"/>
    <n v="22846642"/>
    <n v="20228466426"/>
    <m/>
    <m/>
    <m/>
    <m/>
    <m/>
    <m/>
    <x v="0"/>
    <d v="2016-07-01T00:00:00"/>
    <m/>
    <d v="2016-07-31T00:00:00"/>
    <m/>
    <s v="UNTREF"/>
    <m/>
    <m/>
    <x v="18"/>
    <x v="3"/>
  </r>
  <r>
    <s v="SFMyCP"/>
    <x v="0"/>
    <x v="0"/>
    <x v="0"/>
    <x v="8"/>
    <x v="4"/>
    <m/>
    <s v="PRODUCCIÓN"/>
    <s v="PRODUCTOR de EXTERIORES"/>
    <s v="CABILDO 65"/>
    <s v="CABILDO 65"/>
    <x v="756"/>
    <s v="DNI"/>
    <n v="24462764"/>
    <n v="20244627642"/>
    <d v="1975-04-06T00:00:00"/>
    <m/>
    <m/>
    <m/>
    <m/>
    <s v="ASISTENCIA TÉCNICA"/>
    <x v="0"/>
    <d v="2012-03-01T00:00:00"/>
    <m/>
    <d v="2016-12-31T00:00:00"/>
    <m/>
    <s v="UNTREF"/>
    <m/>
    <n v="24060"/>
    <x v="73"/>
    <x v="3"/>
  </r>
  <r>
    <s v="SFMyCP"/>
    <x v="0"/>
    <x v="1"/>
    <x v="7"/>
    <x v="2"/>
    <x v="2"/>
    <m/>
    <s v="PRIVADA"/>
    <s v="ADMINISTRATIVO"/>
    <m/>
    <s v="CCK - Alem 351"/>
    <x v="757"/>
    <s v="DNI"/>
    <n v="33174786"/>
    <n v="20331747867"/>
    <d v="1987-07-15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1"/>
    <x v="5"/>
    <x v="8"/>
    <m/>
    <s v="Asistente"/>
    <s v="ADMINISTRATIVO"/>
    <s v="CCK"/>
    <s v="CCK - Alem 351"/>
    <x v="758"/>
    <s v="DNI"/>
    <n v="31851944"/>
    <s v="20318519448"/>
    <d v="1979-07-31T00:00:00"/>
    <m/>
    <m/>
    <m/>
    <m/>
    <s v="ASISTENCIA TÉCNICA"/>
    <x v="0"/>
    <d v="2015-06-02T00:00:00"/>
    <m/>
    <d v="2016-12-31T00:00:00"/>
    <m/>
    <s v="UNTREF"/>
    <s v="UNLAM- BICENTENARIO"/>
    <n v="10807"/>
    <x v="5"/>
    <x v="9"/>
  </r>
  <r>
    <s v="SFMyCP"/>
    <x v="0"/>
    <x v="1"/>
    <x v="7"/>
    <x v="2"/>
    <x v="2"/>
    <m/>
    <s v="PRIVADA"/>
    <s v="ADMINISTRATIVO"/>
    <m/>
    <s v="CCK - Alem 351"/>
    <x v="759"/>
    <s v="DNI"/>
    <n v="38614565"/>
    <m/>
    <d v="1994-11-15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0"/>
    <x v="0"/>
    <x v="8"/>
    <x v="6"/>
    <m/>
    <s v="PANORAMA ARGENTINO"/>
    <s v="PRODUCTOR de EXTERIORES"/>
    <s v="CABILDO 65"/>
    <s v="CABILDO 65"/>
    <x v="760"/>
    <s v="DNI"/>
    <n v="31023100"/>
    <s v="27310231008"/>
    <d v="1985-09-08T00:00:00"/>
    <m/>
    <m/>
    <m/>
    <m/>
    <s v="ASISTENCIA TÉCNICA"/>
    <x v="0"/>
    <d v="2010-10-01T00:00:00"/>
    <m/>
    <d v="2016-12-31T00:00:00"/>
    <m/>
    <s v="UNTREF"/>
    <s v="UNSAM- LADA"/>
    <n v="22875"/>
    <x v="231"/>
    <x v="5"/>
  </r>
  <r>
    <s v="SFMyCP"/>
    <x v="0"/>
    <x v="0"/>
    <x v="0"/>
    <x v="8"/>
    <x v="6"/>
    <m/>
    <s v="POSTPRODUCCIÓN"/>
    <s v="EDICION"/>
    <s v="CABILDO 65"/>
    <s v="CABILDO 65"/>
    <x v="761"/>
    <s v="DNI"/>
    <n v="31953814"/>
    <s v="27319538149"/>
    <d v="1985-11-29T00:00:00"/>
    <m/>
    <m/>
    <m/>
    <m/>
    <s v="ASISTENCIA TÉCNICA"/>
    <x v="0"/>
    <d v="2014-05-05T00:00:00"/>
    <m/>
    <d v="2016-12-31T00:00:00"/>
    <m/>
    <s v="UNTREF"/>
    <m/>
    <n v="22151"/>
    <x v="58"/>
    <x v="3"/>
  </r>
  <r>
    <s v="SFMyCP"/>
    <x v="0"/>
    <x v="0"/>
    <x v="0"/>
    <x v="8"/>
    <x v="6"/>
    <m/>
    <s v="POSTPRODUCCIÓN"/>
    <s v="EDICION"/>
    <s v="CABILDO 65"/>
    <s v="CABILDO 65"/>
    <x v="762"/>
    <s v="DNI"/>
    <n v="92566818"/>
    <s v="20925668185"/>
    <d v="1960-03-24T00:00:00"/>
    <m/>
    <m/>
    <m/>
    <m/>
    <s v="ASISTENCIA TÉCNICA"/>
    <x v="0"/>
    <d v="2013-04-13T00:00:00"/>
    <m/>
    <d v="2016-12-31T00:00:00"/>
    <m/>
    <s v="UNTREF"/>
    <s v="UNSAM- LADA"/>
    <n v="24060"/>
    <x v="73"/>
    <x v="5"/>
  </r>
  <r>
    <s v="SFMyCP"/>
    <x v="0"/>
    <x v="0"/>
    <x v="9"/>
    <x v="2"/>
    <x v="2"/>
    <m/>
    <s v="PRIVADA"/>
    <s v="ADMINISTRATIVO"/>
    <m/>
    <s v="CCK - Alem 351"/>
    <x v="763"/>
    <s v="DNI"/>
    <n v="93959605"/>
    <s v="20939596055"/>
    <d v="1983-04-13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4"/>
    <m/>
    <s v="PRODUCCIÓN"/>
    <s v="PRODUCTOR de EXTERIORES"/>
    <s v="CABILDO 65"/>
    <s v="CABILDO 65"/>
    <x v="764"/>
    <s v="DNI"/>
    <n v="31039670"/>
    <s v="20310396703"/>
    <d v="1984-10-10T00:00:00"/>
    <m/>
    <m/>
    <m/>
    <m/>
    <s v="ASISTENCIA TÉCNICA"/>
    <x v="0"/>
    <d v="2013-05-01T00:00:00"/>
    <m/>
    <d v="2016-12-31T00:00:00"/>
    <m/>
    <s v="UNTREF"/>
    <m/>
    <n v="24060"/>
    <x v="73"/>
    <x v="3"/>
  </r>
  <r>
    <s v="SFMyCP"/>
    <x v="0"/>
    <x v="1"/>
    <x v="1"/>
    <x v="16"/>
    <x v="11"/>
    <m/>
    <m/>
    <s v="VISITAS GUIADAS"/>
    <m/>
    <s v="CCK - Alem 351"/>
    <x v="765"/>
    <s v="DNI"/>
    <n v="35402655"/>
    <n v="20354026555"/>
    <d v="1990-07-2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2"/>
    <x v="2"/>
    <x v="2"/>
    <m/>
    <s v="PRIVADA"/>
    <s v="ADMINISTRATIVO"/>
    <m/>
    <s v="CCK - Alem 351"/>
    <x v="766"/>
    <s v="DNI"/>
    <n v="23608875"/>
    <s v="27236088753"/>
    <d v="1974-03-02T00:00:00"/>
    <m/>
    <m/>
    <m/>
    <m/>
    <s v="ASISTENCIA TÉCNICA"/>
    <x v="0"/>
    <d v="2016-01-01T00:00:00"/>
    <m/>
    <d v="2016-12-31T00:00:00"/>
    <m/>
    <s v="UNTREF"/>
    <s v="UNSAM"/>
    <n v="27000"/>
    <x v="53"/>
    <x v="13"/>
  </r>
  <r>
    <s v="SFMyCP"/>
    <x v="0"/>
    <x v="1"/>
    <x v="3"/>
    <x v="21"/>
    <x v="2"/>
    <m/>
    <m/>
    <m/>
    <s v="TECNÓPOLIS"/>
    <m/>
    <x v="767"/>
    <s v="DNI"/>
    <n v="92521410"/>
    <n v="20925214109"/>
    <m/>
    <m/>
    <m/>
    <m/>
    <m/>
    <s v="LEY MARCO"/>
    <x v="1"/>
    <d v="2012-10-01T00:00:00"/>
    <d v="2016-12-31T00:00:00"/>
    <d v="2016-12-31T00:00:00"/>
    <s v="C0"/>
    <m/>
    <m/>
    <n v="29781"/>
    <x v="12"/>
    <x v="5"/>
  </r>
  <r>
    <s v="SFMyCP"/>
    <x v="0"/>
    <x v="0"/>
    <x v="0"/>
    <x v="8"/>
    <x v="6"/>
    <m/>
    <s v="ACUA MAYOR"/>
    <m/>
    <s v="CABILDO 65"/>
    <m/>
    <x v="768"/>
    <s v="DNI"/>
    <n v="30885489"/>
    <n v="27308854898"/>
    <m/>
    <m/>
    <m/>
    <m/>
    <m/>
    <s v="LEY MARCO"/>
    <x v="1"/>
    <d v="2012-12-01T00:00:00"/>
    <d v="2016-12-31T00:00:00"/>
    <d v="2016-12-31T00:00:00"/>
    <s v="B1"/>
    <m/>
    <m/>
    <n v="18000"/>
    <x v="57"/>
    <x v="5"/>
  </r>
  <r>
    <s v="SFMyCP"/>
    <x v="0"/>
    <x v="0"/>
    <x v="0"/>
    <x v="8"/>
    <x v="6"/>
    <m/>
    <s v="PROGRAMA POLOS AUDIOVISUALES TECNOLÓGICOS"/>
    <m/>
    <s v="CABILDO 65"/>
    <m/>
    <x v="769"/>
    <s v="DNI"/>
    <n v="16977688"/>
    <n v="27169776887"/>
    <m/>
    <m/>
    <m/>
    <m/>
    <m/>
    <s v="LEY MARCO"/>
    <x v="1"/>
    <d v="2014-10-01T00:00:00"/>
    <d v="2016-03-31T00:00:00"/>
    <d v="2016-12-31T00:00:00"/>
    <s v="C0"/>
    <m/>
    <m/>
    <n v="11730"/>
    <x v="51"/>
    <x v="5"/>
  </r>
  <r>
    <s v="SFMyCP"/>
    <x v="0"/>
    <x v="1"/>
    <x v="3"/>
    <x v="20"/>
    <x v="2"/>
    <m/>
    <m/>
    <m/>
    <s v="TECNÓPOLIS"/>
    <m/>
    <x v="770"/>
    <s v="DNI"/>
    <n v="17083297"/>
    <n v="20170832974"/>
    <m/>
    <m/>
    <m/>
    <m/>
    <m/>
    <s v="LEY MARCO"/>
    <x v="1"/>
    <d v="2012-10-31T00:00:00"/>
    <d v="2016-12-31T00:00:00"/>
    <d v="2016-12-31T00:00:00"/>
    <s v="C0"/>
    <m/>
    <m/>
    <n v="21121.22"/>
    <x v="232"/>
    <x v="5"/>
  </r>
  <r>
    <s v="SFMyCP"/>
    <x v="0"/>
    <x v="1"/>
    <x v="3"/>
    <x v="9"/>
    <x v="2"/>
    <m/>
    <s v="ADMINISTRATIVO"/>
    <m/>
    <s v="TECNÓPOLIS"/>
    <m/>
    <x v="771"/>
    <s v="DNI"/>
    <n v="37162434"/>
    <n v="20371624342"/>
    <m/>
    <m/>
    <m/>
    <m/>
    <m/>
    <s v="LEY MARCO"/>
    <x v="1"/>
    <d v="2012-11-30T00:00:00"/>
    <d v="2016-12-31T00:00:00"/>
    <d v="2016-12-31T00:00:00"/>
    <s v="D0"/>
    <m/>
    <m/>
    <n v="26079"/>
    <x v="233"/>
    <x v="5"/>
  </r>
  <r>
    <s v="SFMyCP"/>
    <x v="0"/>
    <x v="1"/>
    <x v="1"/>
    <x v="1"/>
    <x v="1"/>
    <m/>
    <m/>
    <s v="ADMINISTRATIVO"/>
    <s v="CCK"/>
    <s v="CCK - Alem 351"/>
    <x v="772"/>
    <s v="DNI"/>
    <n v="25121660"/>
    <s v="27251216601"/>
    <d v="1976-01-13T00:00:00"/>
    <m/>
    <m/>
    <m/>
    <m/>
    <s v="ASISTENCIA TÉCNICA"/>
    <x v="0"/>
    <d v="2016-02-01T00:00:00"/>
    <m/>
    <d v="2016-12-31T00:00:00"/>
    <m/>
    <s v="UNTREF"/>
    <s v="UNSAM"/>
    <n v="15000"/>
    <x v="110"/>
    <x v="12"/>
  </r>
  <r>
    <s v="SFMyCP"/>
    <x v="0"/>
    <x v="1"/>
    <x v="3"/>
    <x v="20"/>
    <x v="2"/>
    <m/>
    <m/>
    <m/>
    <s v="TECNÓPOLIS"/>
    <m/>
    <x v="773"/>
    <s v="DNI"/>
    <n v="32456433"/>
    <n v="20324564331"/>
    <m/>
    <m/>
    <m/>
    <m/>
    <m/>
    <s v="LEY MARCO"/>
    <x v="1"/>
    <d v="2012-07-01T00:00:00"/>
    <d v="2016-12-31T00:00:00"/>
    <d v="2016-12-31T00:00:00"/>
    <s v="D0"/>
    <m/>
    <m/>
    <n v="15839.72"/>
    <x v="234"/>
    <x v="5"/>
  </r>
  <r>
    <s v="SFMyCP"/>
    <x v="0"/>
    <x v="1"/>
    <x v="1"/>
    <x v="16"/>
    <x v="10"/>
    <m/>
    <m/>
    <s v="asistente funcional"/>
    <m/>
    <s v="CCK - Alem 351"/>
    <x v="774"/>
    <s v="DNI"/>
    <n v="29718936"/>
    <n v="27297189366"/>
    <d v="1982-10-3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15"/>
    <x v="2"/>
    <m/>
    <m/>
    <s v="CARPINTERO"/>
    <s v="TECNÓPOLIS"/>
    <s v="TECNOPOLIS"/>
    <x v="775"/>
    <s v="DNI"/>
    <n v="28713736"/>
    <s v="20287137363"/>
    <d v="1981-04-22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1"/>
    <x v="0"/>
    <x v="5"/>
    <x v="17"/>
    <x v="12"/>
    <s v="AUTOMOTORES"/>
    <s v="CHOFER"/>
    <m/>
    <s v="CCK"/>
    <m/>
    <x v="776"/>
    <s v="DNI"/>
    <n v="13072833"/>
    <n v="20130728333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0"/>
    <x v="0"/>
    <x v="0"/>
    <x v="8"/>
    <x v="6"/>
    <m/>
    <s v="CONTENIDOS DIGITALES ABIERTOS CDA"/>
    <s v="ADMINISTRATIVO"/>
    <s v="CABILDO 65"/>
    <s v="CABILDO 65"/>
    <x v="777"/>
    <s v="DNI"/>
    <n v="25216896"/>
    <s v="27252168961"/>
    <d v="1976-02-26T00:00:00"/>
    <m/>
    <m/>
    <m/>
    <m/>
    <s v="ASISTENCIA TÉCNICA"/>
    <x v="0"/>
    <d v="2012-01-01T00:00:00"/>
    <m/>
    <d v="2016-12-31T00:00:00"/>
    <m/>
    <s v="UNTREF"/>
    <s v="UNSAM- LADA"/>
    <n v="17849"/>
    <x v="83"/>
    <x v="5"/>
  </r>
  <r>
    <s v="SFMyCP"/>
    <x v="0"/>
    <x v="1"/>
    <x v="1"/>
    <x v="16"/>
    <x v="2"/>
    <m/>
    <m/>
    <m/>
    <m/>
    <m/>
    <x v="778"/>
    <s v="DNI"/>
    <n v="27329367"/>
    <n v="20273293672"/>
    <m/>
    <m/>
    <m/>
    <m/>
    <m/>
    <s v="LEY MARCO"/>
    <x v="1"/>
    <d v="2013-12-01T00:00:00"/>
    <d v="2016-03-31T00:00:00"/>
    <d v="2016-12-31T00:00:00"/>
    <s v="C2"/>
    <m/>
    <m/>
    <n v="12142"/>
    <x v="235"/>
    <x v="5"/>
  </r>
  <r>
    <s v="SFMyCP"/>
    <x v="0"/>
    <x v="0"/>
    <x v="8"/>
    <x v="1"/>
    <x v="2"/>
    <m/>
    <m/>
    <m/>
    <s v="CCK"/>
    <s v="CCK - Alem 351"/>
    <x v="779"/>
    <s v="DNI"/>
    <n v="21833580"/>
    <n v="27218335808"/>
    <m/>
    <m/>
    <m/>
    <m/>
    <m/>
    <s v="LEY MARCO"/>
    <x v="1"/>
    <d v="2012-11-30T00:00:00"/>
    <d v="2016-12-31T00:00:00"/>
    <d v="2016-12-31T00:00:00"/>
    <s v="C0"/>
    <m/>
    <m/>
    <n v="29800.97"/>
    <x v="236"/>
    <x v="5"/>
  </r>
  <r>
    <s v="SFMyCP"/>
    <x v="0"/>
    <x v="1"/>
    <x v="3"/>
    <x v="2"/>
    <x v="2"/>
    <m/>
    <s v="PRIVADA"/>
    <s v="ADMINISTRATIVO"/>
    <m/>
    <s v="TECNOPOLIS"/>
    <x v="780"/>
    <s v="DNI"/>
    <n v="32805681"/>
    <n v="27328056815"/>
    <d v="1987-10-15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1"/>
    <x v="5"/>
    <x v="9"/>
    <m/>
    <s v="ciara"/>
    <m/>
    <m/>
    <m/>
    <x v="781"/>
    <s v="DNI"/>
    <n v="18528740"/>
    <n v="20185287409"/>
    <m/>
    <m/>
    <m/>
    <m/>
    <m/>
    <m/>
    <x v="1"/>
    <d v="2013-12-01T00:00:00"/>
    <m/>
    <d v="2016-12-31T00:00:00"/>
    <s v="D0"/>
    <m/>
    <m/>
    <m/>
    <x v="18"/>
    <x v="3"/>
  </r>
  <r>
    <s v="SFMyCP"/>
    <x v="1"/>
    <x v="0"/>
    <x v="5"/>
    <x v="26"/>
    <x v="2"/>
    <m/>
    <s v="Analista"/>
    <s v="Analista"/>
    <s v="CCK"/>
    <s v="CCK - Alem 351"/>
    <x v="782"/>
    <s v="DNI"/>
    <n v="36547045"/>
    <s v="20365470457"/>
    <d v="1991-09-26T00:00:00"/>
    <m/>
    <m/>
    <m/>
    <m/>
    <s v="ASISTENCIA TÉCNICA"/>
    <x v="0"/>
    <d v="2014-06-23T00:00:00"/>
    <m/>
    <d v="2016-12-31T00:00:00"/>
    <m/>
    <s v="UNTREF"/>
    <s v="UNLAM- INFO"/>
    <n v="8981"/>
    <x v="28"/>
    <x v="4"/>
  </r>
  <r>
    <s v="SFMyCP"/>
    <x v="0"/>
    <x v="1"/>
    <x v="3"/>
    <x v="1"/>
    <x v="2"/>
    <m/>
    <s v="ADMINISTRATIVO"/>
    <m/>
    <s v="TECNÓPOLIS"/>
    <m/>
    <x v="783"/>
    <s v="DNI"/>
    <n v="36482574"/>
    <n v="27364825744"/>
    <m/>
    <m/>
    <m/>
    <m/>
    <m/>
    <s v="LEY MARCO"/>
    <x v="1"/>
    <d v="2013-07-01T00:00:00"/>
    <d v="2016-03-31T00:00:00"/>
    <d v="2016-12-31T00:00:00"/>
    <s v="C0"/>
    <m/>
    <m/>
    <n v="13084.78"/>
    <x v="32"/>
    <x v="5"/>
  </r>
  <r>
    <s v="SFMyCP"/>
    <x v="0"/>
    <x v="1"/>
    <x v="3"/>
    <x v="21"/>
    <x v="2"/>
    <m/>
    <m/>
    <m/>
    <s v="TECNÓPOLIS"/>
    <m/>
    <x v="784"/>
    <s v="DNI"/>
    <n v="93978389"/>
    <n v="27939783895"/>
    <m/>
    <m/>
    <m/>
    <m/>
    <m/>
    <s v="LEY MARCO"/>
    <x v="1"/>
    <d v="2012-06-01T00:00:00"/>
    <d v="2016-12-31T00:00:00"/>
    <d v="2016-12-31T00:00:00"/>
    <s v="C0"/>
    <m/>
    <m/>
    <n v="13084"/>
    <x v="237"/>
    <x v="5"/>
  </r>
  <r>
    <s v="SFMyCP"/>
    <x v="0"/>
    <x v="1"/>
    <x v="3"/>
    <x v="32"/>
    <x v="2"/>
    <m/>
    <m/>
    <s v="MANTENIMIENTO"/>
    <s v="TECNÓPOLIS"/>
    <s v="TECNOPOLIS"/>
    <x v="785"/>
    <s v="DNI"/>
    <n v="34738374"/>
    <s v="24347383747"/>
    <d v="1989-08-19T00:00:00"/>
    <m/>
    <m/>
    <m/>
    <m/>
    <s v="ASISTENCIA TÉCNICA"/>
    <x v="0"/>
    <d v="2013-06-01T00:00:00"/>
    <m/>
    <d v="2016-12-31T00:00:00"/>
    <m/>
    <s v="UNTREF"/>
    <s v="UNTREF"/>
    <n v="11449.4"/>
    <x v="8"/>
    <x v="5"/>
  </r>
  <r>
    <s v="SFMyCP"/>
    <x v="0"/>
    <x v="1"/>
    <x v="1"/>
    <x v="2"/>
    <x v="2"/>
    <m/>
    <m/>
    <s v="ADMINISTRATIVO"/>
    <m/>
    <s v="CCK - Alem 351"/>
    <x v="786"/>
    <s v="DNI"/>
    <n v="11530452"/>
    <n v="20115304527"/>
    <d v="1955-02-03T00:00:00"/>
    <m/>
    <m/>
    <m/>
    <m/>
    <s v="ASISTENCIA TÉCNICA"/>
    <x v="0"/>
    <d v="2016-04-01T00:00:00"/>
    <m/>
    <d v="2016-12-31T00:00:00"/>
    <m/>
    <s v="UNTREF"/>
    <m/>
    <m/>
    <x v="18"/>
    <x v="3"/>
  </r>
  <r>
    <s v="SFMyCP"/>
    <x v="1"/>
    <x v="0"/>
    <x v="5"/>
    <x v="7"/>
    <x v="2"/>
    <m/>
    <m/>
    <s v="ADMINISTRATIVO"/>
    <m/>
    <s v="CCK - Alem 351"/>
    <x v="787"/>
    <s v="DNI"/>
    <n v="30643205"/>
    <n v="27306432058"/>
    <d v="1985-05-0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39"/>
    <x v="2"/>
    <m/>
    <s v="ADMINISTRATIVO"/>
    <m/>
    <s v="TECNÓPOLIS"/>
    <m/>
    <x v="788"/>
    <s v="DNI"/>
    <n v="35532252"/>
    <n v="20355322522"/>
    <m/>
    <m/>
    <m/>
    <m/>
    <m/>
    <s v="LEY MARCO"/>
    <x v="1"/>
    <d v="2014-05-01T00:00:00"/>
    <d v="2016-03-31T00:00:00"/>
    <d v="2016-12-31T00:00:00"/>
    <s v="D1"/>
    <m/>
    <m/>
    <n v="14558"/>
    <x v="238"/>
    <x v="5"/>
  </r>
  <r>
    <s v="SFMyCP"/>
    <x v="0"/>
    <x v="1"/>
    <x v="3"/>
    <x v="2"/>
    <x v="2"/>
    <m/>
    <s v="PRIVADA"/>
    <s v="ADMINISTRATIVO"/>
    <s v="TECNÓPOLIS"/>
    <s v="TECNOPOLIS"/>
    <x v="789"/>
    <s v="DNI"/>
    <n v="25824447"/>
    <s v="20258244479"/>
    <d v="1977-05-09T00:00:00"/>
    <m/>
    <m/>
    <m/>
    <m/>
    <s v="ASISTENCIA TÉCNICA"/>
    <x v="0"/>
    <d v="2016-01-01T00:00:00"/>
    <m/>
    <d v="2016-12-31T00:00:00"/>
    <m/>
    <s v="UNTREF"/>
    <s v="UNSAM"/>
    <n v="10000"/>
    <x v="0"/>
    <x v="44"/>
  </r>
  <r>
    <s v="SFMyCP"/>
    <x v="0"/>
    <x v="0"/>
    <x v="0"/>
    <x v="8"/>
    <x v="6"/>
    <m/>
    <s v="CONTENIDOS DIGITALES ABIERTOS CDA"/>
    <s v="ADMINISTRATIVO"/>
    <s v="CABILDO 65"/>
    <s v="CABILDO 65"/>
    <x v="790"/>
    <s v="DNI"/>
    <n v="33443159"/>
    <s v="27334431598"/>
    <d v="1987-11-18T00:00:00"/>
    <m/>
    <m/>
    <m/>
    <m/>
    <s v="ASISTENCIA TÉCNICA"/>
    <x v="0"/>
    <d v="2012-06-01T00:00:00"/>
    <m/>
    <d v="2016-12-31T00:00:00"/>
    <m/>
    <s v="UNTREF"/>
    <s v="UNSAM- LADA"/>
    <n v="19353"/>
    <x v="36"/>
    <x v="5"/>
  </r>
  <r>
    <s v="SFMyCP"/>
    <x v="0"/>
    <x v="1"/>
    <x v="3"/>
    <x v="24"/>
    <x v="2"/>
    <m/>
    <s v="Tareas Generales"/>
    <s v="MANTENIMIENTO DE ESPACIOS VERDES"/>
    <s v="TECNÓPOLIS"/>
    <m/>
    <x v="791"/>
    <s v="DNI"/>
    <n v="20854162"/>
    <n v="27208541620"/>
    <m/>
    <m/>
    <m/>
    <m/>
    <m/>
    <s v="ASISTENCIA TÉCNICA"/>
    <x v="2"/>
    <m/>
    <m/>
    <d v="2016-12-31T00:00:00"/>
    <m/>
    <s v="UNTREF"/>
    <s v="UNTREF"/>
    <n v="4700"/>
    <x v="142"/>
    <x v="5"/>
  </r>
  <r>
    <s v="SFMyCP"/>
    <x v="0"/>
    <x v="1"/>
    <x v="3"/>
    <x v="21"/>
    <x v="2"/>
    <m/>
    <m/>
    <s v="MANTENIMIENTO DE ESPACIOS VERDES"/>
    <s v="TECNÓPOLIS"/>
    <s v="TECNOPOLIS"/>
    <x v="792"/>
    <s v="DNI"/>
    <n v="25204241"/>
    <s v="20252042416"/>
    <d v="1976-06-16T00:00:00"/>
    <m/>
    <m/>
    <m/>
    <m/>
    <s v="ASISTENCIA TÉCNICA"/>
    <x v="0"/>
    <d v="2014-10-01T00:00:00"/>
    <m/>
    <d v="2016-12-31T00:00:00"/>
    <m/>
    <s v="UNTREF"/>
    <s v="UNTREF"/>
    <n v="9995.51"/>
    <x v="19"/>
    <x v="5"/>
  </r>
  <r>
    <s v="SFMyCP"/>
    <x v="1"/>
    <x v="0"/>
    <x v="5"/>
    <x v="17"/>
    <x v="12"/>
    <s v="AUTOMOTORES"/>
    <s v="CHOFER"/>
    <m/>
    <s v="CCK"/>
    <m/>
    <x v="793"/>
    <s v="DNI"/>
    <n v="29477026"/>
    <n v="20294770268"/>
    <m/>
    <m/>
    <m/>
    <m/>
    <m/>
    <s v="LEY MARCO"/>
    <x v="1"/>
    <d v="2014-12-01T00:00:00"/>
    <d v="2016-03-31T00:00:00"/>
    <d v="2016-12-31T00:00:00"/>
    <s v="D0"/>
    <m/>
    <m/>
    <n v="18000"/>
    <x v="57"/>
    <x v="5"/>
  </r>
  <r>
    <s v="SFMyCP"/>
    <x v="1"/>
    <x v="0"/>
    <x v="5"/>
    <x v="30"/>
    <x v="2"/>
    <m/>
    <s v="Analista"/>
    <s v="ADMINISTRATIVO"/>
    <m/>
    <s v="CCK - Alem 351"/>
    <x v="794"/>
    <s v="DNI"/>
    <n v="45735293"/>
    <s v="27457352935"/>
    <d v="1995-06-28T00:00:00"/>
    <m/>
    <m/>
    <m/>
    <m/>
    <s v="ASISTENCIA TÉCNICA"/>
    <x v="0"/>
    <d v="2016-05-02T00:00:00"/>
    <m/>
    <d v="2016-12-31T00:00:00"/>
    <m/>
    <s v="UNTREF"/>
    <m/>
    <s v="."/>
    <x v="0"/>
    <x v="3"/>
  </r>
  <r>
    <s v="SFMyCP"/>
    <x v="0"/>
    <x v="0"/>
    <x v="0"/>
    <x v="0"/>
    <x v="0"/>
    <m/>
    <s v="DESARROLLOS"/>
    <s v="ANALISTA"/>
    <s v="PALPALÁ-JUJUY"/>
    <s v="PALPALÁ-JUJUY"/>
    <x v="795"/>
    <s v="DNI"/>
    <n v="31442888"/>
    <n v="23314428889"/>
    <d v="1985-02-22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0"/>
    <x v="0"/>
    <x v="0"/>
    <x v="8"/>
    <x v="4"/>
    <m/>
    <s v="POSTPRODUCCIÓN"/>
    <s v="ADMINISTRATIVO"/>
    <s v="CABILDO 65"/>
    <s v="CABILDO 65"/>
    <x v="796"/>
    <s v="DNI"/>
    <n v="26621205"/>
    <s v="20266212055"/>
    <d v="1978-06-19T00:00:00"/>
    <m/>
    <m/>
    <m/>
    <m/>
    <s v="ASISTENCIA TÉCNICA"/>
    <x v="0"/>
    <d v="2015-04-01T00:00:00"/>
    <m/>
    <d v="2016-12-31T00:00:00"/>
    <m/>
    <s v="UNTREF"/>
    <m/>
    <n v="24060"/>
    <x v="73"/>
    <x v="3"/>
  </r>
  <r>
    <s v="SFMyCP"/>
    <x v="0"/>
    <x v="1"/>
    <x v="3"/>
    <x v="6"/>
    <x v="2"/>
    <m/>
    <m/>
    <s v="MANTENIMIENTO GRAL DEL PARQUE"/>
    <s v="TECNÓPOLIS"/>
    <s v="TECNOPOLIS"/>
    <x v="797"/>
    <s v="DNI"/>
    <n v="92820166"/>
    <s v="20928201660"/>
    <d v="1977-03-22T00:00:00"/>
    <m/>
    <m/>
    <m/>
    <m/>
    <s v="ASISTENCIA TÉCNICA"/>
    <x v="0"/>
    <d v="2011-07-01T00:00:00"/>
    <m/>
    <d v="2016-12-31T00:00:00"/>
    <m/>
    <s v="UNTREF"/>
    <s v="UNTREF"/>
    <n v="11499.3"/>
    <x v="239"/>
    <x v="5"/>
  </r>
  <r>
    <s v="SFMyCP"/>
    <x v="0"/>
    <x v="0"/>
    <x v="0"/>
    <x v="8"/>
    <x v="6"/>
    <m/>
    <s v="POSTPRODUCCIÓN"/>
    <s v="EDICION"/>
    <s v="CABILDO 65"/>
    <s v="CABILDO 65"/>
    <x v="798"/>
    <s v="DNI"/>
    <n v="31009104"/>
    <s v="23310091049"/>
    <d v="1984-01-05T00:00:00"/>
    <m/>
    <m/>
    <m/>
    <m/>
    <s v="ASISTENCIA TÉCNICA"/>
    <x v="0"/>
    <d v="2011-03-01T00:00:00"/>
    <m/>
    <d v="2016-12-31T00:00:00"/>
    <m/>
    <s v="UNTREF"/>
    <m/>
    <n v="19353"/>
    <x v="36"/>
    <x v="3"/>
  </r>
  <r>
    <s v="SFMyCP"/>
    <x v="1"/>
    <x v="0"/>
    <x v="5"/>
    <x v="26"/>
    <x v="2"/>
    <m/>
    <s v="Analista"/>
    <m/>
    <s v="CCK"/>
    <m/>
    <x v="799"/>
    <s v="DNI"/>
    <n v="27738544"/>
    <n v="23277385449"/>
    <m/>
    <m/>
    <m/>
    <m/>
    <m/>
    <s v="LEY MARCO"/>
    <x v="1"/>
    <d v="2013-09-01T00:00:00"/>
    <d v="2016-03-31T00:00:00"/>
    <d v="2016-12-31T00:00:00"/>
    <s v="C0"/>
    <m/>
    <m/>
    <n v="11730"/>
    <x v="51"/>
    <x v="5"/>
  </r>
  <r>
    <s v="SFMyCP"/>
    <x v="0"/>
    <x v="1"/>
    <x v="1"/>
    <x v="5"/>
    <x v="24"/>
    <m/>
    <s v="INVESTIGACION APLICADA"/>
    <s v="ADMINISTRATIVO"/>
    <s v="CCK"/>
    <s v="CCK - Alem 351"/>
    <x v="800"/>
    <s v="DNI"/>
    <n v="24946722"/>
    <s v="20249467228"/>
    <d v="1975-12-03T00:00:00"/>
    <m/>
    <m/>
    <m/>
    <m/>
    <s v="ASISTENCIA TÉCNICA"/>
    <x v="0"/>
    <d v="2015-06-01T00:00:00"/>
    <m/>
    <d v="2016-12-31T00:00:00"/>
    <m/>
    <s v="UNTREF"/>
    <s v="UNSAM"/>
    <n v="30145"/>
    <x v="198"/>
    <x v="40"/>
  </r>
  <r>
    <s v="SFMyCP"/>
    <x v="0"/>
    <x v="0"/>
    <x v="4"/>
    <x v="11"/>
    <x v="2"/>
    <m/>
    <s v="PRIVADA"/>
    <s v="ADMINISTRATIVO"/>
    <m/>
    <s v="CCK - Alem 351"/>
    <x v="801"/>
    <s v="DNI"/>
    <n v="33275553"/>
    <s v="27332755531"/>
    <d v="1987-07-25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15"/>
    <x v="2"/>
    <m/>
    <m/>
    <s v="MANTENIMIENTO GRAL DEL PARQUE"/>
    <s v="TECNÓPOLIS"/>
    <s v="TECNOPOLIS"/>
    <x v="802"/>
    <s v="DNI"/>
    <n v="29975332"/>
    <s v="20299753329"/>
    <d v="1983-01-16T00:00:00"/>
    <m/>
    <m/>
    <m/>
    <m/>
    <s v="ASISTENCIA TÉCNICA"/>
    <x v="0"/>
    <d v="2014-06-01T00:00:00"/>
    <m/>
    <d v="2016-12-31T00:00:00"/>
    <m/>
    <s v="UNTREF"/>
    <s v="UNTREF"/>
    <n v="9995.51"/>
    <x v="19"/>
    <x v="5"/>
  </r>
  <r>
    <s v="SFMyCP"/>
    <x v="0"/>
    <x v="1"/>
    <x v="1"/>
    <x v="16"/>
    <x v="11"/>
    <m/>
    <m/>
    <s v="VISITAS GUIADAS"/>
    <m/>
    <s v="CCK - Alem 351"/>
    <x v="803"/>
    <s v="DNI"/>
    <n v="37805084"/>
    <n v="20378050848"/>
    <d v="1993-07-21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16"/>
    <x v="11"/>
    <m/>
    <m/>
    <s v="VISITAS GUIADAS"/>
    <m/>
    <s v="CCK - Alem 351"/>
    <x v="804"/>
    <s v="DNI"/>
    <n v="40946532"/>
    <m/>
    <d v="1998-05-15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1"/>
    <x v="39"/>
    <x v="2"/>
    <m/>
    <s v="Analista"/>
    <m/>
    <s v="CCK"/>
    <m/>
    <x v="805"/>
    <s v="DNI"/>
    <n v="23126327"/>
    <n v="20231263277"/>
    <m/>
    <m/>
    <m/>
    <m/>
    <m/>
    <s v="LEY MARCO"/>
    <x v="1"/>
    <d v="2010-07-19T00:00:00"/>
    <d v="2016-12-31T00:00:00"/>
    <d v="2016-12-31T00:00:00"/>
    <s v="B1"/>
    <m/>
    <m/>
    <n v="20266"/>
    <x v="24"/>
    <x v="5"/>
  </r>
  <r>
    <s v="SFMyCP"/>
    <x v="0"/>
    <x v="1"/>
    <x v="1"/>
    <x v="10"/>
    <x v="2"/>
    <m/>
    <m/>
    <s v="ADMINISTRATIVA"/>
    <m/>
    <s v="CCK - Alem 351"/>
    <x v="806"/>
    <s v="DNI"/>
    <n v="30530974"/>
    <s v="20305309746"/>
    <d v="1984-05-05T00:00:00"/>
    <m/>
    <m/>
    <m/>
    <m/>
    <s v="ASISTENCIA TÉCNICA"/>
    <x v="0"/>
    <d v="2016-04-01T00:00:00"/>
    <m/>
    <d v="2016-12-31T00:00:00"/>
    <m/>
    <s v="UNTREF"/>
    <m/>
    <n v="20000"/>
    <x v="18"/>
    <x v="3"/>
  </r>
  <r>
    <s v="SFMyCP"/>
    <x v="0"/>
    <x v="1"/>
    <x v="1"/>
    <x v="5"/>
    <x v="19"/>
    <s v="LOGISTICA OPERATIVA"/>
    <s v="Responsable"/>
    <s v="Asistente Técnico Seguridad"/>
    <s v="CCK"/>
    <s v="CCK - Alem 351"/>
    <x v="807"/>
    <s v="DNI"/>
    <n v="27257335"/>
    <s v="20272573353"/>
    <d v="1979-05-24T00:00:00"/>
    <m/>
    <m/>
    <m/>
    <m/>
    <s v="ASISTENCIA TÉCNICA"/>
    <x v="0"/>
    <d v="2015-03-20T00:00:00"/>
    <m/>
    <d v="2016-12-31T00:00:00"/>
    <m/>
    <s v="UNTREF"/>
    <s v="UNLAM- DGA"/>
    <n v="15732"/>
    <x v="126"/>
    <x v="4"/>
  </r>
  <r>
    <s v="SFMyCP"/>
    <x v="1"/>
    <x v="0"/>
    <x v="5"/>
    <x v="7"/>
    <x v="2"/>
    <m/>
    <s v="ADMINISTRACIÓN"/>
    <m/>
    <s v="CCK"/>
    <m/>
    <x v="808"/>
    <s v="DNI"/>
    <n v="31464052"/>
    <n v="20314640528"/>
    <m/>
    <m/>
    <m/>
    <m/>
    <m/>
    <s v="LEY MARCO"/>
    <x v="1"/>
    <d v="2015-03-01T00:00:00"/>
    <d v="2016-03-31T00:00:00"/>
    <d v="2016-12-31T00:00:00"/>
    <s v="A0"/>
    <m/>
    <m/>
    <n v="27374"/>
    <x v="31"/>
    <x v="5"/>
  </r>
  <r>
    <s v="SFMyCP"/>
    <x v="1"/>
    <x v="0"/>
    <x v="5"/>
    <x v="7"/>
    <x v="2"/>
    <m/>
    <s v="ADMINISTRACIÓN"/>
    <s v="ADMINISTRATIVO"/>
    <m/>
    <s v="CCK - Alem 351"/>
    <x v="809"/>
    <s v="DNI"/>
    <n v="35317218"/>
    <s v="20353172183"/>
    <d v="1990-08-07T00:00:00"/>
    <m/>
    <m/>
    <m/>
    <m/>
    <s v="ASISTENCIA TÉCNICA"/>
    <x v="0"/>
    <m/>
    <m/>
    <d v="2016-12-31T00:00:00"/>
    <m/>
    <s v="UNTREF"/>
    <m/>
    <n v="17101"/>
    <x v="240"/>
    <x v="45"/>
  </r>
  <r>
    <s v="SFMyCP"/>
    <x v="0"/>
    <x v="0"/>
    <x v="0"/>
    <x v="8"/>
    <x v="6"/>
    <m/>
    <s v="POSTPRODUCCIÓN"/>
    <s v="EDICION"/>
    <s v="CABILDO 65"/>
    <s v="CABILDO 65"/>
    <x v="810"/>
    <s v="DNI"/>
    <n v="25296801"/>
    <s v="20252968017"/>
    <d v="1976-05-01T00:00:00"/>
    <m/>
    <m/>
    <m/>
    <m/>
    <s v="ASISTENCIA TÉCNICA"/>
    <x v="0"/>
    <d v="2010-12-13T00:00:00"/>
    <m/>
    <d v="2016-12-31T00:00:00"/>
    <m/>
    <s v="UNTREF"/>
    <m/>
    <n v="24060"/>
    <x v="73"/>
    <x v="3"/>
  </r>
  <r>
    <s v="SFMyCP"/>
    <x v="0"/>
    <x v="1"/>
    <x v="3"/>
    <x v="44"/>
    <x v="2"/>
    <m/>
    <m/>
    <m/>
    <s v="TECNÓPOLIS"/>
    <m/>
    <x v="811"/>
    <s v="DNI"/>
    <n v="29107451"/>
    <n v="20291074511"/>
    <m/>
    <m/>
    <m/>
    <m/>
    <m/>
    <s v="LEY MARCO"/>
    <x v="1"/>
    <d v="2012-11-30T00:00:00"/>
    <d v="2016-12-31T00:00:00"/>
    <d v="2016-12-31T00:00:00"/>
    <s v="F0"/>
    <m/>
    <m/>
    <n v="12172"/>
    <x v="241"/>
    <x v="5"/>
  </r>
  <r>
    <s v="SFMyCP"/>
    <x v="0"/>
    <x v="1"/>
    <x v="3"/>
    <x v="24"/>
    <x v="2"/>
    <m/>
    <s v="Tareas Generales"/>
    <s v="TAREAS EN GENERAL TALLER CARPINTERIA/HERRERÍA/TEXTIL"/>
    <s v="TECNÓPOLIS"/>
    <m/>
    <x v="812"/>
    <s v="DNI"/>
    <n v="35561305"/>
    <n v="23355613054"/>
    <d v="1990-11-26T00:00:00"/>
    <m/>
    <m/>
    <m/>
    <m/>
    <s v="ASISTENCIA TÉCNICA"/>
    <x v="2"/>
    <d v="2014-07-01T00:00:00"/>
    <m/>
    <d v="2016-12-31T00:00:00"/>
    <m/>
    <s v="UNTREF"/>
    <s v="UNTREF"/>
    <n v="1700"/>
    <x v="42"/>
    <x v="5"/>
  </r>
  <r>
    <s v="SFMyCP"/>
    <x v="0"/>
    <x v="1"/>
    <x v="3"/>
    <x v="24"/>
    <x v="2"/>
    <m/>
    <s v="Tareas Generales"/>
    <s v="TAREAS EN GENERAL TALLER CARPINTERIA/HERRERÍA/TEXTIL"/>
    <s v="TECNÓPOLIS"/>
    <m/>
    <x v="813"/>
    <s v="DNI"/>
    <n v="17038143"/>
    <n v="20170381433"/>
    <d v="1965-01-20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1"/>
    <x v="0"/>
    <x v="5"/>
    <x v="26"/>
    <x v="2"/>
    <m/>
    <s v="Analista"/>
    <s v="Analista"/>
    <s v="CCK"/>
    <s v="CCK - Alem 351"/>
    <x v="814"/>
    <s v="DNI"/>
    <n v="22777432"/>
    <s v="20227774321"/>
    <d v="1972-08-29T00:00:00"/>
    <m/>
    <m/>
    <m/>
    <m/>
    <s v="ASISTENCIA TÉCNICA"/>
    <x v="0"/>
    <d v="2015-05-21T00:00:00"/>
    <m/>
    <d v="2016-12-31T00:00:00"/>
    <m/>
    <s v="UNTREF"/>
    <s v="UNLAM- INFO"/>
    <n v="7700"/>
    <x v="28"/>
    <x v="4"/>
  </r>
  <r>
    <s v="SFMyCP"/>
    <x v="0"/>
    <x v="1"/>
    <x v="1"/>
    <x v="16"/>
    <x v="11"/>
    <m/>
    <m/>
    <s v="VISITAS GUIADAS"/>
    <m/>
    <s v="CCK - Alem 351"/>
    <x v="815"/>
    <s v="DNI"/>
    <n v="38625956"/>
    <n v="27386259564"/>
    <d v="1995-01-03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3"/>
    <x v="27"/>
    <x v="2"/>
    <m/>
    <m/>
    <m/>
    <s v="TECNÓPOLIS"/>
    <m/>
    <x v="816"/>
    <s v="DNI"/>
    <n v="28165475"/>
    <n v="27281654751"/>
    <m/>
    <m/>
    <m/>
    <m/>
    <m/>
    <s v="LEY MARCO"/>
    <x v="1"/>
    <d v="2013-05-01T00:00:00"/>
    <d v="2016-03-31T00:00:00"/>
    <d v="2016-12-31T00:00:00"/>
    <s v="C0"/>
    <m/>
    <m/>
    <n v="29784"/>
    <x v="55"/>
    <x v="5"/>
  </r>
  <r>
    <s v="SFMyCP"/>
    <x v="0"/>
    <x v="0"/>
    <x v="0"/>
    <x v="8"/>
    <x v="6"/>
    <m/>
    <s v="CTO"/>
    <s v="MANTENIMIENTO"/>
    <s v="CABILDO 65"/>
    <s v="CABILDO 65"/>
    <x v="817"/>
    <s v="DNI"/>
    <n v="36944732"/>
    <s v="20369447328"/>
    <d v="1992-12-07T00:00:00"/>
    <m/>
    <m/>
    <m/>
    <m/>
    <s v="ASISTENCIA TÉCNICA"/>
    <x v="0"/>
    <d v="2013-07-01T00:00:00"/>
    <m/>
    <d v="2016-12-31T00:00:00"/>
    <m/>
    <s v="UNTREF"/>
    <s v="UNSAM- LADA"/>
    <n v="11466"/>
    <x v="49"/>
    <x v="46"/>
  </r>
  <r>
    <s v="SFMyCP"/>
    <x v="0"/>
    <x v="0"/>
    <x v="0"/>
    <x v="8"/>
    <x v="6"/>
    <m/>
    <s v="TÉCNICA Y TRANSMISIÓN"/>
    <s v="ADMINISTRATIVO"/>
    <s v="CABILDO 65"/>
    <s v="CABILDO 65"/>
    <x v="818"/>
    <s v="DNI"/>
    <n v="35084320"/>
    <s v="20350843206"/>
    <d v="1990-04-27T00:00:00"/>
    <m/>
    <m/>
    <m/>
    <m/>
    <s v="ASISTENCIA TÉCNICA"/>
    <x v="0"/>
    <d v="2013-03-01T00:00:00"/>
    <m/>
    <d v="2016-12-31T00:00:00"/>
    <m/>
    <s v="UNTREF"/>
    <s v="UNSAM- LADA"/>
    <n v="22890"/>
    <x v="242"/>
    <x v="5"/>
  </r>
  <r>
    <s v="SFMyCP"/>
    <x v="0"/>
    <x v="0"/>
    <x v="4"/>
    <x v="2"/>
    <x v="2"/>
    <m/>
    <s v="PRIVADA"/>
    <s v="ADMINISTRATIVO"/>
    <m/>
    <s v="CCK - Alem 351"/>
    <x v="819"/>
    <s v="DNI"/>
    <n v="30860376"/>
    <n v="27308603763"/>
    <d v="1984-03-02T00:00:00"/>
    <m/>
    <m/>
    <m/>
    <m/>
    <s v="ASISTENCIA TÉCNICA"/>
    <x v="0"/>
    <d v="2016-04-01T00:00:00"/>
    <m/>
    <d v="2016-12-31T00:00:00"/>
    <m/>
    <s v="UNTREF"/>
    <m/>
    <m/>
    <x v="18"/>
    <x v="3"/>
  </r>
  <r>
    <s v="SFMyCP"/>
    <x v="0"/>
    <x v="1"/>
    <x v="3"/>
    <x v="15"/>
    <x v="2"/>
    <m/>
    <m/>
    <s v="COLOCACIÓN DE CARTELERIA/DESARME DE ESTRUCTURAS/MANTENIMIENTO"/>
    <s v="TECNÓPOLIS"/>
    <s v="TECNOPOLIS"/>
    <x v="820"/>
    <s v="DNI"/>
    <n v="34782221"/>
    <s v="20347822214"/>
    <d v="1989-02-23T00:00:00"/>
    <m/>
    <m/>
    <m/>
    <m/>
    <s v="ASISTENCIA TÉCNICA"/>
    <x v="0"/>
    <d v="2011-06-06T00:00:00"/>
    <m/>
    <d v="2016-12-31T00:00:00"/>
    <m/>
    <s v="UNTREF"/>
    <s v="UNTREF"/>
    <n v="12000"/>
    <x v="7"/>
    <x v="5"/>
  </r>
  <r>
    <s v="SFMyCP"/>
    <x v="0"/>
    <x v="0"/>
    <x v="0"/>
    <x v="8"/>
    <x v="6"/>
    <m/>
    <s v="PANORAMA ARGENTINO"/>
    <m/>
    <s v="CABILDO 65"/>
    <m/>
    <x v="821"/>
    <s v="DNI"/>
    <n v="30886045"/>
    <n v="20308860451"/>
    <m/>
    <m/>
    <m/>
    <m/>
    <m/>
    <s v="LEY MARCO"/>
    <x v="1"/>
    <d v="2013-12-01T00:00:00"/>
    <d v="2016-03-31T00:00:00"/>
    <d v="2016-12-31T00:00:00"/>
    <s v="B0"/>
    <m/>
    <m/>
    <n v="17505"/>
    <x v="68"/>
    <x v="5"/>
  </r>
  <r>
    <s v="SFMyCP"/>
    <x v="1"/>
    <x v="0"/>
    <x v="5"/>
    <x v="7"/>
    <x v="2"/>
    <m/>
    <m/>
    <m/>
    <m/>
    <m/>
    <x v="822"/>
    <s v="DNI"/>
    <n v="28591140"/>
    <m/>
    <m/>
    <m/>
    <m/>
    <m/>
    <m/>
    <s v="LEY MARCO"/>
    <x v="1"/>
    <m/>
    <m/>
    <d v="2016-12-31T00:00:00"/>
    <s v="B1"/>
    <m/>
    <m/>
    <m/>
    <x v="18"/>
    <x v="3"/>
  </r>
  <r>
    <s v="SFMyCP"/>
    <x v="0"/>
    <x v="1"/>
    <x v="3"/>
    <x v="6"/>
    <x v="2"/>
    <m/>
    <m/>
    <s v="MANTENIMIENTO GRAL DEL PARQUE"/>
    <s v="TECNÓPOLIS"/>
    <s v="TECNOPOLIS"/>
    <x v="823"/>
    <s v="DNI"/>
    <n v="40843063"/>
    <s v="20408430632"/>
    <d v="1987-09-02T00:00:00"/>
    <m/>
    <m/>
    <m/>
    <m/>
    <s v="ASISTENCIA TÉCNICA"/>
    <x v="0"/>
    <d v="2014-12-01T00:00:00"/>
    <m/>
    <d v="2016-12-31T00:00:00"/>
    <m/>
    <s v="UNTREF"/>
    <s v="UNTREF"/>
    <n v="11449.4"/>
    <x v="8"/>
    <x v="5"/>
  </r>
  <r>
    <s v="SFMyCP"/>
    <x v="0"/>
    <x v="0"/>
    <x v="4"/>
    <x v="2"/>
    <x v="2"/>
    <m/>
    <s v="SECRETARIA"/>
    <s v="Secretaria"/>
    <s v="CCK"/>
    <s v="CCK - Alem 351"/>
    <x v="824"/>
    <s v="DNI"/>
    <n v="34265208"/>
    <s v="27342652080"/>
    <d v="1989-02-09T00:00:00"/>
    <m/>
    <m/>
    <m/>
    <m/>
    <s v="ASISTENCIA TÉCNICA"/>
    <x v="0"/>
    <d v="2015-08-01T00:00:00"/>
    <m/>
    <d v="2016-12-31T00:00:00"/>
    <m/>
    <s v="UNTREF"/>
    <s v="UNLAM -TDA"/>
    <n v="9555"/>
    <x v="30"/>
    <x v="18"/>
  </r>
  <r>
    <s v="SFMyCP"/>
    <x v="0"/>
    <x v="1"/>
    <x v="1"/>
    <x v="10"/>
    <x v="2"/>
    <m/>
    <m/>
    <s v="ADMINISTRATIVA"/>
    <m/>
    <s v="CCK - Alem 351"/>
    <x v="825"/>
    <s v="DNI"/>
    <n v="21618345"/>
    <s v="20216183453"/>
    <d v="1970-05-30T00:00:00"/>
    <m/>
    <m/>
    <m/>
    <m/>
    <s v="ASISTENCIA TÉCNICA"/>
    <x v="0"/>
    <d v="2016-04-01T00:00:00"/>
    <m/>
    <d v="2016-12-31T00:00:00"/>
    <m/>
    <s v="UNTREF"/>
    <m/>
    <n v="20000"/>
    <x v="18"/>
    <x v="3"/>
  </r>
  <r>
    <s v="SFMyCP"/>
    <x v="0"/>
    <x v="0"/>
    <x v="4"/>
    <x v="2"/>
    <x v="2"/>
    <m/>
    <s v="PRIVADA"/>
    <s v="ADMINISTRATIVO"/>
    <m/>
    <s v="CCK - Alem 351"/>
    <x v="825"/>
    <s v="DNI"/>
    <n v="11222820"/>
    <n v="23112228209"/>
    <d v="1954-01-29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m/>
    <s v="TÉCNICA Y TRANSMISIÓN"/>
    <s v="ADMINISTRATIVO"/>
    <s v="CABILDO 65"/>
    <s v="CABILDO 65"/>
    <x v="826"/>
    <s v="DNI"/>
    <n v="18383611"/>
    <s v="20183836111"/>
    <d v="1967-07-27T00:00:00"/>
    <m/>
    <m/>
    <m/>
    <m/>
    <s v="ASISTENCIA TÉCNICA"/>
    <x v="0"/>
    <d v="2014-05-11T00:00:00"/>
    <m/>
    <d v="2016-12-31T00:00:00"/>
    <m/>
    <s v="UNTREF"/>
    <s v="UNSAM- LADA"/>
    <n v="20959"/>
    <x v="15"/>
    <x v="5"/>
  </r>
  <r>
    <s v="SFMyCP"/>
    <x v="0"/>
    <x v="1"/>
    <x v="1"/>
    <x v="5"/>
    <x v="19"/>
    <m/>
    <s v="Asistente Técnico Seguridad"/>
    <s v="Asistente Técnico Seguridad"/>
    <s v="CCK"/>
    <s v="CCK - Alem 351"/>
    <x v="827"/>
    <s v="DNI"/>
    <n v="20640391"/>
    <s v="27206403913"/>
    <d v="1968-12-27T00:00:00"/>
    <m/>
    <m/>
    <m/>
    <m/>
    <s v="ASISTENCIA TÉCNICA"/>
    <x v="0"/>
    <d v="2015-07-01T00:00:00"/>
    <m/>
    <d v="2016-12-31T00:00:00"/>
    <m/>
    <s v="UNTREF"/>
    <s v="UNLAM- BICENTENARIO"/>
    <n v="10860"/>
    <x v="5"/>
    <x v="4"/>
  </r>
  <r>
    <s v="SFMyCP"/>
    <x v="1"/>
    <x v="0"/>
    <x v="5"/>
    <x v="26"/>
    <x v="2"/>
    <m/>
    <s v="Analista"/>
    <s v="Analista"/>
    <s v="CCK"/>
    <s v="CCK - Alem 351"/>
    <x v="828"/>
    <s v="DNI"/>
    <n v="38522594"/>
    <s v="20385225947"/>
    <d v="1994-09-24T00:00:00"/>
    <m/>
    <m/>
    <m/>
    <m/>
    <s v="ASISTENCIA TÉCNICA"/>
    <x v="0"/>
    <d v="2015-01-26T00:00:00"/>
    <m/>
    <d v="2016-12-31T00:00:00"/>
    <m/>
    <s v="UNTREF"/>
    <s v="UNLAM- INFO"/>
    <n v="10829"/>
    <x v="5"/>
    <x v="7"/>
  </r>
  <r>
    <s v="SFMyCP"/>
    <x v="0"/>
    <x v="1"/>
    <x v="3"/>
    <x v="13"/>
    <x v="2"/>
    <m/>
    <s v="Administrativo"/>
    <m/>
    <s v="TECNÓPOLIS"/>
    <m/>
    <x v="829"/>
    <s v="DNI"/>
    <n v="22645586"/>
    <n v="27226455863"/>
    <m/>
    <m/>
    <m/>
    <m/>
    <m/>
    <s v="LEY MARCO"/>
    <x v="1"/>
    <d v="2011-05-01T00:00:00"/>
    <d v="2016-12-31T00:00:00"/>
    <d v="2016-12-31T00:00:00"/>
    <s v="B0"/>
    <m/>
    <m/>
    <n v="16757"/>
    <x v="243"/>
    <x v="5"/>
  </r>
  <r>
    <s v="SFMyCP"/>
    <x v="0"/>
    <x v="1"/>
    <x v="1"/>
    <x v="31"/>
    <x v="2"/>
    <m/>
    <s v="Secretaria"/>
    <m/>
    <s v="CCK"/>
    <m/>
    <x v="830"/>
    <s v="DNI"/>
    <n v="35216524"/>
    <n v="27352165242"/>
    <m/>
    <m/>
    <m/>
    <m/>
    <m/>
    <s v="LEY MARCO"/>
    <x v="1"/>
    <d v="2009-04-01T00:00:00"/>
    <d v="2016-12-31T00:00:00"/>
    <d v="2016-12-31T00:00:00"/>
    <s v="B1"/>
    <m/>
    <m/>
    <n v="18277"/>
    <x v="88"/>
    <x v="5"/>
  </r>
  <r>
    <s v="SFMyCP"/>
    <x v="0"/>
    <x v="1"/>
    <x v="3"/>
    <x v="6"/>
    <x v="2"/>
    <m/>
    <m/>
    <s v="MANTENIMIENTO GRAL DEL PARQUE"/>
    <s v="TECNÓPOLIS"/>
    <s v="TECNOPOLIS"/>
    <x v="831"/>
    <s v="DNI"/>
    <n v="30276696"/>
    <s v="20302766968"/>
    <d v="1983-04-30T00:00:00"/>
    <m/>
    <m/>
    <m/>
    <m/>
    <s v="ASISTENCIA TÉCNICA"/>
    <x v="0"/>
    <d v="2013-07-01T00:00:00"/>
    <m/>
    <d v="2016-12-31T00:00:00"/>
    <m/>
    <s v="UNTREF"/>
    <s v="UNTREF"/>
    <n v="11499.3"/>
    <x v="239"/>
    <x v="5"/>
  </r>
  <r>
    <s v="SFMyCP"/>
    <x v="1"/>
    <x v="0"/>
    <x v="2"/>
    <x v="2"/>
    <x v="2"/>
    <m/>
    <s v="PRIVADA"/>
    <s v="ADMINISTRATIVO"/>
    <m/>
    <s v="CCK - Alem 351"/>
    <x v="832"/>
    <s v="DNI"/>
    <n v="36526530"/>
    <s v="27365265300"/>
    <d v="1991-04-21T00:00:00"/>
    <m/>
    <m/>
    <m/>
    <m/>
    <s v="ASISTENCIA TÉCNICA"/>
    <x v="0"/>
    <d v="2016-01-01T00:00:00"/>
    <m/>
    <d v="2016-12-31T00:00:00"/>
    <m/>
    <s v="UNTREF"/>
    <m/>
    <n v="15000"/>
    <x v="110"/>
    <x v="9"/>
  </r>
  <r>
    <s v="SFMyCP"/>
    <x v="0"/>
    <x v="0"/>
    <x v="0"/>
    <x v="8"/>
    <x v="4"/>
    <m/>
    <s v="PRODUCCIÓN"/>
    <s v="PRODUCTOR de EXTERIORES"/>
    <s v="CABILDO 65"/>
    <s v="CABILDO 65"/>
    <x v="833"/>
    <s v="DNI"/>
    <n v="22048883"/>
    <s v="20220488838"/>
    <d v="1971-02-04T00:00:00"/>
    <m/>
    <m/>
    <m/>
    <m/>
    <s v="ASISTENCIA TÉCNICA"/>
    <x v="0"/>
    <d v="2012-08-01T00:00:00"/>
    <m/>
    <d v="2016-12-31T00:00:00"/>
    <m/>
    <s v="UNTREF"/>
    <m/>
    <n v="24060"/>
    <x v="73"/>
    <x v="3"/>
  </r>
  <r>
    <s v="SFMyCP"/>
    <x v="0"/>
    <x v="1"/>
    <x v="3"/>
    <x v="3"/>
    <x v="2"/>
    <m/>
    <m/>
    <s v="LIMPIEZA GENERAL DEL PARQUE"/>
    <s v="TECNÓPOLIS"/>
    <s v="TECNOPOLIS"/>
    <x v="834"/>
    <s v="DNI"/>
    <n v="16639040"/>
    <s v="20166390401"/>
    <d v="1963-12-11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1"/>
    <x v="3"/>
    <x v="3"/>
    <x v="2"/>
    <m/>
    <m/>
    <s v="LIMPIEZA GENERAL DEL PARQUE"/>
    <s v="TECNÓPOLIS"/>
    <s v="TECNOPOLIS"/>
    <x v="835"/>
    <s v="DNI"/>
    <n v="37350780"/>
    <s v="20373507807"/>
    <d v="1993-09-28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0"/>
    <x v="6"/>
    <x v="12"/>
    <x v="2"/>
    <m/>
    <m/>
    <s v="ADMINISTRATIVO"/>
    <m/>
    <s v="CCK - Alem 351"/>
    <x v="836"/>
    <s v="DNI"/>
    <n v="34602138"/>
    <m/>
    <d v="1989-07-02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1"/>
    <x v="0"/>
    <x v="2"/>
    <x v="2"/>
    <x v="2"/>
    <m/>
    <s v="PRIVADA"/>
    <s v="ADMINISTRATIVO"/>
    <m/>
    <s v="CCK - Alem 351"/>
    <x v="837"/>
    <s v="DNI"/>
    <n v="6715531"/>
    <s v="27067155314"/>
    <d v="1947-05-05T00:00:00"/>
    <m/>
    <m/>
    <m/>
    <m/>
    <s v="ASISTENCIA TÉCNICA"/>
    <x v="0"/>
    <d v="2016-01-01T00:00:00"/>
    <m/>
    <d v="2016-12-31T00:00:00"/>
    <m/>
    <s v="UNTREF"/>
    <s v="UNSAM"/>
    <n v="12275"/>
    <x v="62"/>
    <x v="15"/>
  </r>
  <r>
    <s v="SFMyCP"/>
    <x v="2"/>
    <x v="0"/>
    <x v="4"/>
    <x v="2"/>
    <x v="2"/>
    <m/>
    <m/>
    <s v="ADMINISTRATIVO"/>
    <m/>
    <s v="CCK - Alem 351"/>
    <x v="838"/>
    <s v="DNI"/>
    <n v="27203478"/>
    <m/>
    <d v="1979-02-17T00:00:00"/>
    <m/>
    <m/>
    <m/>
    <m/>
    <s v="ASISTENCIA TÉCNICA"/>
    <x v="0"/>
    <d v="2016-07-01T00:00:00"/>
    <m/>
    <d v="2016-08-31T00:00:00"/>
    <m/>
    <s v="UNTREF"/>
    <m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839"/>
    <s v="DNI"/>
    <n v="16305311"/>
    <s v="20163053110"/>
    <d v="1963-03-17T00:00:00"/>
    <m/>
    <m/>
    <m/>
    <m/>
    <s v="ASISTENCIA TÉCNICA"/>
    <x v="0"/>
    <d v="2015-03-02T00:00:00"/>
    <m/>
    <d v="2016-12-31T00:00:00"/>
    <m/>
    <s v="UNTREF"/>
    <m/>
    <n v="18795"/>
    <x v="37"/>
    <x v="3"/>
  </r>
  <r>
    <s v="SFMyCP"/>
    <x v="0"/>
    <x v="0"/>
    <x v="0"/>
    <x v="8"/>
    <x v="6"/>
    <m/>
    <s v="PRODUCCIÓN"/>
    <s v="PRODUCTOR de EXTERIORES"/>
    <s v="CABILDO 65"/>
    <s v="CABILDO 65"/>
    <x v="840"/>
    <s v="DNI"/>
    <n v="28863215"/>
    <s v="23288632154"/>
    <d v="1981-04-24T00:00:00"/>
    <m/>
    <m/>
    <m/>
    <m/>
    <s v="ASISTENCIA TÉCNICA"/>
    <x v="0"/>
    <d v="2015-04-01T00:00:00"/>
    <m/>
    <d v="2016-12-31T00:00:00"/>
    <m/>
    <s v="UNTREF"/>
    <s v="UNSAM- LADA"/>
    <n v="18795"/>
    <x v="37"/>
    <x v="5"/>
  </r>
  <r>
    <s v="SFMyCP"/>
    <x v="0"/>
    <x v="1"/>
    <x v="1"/>
    <x v="10"/>
    <x v="2"/>
    <m/>
    <s v="Asistente Técnico"/>
    <s v="ADMINISTRATIVA"/>
    <s v="CCK"/>
    <s v="CCK - Alem 351"/>
    <x v="841"/>
    <s v="DNI"/>
    <n v="25330208"/>
    <s v="23253302089"/>
    <d v="1976-05-10T00:00:00"/>
    <m/>
    <m/>
    <m/>
    <m/>
    <s v="ASISTENCIA TÉCNICA"/>
    <x v="0"/>
    <d v="2014-02-10T00:00:00"/>
    <m/>
    <d v="2016-12-31T00:00:00"/>
    <m/>
    <s v="UNTREF"/>
    <s v="UNSAM"/>
    <n v="13062"/>
    <x v="30"/>
    <x v="8"/>
  </r>
  <r>
    <s v="SFMyCP"/>
    <x v="0"/>
    <x v="1"/>
    <x v="3"/>
    <x v="20"/>
    <x v="2"/>
    <m/>
    <m/>
    <m/>
    <s v="TECNÓPOLIS"/>
    <m/>
    <x v="842"/>
    <s v="DNI"/>
    <n v="27217962"/>
    <n v="20272179620"/>
    <m/>
    <m/>
    <m/>
    <m/>
    <m/>
    <s v="LEY MARCO"/>
    <x v="1"/>
    <d v="2011-07-01T00:00:00"/>
    <d v="2016-12-31T00:00:00"/>
    <d v="2016-12-31T00:00:00"/>
    <s v="C0"/>
    <m/>
    <m/>
    <n v="19930"/>
    <x v="244"/>
    <x v="5"/>
  </r>
  <r>
    <s v="SFMyCP"/>
    <x v="0"/>
    <x v="0"/>
    <x v="6"/>
    <x v="12"/>
    <x v="2"/>
    <m/>
    <m/>
    <m/>
    <m/>
    <m/>
    <x v="843"/>
    <s v="DNI"/>
    <n v="24206132"/>
    <n v="20242061323"/>
    <m/>
    <m/>
    <m/>
    <m/>
    <m/>
    <m/>
    <x v="0"/>
    <d v="2016-08-01T00:00:00"/>
    <m/>
    <d v="2016-10-30T00:00:00"/>
    <m/>
    <s v="UNTREF"/>
    <m/>
    <m/>
    <x v="18"/>
    <x v="3"/>
  </r>
  <r>
    <s v="SFMyCP"/>
    <x v="1"/>
    <x v="0"/>
    <x v="5"/>
    <x v="2"/>
    <x v="2"/>
    <m/>
    <m/>
    <s v="ADMINISTRATIVO"/>
    <m/>
    <s v="CCK - Alem 351"/>
    <x v="844"/>
    <s v="DNI"/>
    <n v="37753501"/>
    <s v="23377535014"/>
    <d v="1993-06-22T00:00:00"/>
    <m/>
    <m/>
    <m/>
    <m/>
    <s v="ASISTENCIA TÉCNICA"/>
    <x v="0"/>
    <d v="2014-11-01T00:00:00"/>
    <m/>
    <d v="2016-12-31T00:00:00"/>
    <m/>
    <s v="UNTREF"/>
    <m/>
    <n v="10189"/>
    <x v="18"/>
    <x v="3"/>
  </r>
  <r>
    <s v="SFMyCP"/>
    <x v="0"/>
    <x v="1"/>
    <x v="3"/>
    <x v="6"/>
    <x v="2"/>
    <m/>
    <m/>
    <s v="MANTENIMIENTO GRAL DEL PARQUE"/>
    <s v="TECNÓPOLIS"/>
    <s v="TECNOPOLIS"/>
    <x v="845"/>
    <s v="DNI"/>
    <n v="36761265"/>
    <s v="20367612658"/>
    <d v="1992-06-02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0"/>
    <x v="0"/>
    <x v="0"/>
    <x v="0"/>
    <m/>
    <s v="GESTION DE PROYECTOS"/>
    <s v="ANALISTA"/>
    <s v="PALPALÁ-JUJUY"/>
    <s v="PALPALÁ-JUJUY"/>
    <x v="846"/>
    <s v="DNI"/>
    <n v="32877206"/>
    <n v="20328772060"/>
    <d v="1987-09-10T00:00:00"/>
    <m/>
    <m/>
    <m/>
    <m/>
    <s v="ASISTENCIA TÉCNICA"/>
    <x v="0"/>
    <d v="2015-09-01T00:00:00"/>
    <m/>
    <d v="2016-12-31T00:00:00"/>
    <m/>
    <s v="UNTREF"/>
    <s v="UNSAM"/>
    <n v="14500"/>
    <x v="245"/>
    <x v="0"/>
  </r>
  <r>
    <s v="SFMyCP"/>
    <x v="0"/>
    <x v="1"/>
    <x v="1"/>
    <x v="10"/>
    <x v="2"/>
    <m/>
    <m/>
    <s v="ADMINISTRATIVA"/>
    <m/>
    <s v="CCK - Alem 351"/>
    <x v="847"/>
    <s v="DNI"/>
    <n v="26047568"/>
    <s v="20260475682"/>
    <d v="1977-06-06T00:00:00"/>
    <m/>
    <m/>
    <m/>
    <m/>
    <s v="ASISTENCIA TÉCNICA"/>
    <x v="0"/>
    <d v="2016-05-01T00:00:00"/>
    <m/>
    <d v="2016-12-31T00:00:00"/>
    <m/>
    <s v="UNTREF"/>
    <m/>
    <s v="."/>
    <x v="14"/>
    <x v="3"/>
  </r>
  <r>
    <s v="SFMyCP"/>
    <x v="0"/>
    <x v="1"/>
    <x v="1"/>
    <x v="39"/>
    <x v="2"/>
    <m/>
    <m/>
    <s v="CADETE"/>
    <s v="CCK"/>
    <s v="CCK - Alem 351"/>
    <x v="848"/>
    <s v="DNI"/>
    <n v="26246918"/>
    <s v="20262469183"/>
    <d v="1978-02-03T00:00:00"/>
    <m/>
    <m/>
    <m/>
    <m/>
    <s v="ASISTENCIA TÉCNICA"/>
    <x v="0"/>
    <d v="2015-03-03T00:00:00"/>
    <m/>
    <d v="2016-12-31T00:00:00"/>
    <m/>
    <s v="UNTREF"/>
    <s v="UNSAM-MINPLAN"/>
    <n v="12500"/>
    <x v="30"/>
    <x v="46"/>
  </r>
  <r>
    <s v="SFMyCP"/>
    <x v="0"/>
    <x v="0"/>
    <x v="0"/>
    <x v="8"/>
    <x v="6"/>
    <m/>
    <s v="TÉCNICA Y TRANSMISIÓN"/>
    <s v="ADMINISTRATIVO"/>
    <s v="CABILDO 65"/>
    <s v="CABILDO 65"/>
    <x v="849"/>
    <s v="DNI"/>
    <n v="12425437"/>
    <s v="20124254370"/>
    <d v="1958-06-01T00:00:00"/>
    <m/>
    <m/>
    <m/>
    <m/>
    <s v="ASISTENCIA TÉCNICA"/>
    <x v="0"/>
    <d v="2013-01-01T00:00:00"/>
    <m/>
    <d v="2016-12-31T00:00:00"/>
    <m/>
    <s v="UNTREF"/>
    <s v="UNSAM- LADA"/>
    <n v="34485"/>
    <x v="121"/>
    <x v="5"/>
  </r>
  <r>
    <s v="SFMyCP"/>
    <x v="0"/>
    <x v="1"/>
    <x v="3"/>
    <x v="27"/>
    <x v="2"/>
    <m/>
    <m/>
    <s v="OPERACIÓN/MONTAJE/MANTENIMIENTO"/>
    <s v="TECNÓPOLIS"/>
    <s v="TECNOPOLIS"/>
    <x v="850"/>
    <s v="DNI"/>
    <n v="34114414"/>
    <s v="20341144141"/>
    <d v="1988-11-07T00:00:00"/>
    <m/>
    <m/>
    <m/>
    <m/>
    <s v="ASISTENCIA TÉCNICA"/>
    <x v="0"/>
    <d v="2013-04-01T00:00:00"/>
    <m/>
    <d v="2016-12-31T00:00:00"/>
    <m/>
    <s v="UNTREF"/>
    <s v="UNTREF"/>
    <n v="20817.09"/>
    <x v="246"/>
    <x v="5"/>
  </r>
  <r>
    <s v="SFMyCP"/>
    <x v="0"/>
    <x v="1"/>
    <x v="1"/>
    <x v="16"/>
    <x v="11"/>
    <m/>
    <m/>
    <s v="VISITAS GUIADAS"/>
    <m/>
    <s v="CCK - Alem 351"/>
    <x v="851"/>
    <s v="DNI"/>
    <n v="34511518"/>
    <n v="27345115183"/>
    <d v="1989-05-29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8"/>
    <x v="4"/>
    <m/>
    <s v="PRODUCCIÓN"/>
    <s v="PRODUCTOR de EXTERIORES"/>
    <s v="CABILDO 65"/>
    <s v="CABILDO 65"/>
    <x v="852"/>
    <s v="DNI"/>
    <n v="38842536"/>
    <s v="23388425369"/>
    <d v="1993-02-02T00:00:00"/>
    <m/>
    <m/>
    <m/>
    <m/>
    <s v="ASISTENCIA TÉCNICA"/>
    <x v="0"/>
    <d v="2015-08-17T00:00:00"/>
    <m/>
    <d v="2016-12-31T00:00:00"/>
    <m/>
    <s v="UNTREF"/>
    <m/>
    <n v="24060"/>
    <x v="73"/>
    <x v="3"/>
  </r>
  <r>
    <s v="SFMyCP"/>
    <x v="0"/>
    <x v="0"/>
    <x v="0"/>
    <x v="8"/>
    <x v="6"/>
    <m/>
    <s v="TÉCNICA Y TRANSMISIÓN"/>
    <s v="ADMINISTRATIVO"/>
    <s v="CABILDO 65"/>
    <s v="CABILDO 65"/>
    <x v="853"/>
    <s v="DNI"/>
    <n v="27263724"/>
    <s v="20272637246"/>
    <d v="1979-05-30T00:00:00"/>
    <m/>
    <m/>
    <m/>
    <m/>
    <s v="ASISTENCIA TÉCNICA"/>
    <x v="0"/>
    <d v="2015-10-01T00:00:00"/>
    <m/>
    <d v="2016-12-31T00:00:00"/>
    <m/>
    <s v="UNTREF"/>
    <s v="UNSAM- LADA"/>
    <n v="16465"/>
    <x v="17"/>
    <x v="5"/>
  </r>
  <r>
    <s v="SFMyCP"/>
    <x v="0"/>
    <x v="1"/>
    <x v="3"/>
    <x v="4"/>
    <x v="2"/>
    <m/>
    <s v="COCINA"/>
    <m/>
    <s v="TECNÓPOLIS"/>
    <m/>
    <x v="854"/>
    <s v="DNI"/>
    <n v="37200106"/>
    <n v="27372001068"/>
    <m/>
    <m/>
    <m/>
    <m/>
    <m/>
    <s v="LEY MARCO"/>
    <x v="1"/>
    <d v="2013-07-01T00:00:00"/>
    <d v="2016-03-31T00:00:00"/>
    <d v="2016-12-31T00:00:00"/>
    <s v="C0"/>
    <m/>
    <m/>
    <n v="13084.78"/>
    <x v="32"/>
    <x v="5"/>
  </r>
  <r>
    <s v="SFMyCP"/>
    <x v="0"/>
    <x v="1"/>
    <x v="1"/>
    <x v="5"/>
    <x v="13"/>
    <m/>
    <s v=""/>
    <s v="Auxiliar de Mantenimiento"/>
    <s v="CCK"/>
    <s v="CCK - Alem 351"/>
    <x v="855"/>
    <s v="DNI"/>
    <n v="23426675"/>
    <s v="20234266757"/>
    <d v="1973-08-22T00:00:00"/>
    <m/>
    <m/>
    <m/>
    <m/>
    <s v="ASISTENCIA TÉCNICA"/>
    <x v="0"/>
    <d v="2015-05-15T00:00:00"/>
    <m/>
    <d v="2016-12-31T00:00:00"/>
    <m/>
    <s v="UNTREF"/>
    <s v="UNSAM"/>
    <n v="20000"/>
    <x v="113"/>
    <x v="47"/>
  </r>
  <r>
    <s v="SFMyCP"/>
    <x v="0"/>
    <x v="1"/>
    <x v="3"/>
    <x v="45"/>
    <x v="2"/>
    <m/>
    <s v="PRIVADA"/>
    <s v="ASISTENTE"/>
    <m/>
    <s v="TECNOPOLIS"/>
    <x v="856"/>
    <s v="DNI"/>
    <n v="29303530"/>
    <n v="20293035300"/>
    <d v="1982-03-30T00:00:00"/>
    <m/>
    <m/>
    <m/>
    <m/>
    <s v="ASISTENCIA TÉCNICA"/>
    <x v="0"/>
    <d v="2016-05-11T00:00:00"/>
    <m/>
    <d v="2016-12-31T00:00:00"/>
    <m/>
    <s v="UNTREF"/>
    <m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857"/>
    <s v="DNI"/>
    <n v="38682779"/>
    <s v="27386827791"/>
    <d v="1984-11-24T00:00:00"/>
    <m/>
    <m/>
    <m/>
    <m/>
    <s v="ASISTENCIA TÉCNICA"/>
    <x v="0"/>
    <d v="2015-10-01T00:00:00"/>
    <m/>
    <d v="2016-12-31T00:00:00"/>
    <m/>
    <s v="UNTREF"/>
    <s v="UNSAM- LADA"/>
    <n v="16465"/>
    <x v="17"/>
    <x v="5"/>
  </r>
  <r>
    <s v="SFMyCP"/>
    <x v="0"/>
    <x v="1"/>
    <x v="1"/>
    <x v="1"/>
    <x v="1"/>
    <m/>
    <s v="Diseñadora gráfica"/>
    <m/>
    <s v="CCK"/>
    <m/>
    <x v="858"/>
    <s v="DNI"/>
    <n v="21471551"/>
    <n v="27214715517"/>
    <m/>
    <m/>
    <m/>
    <m/>
    <m/>
    <s v="LEY MARCO"/>
    <x v="1"/>
    <d v="2011-05-02T00:00:00"/>
    <d v="2016-12-31T00:00:00"/>
    <d v="2016-12-31T00:00:00"/>
    <s v="B1"/>
    <m/>
    <m/>
    <n v="20266"/>
    <x v="24"/>
    <x v="5"/>
  </r>
  <r>
    <s v="SFMyCP"/>
    <x v="1"/>
    <x v="0"/>
    <x v="5"/>
    <x v="17"/>
    <x v="17"/>
    <m/>
    <s v="RECURSOS HUMANOS"/>
    <m/>
    <s v="CABILDO 65"/>
    <m/>
    <x v="859"/>
    <s v="DNI"/>
    <n v="26522544"/>
    <n v="27265225441"/>
    <m/>
    <m/>
    <m/>
    <m/>
    <m/>
    <s v="LEY MARCO"/>
    <x v="1"/>
    <d v="2012-12-01T00:00:00"/>
    <d v="2016-12-31T00:00:00"/>
    <d v="2016-12-31T00:00:00"/>
    <s v="B0"/>
    <m/>
    <m/>
    <n v="17505"/>
    <x v="68"/>
    <x v="5"/>
  </r>
  <r>
    <s v="SFMyCP"/>
    <x v="0"/>
    <x v="0"/>
    <x v="0"/>
    <x v="8"/>
    <x v="6"/>
    <m/>
    <s v="POSTPRODUCCIÓN"/>
    <s v="EDICION"/>
    <s v="CABILDO 65"/>
    <s v="CABILDO 65"/>
    <x v="860"/>
    <s v="DNI"/>
    <n v="30448923"/>
    <s v="20304489236"/>
    <d v="1983-08-08T00:00:00"/>
    <m/>
    <m/>
    <m/>
    <m/>
    <s v="ASISTENCIA TÉCNICA"/>
    <x v="0"/>
    <d v="2011-08-01T00:00:00"/>
    <m/>
    <d v="2016-12-31T00:00:00"/>
    <m/>
    <s v="UNTREF"/>
    <m/>
    <n v="20545"/>
    <x v="143"/>
    <x v="3"/>
  </r>
  <r>
    <s v="SFMyCP"/>
    <x v="2"/>
    <x v="0"/>
    <x v="4"/>
    <x v="2"/>
    <x v="2"/>
    <m/>
    <m/>
    <s v="ADMINISTRATIVO"/>
    <m/>
    <s v="CCK - Alem 351"/>
    <x v="861"/>
    <s v="DNI"/>
    <n v="11045200"/>
    <m/>
    <d v="1954-03-30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1"/>
    <x v="0"/>
    <x v="2"/>
    <x v="2"/>
    <x v="2"/>
    <m/>
    <s v="PRIVADA"/>
    <s v="ADMINISTRATIVO"/>
    <m/>
    <s v="CCK - Alem 351"/>
    <x v="862"/>
    <s v="DNI"/>
    <n v="26397949"/>
    <s v="23263979494"/>
    <d v="1977-12-12T00:00:00"/>
    <m/>
    <m/>
    <m/>
    <m/>
    <s v="ASISTENCIA TÉCNICA"/>
    <x v="0"/>
    <d v="2016-01-01T00:00:00"/>
    <m/>
    <d v="2016-12-31T00:00:00"/>
    <m/>
    <s v="UNTREF"/>
    <s v="UNSAM"/>
    <n v="12742"/>
    <x v="247"/>
    <x v="48"/>
  </r>
  <r>
    <s v="SFMyCP"/>
    <x v="1"/>
    <x v="0"/>
    <x v="5"/>
    <x v="25"/>
    <x v="2"/>
    <m/>
    <m/>
    <s v="Administrativo"/>
    <m/>
    <s v="CCK - Alem 351"/>
    <x v="863"/>
    <s v="DNI"/>
    <n v="18889124"/>
    <n v="20188891242"/>
    <d v="1993-04-11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864"/>
    <s v="DNI"/>
    <n v="11231408"/>
    <n v="27112314089"/>
    <d v="1954-04-25T00:00:00"/>
    <m/>
    <m/>
    <m/>
    <m/>
    <s v="ASISTENCIA TÉCNICA"/>
    <x v="0"/>
    <d v="2016-01-01T00:00:00"/>
    <m/>
    <d v="2016-12-31T00:00:00"/>
    <m/>
    <s v="UNTREF"/>
    <s v="UNSAM"/>
    <n v="15000"/>
    <x v="110"/>
    <x v="9"/>
  </r>
  <r>
    <s v="SFMyCP"/>
    <x v="0"/>
    <x v="1"/>
    <x v="1"/>
    <x v="5"/>
    <x v="24"/>
    <m/>
    <m/>
    <s v="ADMINISTRATIVO"/>
    <s v="CCK"/>
    <s v="CCK - Alem 351"/>
    <x v="865"/>
    <s v="DNI"/>
    <n v="22278247"/>
    <s v="27222782479"/>
    <d v="1971-08-16T00:00:00"/>
    <m/>
    <m/>
    <m/>
    <m/>
    <s v="ASISTENCIA TÉCNICA"/>
    <x v="0"/>
    <m/>
    <m/>
    <d v="2016-12-31T00:00:00"/>
    <m/>
    <s v="UNTREF"/>
    <s v="UNSAM"/>
    <n v="30145"/>
    <x v="198"/>
    <x v="40"/>
  </r>
  <r>
    <s v="SFMyCP"/>
    <x v="0"/>
    <x v="0"/>
    <x v="0"/>
    <x v="8"/>
    <x v="6"/>
    <m/>
    <s v="ADMINISTRACIÓN"/>
    <s v="ADMINISTRATIVO"/>
    <s v="CABILDO 65"/>
    <s v="CABILDO 65"/>
    <x v="866"/>
    <s v="DNI"/>
    <n v="33154729"/>
    <s v="20331547299"/>
    <d v="1986-11-18T00:00:00"/>
    <m/>
    <m/>
    <m/>
    <m/>
    <s v="ASISTENCIA TÉCNICA"/>
    <x v="0"/>
    <d v="2014-06-01T00:00:00"/>
    <m/>
    <d v="2016-12-31T00:00:00"/>
    <m/>
    <s v="UNTREF"/>
    <s v="UNSAM- LADA"/>
    <n v="12246"/>
    <x v="30"/>
    <x v="5"/>
  </r>
  <r>
    <s v="SFMyCP"/>
    <x v="0"/>
    <x v="0"/>
    <x v="4"/>
    <x v="2"/>
    <x v="2"/>
    <s v="RENDICION DE CUENTAS"/>
    <s v="Analista"/>
    <m/>
    <s v="CCK"/>
    <m/>
    <x v="867"/>
    <s v="DNI"/>
    <n v="36403671"/>
    <n v="20364036710"/>
    <m/>
    <m/>
    <m/>
    <m/>
    <m/>
    <s v="LEY MARCO"/>
    <x v="1"/>
    <d v="2012-05-01T00:00:00"/>
    <d v="2016-12-31T00:00:00"/>
    <d v="2016-12-31T00:00:00"/>
    <s v="C1"/>
    <m/>
    <m/>
    <n v="12274"/>
    <x v="23"/>
    <x v="5"/>
  </r>
  <r>
    <s v="SFMyCP"/>
    <x v="0"/>
    <x v="0"/>
    <x v="4"/>
    <x v="2"/>
    <x v="2"/>
    <m/>
    <s v="PRIVADA"/>
    <s v="ADMINISTRATIVO"/>
    <m/>
    <s v="CCK - Alem 351"/>
    <x v="868"/>
    <s v="DNI"/>
    <n v="29246854"/>
    <n v="20292468548"/>
    <d v="1981-12-01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1"/>
    <x v="0"/>
    <x v="2"/>
    <x v="2"/>
    <x v="2"/>
    <m/>
    <s v="PRIVADA"/>
    <s v="ADMINISTRATIVO"/>
    <m/>
    <s v="CCK - Alem 351"/>
    <x v="869"/>
    <s v="DNI"/>
    <n v="7823142"/>
    <s v="20078231425"/>
    <d v="1949-08-30T00:00:00"/>
    <m/>
    <m/>
    <m/>
    <m/>
    <s v="ASISTENCIA TÉCNICA"/>
    <x v="0"/>
    <d v="2016-01-01T00:00:00"/>
    <m/>
    <d v="2016-12-31T00:00:00"/>
    <m/>
    <s v="UNTREF"/>
    <s v="UNSAM"/>
    <n v="19000"/>
    <x v="135"/>
    <x v="35"/>
  </r>
  <r>
    <s v="SFMyCP"/>
    <x v="0"/>
    <x v="1"/>
    <x v="3"/>
    <x v="15"/>
    <x v="2"/>
    <m/>
    <m/>
    <s v="CONTROL DE STOCK/CONTROL DE COMBUSTIBLE"/>
    <s v="TECNÓPOLIS"/>
    <s v="TECNOPOLIS"/>
    <x v="870"/>
    <s v="DNI"/>
    <n v="25924310"/>
    <s v="20259243107"/>
    <d v="1977-08-03T00:00:00"/>
    <m/>
    <m/>
    <m/>
    <m/>
    <s v="ASISTENCIA TÉCNICA"/>
    <x v="0"/>
    <d v="2013-06-01T00:00:00"/>
    <m/>
    <d v="2016-12-31T00:00:00"/>
    <m/>
    <s v="UNTREF"/>
    <s v="UNTREF"/>
    <n v="11449.4"/>
    <x v="8"/>
    <x v="5"/>
  </r>
  <r>
    <s v="SFMyCP"/>
    <x v="0"/>
    <x v="1"/>
    <x v="1"/>
    <x v="5"/>
    <x v="5"/>
    <m/>
    <s v="Asistente Técnico"/>
    <s v="ADMINISTRATIVO"/>
    <s v="CCK"/>
    <s v="CCK - Alem 351"/>
    <x v="871"/>
    <s v="DNI"/>
    <n v="34492812"/>
    <s v="27344928121"/>
    <d v="1989-03-14T00:00:00"/>
    <m/>
    <m/>
    <m/>
    <m/>
    <s v="ASISTENCIA TÉCNICA"/>
    <x v="0"/>
    <d v="2015-08-05T00:00:00"/>
    <m/>
    <d v="2016-12-31T00:00:00"/>
    <m/>
    <s v="UNTREF"/>
    <s v="UNLAM- BICENTENARIO"/>
    <n v="10800"/>
    <x v="5"/>
    <x v="4"/>
  </r>
  <r>
    <s v="SFMyCP"/>
    <x v="0"/>
    <x v="1"/>
    <x v="7"/>
    <x v="2"/>
    <x v="2"/>
    <m/>
    <s v="ASESORA"/>
    <m/>
    <s v="CCK"/>
    <m/>
    <x v="872"/>
    <s v="DNI"/>
    <n v="27144391"/>
    <n v="27271443914"/>
    <m/>
    <m/>
    <m/>
    <m/>
    <m/>
    <s v="LEY MARCO"/>
    <x v="1"/>
    <d v="2011-01-01T00:00:00"/>
    <d v="2016-12-31T00:00:00"/>
    <d v="2016-12-31T00:00:00"/>
    <s v="A0"/>
    <m/>
    <m/>
    <n v="27374"/>
    <x v="31"/>
    <x v="5"/>
  </r>
  <r>
    <s v="SFMyCP"/>
    <x v="1"/>
    <x v="0"/>
    <x v="5"/>
    <x v="17"/>
    <x v="15"/>
    <m/>
    <s v="Enfermera/o"/>
    <m/>
    <s v="CCK"/>
    <m/>
    <x v="873"/>
    <s v="DNI"/>
    <n v="14569996"/>
    <n v="20145699968"/>
    <m/>
    <m/>
    <m/>
    <m/>
    <m/>
    <s v="LEY MARCO"/>
    <x v="1"/>
    <d v="2015-08-01T00:00:00"/>
    <d v="2016-03-31T00:00:00"/>
    <d v="2016-12-31T00:00:00"/>
    <s v="C0"/>
    <m/>
    <m/>
    <n v="11730"/>
    <x v="51"/>
    <x v="5"/>
  </r>
  <r>
    <s v="SFMyCP"/>
    <x v="0"/>
    <x v="0"/>
    <x v="0"/>
    <x v="8"/>
    <x v="6"/>
    <s v="CCK"/>
    <s v="FOMENTO"/>
    <s v="ADMINISTRATIVO"/>
    <s v="CABILDO 65"/>
    <s v="CABILDO 65"/>
    <x v="874"/>
    <s v="DNI"/>
    <n v="28325918"/>
    <s v="27283259183"/>
    <d v="1980-07-28T00:00:00"/>
    <m/>
    <m/>
    <m/>
    <m/>
    <s v="ASISTENCIA TÉCNICA"/>
    <x v="0"/>
    <d v="2011-08-01T00:00:00"/>
    <m/>
    <d v="2016-12-31T00:00:00"/>
    <m/>
    <s v="UNTREF"/>
    <s v="UNSAM- LADA"/>
    <n v="32782"/>
    <x v="80"/>
    <x v="5"/>
  </r>
  <r>
    <s v="SFMyCP"/>
    <x v="0"/>
    <x v="0"/>
    <x v="0"/>
    <x v="8"/>
    <x v="6"/>
    <m/>
    <s v="PRODUCCIÓN"/>
    <s v="PAÑOL"/>
    <s v="CABILDO 65"/>
    <s v="CABILDO 65"/>
    <x v="875"/>
    <s v="DNI"/>
    <n v="23477469"/>
    <s v="20234774698"/>
    <d v="1974-05-24T00:00:00"/>
    <m/>
    <m/>
    <m/>
    <m/>
    <s v="ASISTENCIA TÉCNICA"/>
    <x v="0"/>
    <d v="2014-09-08T00:00:00"/>
    <m/>
    <d v="2016-12-31T00:00:00"/>
    <m/>
    <s v="UNTREF"/>
    <s v="UNSAM- LADA"/>
    <n v="10188"/>
    <x v="248"/>
    <x v="5"/>
  </r>
  <r>
    <s v="SFMyCP"/>
    <x v="0"/>
    <x v="0"/>
    <x v="0"/>
    <x v="2"/>
    <x v="2"/>
    <m/>
    <s v="SECRETARIA"/>
    <s v="Secretaria"/>
    <s v="CCK"/>
    <s v="CCK - Alem 351"/>
    <x v="876"/>
    <s v="DNI"/>
    <n v="39917444"/>
    <s v="27399174444"/>
    <d v="1996-11-21T00:00:00"/>
    <m/>
    <m/>
    <m/>
    <m/>
    <s v="ASISTENCIA TÉCNICA"/>
    <x v="0"/>
    <d v="2015-09-02T00:00:00"/>
    <m/>
    <d v="2016-12-31T00:00:00"/>
    <m/>
    <s v="UNTREF"/>
    <s v="UNLAM- BICENTENARIO"/>
    <n v="10189"/>
    <x v="30"/>
    <x v="18"/>
  </r>
  <r>
    <s v="SFMyCP"/>
    <x v="0"/>
    <x v="1"/>
    <x v="3"/>
    <x v="10"/>
    <x v="2"/>
    <m/>
    <m/>
    <m/>
    <s v="TECNÓPOLIS"/>
    <m/>
    <x v="877"/>
    <s v="DNI"/>
    <n v="36686000"/>
    <n v="27366860008"/>
    <m/>
    <m/>
    <m/>
    <m/>
    <m/>
    <s v="LEY MARCO"/>
    <x v="1"/>
    <d v="2011-07-01T00:00:00"/>
    <d v="2016-12-31T00:00:00"/>
    <d v="2016-12-31T00:00:00"/>
    <s v="C0"/>
    <m/>
    <m/>
    <n v="17148"/>
    <x v="249"/>
    <x v="5"/>
  </r>
  <r>
    <s v="SFMyCP"/>
    <x v="0"/>
    <x v="1"/>
    <x v="1"/>
    <x v="10"/>
    <x v="2"/>
    <m/>
    <m/>
    <s v="ADMINISTRATIVA"/>
    <m/>
    <s v="CCK - Alem 351"/>
    <x v="878"/>
    <s v="DNI"/>
    <n v="18761949"/>
    <s v="20187619492"/>
    <d v="1977-03-04T00:00:00"/>
    <m/>
    <m/>
    <m/>
    <m/>
    <s v="ASISTENCIA TÉCNICA"/>
    <x v="0"/>
    <d v="2016-06-01T00:00:00"/>
    <m/>
    <d v="2016-12-31T00:00:00"/>
    <m/>
    <s v="UNTREF"/>
    <m/>
    <n v="18000"/>
    <x v="18"/>
    <x v="3"/>
  </r>
  <r>
    <s v="SFMyCP"/>
    <x v="0"/>
    <x v="1"/>
    <x v="1"/>
    <x v="5"/>
    <x v="8"/>
    <s v="ESPACIOS FÍSICOS"/>
    <s v="REFERENTE"/>
    <s v="ADMINISTRATIVO"/>
    <s v="CCK"/>
    <s v="CCK - Alem 351"/>
    <x v="879"/>
    <s v="DNI"/>
    <n v="28361042"/>
    <s v="20283610420"/>
    <d v="1980-09-16T00:00:00"/>
    <m/>
    <m/>
    <m/>
    <m/>
    <s v="ASISTENCIA TÉCNICA"/>
    <x v="0"/>
    <d v="2014-08-01T00:00:00"/>
    <m/>
    <d v="2016-12-31T00:00:00"/>
    <m/>
    <s v="UNTREF"/>
    <s v="UNSAM-MINPLAN"/>
    <n v="25480"/>
    <x v="250"/>
    <x v="49"/>
  </r>
  <r>
    <s v="SFMyCP"/>
    <x v="0"/>
    <x v="0"/>
    <x v="0"/>
    <x v="8"/>
    <x v="6"/>
    <m/>
    <s v="ACUA MAYOR"/>
    <s v="ADMINISTRATIVO"/>
    <s v="CABILDO 65"/>
    <s v="CABILDO 65"/>
    <x v="880"/>
    <s v="DNI"/>
    <n v="25795303"/>
    <s v="27257953039"/>
    <d v="1977-02-12T00:00:00"/>
    <m/>
    <m/>
    <m/>
    <m/>
    <s v="ASISTENCIA TÉCNICA"/>
    <x v="0"/>
    <d v="2010-10-01T00:00:00"/>
    <m/>
    <d v="2016-12-31T00:00:00"/>
    <m/>
    <s v="UNTREF"/>
    <s v="UNSAM- LADA"/>
    <n v="22662"/>
    <x v="251"/>
    <x v="5"/>
  </r>
  <r>
    <s v="SFMyCP"/>
    <x v="0"/>
    <x v="1"/>
    <x v="1"/>
    <x v="39"/>
    <x v="2"/>
    <m/>
    <s v="Responsable"/>
    <s v="ADMINISTRATIVO"/>
    <s v="CCK"/>
    <s v="CCK - Alem 351"/>
    <x v="881"/>
    <s v="DNI"/>
    <n v="23126670"/>
    <s v="20231266705"/>
    <d v="1973-02-01T00:00:00"/>
    <m/>
    <m/>
    <m/>
    <m/>
    <s v="ASISTENCIA TÉCNICA"/>
    <x v="0"/>
    <d v="2015-04-01T00:00:00"/>
    <m/>
    <d v="2016-12-31T00:00:00"/>
    <m/>
    <s v="UNTREF"/>
    <s v="UNSAM-MINPLAN"/>
    <n v="20000"/>
    <x v="252"/>
    <x v="36"/>
  </r>
  <r>
    <s v="SFMyCP"/>
    <x v="0"/>
    <x v="1"/>
    <x v="1"/>
    <x v="14"/>
    <x v="2"/>
    <m/>
    <m/>
    <s v="ADMINISTRATIVO"/>
    <m/>
    <s v="CCK - Alem 351"/>
    <x v="882"/>
    <s v="DNI"/>
    <n v="33344752"/>
    <n v="27333447520"/>
    <d v="1987-09-0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883"/>
    <s v="DNI"/>
    <n v="27084585"/>
    <n v="27270845857"/>
    <d v="1978-12-14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27"/>
    <x v="2"/>
    <m/>
    <m/>
    <m/>
    <s v="TECNÓPOLIS"/>
    <m/>
    <x v="884"/>
    <s v="DNI"/>
    <n v="21930163"/>
    <n v="20219301635"/>
    <m/>
    <m/>
    <m/>
    <m/>
    <m/>
    <s v="LEY MARCO"/>
    <x v="1"/>
    <d v="2013-05-01T00:00:00"/>
    <d v="2016-03-31T00:00:00"/>
    <d v="2016-12-31T00:00:00"/>
    <s v="C0"/>
    <m/>
    <m/>
    <n v="21792.89"/>
    <x v="253"/>
    <x v="5"/>
  </r>
  <r>
    <s v="SFMyCP"/>
    <x v="1"/>
    <x v="0"/>
    <x v="5"/>
    <x v="30"/>
    <x v="2"/>
    <m/>
    <s v="Asistente Técnico"/>
    <m/>
    <s v="CCK"/>
    <m/>
    <x v="885"/>
    <s v="DNI"/>
    <n v="22237165"/>
    <n v="27222371657"/>
    <m/>
    <m/>
    <m/>
    <m/>
    <m/>
    <s v="LEY MARCO"/>
    <x v="1"/>
    <d v="2011-06-01T00:00:00"/>
    <d v="2016-12-31T00:00:00"/>
    <d v="2016-12-31T00:00:00"/>
    <s v="C1"/>
    <m/>
    <m/>
    <n v="12274"/>
    <x v="23"/>
    <x v="5"/>
  </r>
  <r>
    <s v="SFMyCP"/>
    <x v="0"/>
    <x v="1"/>
    <x v="3"/>
    <x v="2"/>
    <x v="2"/>
    <m/>
    <s v="PRIVADA"/>
    <s v="ADMINISTRATIVO"/>
    <s v="TECNÓPOLIS"/>
    <s v="TECNOPOLIS"/>
    <x v="886"/>
    <s v="DNI"/>
    <n v="31213986"/>
    <s v="20312139864"/>
    <d v="1984-08-31T00:00:00"/>
    <m/>
    <m/>
    <m/>
    <m/>
    <s v="ASISTENCIA TÉCNICA"/>
    <x v="0"/>
    <d v="2016-01-01T00:00:00"/>
    <m/>
    <d v="2016-12-31T00:00:00"/>
    <m/>
    <s v="UNTREF"/>
    <s v="UNSAM"/>
    <n v="10000"/>
    <x v="0"/>
    <x v="44"/>
  </r>
  <r>
    <s v="SFMyCP"/>
    <x v="1"/>
    <x v="0"/>
    <x v="2"/>
    <x v="2"/>
    <x v="2"/>
    <m/>
    <s v="PRIVADA"/>
    <s v="ADMINISTRATIVO"/>
    <m/>
    <s v="CCK - Alem 351"/>
    <x v="887"/>
    <s v="DNI"/>
    <n v="28231814"/>
    <n v="27282318143"/>
    <d v="1980-06-13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1"/>
    <x v="3"/>
    <x v="3"/>
    <x v="2"/>
    <m/>
    <m/>
    <s v="ENCARGADO DE LIMPIEZA"/>
    <s v="TECNÓPOLIS"/>
    <s v="TECNOPOLIS"/>
    <x v="888"/>
    <s v="DNI"/>
    <n v="34616953"/>
    <s v="20346169533"/>
    <d v="1989-05-25T00:00:00"/>
    <m/>
    <m/>
    <m/>
    <m/>
    <s v="ASISTENCIA TÉCNICA"/>
    <x v="0"/>
    <d v="2013-04-01T00:00:00"/>
    <m/>
    <d v="2016-12-31T00:00:00"/>
    <m/>
    <s v="UNTREF"/>
    <s v="UNTREF"/>
    <n v="9995.51"/>
    <x v="19"/>
    <x v="5"/>
  </r>
  <r>
    <s v="SFMyCP"/>
    <x v="0"/>
    <x v="1"/>
    <x v="3"/>
    <x v="6"/>
    <x v="2"/>
    <m/>
    <m/>
    <s v="MANTENIMIENTO GRAL DEL PARQUE"/>
    <s v="TECNÓPOLIS"/>
    <s v="TECNOPOLIS"/>
    <x v="889"/>
    <s v="DNI"/>
    <n v="40516549"/>
    <s v="20405165490"/>
    <d v="1990-01-15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1"/>
    <x v="3"/>
    <x v="21"/>
    <x v="2"/>
    <m/>
    <m/>
    <s v="MANTENIMIENTO DE ESPACIOS VERDES"/>
    <s v="TECNÓPOLIS"/>
    <s v="TECNOPOLIS"/>
    <x v="890"/>
    <s v="DNI"/>
    <n v="24534584"/>
    <s v="20245345845"/>
    <d v="1975-06-30T00:00:00"/>
    <m/>
    <m/>
    <m/>
    <m/>
    <s v="ASISTENCIA TÉCNICA"/>
    <x v="0"/>
    <d v="2013-07-01T00:00:00"/>
    <m/>
    <d v="2016-12-31T00:00:00"/>
    <m/>
    <s v="UNTREF"/>
    <s v="UNTREF"/>
    <n v="11449.4"/>
    <x v="8"/>
    <x v="5"/>
  </r>
  <r>
    <s v="SFMyCP"/>
    <x v="0"/>
    <x v="1"/>
    <x v="3"/>
    <x v="2"/>
    <x v="2"/>
    <m/>
    <m/>
    <s v="MANTENIMIENTO DE ESPACIOS VERDES"/>
    <m/>
    <s v="TECNOPOLIS"/>
    <x v="891"/>
    <s v="DNI"/>
    <n v="40166060"/>
    <s v="20401660608"/>
    <d v="1997-04-03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0"/>
    <x v="0"/>
    <x v="8"/>
    <x v="6"/>
    <m/>
    <s v="CONTENIDOS DIGITALES ABIERTOS CDA"/>
    <s v="ADMINISTRATIVO"/>
    <s v="CABILDO 65"/>
    <s v="CABILDO 65"/>
    <x v="892"/>
    <s v="DNI"/>
    <n v="95147687"/>
    <s v="20951476871"/>
    <d v="1986-01-14T00:00:00"/>
    <m/>
    <m/>
    <m/>
    <m/>
    <s v="ASISTENCIA TÉCNICA"/>
    <x v="0"/>
    <d v="2014-02-15T00:00:00"/>
    <m/>
    <d v="2016-12-31T00:00:00"/>
    <m/>
    <s v="UNTREF"/>
    <s v="UNSAM- LADA"/>
    <n v="15925"/>
    <x v="254"/>
    <x v="5"/>
  </r>
  <r>
    <s v="SFMyCP"/>
    <x v="0"/>
    <x v="1"/>
    <x v="1"/>
    <x v="16"/>
    <x v="11"/>
    <m/>
    <m/>
    <s v="VISITAS GUIADAS"/>
    <m/>
    <s v="CCK - Alem 351"/>
    <x v="893"/>
    <s v="DNI"/>
    <n v="34247889"/>
    <n v="20342578897"/>
    <d v="1988-12-21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894"/>
    <s v="DNI"/>
    <n v="32064205"/>
    <n v="20320642052"/>
    <d v="1985-12-17T00:00:00"/>
    <m/>
    <m/>
    <m/>
    <m/>
    <s v="ASISTENCIA TÉCNICA"/>
    <x v="0"/>
    <d v="2016-06-01T00:00:00"/>
    <m/>
    <d v="2016-08-31T00:00:00"/>
    <m/>
    <s v="UNTREF"/>
    <m/>
    <m/>
    <x v="18"/>
    <x v="3"/>
  </r>
  <r>
    <s v="SFMyCP"/>
    <x v="0"/>
    <x v="1"/>
    <x v="1"/>
    <x v="2"/>
    <x v="2"/>
    <m/>
    <s v="ASISTENTE COORD SUR"/>
    <s v="ADMINISTRATIVO"/>
    <m/>
    <s v="CCK - Alem 351"/>
    <x v="895"/>
    <s v="DNI"/>
    <n v="12315305"/>
    <n v="20123153058"/>
    <d v="1958-05-16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5"/>
    <x v="26"/>
    <x v="2"/>
    <m/>
    <s v="Analista"/>
    <m/>
    <s v="CCK"/>
    <m/>
    <x v="896"/>
    <s v="DNI"/>
    <n v="29064222"/>
    <n v="27290642227"/>
    <m/>
    <m/>
    <m/>
    <m/>
    <m/>
    <s v="LEY MARCO"/>
    <x v="1"/>
    <d v="2012-12-01T00:00:00"/>
    <d v="2016-12-31T00:00:00"/>
    <d v="2016-12-31T00:00:00"/>
    <s v="B1"/>
    <m/>
    <m/>
    <n v="20266"/>
    <x v="24"/>
    <x v="5"/>
  </r>
  <r>
    <s v="SFMyCP"/>
    <x v="0"/>
    <x v="0"/>
    <x v="0"/>
    <x v="8"/>
    <x v="6"/>
    <m/>
    <s v="TÉCNICA Y TRANSMISIÓN"/>
    <s v="ADMINISTRATIVO"/>
    <s v="CABILDO 65"/>
    <s v="CABILDO 65"/>
    <x v="897"/>
    <s v="DNI"/>
    <n v="11721717"/>
    <s v="20117217176"/>
    <d v="1955-11-08T00:00:00"/>
    <m/>
    <m/>
    <m/>
    <m/>
    <s v="ASISTENCIA TÉCNICA"/>
    <x v="0"/>
    <d v="2013-03-01T00:00:00"/>
    <m/>
    <d v="2016-12-31T00:00:00"/>
    <m/>
    <s v="UNTREF"/>
    <s v="UNSAM- LADA"/>
    <n v="21640"/>
    <x v="200"/>
    <x v="5"/>
  </r>
  <r>
    <s v="SFMyCP"/>
    <x v="0"/>
    <x v="0"/>
    <x v="0"/>
    <x v="8"/>
    <x v="6"/>
    <m/>
    <s v="CONTENIDOS DIGITALES ABIERTOS CDA"/>
    <s v="ADMINISTRATIVO"/>
    <s v="CABILDO 65"/>
    <s v="CABILDO 65"/>
    <x v="898"/>
    <s v="DNI"/>
    <n v="37992277"/>
    <s v="20379922776"/>
    <d v="1994-01-04T00:00:00"/>
    <m/>
    <m/>
    <m/>
    <m/>
    <s v="ASISTENCIA TÉCNICA"/>
    <x v="0"/>
    <d v="2015-05-15T00:00:00"/>
    <m/>
    <d v="2016-12-31T00:00:00"/>
    <m/>
    <s v="UNTREF"/>
    <s v="UNSAM- LADA"/>
    <n v="15234"/>
    <x v="22"/>
    <x v="5"/>
  </r>
  <r>
    <s v="SFMyCP"/>
    <x v="0"/>
    <x v="1"/>
    <x v="1"/>
    <x v="1"/>
    <x v="1"/>
    <m/>
    <m/>
    <s v="ADMINISTRATIVO"/>
    <s v="CCK"/>
    <s v="CCK - Alem 351"/>
    <x v="899"/>
    <s v="DNI"/>
    <n v="23123972"/>
    <s v="27231239729"/>
    <d v="1972-12-23T00:00:00"/>
    <m/>
    <m/>
    <m/>
    <m/>
    <s v="ASISTENCIA TÉCNICA"/>
    <x v="0"/>
    <d v="2016-01-01T00:00:00"/>
    <m/>
    <d v="2016-12-31T00:00:00"/>
    <m/>
    <s v="UNTREF"/>
    <s v="UNSAM"/>
    <n v="19000"/>
    <x v="113"/>
    <x v="8"/>
  </r>
  <r>
    <s v="SFMyCP"/>
    <x v="0"/>
    <x v="0"/>
    <x v="0"/>
    <x v="8"/>
    <x v="6"/>
    <m/>
    <s v="POSTPRODUCCIÓN"/>
    <s v="EDICION"/>
    <s v="CABILDO 65"/>
    <s v="CABILDO 65"/>
    <x v="900"/>
    <s v="DNI"/>
    <n v="22809362"/>
    <n v="23228093629"/>
    <d v="1972-10-30T00:00:00"/>
    <m/>
    <m/>
    <m/>
    <m/>
    <s v="ASISTENCIA TÉCNICA"/>
    <x v="0"/>
    <d v="2011-09-01T00:00:00"/>
    <m/>
    <d v="2016-12-31T00:00:00"/>
    <m/>
    <s v="UNTREF"/>
    <s v="UNSAM- LADA"/>
    <n v="32782"/>
    <x v="80"/>
    <x v="5"/>
  </r>
  <r>
    <s v="SFMyCP"/>
    <x v="0"/>
    <x v="1"/>
    <x v="3"/>
    <x v="4"/>
    <x v="2"/>
    <m/>
    <s v="COCINA"/>
    <s v="LIMPIEZA GENERAL DEL PARQUE"/>
    <s v="TECNÓPOLIS"/>
    <s v="TECNOPOLIS"/>
    <x v="901"/>
    <s v="DNI"/>
    <n v="38353774"/>
    <s v="20383537747"/>
    <d v="1994-11-01T00:00:00"/>
    <m/>
    <m/>
    <m/>
    <m/>
    <s v="ASISTENCIA TÉCNICA"/>
    <x v="0"/>
    <d v="2014-04-01T00:00:00"/>
    <m/>
    <d v="2016-12-31T00:00:00"/>
    <m/>
    <s v="UNTREF"/>
    <s v="UNTREF"/>
    <n v="10408.549999999999"/>
    <x v="13"/>
    <x v="5"/>
  </r>
  <r>
    <s v="SFMyCP"/>
    <x v="0"/>
    <x v="1"/>
    <x v="3"/>
    <x v="3"/>
    <x v="2"/>
    <m/>
    <m/>
    <m/>
    <s v="TECNÓPOLIS"/>
    <m/>
    <x v="902"/>
    <s v="DNI"/>
    <n v="34263994"/>
    <n v="27342639947"/>
    <m/>
    <m/>
    <m/>
    <m/>
    <m/>
    <s v="LEY MARCO"/>
    <x v="1"/>
    <d v="2011-12-01T00:00:00"/>
    <d v="2016-12-31T00:00:00"/>
    <d v="2016-12-31T00:00:00"/>
    <s v="D1"/>
    <m/>
    <m/>
    <n v="13270"/>
    <x v="255"/>
    <x v="5"/>
  </r>
  <r>
    <s v="SFMyCP"/>
    <x v="1"/>
    <x v="0"/>
    <x v="5"/>
    <x v="30"/>
    <x v="2"/>
    <m/>
    <s v="Analista"/>
    <s v="ADMINISTRATIVO"/>
    <s v="CCK"/>
    <s v="CCK - Alem 351"/>
    <x v="903"/>
    <s v="DNI"/>
    <n v="34888306"/>
    <n v="27348883068"/>
    <d v="1989-11-12T00:00:00"/>
    <m/>
    <m/>
    <m/>
    <m/>
    <s v="ASISTENCIA TÉCNICA"/>
    <x v="0"/>
    <d v="2016-08-01T00:00:00"/>
    <m/>
    <d v="2016-12-31T00:00:00"/>
    <m/>
    <s v="UNTREF"/>
    <m/>
    <s v="."/>
    <x v="135"/>
    <x v="3"/>
  </r>
  <r>
    <s v="SFMyCP"/>
    <x v="0"/>
    <x v="0"/>
    <x v="8"/>
    <x v="1"/>
    <x v="2"/>
    <m/>
    <m/>
    <m/>
    <s v="CCK"/>
    <s v="CCK - Alem 351"/>
    <x v="904"/>
    <s v="DNI"/>
    <n v="31722364"/>
    <n v="20317223642"/>
    <m/>
    <m/>
    <m/>
    <m/>
    <m/>
    <s v="LEY MARCO"/>
    <x v="1"/>
    <d v="2012-07-01T00:00:00"/>
    <d v="2016-12-31T00:00:00"/>
    <d v="2016-12-31T00:00:00"/>
    <s v="C0"/>
    <m/>
    <m/>
    <n v="18164"/>
    <x v="256"/>
    <x v="5"/>
  </r>
  <r>
    <s v="SFMyCP"/>
    <x v="0"/>
    <x v="1"/>
    <x v="3"/>
    <x v="6"/>
    <x v="2"/>
    <m/>
    <m/>
    <s v="MANTENIMIENTO GRAL DEL PARQUE"/>
    <s v="TECNÓPOLIS"/>
    <s v="TECNOPOLIS"/>
    <x v="905"/>
    <s v="DNI"/>
    <n v="30160785"/>
    <s v="20301607858"/>
    <d v="1983-05-19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1"/>
    <x v="3"/>
    <x v="44"/>
    <x v="2"/>
    <m/>
    <m/>
    <m/>
    <s v="TECNÓPOLIS"/>
    <m/>
    <x v="906"/>
    <s v="DNI"/>
    <n v="20979830"/>
    <n v="20209798302"/>
    <m/>
    <m/>
    <m/>
    <m/>
    <m/>
    <s v="LEY MARCO"/>
    <x v="1"/>
    <d v="2011-08-01T00:00:00"/>
    <d v="2016-12-31T00:00:00"/>
    <d v="2016-12-31T00:00:00"/>
    <s v="C0"/>
    <m/>
    <m/>
    <n v="15793.59"/>
    <x v="257"/>
    <x v="5"/>
  </r>
  <r>
    <s v="SFMyCP"/>
    <x v="0"/>
    <x v="1"/>
    <x v="3"/>
    <x v="6"/>
    <x v="2"/>
    <m/>
    <m/>
    <s v="MANTENIMIENTO GRAL DEL PARQUE"/>
    <s v="TECNÓPOLIS"/>
    <s v="TECNOPOLIS"/>
    <x v="907"/>
    <s v="DNI"/>
    <n v="36179996"/>
    <s v="20361799969"/>
    <d v="1993-05-10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1"/>
    <x v="1"/>
    <x v="5"/>
    <x v="3"/>
    <s v="LOGISTICA OPERATIVA"/>
    <s v="Responsable"/>
    <s v="OPERATIVA Y LOGISTICA"/>
    <s v="CCK"/>
    <s v="CCK - Alem 351"/>
    <x v="908"/>
    <s v="DNI"/>
    <n v="32604554"/>
    <s v="20326045544"/>
    <d v="1986-08-19T00:00:00"/>
    <m/>
    <m/>
    <m/>
    <m/>
    <s v="ASISTENCIA TÉCNICA"/>
    <x v="0"/>
    <d v="2015-04-18T00:00:00"/>
    <m/>
    <d v="2016-12-31T00:00:00"/>
    <m/>
    <s v="UNTREF"/>
    <s v="UNLAM -TDA"/>
    <n v="11721"/>
    <x v="50"/>
    <x v="12"/>
  </r>
  <r>
    <s v="SFMyCP"/>
    <x v="0"/>
    <x v="0"/>
    <x v="0"/>
    <x v="8"/>
    <x v="6"/>
    <m/>
    <s v="PRODUCCIÓN"/>
    <s v="PRODUCTOR de EXTERIORES"/>
    <s v="CABILDO 65"/>
    <s v="CABILDO 65"/>
    <x v="909"/>
    <s v="DNI"/>
    <n v="28969270"/>
    <s v="20289692704"/>
    <d v="1981-12-13T00:00:00"/>
    <m/>
    <m/>
    <m/>
    <m/>
    <s v="ASISTENCIA TÉCNICA"/>
    <x v="0"/>
    <d v="2015-03-02T00:00:00"/>
    <m/>
    <d v="2016-12-31T00:00:00"/>
    <m/>
    <s v="UNTREF"/>
    <s v="UNSAM- LADA"/>
    <n v="19353"/>
    <x v="36"/>
    <x v="5"/>
  </r>
  <r>
    <s v="SFMyCP"/>
    <x v="0"/>
    <x v="1"/>
    <x v="1"/>
    <x v="5"/>
    <x v="8"/>
    <m/>
    <s v="Asistente Técnico Administrativo"/>
    <s v="ADMINISTRATIVO"/>
    <s v="CCK"/>
    <s v="CCK - Alem 351"/>
    <x v="910"/>
    <s v="DNI"/>
    <n v="35897637"/>
    <n v="23358976379"/>
    <d v="1992-04-29T00:00:00"/>
    <m/>
    <m/>
    <m/>
    <m/>
    <s v="ASISTENCIA TÉCNICA"/>
    <x v="0"/>
    <m/>
    <m/>
    <d v="2016-12-31T00:00:00"/>
    <m/>
    <s v="UNTREF"/>
    <s v="UNLAM -TDA"/>
    <n v="11721"/>
    <x v="49"/>
    <x v="7"/>
  </r>
  <r>
    <s v="SFMyCP"/>
    <x v="1"/>
    <x v="0"/>
    <x v="2"/>
    <x v="2"/>
    <x v="2"/>
    <m/>
    <s v="PRIVADA"/>
    <s v="ADMINISTRATIVO"/>
    <m/>
    <s v="CCK - Alem 351"/>
    <x v="911"/>
    <s v="DNI"/>
    <n v="35161090"/>
    <s v="20351610906"/>
    <d v="1990-03-23T00:00:00"/>
    <m/>
    <m/>
    <m/>
    <m/>
    <s v="ASISTENCIA TÉCNICA"/>
    <x v="0"/>
    <d v="2016-01-01T00:00:00"/>
    <m/>
    <d v="2016-12-31T00:00:00"/>
    <m/>
    <s v="UNTREF"/>
    <s v="UNSAM"/>
    <n v="17000"/>
    <x v="50"/>
    <x v="12"/>
  </r>
  <r>
    <s v="SFMyCP"/>
    <x v="0"/>
    <x v="1"/>
    <x v="3"/>
    <x v="24"/>
    <x v="2"/>
    <m/>
    <s v="Tareas Generales"/>
    <s v="TAREAS EN GENERAL TALLER CARPINTERIA/HERRERÍA/TEXTIL"/>
    <s v="TECNÓPOLIS"/>
    <m/>
    <x v="912"/>
    <s v="DNI"/>
    <n v="34154916"/>
    <n v="27341549162"/>
    <d v="1988-03-22T00:00:00"/>
    <m/>
    <m/>
    <m/>
    <m/>
    <s v="ASISTENCIA TÉCNICA"/>
    <x v="2"/>
    <m/>
    <m/>
    <d v="2016-12-31T00:00:00"/>
    <m/>
    <s v="UNTREF"/>
    <s v="UNTREF"/>
    <n v="1700"/>
    <x v="42"/>
    <x v="5"/>
  </r>
  <r>
    <s v="SFMyCP"/>
    <x v="0"/>
    <x v="1"/>
    <x v="1"/>
    <x v="31"/>
    <x v="2"/>
    <m/>
    <s v="Asistente"/>
    <s v="Asistente"/>
    <m/>
    <s v="CCK - Alem 351"/>
    <x v="913"/>
    <s v="DNI"/>
    <n v="24270144"/>
    <s v="27242701440"/>
    <d v="1974-10-24T00:00:00"/>
    <m/>
    <m/>
    <m/>
    <m/>
    <s v="ASISTENCIA TÉCNICA"/>
    <x v="0"/>
    <d v="2016-04-01T00:00:00"/>
    <m/>
    <d v="2016-12-31T00:00:00"/>
    <m/>
    <s v="UNTREF"/>
    <m/>
    <n v="20000"/>
    <x v="113"/>
    <x v="8"/>
  </r>
  <r>
    <s v="SFMyCP"/>
    <x v="1"/>
    <x v="0"/>
    <x v="5"/>
    <x v="17"/>
    <x v="12"/>
    <s v="AUTOMOTORES"/>
    <s v="CHOFER"/>
    <m/>
    <s v="CCK"/>
    <m/>
    <x v="914"/>
    <s v="DNI"/>
    <n v="26688463"/>
    <n v="20266884630"/>
    <m/>
    <m/>
    <m/>
    <m/>
    <m/>
    <s v="LEY MARCO"/>
    <x v="1"/>
    <d v="2014-12-01T00:00:00"/>
    <d v="2016-03-31T00:00:00"/>
    <d v="2016-12-31T00:00:00"/>
    <s v="D0"/>
    <m/>
    <m/>
    <n v="18219"/>
    <x v="258"/>
    <x v="5"/>
  </r>
  <r>
    <s v="SFMyCP"/>
    <x v="0"/>
    <x v="1"/>
    <x v="3"/>
    <x v="3"/>
    <x v="2"/>
    <m/>
    <m/>
    <m/>
    <s v="TECNÓPOLIS"/>
    <m/>
    <x v="915"/>
    <s v="DNI"/>
    <n v="20715776"/>
    <n v="27207157762"/>
    <m/>
    <m/>
    <m/>
    <m/>
    <m/>
    <s v="LEY MARCO"/>
    <x v="1"/>
    <d v="2012-10-31T00:00:00"/>
    <d v="2016-12-31T00:00:00"/>
    <d v="2016-12-31T00:00:00"/>
    <s v="C0"/>
    <m/>
    <m/>
    <n v="19227"/>
    <x v="259"/>
    <x v="5"/>
  </r>
  <r>
    <s v="SFMyCP"/>
    <x v="0"/>
    <x v="1"/>
    <x v="3"/>
    <x v="3"/>
    <x v="2"/>
    <m/>
    <m/>
    <s v="LIMPIEZA GENERAL DEL PARQUE"/>
    <s v="TECNÓPOLIS"/>
    <s v="TECNOPOLIS"/>
    <x v="916"/>
    <s v="DNI"/>
    <n v="38354730"/>
    <s v="20383547300"/>
    <d v="1994-07-21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1"/>
    <x v="1"/>
    <x v="27"/>
    <x v="20"/>
    <m/>
    <m/>
    <s v="ADMINISTRATIVO"/>
    <m/>
    <s v="CCK - Alem 351"/>
    <x v="917"/>
    <s v="DNI"/>
    <n v="12908061"/>
    <n v="20129080613"/>
    <d v="1958-09-02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0"/>
    <x v="0"/>
    <x v="8"/>
    <x v="6"/>
    <m/>
    <s v="POSTPRODUCCIÓN"/>
    <s v="EDICION"/>
    <s v="CABILDO 65"/>
    <s v="CABILDO 65"/>
    <x v="918"/>
    <s v="DNI"/>
    <n v="31270453"/>
    <s v="20312704537"/>
    <d v="1984-10-29T00:00:00"/>
    <m/>
    <m/>
    <m/>
    <m/>
    <s v="ASISTENCIA TÉCNICA"/>
    <x v="0"/>
    <d v="2015-04-01T00:00:00"/>
    <m/>
    <d v="2016-12-31T00:00:00"/>
    <m/>
    <s v="UNTREF"/>
    <m/>
    <n v="19353"/>
    <x v="36"/>
    <x v="3"/>
  </r>
  <r>
    <s v="SFMyCP"/>
    <x v="0"/>
    <x v="1"/>
    <x v="1"/>
    <x v="16"/>
    <x v="2"/>
    <m/>
    <s v="Analista"/>
    <m/>
    <s v="CCK"/>
    <m/>
    <x v="919"/>
    <s v="DNI"/>
    <n v="28013886"/>
    <n v="27280138865"/>
    <m/>
    <m/>
    <m/>
    <m/>
    <m/>
    <s v="LEY MARCO"/>
    <x v="1"/>
    <d v="2009-03-01T00:00:00"/>
    <d v="2016-12-31T00:00:00"/>
    <d v="2016-12-31T00:00:00"/>
    <s v="B0"/>
    <m/>
    <m/>
    <n v="19096"/>
    <x v="81"/>
    <x v="5"/>
  </r>
  <r>
    <s v="SFMyCP"/>
    <x v="0"/>
    <x v="1"/>
    <x v="7"/>
    <x v="2"/>
    <x v="2"/>
    <m/>
    <s v="PRIVADA"/>
    <s v="ADMINISTRATIVO"/>
    <m/>
    <s v="CCK - Alem 351"/>
    <x v="920"/>
    <s v="DNI"/>
    <n v="25989420"/>
    <n v="20259894205"/>
    <d v="1977-08-02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1"/>
    <x v="14"/>
    <x v="2"/>
    <m/>
    <m/>
    <m/>
    <s v="CCK"/>
    <s v="CCK - Alem 351"/>
    <x v="921"/>
    <s v="DNI"/>
    <n v="28076813"/>
    <n v="27280768133"/>
    <m/>
    <m/>
    <m/>
    <m/>
    <m/>
    <s v="LEY MARCO"/>
    <x v="1"/>
    <d v="2011-07-01T00:00:00"/>
    <d v="2016-12-31T00:00:00"/>
    <d v="2016-12-31T00:00:00"/>
    <s v="C0"/>
    <m/>
    <m/>
    <n v="24220.959999999999"/>
    <x v="260"/>
    <x v="5"/>
  </r>
  <r>
    <s v="SFMyCP"/>
    <x v="0"/>
    <x v="1"/>
    <x v="1"/>
    <x v="5"/>
    <x v="24"/>
    <m/>
    <m/>
    <m/>
    <m/>
    <m/>
    <x v="922"/>
    <s v="DNI"/>
    <n v="26352654"/>
    <n v="20263526547"/>
    <m/>
    <m/>
    <m/>
    <m/>
    <m/>
    <s v="LEY MARCO"/>
    <x v="1"/>
    <d v="2008-02-01T00:00:00"/>
    <d v="2016-12-31T00:00:00"/>
    <d v="2016-12-31T00:00:00"/>
    <s v="B2"/>
    <m/>
    <s v="B2"/>
    <m/>
    <x v="18"/>
    <x v="3"/>
  </r>
  <r>
    <s v="SFMyCP"/>
    <x v="0"/>
    <x v="0"/>
    <x v="0"/>
    <x v="8"/>
    <x v="6"/>
    <m/>
    <s v="PRODUCCIÓN"/>
    <s v="PRODUCTOR de EXTERIORES"/>
    <s v="CABILDO 65"/>
    <s v="CABILDO 65"/>
    <x v="923"/>
    <s v="DNI"/>
    <n v="27419365"/>
    <s v="20274193655"/>
    <d v="1979-07-23T00:00:00"/>
    <m/>
    <m/>
    <m/>
    <m/>
    <s v="ASISTENCIA TÉCNICA"/>
    <x v="0"/>
    <d v="2012-05-01T00:00:00"/>
    <m/>
    <d v="2016-12-31T00:00:00"/>
    <m/>
    <s v="UNTREF"/>
    <m/>
    <n v="27582"/>
    <x v="261"/>
    <x v="3"/>
  </r>
  <r>
    <s v="SFMyCP"/>
    <x v="1"/>
    <x v="0"/>
    <x v="5"/>
    <x v="17"/>
    <x v="9"/>
    <m/>
    <s v="RECURSOS HUMANOS"/>
    <m/>
    <s v="CABILDO 65"/>
    <m/>
    <x v="924"/>
    <s v="DNI"/>
    <n v="22110046"/>
    <n v="27221100463"/>
    <m/>
    <m/>
    <m/>
    <m/>
    <m/>
    <s v="LEY MARCO"/>
    <x v="1"/>
    <d v="2013-12-01T00:00:00"/>
    <d v="2016-03-31T00:00:00"/>
    <d v="2016-12-31T00:00:00"/>
    <s v="B0"/>
    <m/>
    <m/>
    <n v="17107"/>
    <x v="104"/>
    <x v="5"/>
  </r>
  <r>
    <s v="SFMyCP"/>
    <x v="1"/>
    <x v="0"/>
    <x v="2"/>
    <x v="2"/>
    <x v="2"/>
    <m/>
    <s v="PRIVADA"/>
    <s v="ADMINISTRATIVO"/>
    <m/>
    <s v="CCK - Alem 351"/>
    <x v="925"/>
    <s v="DNI"/>
    <n v="6560219"/>
    <s v="23065602199"/>
    <d v="1947-07-07T00:00:00"/>
    <m/>
    <m/>
    <m/>
    <m/>
    <s v="ASISTENCIA TÉCNICA"/>
    <x v="0"/>
    <d v="2016-01-01T00:00:00"/>
    <m/>
    <d v="2016-12-31T00:00:00"/>
    <m/>
    <s v="UNTREF"/>
    <s v="UNSAM"/>
    <n v="27000"/>
    <x v="53"/>
    <x v="13"/>
  </r>
  <r>
    <s v="SFMyCP"/>
    <x v="1"/>
    <x v="0"/>
    <x v="5"/>
    <x v="17"/>
    <x v="17"/>
    <m/>
    <s v="Analista de RR.HH."/>
    <s v="ADMINISTRATIVO"/>
    <s v="CCK"/>
    <s v="CCK - Alem 351"/>
    <x v="926"/>
    <s v="DNI"/>
    <n v="36637604"/>
    <s v="27366376041"/>
    <d v="1991-11-13T00:00:00"/>
    <m/>
    <m/>
    <m/>
    <m/>
    <s v="ASISTENCIA TÉCNICA"/>
    <x v="0"/>
    <d v="2014-11-01T00:00:00"/>
    <m/>
    <d v="2016-12-31T00:00:00"/>
    <m/>
    <s v="UNTREF"/>
    <s v="UNLAM -TDA"/>
    <n v="10189"/>
    <x v="5"/>
    <x v="7"/>
  </r>
  <r>
    <s v="SFMyCP"/>
    <x v="0"/>
    <x v="0"/>
    <x v="0"/>
    <x v="8"/>
    <x v="6"/>
    <m/>
    <s v="CONTENIDOS DIGITALES ABIERTOS CDA"/>
    <s v="ADMINISTRATIVO"/>
    <s v="CABILDO 65"/>
    <s v="CABILDO 65"/>
    <x v="927"/>
    <s v="DNI"/>
    <n v="24007592"/>
    <s v="20240075920"/>
    <d v="1974-07-22T00:00:00"/>
    <m/>
    <m/>
    <m/>
    <m/>
    <s v="ASISTENCIA TÉCNICA"/>
    <x v="0"/>
    <d v="2012-06-01T00:00:00"/>
    <m/>
    <d v="2016-12-31T00:00:00"/>
    <m/>
    <s v="UNTREF"/>
    <s v="UNSAM- LADA"/>
    <n v="16465"/>
    <x v="17"/>
    <x v="5"/>
  </r>
  <r>
    <s v="SFMyCP"/>
    <x v="1"/>
    <x v="0"/>
    <x v="5"/>
    <x v="30"/>
    <x v="2"/>
    <m/>
    <s v="ADMINISTRACIÓN"/>
    <s v="ADMINISTRATIVO"/>
    <s v="CCK"/>
    <s v="CCK - Alem 351"/>
    <x v="928"/>
    <s v="DNI"/>
    <n v="32690517"/>
    <s v="27326905173"/>
    <d v="1986-09-30T00:00:00"/>
    <m/>
    <m/>
    <m/>
    <m/>
    <s v="ASISTENCIA TÉCNICA"/>
    <x v="0"/>
    <d v="2013-03-01T00:00:00"/>
    <m/>
    <d v="2016-12-31T00:00:00"/>
    <m/>
    <s v="UNTREF"/>
    <s v="UNSAM- LADA"/>
    <n v="9875"/>
    <x v="5"/>
    <x v="4"/>
  </r>
  <r>
    <s v="SFMyCP"/>
    <x v="0"/>
    <x v="0"/>
    <x v="0"/>
    <x v="8"/>
    <x v="6"/>
    <m/>
    <s v="PRODUCCIÓN"/>
    <s v="PRODUCTOR de EXTERIORES"/>
    <s v="CABILDO 65"/>
    <s v="CABILDO 65"/>
    <x v="929"/>
    <s v="DNI"/>
    <n v="32022652"/>
    <s v="27320226525"/>
    <d v="1986-01-30T00:00:00"/>
    <m/>
    <m/>
    <m/>
    <m/>
    <s v="ASISTENCIA TÉCNICA"/>
    <x v="0"/>
    <d v="2015-04-01T00:00:00"/>
    <m/>
    <d v="2016-12-31T00:00:00"/>
    <m/>
    <s v="UNTREF"/>
    <s v="UNSAM- LADA"/>
    <n v="18795"/>
    <x v="37"/>
    <x v="5"/>
  </r>
  <r>
    <s v="SFMyCP"/>
    <x v="1"/>
    <x v="0"/>
    <x v="5"/>
    <x v="7"/>
    <x v="2"/>
    <m/>
    <s v="ANALISTA"/>
    <s v="ADMINISTRATIVO"/>
    <m/>
    <s v="CCK - Alem 351"/>
    <x v="930"/>
    <s v="DNI"/>
    <n v="36990736"/>
    <n v="27369907366"/>
    <d v="1992-03-14T00:00:00"/>
    <m/>
    <m/>
    <m/>
    <m/>
    <s v="ASISTENCIA TÉCNICA"/>
    <x v="0"/>
    <d v="2016-05-02T00:00:00"/>
    <m/>
    <d v="2016-12-31T00:00:00"/>
    <m/>
    <s v="UNTREF"/>
    <m/>
    <s v="."/>
    <x v="14"/>
    <x v="3"/>
  </r>
  <r>
    <s v="SFMyCP"/>
    <x v="0"/>
    <x v="0"/>
    <x v="0"/>
    <x v="8"/>
    <x v="6"/>
    <m/>
    <s v="ACUA MAYOR"/>
    <s v="ADMINISTRATIVO"/>
    <s v="CABILDO 65"/>
    <s v="CABILDO 65"/>
    <x v="931"/>
    <s v="DNI"/>
    <n v="24270526"/>
    <s v="20242705263"/>
    <d v="1974-10-18T00:00:00"/>
    <m/>
    <m/>
    <m/>
    <m/>
    <s v="ASISTENCIA TÉCNICA"/>
    <x v="0"/>
    <d v="2009-11-01T00:00:00"/>
    <m/>
    <d v="2016-12-31T00:00:00"/>
    <m/>
    <s v="UNTREF"/>
    <s v="UNSAM- LADA"/>
    <n v="27717"/>
    <x v="262"/>
    <x v="5"/>
  </r>
  <r>
    <s v="SFMyCP"/>
    <x v="0"/>
    <x v="1"/>
    <x v="3"/>
    <x v="6"/>
    <x v="2"/>
    <m/>
    <m/>
    <s v="MANTENIMIENTO GRAL DEL PARQUE"/>
    <s v="TECNÓPOLIS"/>
    <s v="TECNOPOLIS"/>
    <x v="932"/>
    <s v="DNI"/>
    <n v="38928395"/>
    <s v="23389283959"/>
    <d v="1995-05-23T00:00:00"/>
    <m/>
    <m/>
    <m/>
    <m/>
    <s v="ASISTENCIA TÉCNICA"/>
    <x v="0"/>
    <d v="2014-04-01T00:00:00"/>
    <m/>
    <d v="2016-12-31T00:00:00"/>
    <m/>
    <s v="UNTREF"/>
    <s v="UNTREF"/>
    <n v="9995.51"/>
    <x v="19"/>
    <x v="5"/>
  </r>
  <r>
    <s v="SFMyCP"/>
    <x v="0"/>
    <x v="1"/>
    <x v="1"/>
    <x v="5"/>
    <x v="8"/>
    <m/>
    <s v="Fotografa/o"/>
    <s v="ADMINISTRATIVO"/>
    <s v="CCK"/>
    <s v="CCK - Alem 351"/>
    <x v="933"/>
    <s v="DNI"/>
    <n v="35897693"/>
    <s v="27358976935"/>
    <d v="1992-12-12T00:00:00"/>
    <m/>
    <m/>
    <m/>
    <m/>
    <s v="ASISTENCIA TÉCNICA"/>
    <x v="0"/>
    <d v="2015-08-03T00:00:00"/>
    <m/>
    <d v="2016-12-31T00:00:00"/>
    <m/>
    <s v="UNTREF"/>
    <s v="UNLAM -TDA"/>
    <n v="10807"/>
    <x v="5"/>
    <x v="7"/>
  </r>
  <r>
    <s v="SFMyCP"/>
    <x v="0"/>
    <x v="0"/>
    <x v="0"/>
    <x v="8"/>
    <x v="6"/>
    <m/>
    <s v="PRODUCCIÓN"/>
    <s v="PRODUCTOR de EXTERIORES"/>
    <s v="CABILDO 65"/>
    <s v="CABILDO 65"/>
    <x v="934"/>
    <s v="DNI"/>
    <n v="29752031"/>
    <s v="20297520319"/>
    <d v="1982-09-04T00:00:00"/>
    <m/>
    <m/>
    <m/>
    <m/>
    <s v="ASISTENCIA TÉCNICA"/>
    <x v="0"/>
    <d v="2012-08-01T00:00:00"/>
    <m/>
    <d v="2016-12-31T00:00:00"/>
    <m/>
    <s v="UNTREF"/>
    <s v="UNSAM- LADA"/>
    <n v="23288"/>
    <x v="10"/>
    <x v="5"/>
  </r>
  <r>
    <s v="SFMyCP"/>
    <x v="0"/>
    <x v="1"/>
    <x v="3"/>
    <x v="20"/>
    <x v="2"/>
    <m/>
    <m/>
    <s v="CONTROL DE ACCESOS/DEPOSITOS DEL PREDIO TURNO NOCHE"/>
    <s v="TECNÓPOLIS"/>
    <s v="TECNOPOLIS"/>
    <x v="935"/>
    <s v="DNI"/>
    <n v="39100326"/>
    <s v="20391003263"/>
    <d v="1995-06-11T00:00:00"/>
    <m/>
    <m/>
    <m/>
    <m/>
    <s v="ASISTENCIA TÉCNICA"/>
    <x v="0"/>
    <d v="2014-07-01T00:00:00"/>
    <m/>
    <d v="2016-12-31T00:00:00"/>
    <m/>
    <s v="UNTREF"/>
    <s v="UNTREF"/>
    <n v="9995.51"/>
    <x v="19"/>
    <x v="5"/>
  </r>
  <r>
    <s v="SFMyCP"/>
    <x v="0"/>
    <x v="1"/>
    <x v="3"/>
    <x v="15"/>
    <x v="2"/>
    <m/>
    <m/>
    <m/>
    <s v="TECNÓPOLIS"/>
    <m/>
    <x v="936"/>
    <s v="DNI"/>
    <n v="12462086"/>
    <n v="20124620865"/>
    <m/>
    <m/>
    <m/>
    <m/>
    <m/>
    <s v="LEY MARCO"/>
    <x v="1"/>
    <d v="2012-04-01T00:00:00"/>
    <d v="2016-12-31T00:00:00"/>
    <d v="2016-12-31T00:00:00"/>
    <s v="C0"/>
    <m/>
    <m/>
    <n v="20583"/>
    <x v="263"/>
    <x v="5"/>
  </r>
  <r>
    <s v="SFMyCP"/>
    <x v="0"/>
    <x v="1"/>
    <x v="3"/>
    <x v="23"/>
    <x v="2"/>
    <m/>
    <m/>
    <s v="MANTENIMIENTO"/>
    <s v="TECNÓPOLIS"/>
    <s v="TECNOPOLIS"/>
    <x v="937"/>
    <s v="DNI"/>
    <n v="28635991"/>
    <s v="20286359915"/>
    <d v="1981-03-08T00:00:00"/>
    <m/>
    <m/>
    <m/>
    <m/>
    <s v="ASISTENCIA TÉCNICA"/>
    <x v="0"/>
    <d v="2011-07-01T00:00:00"/>
    <m/>
    <d v="2016-12-31T00:00:00"/>
    <m/>
    <s v="UNTREF"/>
    <s v="UNTREF"/>
    <n v="11449.4"/>
    <x v="8"/>
    <x v="5"/>
  </r>
  <r>
    <s v="SFMyCP"/>
    <x v="0"/>
    <x v="0"/>
    <x v="0"/>
    <x v="8"/>
    <x v="4"/>
    <m/>
    <s v="POSTPRODUCCIÓN"/>
    <s v="ADMINISTRATIVO"/>
    <s v="CABILDO 65"/>
    <s v="CABILDO 65"/>
    <x v="938"/>
    <s v="DNI"/>
    <n v="22006983"/>
    <s v="20220069835"/>
    <d v="1971-03-14T00:00:00"/>
    <m/>
    <m/>
    <m/>
    <m/>
    <s v="ASISTENCIA TÉCNICA"/>
    <x v="0"/>
    <d v="2012-05-03T00:00:00"/>
    <m/>
    <d v="2016-12-31T00:00:00"/>
    <m/>
    <s v="UNTREF"/>
    <s v="UNSAM- LADA"/>
    <n v="25252"/>
    <x v="38"/>
    <x v="5"/>
  </r>
  <r>
    <s v="SFMyCP"/>
    <x v="0"/>
    <x v="1"/>
    <x v="3"/>
    <x v="20"/>
    <x v="2"/>
    <m/>
    <m/>
    <m/>
    <s v="TECNÓPOLIS"/>
    <m/>
    <x v="939"/>
    <s v="DNI"/>
    <n v="36662611"/>
    <n v="20366626116"/>
    <m/>
    <m/>
    <m/>
    <m/>
    <m/>
    <s v="LEY MARCO"/>
    <x v="1"/>
    <d v="2013-07-01T00:00:00"/>
    <d v="2016-03-31T00:00:00"/>
    <d v="2016-12-31T00:00:00"/>
    <s v="C0"/>
    <m/>
    <m/>
    <n v="15043.07"/>
    <x v="107"/>
    <x v="5"/>
  </r>
  <r>
    <s v="SFMyCP"/>
    <x v="1"/>
    <x v="0"/>
    <x v="2"/>
    <x v="2"/>
    <x v="2"/>
    <m/>
    <s v="PRIVADA"/>
    <s v="ADMINISTRATIVO"/>
    <m/>
    <s v="CCK - Alem 351"/>
    <x v="940"/>
    <s v="DNI"/>
    <n v="24291240"/>
    <n v="20242912404"/>
    <d v="1975-04-21T00:00:00"/>
    <m/>
    <m/>
    <m/>
    <m/>
    <s v="ASISTENCIA TÉCNICA"/>
    <x v="0"/>
    <d v="2016-01-01T00:00:00"/>
    <m/>
    <d v="2016-12-31T00:00:00"/>
    <m/>
    <s v="UNTREF"/>
    <s v="UNSAM"/>
    <n v="27370"/>
    <x v="2"/>
    <x v="2"/>
  </r>
  <r>
    <s v="SFMyCP"/>
    <x v="0"/>
    <x v="1"/>
    <x v="3"/>
    <x v="15"/>
    <x v="2"/>
    <m/>
    <m/>
    <s v="CARPINTERO"/>
    <s v="TECNÓPOLIS"/>
    <s v="TECNOPOLIS"/>
    <x v="941"/>
    <s v="DNI"/>
    <n v="37141701"/>
    <s v="20371417010"/>
    <d v="1992-12-07T00:00:00"/>
    <m/>
    <m/>
    <m/>
    <m/>
    <s v="ASISTENCIA TÉCNICA"/>
    <x v="0"/>
    <d v="2014-07-01T00:00:00"/>
    <m/>
    <d v="2016-12-31T00:00:00"/>
    <m/>
    <s v="UNTREF"/>
    <s v="UNTREF"/>
    <n v="11499"/>
    <x v="264"/>
    <x v="5"/>
  </r>
  <r>
    <s v="SFMyCP"/>
    <x v="0"/>
    <x v="0"/>
    <x v="0"/>
    <x v="8"/>
    <x v="6"/>
    <m/>
    <s v="PRODUCCIÓN"/>
    <m/>
    <m/>
    <m/>
    <x v="942"/>
    <s v="DNI"/>
    <n v="31576451"/>
    <n v="20315764514"/>
    <m/>
    <m/>
    <m/>
    <m/>
    <m/>
    <m/>
    <x v="1"/>
    <d v="2013-12-01T00:00:00"/>
    <m/>
    <d v="2016-12-31T00:00:00"/>
    <s v="B0"/>
    <m/>
    <m/>
    <n v="16000"/>
    <x v="29"/>
    <x v="3"/>
  </r>
  <r>
    <s v="SFMyCP"/>
    <x v="1"/>
    <x v="0"/>
    <x v="5"/>
    <x v="17"/>
    <x v="12"/>
    <s v="AUTOMOTORES"/>
    <s v="CHOFER"/>
    <m/>
    <s v="CCK"/>
    <m/>
    <x v="943"/>
    <s v="DNI"/>
    <n v="26787449"/>
    <n v="20267874493"/>
    <m/>
    <m/>
    <m/>
    <m/>
    <m/>
    <s v="LEY MARCO"/>
    <x v="1"/>
    <d v="2014-12-01T00:00:00"/>
    <d v="2016-03-31T00:00:00"/>
    <d v="2016-12-31T00:00:00"/>
    <s v="C0"/>
    <m/>
    <m/>
    <n v="18000"/>
    <x v="57"/>
    <x v="5"/>
  </r>
  <r>
    <s v="SFMyCP"/>
    <x v="0"/>
    <x v="1"/>
    <x v="1"/>
    <x v="5"/>
    <x v="3"/>
    <s v="LIMPIEZA (En comisión Tecnópolis)"/>
    <s v="Auxiliar"/>
    <s v="OPERATIVA Y LOGISTICA"/>
    <s v="CCK"/>
    <s v="CCK - Alem 351"/>
    <x v="944"/>
    <s v="DNI"/>
    <n v="34520527"/>
    <s v="20345205277"/>
    <d v="1989-01-25T00:00:00"/>
    <m/>
    <m/>
    <m/>
    <m/>
    <s v="ASISTENCIA TÉCNICA"/>
    <x v="0"/>
    <d v="2015-10-10T00:00:00"/>
    <m/>
    <d v="2016-12-31T00:00:00"/>
    <m/>
    <s v="UNTREF"/>
    <s v="UNSAM-MINPLAN"/>
    <n v="8500"/>
    <x v="5"/>
    <x v="4"/>
  </r>
  <r>
    <s v="SFMyCP"/>
    <x v="0"/>
    <x v="0"/>
    <x v="0"/>
    <x v="8"/>
    <x v="6"/>
    <m/>
    <s v="PRENSA Y COMUNICACIÓN"/>
    <m/>
    <s v="CABILDO 65"/>
    <m/>
    <x v="945"/>
    <s v="DNI"/>
    <n v="17636422"/>
    <n v="20176364220"/>
    <m/>
    <m/>
    <m/>
    <m/>
    <m/>
    <s v="LEY MARCO"/>
    <x v="1"/>
    <d v="2015-02-01T00:00:00"/>
    <d v="2016-03-31T00:00:00"/>
    <d v="2016-12-31T00:00:00"/>
    <s v="C2"/>
    <m/>
    <m/>
    <n v="13233"/>
    <x v="265"/>
    <x v="5"/>
  </r>
  <r>
    <s v="SFMyCP"/>
    <x v="0"/>
    <x v="0"/>
    <x v="0"/>
    <x v="8"/>
    <x v="6"/>
    <m/>
    <s v="TÉCNICA Y TRANSMISIÓN"/>
    <s v="ADMINISTRATIVO"/>
    <s v="CABILDO 65"/>
    <s v="CABILDO 65"/>
    <x v="946"/>
    <s v="DNI"/>
    <n v="33220920"/>
    <s v="27332209200"/>
    <d v="1987-09-04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1"/>
    <x v="0"/>
    <x v="5"/>
    <x v="26"/>
    <x v="2"/>
    <m/>
    <s v="Analista"/>
    <m/>
    <s v="CCK"/>
    <m/>
    <x v="947"/>
    <s v="DNI"/>
    <n v="36828254"/>
    <n v="20368282546"/>
    <m/>
    <m/>
    <m/>
    <m/>
    <m/>
    <s v="LEY MARCO"/>
    <x v="1"/>
    <d v="2011-11-15T00:00:00"/>
    <d v="2016-12-31T00:00:00"/>
    <d v="2016-12-31T00:00:00"/>
    <s v="C1"/>
    <m/>
    <m/>
    <n v="12274"/>
    <x v="23"/>
    <x v="5"/>
  </r>
  <r>
    <s v="SFMyCP"/>
    <x v="2"/>
    <x v="0"/>
    <x v="4"/>
    <x v="2"/>
    <x v="2"/>
    <m/>
    <m/>
    <s v="ADMINISTRATIVO"/>
    <s v="CCK"/>
    <s v="CCK - Alem 351"/>
    <x v="948"/>
    <s v="DNI"/>
    <n v="23044714"/>
    <s v="23230447144"/>
    <d v="1973-08-06T00:00:00"/>
    <m/>
    <m/>
    <m/>
    <m/>
    <s v="ASISTENCIA TÉCNICA"/>
    <x v="0"/>
    <d v="2014-12-04T00:00:00"/>
    <m/>
    <d v="2016-12-31T00:00:00"/>
    <m/>
    <s v="UNTREF"/>
    <s v="UNLAM- TDA"/>
    <n v="12237"/>
    <x v="30"/>
    <x v="18"/>
  </r>
  <r>
    <s v="SFMyCP"/>
    <x v="0"/>
    <x v="0"/>
    <x v="0"/>
    <x v="8"/>
    <x v="6"/>
    <m/>
    <s v="CONTENIDOS DIGITALES ABIERTOS CDA"/>
    <s v="ADMINISTRATIVO"/>
    <s v="CABILDO 65"/>
    <s v="CABILDO 65"/>
    <x v="949"/>
    <s v="DNI"/>
    <n v="33626355"/>
    <s v="27336263552"/>
    <d v="1988-03-01T00:00:00"/>
    <m/>
    <m/>
    <m/>
    <m/>
    <s v="ASISTENCIA TÉCNICA"/>
    <x v="0"/>
    <d v="2013-06-01T00:00:00"/>
    <m/>
    <d v="2016-12-31T00:00:00"/>
    <m/>
    <s v="UNTREF"/>
    <s v="UNSAM- LADA"/>
    <n v="29420"/>
    <x v="60"/>
    <x v="5"/>
  </r>
  <r>
    <s v="SFMyCP"/>
    <x v="0"/>
    <x v="1"/>
    <x v="1"/>
    <x v="16"/>
    <x v="11"/>
    <m/>
    <m/>
    <s v="VISITAS GUIADAS"/>
    <m/>
    <s v="CCK - Alem 351"/>
    <x v="950"/>
    <s v="DNI"/>
    <n v="33021998"/>
    <n v="27330219985"/>
    <d v="1987-05-14T00:00:00"/>
    <m/>
    <m/>
    <m/>
    <m/>
    <s v="ASISTENCIA TÉCNICA"/>
    <x v="0"/>
    <d v="2016-05-01T00:00:00"/>
    <m/>
    <d v="2016-12-31T00:00:00"/>
    <m/>
    <s v="UNTREF"/>
    <m/>
    <m/>
    <x v="18"/>
    <x v="3"/>
  </r>
  <r>
    <s v="SFMyCP"/>
    <x v="0"/>
    <x v="0"/>
    <x v="0"/>
    <x v="8"/>
    <x v="4"/>
    <m/>
    <s v="PRODUCCIÓN"/>
    <s v="PRODUCTOR de EXTERIORES"/>
    <s v="CABILDO 65"/>
    <s v="CABILDO 65"/>
    <x v="951"/>
    <s v="DNI"/>
    <n v="24515306"/>
    <s v="20245153067"/>
    <d v="1975-03-06T00:00:00"/>
    <m/>
    <m/>
    <m/>
    <m/>
    <s v="ASISTENCIA TÉCNICA"/>
    <x v="0"/>
    <d v="2013-05-01T00:00:00"/>
    <m/>
    <d v="2016-12-31T00:00:00"/>
    <m/>
    <s v="UNTREF"/>
    <m/>
    <n v="24060"/>
    <x v="73"/>
    <x v="3"/>
  </r>
  <r>
    <s v="SFMyCP"/>
    <x v="0"/>
    <x v="1"/>
    <x v="1"/>
    <x v="5"/>
    <x v="18"/>
    <m/>
    <s v="Coordinador de Dto"/>
    <m/>
    <s v="CCK"/>
    <m/>
    <x v="952"/>
    <s v="DNI"/>
    <n v="92821036"/>
    <n v="20928210368"/>
    <m/>
    <m/>
    <m/>
    <m/>
    <m/>
    <s v="LEY MARCO"/>
    <x v="1"/>
    <d v="2015-06-01T00:00:00"/>
    <d v="2016-03-31T00:00:00"/>
    <d v="2016-12-31T00:00:00"/>
    <s v="C1"/>
    <m/>
    <m/>
    <n v="27850"/>
    <x v="266"/>
    <x v="5"/>
  </r>
  <r>
    <s v="SFMyCP"/>
    <x v="0"/>
    <x v="0"/>
    <x v="0"/>
    <x v="8"/>
    <x v="4"/>
    <m/>
    <s v="POSTPRODUCCIÓN"/>
    <s v="ADMINISTRATIVO"/>
    <s v="CABILDO 65"/>
    <s v="CABILDO 65"/>
    <x v="953"/>
    <s v="DNI"/>
    <n v="25201218"/>
    <s v="20252012185"/>
    <d v="1976-02-17T00:00:00"/>
    <m/>
    <m/>
    <m/>
    <m/>
    <s v="ASISTENCIA TÉCNICA"/>
    <x v="0"/>
    <d v="2011-07-01T00:00:00"/>
    <m/>
    <d v="2016-12-31T00:00:00"/>
    <m/>
    <s v="UNTREF"/>
    <s v="UNSAM- LADA"/>
    <n v="24060"/>
    <x v="73"/>
    <x v="5"/>
  </r>
  <r>
    <s v="SFMyCP"/>
    <x v="0"/>
    <x v="0"/>
    <x v="6"/>
    <x v="12"/>
    <x v="2"/>
    <m/>
    <s v="DIRECTOR"/>
    <s v="ADMINISTRATIVO"/>
    <m/>
    <s v="CCK - Alem 351"/>
    <x v="954"/>
    <s v="DNI"/>
    <n v="25452505"/>
    <s v="27254525052"/>
    <d v="1976-07-22T00:00:00"/>
    <m/>
    <m/>
    <m/>
    <m/>
    <s v="ASISTENCIA TÉCNICA"/>
    <x v="0"/>
    <d v="2016-01-01T00:00:00"/>
    <m/>
    <d v="2016-12-31T00:00:00"/>
    <m/>
    <s v="UNTREF"/>
    <s v="UNSAM"/>
    <n v="36000"/>
    <x v="112"/>
    <x v="22"/>
  </r>
  <r>
    <s v="SFMyCP"/>
    <x v="0"/>
    <x v="1"/>
    <x v="3"/>
    <x v="39"/>
    <x v="2"/>
    <m/>
    <s v="ADMINISTRATIVO"/>
    <m/>
    <s v="TECNÓPOLIS"/>
    <m/>
    <x v="955"/>
    <s v="DNI"/>
    <n v="36636933"/>
    <n v="20366369334"/>
    <m/>
    <m/>
    <m/>
    <m/>
    <m/>
    <s v="LEY MARCO"/>
    <x v="1"/>
    <d v="2012-05-01T00:00:00"/>
    <d v="2016-12-31T00:00:00"/>
    <d v="2016-12-31T00:00:00"/>
    <s v="C0"/>
    <m/>
    <m/>
    <n v="15418.33"/>
    <x v="267"/>
    <x v="5"/>
  </r>
  <r>
    <s v="SFMyCP"/>
    <x v="0"/>
    <x v="1"/>
    <x v="1"/>
    <x v="16"/>
    <x v="2"/>
    <m/>
    <s v="Analista"/>
    <m/>
    <s v="CCK"/>
    <m/>
    <x v="956"/>
    <s v="DNI"/>
    <n v="23354383"/>
    <n v="27233543832"/>
    <m/>
    <m/>
    <m/>
    <m/>
    <m/>
    <s v="LEY MARCO"/>
    <x v="1"/>
    <d v="2008-02-01T00:00:00"/>
    <d v="2016-12-31T00:00:00"/>
    <d v="2016-12-31T00:00:00"/>
    <s v="B2"/>
    <m/>
    <m/>
    <n v="21517"/>
    <x v="129"/>
    <x v="5"/>
  </r>
  <r>
    <s v="SFMyCP"/>
    <x v="0"/>
    <x v="1"/>
    <x v="1"/>
    <x v="5"/>
    <x v="5"/>
    <m/>
    <s v="ASISTENTE"/>
    <s v="ADMINISTRATIVO"/>
    <s v="CCK"/>
    <s v="CCK - Alem 351"/>
    <x v="957"/>
    <s v="DNI"/>
    <n v="34000534"/>
    <s v="27340005347"/>
    <d v="1988-08-03T00:00:00"/>
    <m/>
    <m/>
    <m/>
    <m/>
    <s v="ASISTENCIA TÉCNICA"/>
    <x v="0"/>
    <d v="2015-08-01T00:00:00"/>
    <m/>
    <d v="2016-12-31T00:00:00"/>
    <m/>
    <s v="UNTREF"/>
    <s v="UNLAM- BICENTENARIO"/>
    <n v="10807"/>
    <x v="5"/>
    <x v="4"/>
  </r>
  <r>
    <s v="SFMyCP"/>
    <x v="1"/>
    <x v="0"/>
    <x v="5"/>
    <x v="17"/>
    <x v="17"/>
    <m/>
    <m/>
    <s v="ADMINISTRATIVO"/>
    <m/>
    <s v="CCK - Alem 351"/>
    <x v="958"/>
    <s v="DNI"/>
    <n v="39056311"/>
    <s v="27390563111"/>
    <d v="1995-05-14T00:00:00"/>
    <m/>
    <m/>
    <m/>
    <m/>
    <s v="ASISTENCIA TÉCNICA"/>
    <x v="0"/>
    <d v="2014-04-01T00:00:00"/>
    <m/>
    <d v="2016-12-31T00:00:00"/>
    <m/>
    <s v="UNTREF"/>
    <m/>
    <n v="9479"/>
    <x v="18"/>
    <x v="3"/>
  </r>
  <r>
    <s v="SFMyCP"/>
    <x v="0"/>
    <x v="1"/>
    <x v="3"/>
    <x v="4"/>
    <x v="2"/>
    <m/>
    <s v="COCINA"/>
    <m/>
    <s v="TECNÓPOLIS"/>
    <m/>
    <x v="959"/>
    <s v="DNI"/>
    <n v="27183180"/>
    <n v="27271831809"/>
    <m/>
    <m/>
    <m/>
    <m/>
    <m/>
    <s v="LEY MARCO"/>
    <x v="1"/>
    <d v="2013-12-01T00:00:00"/>
    <d v="2016-03-31T00:00:00"/>
    <d v="2016-12-31T00:00:00"/>
    <s v="C1"/>
    <m/>
    <m/>
    <n v="25599"/>
    <x v="268"/>
    <x v="5"/>
  </r>
  <r>
    <s v="SFMyCP"/>
    <x v="0"/>
    <x v="1"/>
    <x v="1"/>
    <x v="10"/>
    <x v="2"/>
    <m/>
    <m/>
    <s v="ADMINISTRATIVA"/>
    <m/>
    <s v="CCK - Alem 351"/>
    <x v="960"/>
    <s v="DNI"/>
    <n v="31963237"/>
    <s v="27319632374"/>
    <d v="1985-11-28T00:00:00"/>
    <m/>
    <m/>
    <m/>
    <m/>
    <s v="ASISTENCIA TÉCNICA"/>
    <x v="0"/>
    <d v="2016-05-01T00:00:00"/>
    <m/>
    <d v="2016-12-31T00:00:00"/>
    <m/>
    <s v="UNTREF"/>
    <m/>
    <s v="."/>
    <x v="14"/>
    <x v="3"/>
  </r>
  <r>
    <s v="SFMyCP"/>
    <x v="0"/>
    <x v="0"/>
    <x v="0"/>
    <x v="8"/>
    <x v="6"/>
    <m/>
    <s v="TÉCNICA Y TRANSMISIÓN"/>
    <s v="ADMINISTRATIVO"/>
    <s v="CABILDO 65"/>
    <s v="CABILDO 65"/>
    <x v="961"/>
    <s v="DNI"/>
    <n v="31982264"/>
    <s v="20319822640"/>
    <d v="1986-03-03T00:00:00"/>
    <m/>
    <m/>
    <m/>
    <m/>
    <s v="ASISTENCIA TÉCNICA"/>
    <x v="0"/>
    <d v="2013-12-12T00:00:00"/>
    <m/>
    <d v="2016-12-31T00:00:00"/>
    <m/>
    <s v="UNTREF"/>
    <s v="UNSAM- LADA"/>
    <n v="20034"/>
    <x v="269"/>
    <x v="5"/>
  </r>
  <r>
    <s v="SFMyCP"/>
    <x v="0"/>
    <x v="1"/>
    <x v="1"/>
    <x v="5"/>
    <x v="14"/>
    <s v="LIMPIEZA (En comisión Tecnópolis)"/>
    <s v="ASISTENTE"/>
    <s v="Asistente "/>
    <s v="CCK"/>
    <s v="CCK - Alem 351"/>
    <x v="962"/>
    <s v="DNI"/>
    <n v="34019229"/>
    <s v="27340192295"/>
    <d v="1988-10-19T00:00:00"/>
    <m/>
    <m/>
    <m/>
    <m/>
    <s v="ASISTENCIA TÉCNICA"/>
    <x v="0"/>
    <d v="2015-06-10T00:00:00"/>
    <m/>
    <d v="2016-12-31T00:00:00"/>
    <m/>
    <s v="UNTREF"/>
    <s v="UNSAM"/>
    <n v="8535"/>
    <x v="5"/>
    <x v="4"/>
  </r>
  <r>
    <s v="SFMyCP"/>
    <x v="1"/>
    <x v="0"/>
    <x v="5"/>
    <x v="17"/>
    <x v="17"/>
    <s v="COMUNICACIÓN"/>
    <s v="DISEÑO"/>
    <m/>
    <s v="CCK"/>
    <m/>
    <x v="963"/>
    <s v="DNI"/>
    <n v="28695587"/>
    <n v="20286955879"/>
    <m/>
    <m/>
    <m/>
    <m/>
    <m/>
    <s v="LEY MARCO"/>
    <x v="1"/>
    <d v="2015-02-01T00:00:00"/>
    <d v="2016-03-31T00:00:00"/>
    <d v="2016-12-31T00:00:00"/>
    <s v="C4"/>
    <m/>
    <m/>
    <n v="14433"/>
    <x v="270"/>
    <x v="5"/>
  </r>
  <r>
    <s v="SFMyCP"/>
    <x v="0"/>
    <x v="0"/>
    <x v="6"/>
    <x v="12"/>
    <x v="2"/>
    <m/>
    <m/>
    <m/>
    <m/>
    <m/>
    <x v="964"/>
    <s v="DNI"/>
    <n v="21796620"/>
    <n v="27217966200"/>
    <m/>
    <m/>
    <m/>
    <m/>
    <m/>
    <m/>
    <x v="0"/>
    <d v="2016-08-01T00:00:00"/>
    <m/>
    <d v="2016-10-30T00:00:00"/>
    <m/>
    <s v="UNTREF"/>
    <m/>
    <m/>
    <x v="18"/>
    <x v="3"/>
  </r>
  <r>
    <s v="SFMyCP"/>
    <x v="0"/>
    <x v="1"/>
    <x v="1"/>
    <x v="5"/>
    <x v="3"/>
    <s v="LIMPIEZA (En comisión Tecnópolis)"/>
    <s v="Auxiliar"/>
    <s v="OPERATIVA Y LOGISTICA"/>
    <s v="CCK"/>
    <s v="CCK - Alem 351"/>
    <x v="965"/>
    <s v="DNI"/>
    <n v="37345492"/>
    <s v="20373454924"/>
    <d v="1993-03-23T00:00:00"/>
    <m/>
    <m/>
    <m/>
    <m/>
    <s v="ASISTENCIA TÉCNICA"/>
    <x v="0"/>
    <d v="2015-06-10T00:00:00"/>
    <m/>
    <d v="2016-12-31T00:00:00"/>
    <m/>
    <s v="UNTREF"/>
    <s v="UNTREF"/>
    <n v="8500"/>
    <x v="5"/>
    <x v="4"/>
  </r>
  <r>
    <s v="SFMyCP"/>
    <x v="0"/>
    <x v="0"/>
    <x v="0"/>
    <x v="8"/>
    <x v="6"/>
    <m/>
    <s v="CONTENIDOS DIGITALES ABIERTOS CDA"/>
    <s v="ADMINISTRATIVO"/>
    <s v="CABILDO 65"/>
    <s v="CABILDO 65"/>
    <x v="966"/>
    <s v="DNI"/>
    <n v="21094516"/>
    <s v="20210945165"/>
    <d v="1969-10-14T00:00:00"/>
    <m/>
    <m/>
    <m/>
    <m/>
    <s v="ASISTENCIA TÉCNICA"/>
    <x v="0"/>
    <d v="2011-11-01T00:00:00"/>
    <m/>
    <d v="2016-12-31T00:00:00"/>
    <m/>
    <s v="UNTREF"/>
    <s v="UNSAM- LADA"/>
    <n v="39000"/>
    <x v="158"/>
    <x v="5"/>
  </r>
  <r>
    <s v="SFMyCP"/>
    <x v="1"/>
    <x v="0"/>
    <x v="5"/>
    <x v="17"/>
    <x v="17"/>
    <m/>
    <m/>
    <m/>
    <m/>
    <m/>
    <x v="967"/>
    <s v="DNI"/>
    <n v="29194068"/>
    <n v="20291940685"/>
    <m/>
    <m/>
    <m/>
    <m/>
    <m/>
    <m/>
    <x v="1"/>
    <d v="2008-09-01T00:00:00"/>
    <m/>
    <d v="2016-12-31T00:00:00"/>
    <s v="C1"/>
    <m/>
    <m/>
    <m/>
    <x v="18"/>
    <x v="3"/>
  </r>
  <r>
    <s v="SFMyCP"/>
    <x v="0"/>
    <x v="0"/>
    <x v="0"/>
    <x v="0"/>
    <x v="0"/>
    <m/>
    <s v="ANIMACION"/>
    <s v="ANALISTA"/>
    <s v="PALPALÁ-JUJUY"/>
    <s v="PALPALÁ-JUJUY"/>
    <x v="968"/>
    <s v="DNI"/>
    <n v="25287172"/>
    <n v="20252871722"/>
    <d v="1976-08-26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1"/>
    <x v="1"/>
    <x v="5"/>
    <x v="14"/>
    <s v="CONTROL DE ACCESOS A"/>
    <s v="Asistente Técnico Administrativo"/>
    <s v="Asistente Técnico Administrativo"/>
    <s v="CCK"/>
    <s v="CCK - Alem 351"/>
    <x v="969"/>
    <s v="DNI"/>
    <n v="33426819"/>
    <s v="20334268196"/>
    <d v="1988-01-21T00:00:00"/>
    <m/>
    <m/>
    <m/>
    <m/>
    <s v="ASISTENCIA TÉCNICA"/>
    <x v="0"/>
    <d v="2015-06-01T00:00:00"/>
    <m/>
    <d v="2016-12-31T00:00:00"/>
    <m/>
    <s v="UNTREF"/>
    <s v="UNLAM- BICENTENARIO"/>
    <n v="10096"/>
    <x v="5"/>
    <x v="4"/>
  </r>
  <r>
    <s v="SFMyCP"/>
    <x v="0"/>
    <x v="1"/>
    <x v="3"/>
    <x v="39"/>
    <x v="2"/>
    <m/>
    <s v="ADMINISTRATIVO"/>
    <m/>
    <s v="TECNÓPOLIS"/>
    <m/>
    <x v="970"/>
    <s v="DNI"/>
    <n v="26949557"/>
    <n v="27269495575"/>
    <m/>
    <m/>
    <m/>
    <m/>
    <m/>
    <s v="LEY MARCO"/>
    <x v="1"/>
    <d v="2012-11-01T00:00:00"/>
    <d v="2016-12-31T00:00:00"/>
    <d v="2016-12-31T00:00:00"/>
    <s v="C0"/>
    <m/>
    <m/>
    <n v="20921.8"/>
    <x v="151"/>
    <x v="5"/>
  </r>
  <r>
    <s v="SFMyCP"/>
    <x v="0"/>
    <x v="1"/>
    <x v="1"/>
    <x v="2"/>
    <x v="2"/>
    <m/>
    <s v="ASISTENTE COORD NORTE"/>
    <s v="ADMINISTRATIVO"/>
    <m/>
    <s v="CCK - Alem 351"/>
    <x v="971"/>
    <s v="DNI"/>
    <n v="8537726"/>
    <n v="20085377265"/>
    <d v="1951-03-07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3"/>
    <x v="2"/>
    <x v="2"/>
    <m/>
    <m/>
    <s v="PRODUCCION GRAL DE RECETAS, MANIPULACIÓN DE INGREDIENTES, DESPCACHO DE ALIMENTOS"/>
    <m/>
    <s v="TECNOPOLIS"/>
    <x v="972"/>
    <s v="DNI"/>
    <n v="35984271"/>
    <n v="20359842717"/>
    <d v="1988-10-06T00:00:00"/>
    <m/>
    <m/>
    <m/>
    <m/>
    <s v="ASISTENCIA TÉCNICA"/>
    <x v="0"/>
    <m/>
    <m/>
    <d v="2016-12-31T00:00:00"/>
    <m/>
    <s v="UNTREF"/>
    <m/>
    <m/>
    <x v="18"/>
    <x v="3"/>
  </r>
  <r>
    <s v="SFMyCP"/>
    <x v="0"/>
    <x v="1"/>
    <x v="3"/>
    <x v="4"/>
    <x v="2"/>
    <m/>
    <s v="COCINA"/>
    <m/>
    <s v="TECNÓPOLIS"/>
    <m/>
    <x v="973"/>
    <s v="DNI"/>
    <n v="14231277"/>
    <n v="27142312773"/>
    <m/>
    <m/>
    <m/>
    <m/>
    <m/>
    <s v="LEY MARCO"/>
    <x v="1"/>
    <d v="2012-02-01T00:00:00"/>
    <d v="2016-12-31T00:00:00"/>
    <d v="2016-12-31T00:00:00"/>
    <s v="D0"/>
    <m/>
    <m/>
    <n v="14250"/>
    <x v="271"/>
    <x v="5"/>
  </r>
  <r>
    <s v="SFMyCP"/>
    <x v="0"/>
    <x v="0"/>
    <x v="0"/>
    <x v="8"/>
    <x v="6"/>
    <m/>
    <s v="PRODUCCIÓN"/>
    <s v="PRODUCTOR de EXTERIORES"/>
    <s v="CABILDO 65"/>
    <s v="CABILDO 65"/>
    <x v="974"/>
    <s v="DNI"/>
    <n v="26348466"/>
    <s v="20263484666"/>
    <d v="1997-11-03T00:00:00"/>
    <m/>
    <m/>
    <m/>
    <m/>
    <s v="ASISTENCIA TÉCNICA"/>
    <x v="0"/>
    <d v="2015-03-02T00:00:00"/>
    <m/>
    <d v="2016-12-31T00:00:00"/>
    <m/>
    <s v="UNTREF"/>
    <s v="UNSAM- LADA"/>
    <n v="20959"/>
    <x v="15"/>
    <x v="5"/>
  </r>
  <r>
    <s v="SFMyCP"/>
    <x v="1"/>
    <x v="0"/>
    <x v="2"/>
    <x v="2"/>
    <x v="2"/>
    <m/>
    <s v="PRIVADA"/>
    <s v="ADMINISTRATIVO"/>
    <m/>
    <s v="CCK - Alem 351"/>
    <x v="975"/>
    <s v="DNI"/>
    <n v="11262651"/>
    <s v="23112626514"/>
    <d v="1954-05-06T00:00:00"/>
    <m/>
    <m/>
    <m/>
    <m/>
    <s v="ASISTENCIA TÉCNICA"/>
    <x v="0"/>
    <d v="2016-01-01T00:00:00"/>
    <m/>
    <d v="2016-12-31T00:00:00"/>
    <m/>
    <s v="UNTREF"/>
    <s v="UNSAM"/>
    <n v="34500"/>
    <x v="272"/>
    <x v="50"/>
  </r>
  <r>
    <s v="SFMyCP"/>
    <x v="0"/>
    <x v="0"/>
    <x v="6"/>
    <x v="12"/>
    <x v="2"/>
    <m/>
    <m/>
    <s v="Orientador de Sala"/>
    <m/>
    <m/>
    <x v="976"/>
    <s v="DNI"/>
    <n v="36530606"/>
    <n v="27365306066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0"/>
    <x v="0"/>
    <x v="0"/>
    <x v="8"/>
    <x v="6"/>
    <m/>
    <s v="ACUA MAYOR"/>
    <s v="ADMINISTRATIVO"/>
    <s v="CABILDO 65"/>
    <s v="CABILDO 65"/>
    <x v="977"/>
    <s v="DNI"/>
    <n v="20005465"/>
    <s v="20200054653"/>
    <d v="1962-01-21T00:00:00"/>
    <m/>
    <m/>
    <m/>
    <m/>
    <s v="ASISTENCIA TÉCNICA"/>
    <x v="0"/>
    <d v="2012-05-07T00:00:00"/>
    <m/>
    <d v="2016-12-31T00:00:00"/>
    <m/>
    <s v="UNTREF"/>
    <s v="UNSAM- LADA"/>
    <n v="17657"/>
    <x v="273"/>
    <x v="5"/>
  </r>
  <r>
    <s v="SFMyCP"/>
    <x v="0"/>
    <x v="0"/>
    <x v="0"/>
    <x v="8"/>
    <x v="6"/>
    <m/>
    <s v="ADMINISTRACIÓN"/>
    <m/>
    <s v="CABILDO 65"/>
    <m/>
    <x v="978"/>
    <s v="DNI"/>
    <n v="36696469"/>
    <n v="27366964695"/>
    <m/>
    <m/>
    <m/>
    <m/>
    <m/>
    <s v="LEY MARCO"/>
    <x v="1"/>
    <d v="2015-02-01T00:00:00"/>
    <d v="2016-03-31T00:00:00"/>
    <d v="2016-12-31T00:00:00"/>
    <s v="D0"/>
    <m/>
    <m/>
    <n v="10000"/>
    <x v="0"/>
    <x v="5"/>
  </r>
  <r>
    <s v="SFMyCP"/>
    <x v="0"/>
    <x v="0"/>
    <x v="0"/>
    <x v="8"/>
    <x v="6"/>
    <m/>
    <s v="PROGRAMA POLOS AUDIOVISUALES TECNOLÓGICOS"/>
    <m/>
    <s v="CABILDO 65"/>
    <m/>
    <x v="979"/>
    <s v="DNI"/>
    <n v="26881068"/>
    <n v="23268810684"/>
    <m/>
    <m/>
    <m/>
    <m/>
    <m/>
    <s v="LEY MARCO"/>
    <x v="1"/>
    <d v="2014-09-01T00:00:00"/>
    <d v="2016-03-31T00:00:00"/>
    <d v="2016-12-31T00:00:00"/>
    <s v="C0"/>
    <m/>
    <m/>
    <n v="13094"/>
    <x v="274"/>
    <x v="5"/>
  </r>
  <r>
    <s v="SFMyCP"/>
    <x v="0"/>
    <x v="0"/>
    <x v="6"/>
    <x v="12"/>
    <x v="2"/>
    <m/>
    <m/>
    <s v="Orientador de Sala"/>
    <m/>
    <m/>
    <x v="980"/>
    <s v="DNI"/>
    <n v="94763837"/>
    <n v="27947638373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0"/>
    <x v="1"/>
    <x v="3"/>
    <x v="46"/>
    <x v="2"/>
    <m/>
    <m/>
    <m/>
    <s v="TECNÓPOLIS"/>
    <m/>
    <x v="981"/>
    <s v="DNI"/>
    <n v="12012195"/>
    <n v="27120121958"/>
    <m/>
    <m/>
    <m/>
    <m/>
    <m/>
    <s v="LEY MARCO"/>
    <x v="1"/>
    <d v="2011-07-01T00:00:00"/>
    <d v="2016-12-31T00:00:00"/>
    <d v="2016-12-31T00:00:00"/>
    <s v="C0"/>
    <m/>
    <m/>
    <n v="29784"/>
    <x v="55"/>
    <x v="5"/>
  </r>
  <r>
    <s v="SFMyCP"/>
    <x v="0"/>
    <x v="1"/>
    <x v="1"/>
    <x v="5"/>
    <x v="5"/>
    <m/>
    <m/>
    <s v="ADMINISTRATIVO"/>
    <m/>
    <s v="CCK - Alem 351"/>
    <x v="982"/>
    <s v="DNI"/>
    <n v="31504616"/>
    <s v="27315046160"/>
    <d v="1985-03-31T00:00:00"/>
    <m/>
    <m/>
    <m/>
    <m/>
    <s v="ASISTENCIA TÉCNICA"/>
    <x v="0"/>
    <d v="2015-05-01T00:00:00"/>
    <m/>
    <d v="2016-12-31T00:00:00"/>
    <m/>
    <s v="UNTREF"/>
    <m/>
    <n v="10189"/>
    <x v="18"/>
    <x v="3"/>
  </r>
  <r>
    <s v="SFMyCP"/>
    <x v="0"/>
    <x v="0"/>
    <x v="0"/>
    <x v="0"/>
    <x v="0"/>
    <m/>
    <s v="ANIMACION"/>
    <s v="ANALISTA"/>
    <s v="PALPALÁ-JUJUY"/>
    <s v="PALPALÁ-JUJUY"/>
    <x v="983"/>
    <s v="DNI"/>
    <n v="31961384"/>
    <n v="20319613847"/>
    <d v="1986-04-07T00:00:00"/>
    <m/>
    <m/>
    <m/>
    <m/>
    <s v="ASISTENCIA TÉCNICA"/>
    <x v="0"/>
    <d v="2015-09-01T00:00:00"/>
    <m/>
    <d v="2016-12-31T00:00:00"/>
    <m/>
    <s v="UNTREF"/>
    <s v="UNSAM"/>
    <n v="8000"/>
    <x v="40"/>
    <x v="0"/>
  </r>
  <r>
    <s v="SFMyCP"/>
    <x v="0"/>
    <x v="0"/>
    <x v="0"/>
    <x v="0"/>
    <x v="0"/>
    <m/>
    <s v="DESARROLLOS"/>
    <s v="ANALISTA"/>
    <s v="PALPALÁ-JUJUY"/>
    <s v="PALPALÁ-JUJUY"/>
    <x v="984"/>
    <s v="DNI"/>
    <n v="27165852"/>
    <n v="20271658525"/>
    <d v="1979-02-13T00:00:00"/>
    <m/>
    <m/>
    <m/>
    <m/>
    <s v="ASISTENCIA TÉCNICA"/>
    <x v="0"/>
    <d v="2015-09-01T00:00:00"/>
    <m/>
    <d v="2016-12-31T00:00:00"/>
    <m/>
    <s v="UNTREF"/>
    <s v="UNSAM"/>
    <n v="13000"/>
    <x v="90"/>
    <x v="0"/>
  </r>
  <r>
    <s v="SFMyCP"/>
    <x v="1"/>
    <x v="0"/>
    <x v="5"/>
    <x v="18"/>
    <x v="2"/>
    <m/>
    <m/>
    <s v="Asistencia Juridica"/>
    <m/>
    <s v="CCK - Alem 351"/>
    <x v="985"/>
    <s v="DNI"/>
    <n v="27375597"/>
    <n v="20273755978"/>
    <d v="1979-09-06T00:00:00"/>
    <m/>
    <m/>
    <m/>
    <m/>
    <s v="ASISTENCIA TÉCNICA"/>
    <x v="0"/>
    <d v="2016-07-01T00:00:00"/>
    <m/>
    <d v="2016-12-31T00:00:00"/>
    <m/>
    <s v="UNTREF"/>
    <m/>
    <m/>
    <x v="18"/>
    <x v="3"/>
  </r>
  <r>
    <s v="SFMyCP"/>
    <x v="0"/>
    <x v="1"/>
    <x v="7"/>
    <x v="2"/>
    <x v="2"/>
    <m/>
    <s v="PRIVADA"/>
    <s v="ADMINISTRATIVO"/>
    <m/>
    <s v="CCK - Alem 351"/>
    <x v="986"/>
    <s v="DNI"/>
    <n v="25570101"/>
    <s v="20255701011"/>
    <d v="1976-08-15T00:00:00"/>
    <m/>
    <m/>
    <m/>
    <m/>
    <s v="ASISTENCIA TÉCNICA"/>
    <x v="0"/>
    <d v="2016-01-01T00:00:00"/>
    <m/>
    <d v="2016-12-31T00:00:00"/>
    <m/>
    <s v="UNTREF"/>
    <s v="UNSAM"/>
    <n v="19925"/>
    <x v="275"/>
    <x v="51"/>
  </r>
  <r>
    <s v="SFMyCP"/>
    <x v="1"/>
    <x v="0"/>
    <x v="5"/>
    <x v="47"/>
    <x v="2"/>
    <m/>
    <m/>
    <m/>
    <m/>
    <m/>
    <x v="987"/>
    <m/>
    <m/>
    <m/>
    <m/>
    <m/>
    <m/>
    <m/>
    <m/>
    <m/>
    <x v="3"/>
    <m/>
    <m/>
    <m/>
    <m/>
    <m/>
    <m/>
    <m/>
    <x v="18"/>
    <x v="3"/>
  </r>
  <r>
    <s v="SFMyCP"/>
    <x v="1"/>
    <x v="0"/>
    <x v="5"/>
    <x v="47"/>
    <x v="2"/>
    <m/>
    <m/>
    <m/>
    <m/>
    <m/>
    <x v="987"/>
    <m/>
    <m/>
    <m/>
    <m/>
    <m/>
    <m/>
    <m/>
    <m/>
    <m/>
    <x v="3"/>
    <m/>
    <m/>
    <m/>
    <m/>
    <m/>
    <m/>
    <m/>
    <x v="18"/>
    <x v="3"/>
  </r>
  <r>
    <s v="SFMyCP"/>
    <x v="1"/>
    <x v="0"/>
    <x v="5"/>
    <x v="47"/>
    <x v="2"/>
    <m/>
    <m/>
    <m/>
    <m/>
    <m/>
    <x v="987"/>
    <m/>
    <m/>
    <m/>
    <m/>
    <m/>
    <m/>
    <m/>
    <m/>
    <m/>
    <x v="3"/>
    <m/>
    <m/>
    <m/>
    <m/>
    <m/>
    <m/>
    <m/>
    <x v="18"/>
    <x v="3"/>
  </r>
  <r>
    <s v="SFMyCP"/>
    <x v="1"/>
    <x v="0"/>
    <x v="5"/>
    <x v="47"/>
    <x v="2"/>
    <m/>
    <m/>
    <m/>
    <m/>
    <m/>
    <x v="987"/>
    <m/>
    <m/>
    <m/>
    <m/>
    <m/>
    <m/>
    <m/>
    <m/>
    <m/>
    <x v="3"/>
    <m/>
    <m/>
    <m/>
    <m/>
    <m/>
    <m/>
    <m/>
    <x v="18"/>
    <x v="3"/>
  </r>
  <r>
    <s v="SFMyCP"/>
    <x v="1"/>
    <x v="0"/>
    <x v="5"/>
    <x v="47"/>
    <x v="2"/>
    <m/>
    <s v="ADMINISTRACIÓN"/>
    <m/>
    <m/>
    <m/>
    <x v="988"/>
    <s v="DNI"/>
    <n v="38995224"/>
    <n v="23389952249"/>
    <m/>
    <m/>
    <m/>
    <m/>
    <m/>
    <s v="LEY MARCO"/>
    <x v="1"/>
    <d v="2015-05-01T00:00:00"/>
    <d v="2016-03-31T00:00:00"/>
    <d v="2016-12-31T00:00:00"/>
    <s v="D0"/>
    <m/>
    <m/>
    <n v="10190"/>
    <x v="45"/>
    <x v="0"/>
  </r>
  <r>
    <s v="SFMyCP"/>
    <x v="1"/>
    <x v="0"/>
    <x v="5"/>
    <x v="26"/>
    <x v="2"/>
    <s v="STOCK"/>
    <s v="Analista"/>
    <s v="Analista"/>
    <s v="CCK"/>
    <s v="CCK - Alem 351"/>
    <x v="989"/>
    <s v="DNI"/>
    <n v="37113846"/>
    <s v="20371138464"/>
    <d v="1992-09-11T00:00:00"/>
    <m/>
    <m/>
    <m/>
    <m/>
    <s v="ASISTENCIA TÉCNICA"/>
    <x v="0"/>
    <d v="2014-10-14T00:00:00"/>
    <m/>
    <d v="2016-12-31T00:00:00"/>
    <m/>
    <s v="UNTREF"/>
    <s v="UNLAM- INFO"/>
    <n v="9000"/>
    <x v="5"/>
    <x v="4"/>
  </r>
  <r>
    <s v="SFMyCP"/>
    <x v="0"/>
    <x v="0"/>
    <x v="0"/>
    <x v="8"/>
    <x v="6"/>
    <m/>
    <s v="POSTPRODUCCIÓN"/>
    <s v="ADMINISTRATIVO"/>
    <s v="CABILDO 65"/>
    <s v="CABILDO 65"/>
    <x v="990"/>
    <s v="DNI"/>
    <n v="18359189"/>
    <s v="20183591895"/>
    <d v="1967-04-30T00:00:00"/>
    <m/>
    <m/>
    <m/>
    <m/>
    <s v="ASISTENCIA TÉCNICA"/>
    <x v="0"/>
    <d v="2013-03-01T00:00:00"/>
    <m/>
    <d v="2016-12-31T00:00:00"/>
    <m/>
    <s v="UNTREF"/>
    <s v="UNSAM- LADA"/>
    <n v="19353"/>
    <x v="36"/>
    <x v="5"/>
  </r>
  <r>
    <s v="SFMyCP"/>
    <x v="1"/>
    <x v="0"/>
    <x v="5"/>
    <x v="17"/>
    <x v="17"/>
    <s v="COMUNICACIÓN"/>
    <m/>
    <m/>
    <m/>
    <m/>
    <x v="991"/>
    <s v="DNI"/>
    <n v="26312020"/>
    <n v="27263120200"/>
    <m/>
    <m/>
    <m/>
    <m/>
    <m/>
    <s v="LEY MARCO"/>
    <x v="1"/>
    <d v="2008-08-04T00:00:00"/>
    <d v="2016-12-31T00:00:00"/>
    <d v="2016-12-31T00:00:00"/>
    <s v="B2"/>
    <m/>
    <m/>
    <n v="21517"/>
    <x v="129"/>
    <x v="5"/>
  </r>
  <r>
    <s v="SFMyCP"/>
    <x v="0"/>
    <x v="0"/>
    <x v="0"/>
    <x v="48"/>
    <x v="26"/>
    <m/>
    <s v="FOTOGRAFÍA"/>
    <m/>
    <s v="ESMERALDA 255"/>
    <m/>
    <x v="992"/>
    <s v="DNI"/>
    <n v="25983164"/>
    <n v="20259831645"/>
    <m/>
    <m/>
    <m/>
    <m/>
    <m/>
    <s v="LEY MARCO"/>
    <x v="1"/>
    <d v="2007-01-01T00:00:00"/>
    <d v="2016-12-31T00:00:00"/>
    <d v="2016-12-31T00:00:00"/>
    <s v="A2"/>
    <m/>
    <m/>
    <n v="27891"/>
    <x v="276"/>
    <x v="5"/>
  </r>
  <r>
    <s v="SFMyCP"/>
    <x v="0"/>
    <x v="1"/>
    <x v="1"/>
    <x v="5"/>
    <x v="14"/>
    <m/>
    <s v="Asistente"/>
    <s v="Asistente "/>
    <s v="CCK"/>
    <s v="CCK - Alem 351"/>
    <x v="993"/>
    <s v="DNI"/>
    <n v="30368270"/>
    <s v="20303682709"/>
    <d v="1983-06-19T00:00:00"/>
    <m/>
    <m/>
    <m/>
    <m/>
    <s v="ASISTENCIA TÉCNICA"/>
    <x v="0"/>
    <d v="2015-08-01T00:00:00"/>
    <m/>
    <d v="2016-12-31T00:00:00"/>
    <m/>
    <s v="UNTREF"/>
    <s v="UNLAM- BICENTENARIO"/>
    <n v="10090"/>
    <x v="5"/>
    <x v="4"/>
  </r>
  <r>
    <s v="SFMyCP"/>
    <x v="0"/>
    <x v="1"/>
    <x v="3"/>
    <x v="49"/>
    <x v="2"/>
    <m/>
    <s v="CADETE"/>
    <s v="CADETE"/>
    <s v="TECNÓPOLIS"/>
    <s v="TECNOPOLIS"/>
    <x v="994"/>
    <s v="DNI"/>
    <n v="34265852"/>
    <s v="20342658521"/>
    <d v="1989-03-31T00:00:00"/>
    <m/>
    <m/>
    <m/>
    <m/>
    <s v="ASISTENCIA TÉCNICA"/>
    <x v="0"/>
    <d v="2015-08-01T00:00:00"/>
    <m/>
    <d v="2016-12-31T00:00:00"/>
    <m/>
    <s v="UNTREF"/>
    <s v="UNTREF"/>
    <n v="11500"/>
    <x v="28"/>
    <x v="5"/>
  </r>
  <r>
    <s v="SFMyCP"/>
    <x v="0"/>
    <x v="1"/>
    <x v="3"/>
    <x v="27"/>
    <x v="2"/>
    <m/>
    <m/>
    <m/>
    <s v="TECNÓPOLIS"/>
    <m/>
    <x v="995"/>
    <s v="DNI"/>
    <n v="30014231"/>
    <n v="20300142312"/>
    <m/>
    <m/>
    <m/>
    <m/>
    <m/>
    <s v="LEY MARCO"/>
    <x v="1"/>
    <d v="2013-04-01T00:00:00"/>
    <d v="2016-03-31T00:00:00"/>
    <d v="2016-12-31T00:00:00"/>
    <s v="C0"/>
    <m/>
    <m/>
    <n v="21042"/>
    <x v="277"/>
    <x v="5"/>
  </r>
  <r>
    <s v="SFMyCP"/>
    <x v="0"/>
    <x v="0"/>
    <x v="0"/>
    <x v="0"/>
    <x v="0"/>
    <m/>
    <s v="DISEÑO"/>
    <s v="ANALISTA"/>
    <s v="PALPALÁ-JUJUY"/>
    <s v="PALPALÁ-JUJUY"/>
    <x v="996"/>
    <s v="DNI"/>
    <n v="27874288"/>
    <n v="20278742882"/>
    <d v="1980-04-30T00:00:00"/>
    <m/>
    <m/>
    <m/>
    <m/>
    <s v="ASISTENCIA TÉCNICA"/>
    <x v="0"/>
    <d v="2015-09-01T00:00:00"/>
    <m/>
    <d v="2016-12-31T00:00:00"/>
    <m/>
    <s v="UNTREF"/>
    <s v="UNSAM"/>
    <n v="10000"/>
    <x v="0"/>
    <x v="0"/>
  </r>
  <r>
    <s v="SFMyCP"/>
    <x v="0"/>
    <x v="1"/>
    <x v="3"/>
    <x v="10"/>
    <x v="2"/>
    <m/>
    <m/>
    <m/>
    <s v="TECNÓPOLIS"/>
    <m/>
    <x v="997"/>
    <s v="DNI"/>
    <n v="27460740"/>
    <n v="27274607403"/>
    <m/>
    <m/>
    <m/>
    <m/>
    <m/>
    <s v="LEY MARCO"/>
    <x v="1"/>
    <d v="2013-02-01T00:00:00"/>
    <d v="2016-03-31T00:00:00"/>
    <d v="2016-12-31T00:00:00"/>
    <s v="C0"/>
    <m/>
    <m/>
    <n v="28555.22"/>
    <x v="278"/>
    <x v="5"/>
  </r>
  <r>
    <s v="SFMyCP"/>
    <x v="0"/>
    <x v="1"/>
    <x v="1"/>
    <x v="27"/>
    <x v="20"/>
    <m/>
    <m/>
    <s v="ADMINISTRATIVO"/>
    <m/>
    <s v="CCK - Alem 351"/>
    <x v="998"/>
    <s v="DNI"/>
    <n v="6084351"/>
    <n v="20060843512"/>
    <d v="1949-07-05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1"/>
    <x v="0"/>
    <x v="5"/>
    <x v="17"/>
    <x v="12"/>
    <m/>
    <s v="CHOFER"/>
    <s v="ADMINISTRATIVO"/>
    <s v="CCK"/>
    <s v="CCK - Alem 351"/>
    <x v="999"/>
    <s v="DNI"/>
    <n v="25875955"/>
    <s v="23258759559"/>
    <d v="1977-09-24T00:00:00"/>
    <m/>
    <m/>
    <m/>
    <m/>
    <s v="ASISTENCIA TÉCNICA"/>
    <x v="0"/>
    <m/>
    <m/>
    <d v="2016-12-31T00:00:00"/>
    <m/>
    <s v="UNTREF"/>
    <s v="UNLAM- FUSION"/>
    <n v="18000"/>
    <x v="57"/>
    <x v="14"/>
  </r>
  <r>
    <s v="SFMyCP"/>
    <x v="0"/>
    <x v="0"/>
    <x v="0"/>
    <x v="2"/>
    <x v="2"/>
    <m/>
    <s v="PRIVADA"/>
    <s v="ADMINISTRATIVO"/>
    <m/>
    <s v="CCK - Alem 351"/>
    <x v="1000"/>
    <s v="DNI"/>
    <n v="29136569"/>
    <s v="27291365693"/>
    <d v="1981-11-02T00:00:00"/>
    <m/>
    <m/>
    <m/>
    <m/>
    <s v="ASISTENCIA TÉCNICA"/>
    <x v="0"/>
    <d v="2016-01-01T00:00:00"/>
    <m/>
    <d v="2016-12-31T00:00:00"/>
    <m/>
    <s v="UNTREF"/>
    <s v="UNSAM"/>
    <n v="25000"/>
    <x v="48"/>
    <x v="11"/>
  </r>
  <r>
    <s v="SFMyCP"/>
    <x v="0"/>
    <x v="1"/>
    <x v="3"/>
    <x v="10"/>
    <x v="2"/>
    <m/>
    <m/>
    <s v="ADMINISTRATIVA"/>
    <s v="TECNÓPOLIS"/>
    <s v="TECNOPOLIS"/>
    <x v="1001"/>
    <s v="DNI"/>
    <n v="17686556"/>
    <s v="20176865564"/>
    <d v="1965-08-03T00:00:00"/>
    <m/>
    <m/>
    <m/>
    <m/>
    <s v="ASISTENCIA TÉCNICA"/>
    <x v="0"/>
    <d v="2011-03-01T00:00:00"/>
    <m/>
    <d v="2016-12-31T00:00:00"/>
    <m/>
    <s v="UNTREF"/>
    <s v="UNTREF"/>
    <n v="32000"/>
    <x v="279"/>
    <x v="5"/>
  </r>
  <r>
    <s v="SFMyCP"/>
    <x v="0"/>
    <x v="1"/>
    <x v="3"/>
    <x v="15"/>
    <x v="2"/>
    <m/>
    <m/>
    <m/>
    <s v="TECNÓPOLIS"/>
    <m/>
    <x v="1002"/>
    <s v="DNI"/>
    <n v="17363262"/>
    <n v="20173632623"/>
    <m/>
    <m/>
    <m/>
    <m/>
    <m/>
    <s v="LEY MARCO"/>
    <x v="1"/>
    <d v="2012-11-30T00:00:00"/>
    <d v="2016-12-31T00:00:00"/>
    <d v="2016-12-31T00:00:00"/>
    <s v="C0"/>
    <m/>
    <m/>
    <n v="24909"/>
    <x v="280"/>
    <x v="5"/>
  </r>
  <r>
    <s v="SFMyCP"/>
    <x v="0"/>
    <x v="1"/>
    <x v="3"/>
    <x v="15"/>
    <x v="2"/>
    <m/>
    <m/>
    <m/>
    <s v="TECNÓPOLIS"/>
    <m/>
    <x v="1003"/>
    <s v="DNI"/>
    <n v="34027734"/>
    <n v="20340277342"/>
    <m/>
    <m/>
    <m/>
    <m/>
    <m/>
    <s v="LEY MARCO"/>
    <x v="1"/>
    <d v="2012-11-30T00:00:00"/>
    <d v="2016-12-31T00:00:00"/>
    <d v="2016-12-31T00:00:00"/>
    <s v="C0"/>
    <m/>
    <m/>
    <n v="22661"/>
    <x v="281"/>
    <x v="5"/>
  </r>
  <r>
    <s v="SFMyCP"/>
    <x v="0"/>
    <x v="0"/>
    <x v="0"/>
    <x v="0"/>
    <x v="0"/>
    <m/>
    <s v="DESARROLLOS"/>
    <s v="ANALISTA"/>
    <s v="PALPALÁ-JUJUY"/>
    <s v="PALPALÁ-JUJUY"/>
    <x v="1004"/>
    <s v="DNI"/>
    <n v="34132540"/>
    <n v="20341325405"/>
    <d v="1989-08-11T00:00:00"/>
    <m/>
    <m/>
    <m/>
    <m/>
    <s v="ASISTENCIA TÉCNICA"/>
    <x v="0"/>
    <d v="2015-09-01T00:00:00"/>
    <m/>
    <d v="2016-12-31T00:00:00"/>
    <m/>
    <s v="UNTREF"/>
    <s v="UNSAM"/>
    <n v="11500"/>
    <x v="28"/>
    <x v="0"/>
  </r>
  <r>
    <s v="SFMyCP"/>
    <x v="0"/>
    <x v="0"/>
    <x v="0"/>
    <x v="2"/>
    <x v="2"/>
    <s v="(IGUALDAD CULTURAL)"/>
    <m/>
    <m/>
    <s v="CCK"/>
    <m/>
    <x v="1005"/>
    <s v="DNI"/>
    <n v="27444628"/>
    <n v="27274446280"/>
    <m/>
    <m/>
    <m/>
    <m/>
    <m/>
    <s v="LEY MARCO"/>
    <x v="1"/>
    <d v="2005-01-01T00:00:00"/>
    <d v="2016-12-31T00:00:00"/>
    <d v="2016-12-31T00:00:00"/>
    <s v="A3"/>
    <m/>
    <m/>
    <n v="30753"/>
    <x v="282"/>
    <x v="5"/>
  </r>
  <r>
    <s v="SFMyCP"/>
    <x v="0"/>
    <x v="1"/>
    <x v="3"/>
    <x v="15"/>
    <x v="2"/>
    <m/>
    <m/>
    <s v="CARPINTERO"/>
    <s v="TECNÓPOLIS"/>
    <s v="TECNOPOLIS"/>
    <x v="1006"/>
    <s v="DNI"/>
    <n v="24470829"/>
    <s v="20244708294"/>
    <d v="1975-05-23T00:00:00"/>
    <m/>
    <m/>
    <m/>
    <m/>
    <s v="ASISTENCIA TÉCNICA"/>
    <x v="0"/>
    <d v="2014-08-01T00:00:00"/>
    <m/>
    <d v="2016-12-31T00:00:00"/>
    <m/>
    <s v="UNTREF"/>
    <s v="UNTREF"/>
    <n v="9995.51"/>
    <x v="19"/>
    <x v="5"/>
  </r>
  <r>
    <s v="SFMyCP"/>
    <x v="1"/>
    <x v="0"/>
    <x v="5"/>
    <x v="17"/>
    <x v="12"/>
    <m/>
    <s v="CHOFER"/>
    <s v="ADMINISTRATIVO"/>
    <s v="CCK"/>
    <s v="CCK - Alem 351"/>
    <x v="1007"/>
    <s v="DNI"/>
    <n v="21556947"/>
    <s v="20215569471"/>
    <d v="1970-07-09T00:00:00"/>
    <m/>
    <m/>
    <m/>
    <m/>
    <s v="ASISTENCIA TÉCNICA"/>
    <x v="0"/>
    <m/>
    <m/>
    <d v="2016-12-31T00:00:00"/>
    <m/>
    <s v="UNTREF"/>
    <s v="UNLAM- FUSION"/>
    <n v="18000"/>
    <x v="57"/>
    <x v="14"/>
  </r>
  <r>
    <s v="SFMyCP"/>
    <x v="0"/>
    <x v="0"/>
    <x v="6"/>
    <x v="12"/>
    <x v="2"/>
    <m/>
    <m/>
    <s v="Orientador de Sala"/>
    <m/>
    <m/>
    <x v="1008"/>
    <s v="DNI"/>
    <n v="29142911"/>
    <n v="23291429114"/>
    <m/>
    <m/>
    <m/>
    <m/>
    <m/>
    <s v="ASISTENCIA TÉCNICA"/>
    <x v="0"/>
    <d v="2016-07-01T00:00:00"/>
    <m/>
    <d v="2016-12-31T00:00:00"/>
    <m/>
    <m/>
    <m/>
    <m/>
    <x v="18"/>
    <x v="3"/>
  </r>
  <r>
    <s v="SFMyCP"/>
    <x v="0"/>
    <x v="1"/>
    <x v="1"/>
    <x v="10"/>
    <x v="2"/>
    <m/>
    <m/>
    <s v="ADMINISTRATIVA"/>
    <m/>
    <s v="CCK - Alem 351"/>
    <x v="1009"/>
    <s v="DNI"/>
    <n v="26516975"/>
    <s v="27265169754"/>
    <d v="1978-03-24T00:00:00"/>
    <m/>
    <m/>
    <m/>
    <m/>
    <s v="ASISTENCIA TÉCNICA"/>
    <x v="0"/>
    <d v="2016-06-01T00:00:00"/>
    <m/>
    <d v="2016-12-31T00:00:00"/>
    <m/>
    <s v="UNTREF"/>
    <m/>
    <m/>
    <x v="18"/>
    <x v="3"/>
  </r>
  <r>
    <s v="SFMyCP"/>
    <x v="0"/>
    <x v="1"/>
    <x v="1"/>
    <x v="5"/>
    <x v="14"/>
    <s v="LIMPIEZA (En comisión Tecnópolis)"/>
    <s v="Responsable"/>
    <s v="Responsable"/>
    <s v="CCK"/>
    <s v="CCK - Alem 351"/>
    <x v="1010"/>
    <s v="DNI"/>
    <n v="27067242"/>
    <s v="20270672427"/>
    <d v="1978-12-25T00:00:00"/>
    <m/>
    <m/>
    <m/>
    <m/>
    <s v="ASISTENCIA TÉCNICA"/>
    <x v="0"/>
    <d v="2015-06-04T00:00:00"/>
    <m/>
    <d v="2016-12-31T00:00:00"/>
    <m/>
    <s v="UNTREF"/>
    <s v="UNTREF"/>
    <n v="18000"/>
    <x v="57"/>
    <x v="52"/>
  </r>
  <r>
    <s v="SFMyCP"/>
    <x v="0"/>
    <x v="0"/>
    <x v="0"/>
    <x v="8"/>
    <x v="6"/>
    <m/>
    <s v="POSTPRODUCCIÓN"/>
    <s v="EDICION"/>
    <s v="CABILDO 65"/>
    <s v="CABILDO 65"/>
    <x v="1011"/>
    <s v="DNI"/>
    <n v="31452373"/>
    <s v="20314523734"/>
    <d v="1985-03-01T00:00:00"/>
    <m/>
    <m/>
    <m/>
    <m/>
    <s v="ASISTENCIA TÉCNICA"/>
    <x v="0"/>
    <d v="2011-09-01T00:00:00"/>
    <m/>
    <d v="2016-12-31T00:00:00"/>
    <m/>
    <s v="UNTREF"/>
    <m/>
    <n v="24060"/>
    <x v="73"/>
    <x v="3"/>
  </r>
  <r>
    <s v="SFMyCP"/>
    <x v="0"/>
    <x v="0"/>
    <x v="0"/>
    <x v="8"/>
    <x v="6"/>
    <m/>
    <s v="PANORAMA ARGENTINO"/>
    <m/>
    <s v="CABILDO 65"/>
    <m/>
    <x v="1012"/>
    <s v="DNI"/>
    <n v="24229930"/>
    <n v="27242299308"/>
    <m/>
    <m/>
    <m/>
    <m/>
    <m/>
    <s v="LEY MARCO"/>
    <x v="1"/>
    <d v="2012-12-01T00:00:00"/>
    <d v="2016-12-31T00:00:00"/>
    <d v="2016-12-31T00:00:00"/>
    <s v="B1"/>
    <m/>
    <m/>
    <n v="20266"/>
    <x v="24"/>
    <x v="5"/>
  </r>
  <r>
    <s v="SFMyCP"/>
    <x v="0"/>
    <x v="1"/>
    <x v="1"/>
    <x v="16"/>
    <x v="11"/>
    <m/>
    <m/>
    <s v="VISITAS GUIADAS"/>
    <m/>
    <s v="CCK - Alem 351"/>
    <x v="1013"/>
    <s v="DNI"/>
    <n v="38297347"/>
    <n v="27382973475"/>
    <d v="1994-05-11T00:00:00"/>
    <m/>
    <m/>
    <m/>
    <m/>
    <s v="ASISTENCIA TÉCNICA"/>
    <x v="0"/>
    <d v="2016-05-15T00:00:00"/>
    <m/>
    <d v="2016-12-31T00:00:00"/>
    <m/>
    <s v="UNTREF"/>
    <m/>
    <m/>
    <x v="18"/>
    <x v="3"/>
  </r>
  <r>
    <s v="SFMyCP"/>
    <x v="0"/>
    <x v="0"/>
    <x v="0"/>
    <x v="8"/>
    <x v="6"/>
    <s v="REFERENTE"/>
    <s v="Analista"/>
    <m/>
    <s v="CCK"/>
    <m/>
    <x v="1014"/>
    <s v="DNI"/>
    <n v="27273669"/>
    <n v="20272736694"/>
    <m/>
    <m/>
    <m/>
    <m/>
    <m/>
    <s v="LEY MARCO"/>
    <x v="1"/>
    <d v="2010-10-01T00:00:00"/>
    <d v="2016-12-31T00:00:00"/>
    <d v="2016-12-31T00:00:00"/>
    <s v="A1"/>
    <m/>
    <m/>
    <n v="26237"/>
    <x v="183"/>
    <x v="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17">
  <r>
    <s v="SFMyCP"/>
    <x v="0"/>
    <x v="0"/>
    <x v="0"/>
    <x v="0"/>
    <x v="0"/>
    <m/>
    <s v="ANIMACION"/>
    <s v="ANALISTA"/>
    <s v="PALPALÁ-JUJUY"/>
    <s v="PALPALÁ-JUJUY"/>
    <s v="ABARZA VICTOR"/>
    <s v="DNI"/>
    <n v="20549287"/>
    <n v="23205492879"/>
    <d v="1968-11-30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"/>
    <x v="1"/>
    <m/>
    <m/>
    <s v="ADMINISTRATIVO"/>
    <s v="CCK"/>
    <s v="CCK - Alem 351"/>
    <s v="ABREU NICOLAS"/>
    <s v="DNI"/>
    <n v="25250840"/>
    <s v="20252508407"/>
    <d v="1976-06-24T00:00:00"/>
    <m/>
    <m/>
    <m/>
    <m/>
    <s v="ASISTENCIA TÉCNICA"/>
    <s v="AT"/>
    <d v="2015-04-01T00:00:00"/>
    <m/>
    <d v="2016-12-31T00:00:00"/>
    <m/>
    <s v="UNTREF"/>
    <s v="UNSAM-MINPLAN"/>
    <n v="1000"/>
    <n v="1070"/>
    <n v="1170"/>
    <n v="1310"/>
    <n v="1310"/>
  </r>
  <r>
    <s v="SFMyCP"/>
    <x v="1"/>
    <x v="0"/>
    <x v="2"/>
    <x v="2"/>
    <x v="2"/>
    <m/>
    <s v="PRIVADA"/>
    <s v="ASESOR"/>
    <m/>
    <s v="CCK - Alem 351"/>
    <s v="ACEBO, SILVIA"/>
    <s v="DNI"/>
    <n v="5940898"/>
    <n v="23059408984"/>
    <d v="1948-07-1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3"/>
    <x v="2"/>
    <m/>
    <m/>
    <m/>
    <s v="TECNÓPOLIS"/>
    <m/>
    <s v="ACHAGNA Alberto Emanuel"/>
    <s v="DNI"/>
    <n v="36690414"/>
    <n v="20366904140"/>
    <m/>
    <m/>
    <m/>
    <m/>
    <m/>
    <s v="LEY MARCO"/>
    <s v="LM"/>
    <d v="2012-07-01T00:00:00"/>
    <d v="2016-12-31T00:00:00"/>
    <d v="2016-12-31T00:00:00"/>
    <s v="D0"/>
    <m/>
    <m/>
    <n v="1000"/>
    <m/>
    <n v="1170"/>
    <n v="1310"/>
    <n v="1310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s v="ACOSTA  NATALIA LORENA"/>
    <s v="DNI"/>
    <n v="27781495"/>
    <s v="27277814957"/>
    <d v="1980-04-05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3"/>
    <s v="LIMPIEZA (En comisión Tecnópolis)"/>
    <s v="Auxiliar"/>
    <s v="OPERATIVA Y LOGISTICA"/>
    <s v="CCK"/>
    <s v="CCK - Alem 351"/>
    <s v="ACOSTA HUGO"/>
    <s v="DNI"/>
    <n v="26749806"/>
    <s v="20267498068"/>
    <d v="1978-09-04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m/>
    <s v="TECNÓPOLIS"/>
    <m/>
    <s v="ACOSTA Noelia Noemí"/>
    <s v="DNI"/>
    <n v="33556332"/>
    <n v="27335563323"/>
    <m/>
    <m/>
    <m/>
    <m/>
    <m/>
    <s v="LEY MARCO"/>
    <s v="LM"/>
    <d v="2012-01-01T00:00:00"/>
    <d v="2016-12-31T00:00:00"/>
    <d v="2016-12-31T00:00:00"/>
    <s v="D0"/>
    <m/>
    <m/>
    <n v="1000"/>
    <m/>
    <n v="1170"/>
    <n v="1310"/>
    <n v="1310"/>
  </r>
  <r>
    <s v="SFMyCP"/>
    <x v="0"/>
    <x v="0"/>
    <x v="4"/>
    <x v="2"/>
    <x v="2"/>
    <m/>
    <s v="PRIVADA"/>
    <s v="CHOFER"/>
    <m/>
    <s v="CCK - Alem 351"/>
    <s v="AGÜERO, LISANDRO"/>
    <s v="DNI"/>
    <n v="21862533"/>
    <n v="20218625334"/>
    <d v="1971-03-01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AGUIAR  NÉSTOR"/>
    <s v="DNI"/>
    <n v="25553697"/>
    <s v="20255536975"/>
    <d v="1976-09-22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7"/>
    <x v="2"/>
    <m/>
    <s v="GESTIÓN ADMINISTRATIVA"/>
    <m/>
    <s v="CCK"/>
    <m/>
    <s v="AGUILAR NADIA CANDELA"/>
    <s v="DNI"/>
    <n v="33422027"/>
    <n v="27334220279"/>
    <m/>
    <m/>
    <m/>
    <m/>
    <m/>
    <s v="LEY MARCO"/>
    <s v="LM"/>
    <d v="2013-12-01T00:00:00"/>
    <d v="2016-03-31T00:00:00"/>
    <d v="2016-12-31T00:00:00"/>
    <s v="C1"/>
    <m/>
    <m/>
    <n v="1000"/>
    <m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AGUSTINHO GUSTAVO"/>
    <s v="DNI"/>
    <n v="29300719"/>
    <s v="20293007196"/>
    <d v="1982-02-03T00:00:00"/>
    <m/>
    <m/>
    <m/>
    <m/>
    <s v="ASISTENCIA TÉCNICA"/>
    <s v="AT"/>
    <d v="2011-08-01T00:00:00"/>
    <m/>
    <d v="2016-12-31T00:00:00"/>
    <m/>
    <s v="UNTREF"/>
    <m/>
    <n v="1000"/>
    <n v="1000"/>
    <n v="1170"/>
    <n v="1310"/>
    <n v="1310"/>
  </r>
  <r>
    <s v="SFMyCP"/>
    <x v="0"/>
    <x v="1"/>
    <x v="3"/>
    <x v="9"/>
    <x v="2"/>
    <m/>
    <s v="ADMINISTRATIVO"/>
    <s v="ADMINISTRATIVO"/>
    <s v="TECNÓPOLIS"/>
    <m/>
    <s v="AHUMADA CABRERA Claudia Ximena"/>
    <s v="DNI"/>
    <n v="18899387"/>
    <n v="27188993872"/>
    <m/>
    <m/>
    <m/>
    <m/>
    <m/>
    <s v="LEY MARCO"/>
    <s v="LM"/>
    <d v="2012-11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9"/>
    <x v="2"/>
    <m/>
    <s v="ADMINISTRATIVO"/>
    <s v="ADMINISTRATIVO"/>
    <s v="TECNÓPOLIS"/>
    <m/>
    <s v="AHUMADA CABRERA Erika Sofia"/>
    <s v="DNI"/>
    <n v="18899386"/>
    <n v="27188993864"/>
    <m/>
    <m/>
    <m/>
    <m/>
    <m/>
    <s v="LEY MARCO"/>
    <s v="LM"/>
    <d v="2012-02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s v="AHUMADA HECTOR DANIEL"/>
    <s v="DNI"/>
    <n v="35136175"/>
    <s v="24351361758"/>
    <d v="1990-02-06T00:00:00"/>
    <m/>
    <m/>
    <m/>
    <m/>
    <s v="ASISTENCIA TÉCNICA"/>
    <s v="AT"/>
    <d v="2014-02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5"/>
    <s v="MESA DE AYUDA"/>
    <s v="Asistente"/>
    <s v="ADMINISTRATIVO"/>
    <s v="CCK"/>
    <s v="CCK - Alem 351"/>
    <s v="ALBERTI CYNTHIA"/>
    <s v="DNI"/>
    <n v="42663422"/>
    <s v="27426634223"/>
    <d v="1996-06-07T00:00:00"/>
    <m/>
    <m/>
    <m/>
    <m/>
    <s v="ASISTENCIA TÉCNICA"/>
    <s v="AT"/>
    <d v="2015-06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ALBORNOZ MARIA CLARA"/>
    <s v="DNI"/>
    <n v="22476139"/>
    <n v="27254761392"/>
    <d v="1976-07-29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ALDAVE GABRIELA"/>
    <s v="DNI"/>
    <n v="26403953"/>
    <s v="27264039539"/>
    <d v="1978-01-31T00:00:00"/>
    <m/>
    <m/>
    <m/>
    <m/>
    <s v="ASISTENCIA TÉCNICA"/>
    <s v="AT"/>
    <d v="2011-09-2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SERVICIOS GENERALES"/>
    <m/>
    <s v="CABILDO 65"/>
    <m/>
    <s v="ALEMAN JUAN MANUEL"/>
    <s v="DNI"/>
    <n v="34303292"/>
    <n v="20343032928"/>
    <m/>
    <m/>
    <m/>
    <m/>
    <m/>
    <s v="LEY MARCO"/>
    <s v="LM"/>
    <d v="2015-03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ALFARO AGUSTÍN "/>
    <s v="DNI"/>
    <n v="23865395"/>
    <s v="23238653959"/>
    <d v="1974-03-28T00:00:00"/>
    <m/>
    <m/>
    <m/>
    <m/>
    <s v="ASISTENCIA TÉCNICA"/>
    <s v="AT"/>
    <d v="2010-11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3"/>
    <x v="2"/>
    <m/>
    <m/>
    <s v="LIMPIEZA DE OFICINAS/BAÑOS Y CAFETARIA DEL IBC"/>
    <s v="TECNÓPOLIS"/>
    <s v="TECNOPOLIS"/>
    <s v="ALMIRON MIRTA NOEMI"/>
    <s v="DNI"/>
    <n v="25151141"/>
    <s v="27251511417"/>
    <d v="1976-04-16T00:00:00"/>
    <m/>
    <m/>
    <m/>
    <m/>
    <s v="ASISTENCIA TÉCNICA"/>
    <s v="AT"/>
    <d v="2012-02-01T00:00:00"/>
    <m/>
    <d v="2016-12-31T00:00:00"/>
    <m/>
    <s v="UNTREF"/>
    <s v="UNTREF"/>
    <n v="1000"/>
    <n v="1070"/>
    <n v="1170"/>
    <n v="1310"/>
    <n v="1310"/>
  </r>
  <r>
    <s v="SFMyCP"/>
    <x v="0"/>
    <x v="0"/>
    <x v="6"/>
    <x v="11"/>
    <x v="2"/>
    <m/>
    <m/>
    <m/>
    <m/>
    <m/>
    <s v="ALONSO RODRIGO"/>
    <s v="DNI"/>
    <n v="16668849"/>
    <n v="20166688496"/>
    <m/>
    <m/>
    <m/>
    <m/>
    <m/>
    <m/>
    <s v="AT"/>
    <d v="2016-07-01T00:00:00"/>
    <m/>
    <d v="2016-09-30T00:00:00"/>
    <m/>
    <s v="UNTREF"/>
    <m/>
    <m/>
    <m/>
    <n v="1170"/>
    <n v="0"/>
    <n v="1310"/>
  </r>
  <r>
    <s v="SFMyCP"/>
    <x v="0"/>
    <x v="1"/>
    <x v="3"/>
    <x v="12"/>
    <x v="2"/>
    <m/>
    <s v="ADMINISTRATIVO"/>
    <s v="ADMINISTRATIVO"/>
    <s v="TECNÓPOLIS"/>
    <m/>
    <s v="ALSINA Agustin Santiago"/>
    <s v="DNI"/>
    <n v="32890888"/>
    <n v="20328908884"/>
    <m/>
    <m/>
    <m/>
    <m/>
    <m/>
    <s v="LEY MARCO"/>
    <s v="LM"/>
    <d v="2015-01-0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13"/>
    <x v="2"/>
    <m/>
    <m/>
    <s v="ADMINISTRATIVO"/>
    <m/>
    <s v="CCK - Alem 351"/>
    <s v="ALVAREZ  MARIA PAZ"/>
    <s v="DNI"/>
    <n v="33205074"/>
    <s v="27332050740"/>
    <d v="1987-08-03T00:00:00"/>
    <m/>
    <m/>
    <m/>
    <m/>
    <s v="ASISTENCIA TÉCNICA"/>
    <s v="AT"/>
    <d v="2014-12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ALVAREZ AGUSTIN"/>
    <s v="DNI"/>
    <n v="34295103"/>
    <s v="20342951032"/>
    <d v="1989-04-11T00:00:00"/>
    <m/>
    <m/>
    <m/>
    <m/>
    <s v="ASISTENCIA TÉCNICA"/>
    <s v="AT"/>
    <d v="2014-06-01T00:00:00"/>
    <m/>
    <d v="2016-12-31T00:00:00"/>
    <m/>
    <s v="UNTREF"/>
    <m/>
    <n v="1000"/>
    <n v="1000"/>
    <n v="1170"/>
    <n v="1310"/>
    <n v="1310"/>
  </r>
  <r>
    <s v="SFMyCP"/>
    <x v="0"/>
    <x v="1"/>
    <x v="3"/>
    <x v="14"/>
    <x v="2"/>
    <m/>
    <m/>
    <s v="HERRERO"/>
    <m/>
    <s v="TECNOPOLIS"/>
    <s v="ALVAREZ LUIS ALBERTO"/>
    <s v="DNI"/>
    <n v="35340444"/>
    <n v="20353404440"/>
    <d v="1990-05-22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1"/>
    <x v="10"/>
    <x v="2"/>
    <m/>
    <s v="Analista"/>
    <m/>
    <s v="CCK"/>
    <m/>
    <s v="ALVAREZ VICENTE IGNACIO"/>
    <s v="DNI"/>
    <n v="21644367"/>
    <n v="20216443676"/>
    <m/>
    <m/>
    <m/>
    <m/>
    <m/>
    <s v="LEY MARCO"/>
    <s v="LM"/>
    <d v="2010-01-01T00:00:00"/>
    <d v="2016-12-31T00:00:00"/>
    <d v="2016-12-31T00:00:00"/>
    <s v="C1"/>
    <m/>
    <m/>
    <n v="1000"/>
    <m/>
    <n v="1170"/>
    <n v="1310"/>
    <n v="1310"/>
  </r>
  <r>
    <s v="SFMyCP"/>
    <x v="0"/>
    <x v="0"/>
    <x v="0"/>
    <x v="8"/>
    <x v="6"/>
    <s v="CCK"/>
    <s v="PROGRAMA POLOS AUDIOVISUALES TECNOLÓGICOS"/>
    <m/>
    <s v="CABILDO 65"/>
    <m/>
    <s v="ALVAREZ VICENTE MARIA"/>
    <s v="DNI"/>
    <n v="17287085"/>
    <n v="27172870851"/>
    <m/>
    <m/>
    <m/>
    <m/>
    <m/>
    <s v="LEY MARCO"/>
    <s v="LM"/>
    <d v="2012-12-01T00:00:00"/>
    <d v="2016-12-31T00:00:00"/>
    <d v="2016-12-31T00:00:00"/>
    <s v="B1"/>
    <m/>
    <m/>
    <n v="1000"/>
    <m/>
    <n v="1170"/>
    <n v="1310"/>
    <n v="1310"/>
  </r>
  <r>
    <s v="SFMyCP"/>
    <x v="0"/>
    <x v="1"/>
    <x v="1"/>
    <x v="13"/>
    <x v="2"/>
    <m/>
    <m/>
    <m/>
    <s v="CCK"/>
    <s v="CCK - Alem 351"/>
    <s v="AMANTE Alberto Daniel"/>
    <s v="DNI"/>
    <n v="16101254"/>
    <n v="20161012549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3"/>
    <x v="2"/>
    <m/>
    <m/>
    <s v="ADMINISTRATIVO"/>
    <s v="CCK"/>
    <s v="CCK - Alem 351"/>
    <s v="AMAYA MARCELA"/>
    <s v="DNI"/>
    <n v="28509503"/>
    <s v="23285095034"/>
    <d v="1980-12-07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9"/>
    <x v="2"/>
    <m/>
    <s v="ADMINISTRATIVO"/>
    <s v="ADMINISTRATIVO"/>
    <s v="TECNÓPOLIS"/>
    <m/>
    <s v="AMODEO Laura"/>
    <s v="DNI"/>
    <n v="22913909"/>
    <n v="27229139091"/>
    <m/>
    <m/>
    <m/>
    <m/>
    <m/>
    <s v="LEY MARCO"/>
    <s v="LM"/>
    <d v="2010-01-01T00:00:00"/>
    <d v="2016-12-31T00:00:00"/>
    <d v="2016-12-31T00:00:00"/>
    <s v="C1"/>
    <m/>
    <m/>
    <n v="1000"/>
    <m/>
    <n v="1170"/>
    <n v="1310"/>
    <n v="1310"/>
  </r>
  <r>
    <s v="SFMyCP"/>
    <x v="0"/>
    <x v="1"/>
    <x v="1"/>
    <x v="5"/>
    <x v="7"/>
    <s v="ESPACIOS FÍSICOS"/>
    <s v=""/>
    <s v="ADMINISTRATIVO"/>
    <s v="CCK"/>
    <s v="CCK - Alem 351"/>
    <s v="ANDINO FLORENCIA"/>
    <s v="DNI"/>
    <n v="35364582"/>
    <s v="27353645825"/>
    <d v="1990-10-26T00:00:00"/>
    <m/>
    <m/>
    <m/>
    <m/>
    <s v="ASISTENCIA TÉCNICA"/>
    <s v="AT"/>
    <d v="2015-07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0"/>
    <x v="2"/>
    <m/>
    <s v="Analista"/>
    <s v="ADMINISTRATIVA"/>
    <s v="CCK"/>
    <s v="CCK - Alem 351"/>
    <s v="ANGELOZZI MELISA"/>
    <s v="DNI"/>
    <n v="32620168"/>
    <s v="27326201680"/>
    <d v="1986-11-01T00:00:00"/>
    <m/>
    <m/>
    <m/>
    <m/>
    <s v="ASISTENCIA TÉCNICA"/>
    <s v="AT"/>
    <d v="2015-02-12T00:00:00"/>
    <m/>
    <d v="2016-12-31T00:00:00"/>
    <m/>
    <s v="UNTREF"/>
    <s v="UNSAM-MINPLAN"/>
    <n v="1000"/>
    <n v="1070"/>
    <n v="1170"/>
    <n v="1310"/>
    <n v="1310"/>
  </r>
  <r>
    <s v="SFMyCP"/>
    <x v="0"/>
    <x v="1"/>
    <x v="1"/>
    <x v="15"/>
    <x v="2"/>
    <m/>
    <s v="asistente funcional"/>
    <s v="asistente funcional"/>
    <s v="CCK"/>
    <s v="CCK - Alem 351"/>
    <s v="ANTÍA BERNARDO"/>
    <s v="DNI"/>
    <n v="38297183"/>
    <s v="20382971834"/>
    <d v="1994-04-18T00:00:00"/>
    <m/>
    <m/>
    <m/>
    <m/>
    <s v="ASISTENCIA TÉCNICA"/>
    <s v="AT"/>
    <d v="2015-04-20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APAZA CAROLINA CECILIA"/>
    <s v="DNI"/>
    <n v="25798152"/>
    <n v="27257981520"/>
    <d v="1977-03-26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16"/>
    <x v="8"/>
    <m/>
    <s v="Analista de RR.HH."/>
    <s v="ADMINISTRATIVO"/>
    <s v="CABILDO 65"/>
    <s v="CABILDO 65"/>
    <s v="APICELLA FABIANA"/>
    <s v="DNI"/>
    <n v="20350366"/>
    <s v="27203503666"/>
    <d v="1968-06-28T00:00:00"/>
    <m/>
    <m/>
    <m/>
    <m/>
    <s v="ASISTENCIA TÉCNICA"/>
    <s v="AT"/>
    <d v="2014-05-05T00:00:00"/>
    <m/>
    <d v="2016-12-31T00:00:00"/>
    <m/>
    <s v="UNTREF"/>
    <s v="UNSAM- LADA"/>
    <n v="1000"/>
    <n v="1070"/>
    <n v="1170"/>
    <n v="1310"/>
    <n v="1310"/>
  </r>
  <r>
    <s v="SFMyCP"/>
    <x v="1"/>
    <x v="0"/>
    <x v="5"/>
    <x v="17"/>
    <x v="2"/>
    <m/>
    <s v=""/>
    <s v="Asistencia Juridica"/>
    <m/>
    <s v="CCK - Alem 351"/>
    <s v="ARAMBURU PEIRETTI VICTORIA"/>
    <s v="DNI"/>
    <n v="35356196"/>
    <s v="27353561966"/>
    <d v="1990-11-08T00:00:00"/>
    <m/>
    <m/>
    <m/>
    <m/>
    <s v="ASISTENCIA TÉCNICA"/>
    <s v="AT"/>
    <d v="2015-09-01T00:00:00"/>
    <m/>
    <d v="2016-12-31T00:00:00"/>
    <m/>
    <s v="UNTREF"/>
    <s v="UNLAM -TDA"/>
    <n v="1000"/>
    <n v="1070"/>
    <n v="1170"/>
    <n v="1310"/>
    <n v="1310"/>
  </r>
  <r>
    <s v="SFMyCP"/>
    <x v="1"/>
    <x v="0"/>
    <x v="5"/>
    <x v="16"/>
    <x v="8"/>
    <m/>
    <s v="Analista Sr de RR.HH."/>
    <m/>
    <s v="CABILDO 65"/>
    <m/>
    <s v="ARANA CARLOS ALBERTO"/>
    <s v="DNI"/>
    <n v="27216534"/>
    <n v="20272165344"/>
    <m/>
    <m/>
    <m/>
    <m/>
    <m/>
    <s v="LEY MARCO"/>
    <s v="LM"/>
    <d v="2014-10-01T00:00:00"/>
    <d v="2016-03-31T00:00:00"/>
    <d v="2016-12-31T00:00:00"/>
    <s v="A1"/>
    <m/>
    <m/>
    <n v="1000"/>
    <m/>
    <n v="1170"/>
    <n v="1310"/>
    <n v="1310"/>
  </r>
  <r>
    <s v="SFMyCP"/>
    <x v="0"/>
    <x v="1"/>
    <x v="3"/>
    <x v="18"/>
    <x v="2"/>
    <m/>
    <s v="RECEPCIONISTA"/>
    <s v="RECEPCION IBC"/>
    <s v="TECNÓPOLIS"/>
    <s v="TECNOPOLIS"/>
    <s v="ARANEGA JEREMÍAS ALBERTO"/>
    <s v="DNI"/>
    <n v="32125095"/>
    <s v="20321250956"/>
    <d v="1986-01-08T00:00:00"/>
    <m/>
    <m/>
    <m/>
    <m/>
    <s v="ASISTENCIA TÉCNICA"/>
    <s v="AT"/>
    <d v="2014-08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9"/>
    <x v="2"/>
    <m/>
    <m/>
    <m/>
    <s v="TECNÓPOLIS"/>
    <m/>
    <s v="ARAUJO Luciano Andres"/>
    <s v="DNI"/>
    <n v="32484527"/>
    <n v="20324845276"/>
    <m/>
    <m/>
    <m/>
    <m/>
    <m/>
    <s v="LEY MARCO"/>
    <s v="LM"/>
    <d v="2012-05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17"/>
    <x v="2"/>
    <m/>
    <s v=""/>
    <m/>
    <m/>
    <m/>
    <s v="ARBO SANTIAGO"/>
    <s v="DNI"/>
    <n v="26111281"/>
    <n v="20261112818"/>
    <m/>
    <m/>
    <m/>
    <m/>
    <m/>
    <s v="LEY MARCO"/>
    <s v="LM"/>
    <d v="2012-12-01T00:00:00"/>
    <d v="2016-12-31T00:00:00"/>
    <d v="2016-12-31T00:00:00"/>
    <s v="A1"/>
    <m/>
    <m/>
    <n v="1000"/>
    <m/>
    <n v="1170"/>
    <n v="1310"/>
    <n v="1310"/>
  </r>
  <r>
    <s v="SFMyCP"/>
    <x v="0"/>
    <x v="1"/>
    <x v="1"/>
    <x v="15"/>
    <x v="9"/>
    <m/>
    <m/>
    <s v="asistente funcional"/>
    <m/>
    <s v="CCK - Alem 351"/>
    <s v="ARBOR JULIA"/>
    <s v="DNI"/>
    <n v="35365200"/>
    <n v="27353652007"/>
    <d v="1990-10-24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20"/>
    <x v="2"/>
    <m/>
    <m/>
    <s v="MANTENIMIENTO DE ESPACIOS VERDES"/>
    <s v="TECNÓPOLIS"/>
    <s v="TECNOPOLIS"/>
    <s v="ARCE  ALBERTO SEBASTIAN"/>
    <s v="DNI"/>
    <n v="36536305"/>
    <s v="20365363057"/>
    <d v="1991-08-06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s v="ARCE  NOEMI PATRICIA"/>
    <s v="DNI"/>
    <n v="18641336"/>
    <s v="27186413364"/>
    <d v="1967-12-20T00:00:00"/>
    <m/>
    <m/>
    <m/>
    <m/>
    <s v="ASISTENCIA TÉCNICA"/>
    <s v="AT"/>
    <d v="2012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ARCIDIACONO SEBASTIAN"/>
    <s v="DNI"/>
    <n v="22533153"/>
    <s v="20225331538"/>
    <d v="1971-11-26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10"/>
    <x v="2"/>
    <m/>
    <s v="Responsable"/>
    <m/>
    <s v="CCK"/>
    <m/>
    <s v="ARELLANO KARINA"/>
    <s v="DNI"/>
    <n v="20602318"/>
    <n v="27206023185"/>
    <m/>
    <m/>
    <m/>
    <m/>
    <m/>
    <s v="LEY MARCO"/>
    <s v="LM"/>
    <d v="2011-06-01T00:00:00"/>
    <d v="2016-12-31T00:00:00"/>
    <d v="2016-12-31T00:00:00"/>
    <s v="A0"/>
    <m/>
    <m/>
    <n v="1000"/>
    <m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ARGONDIZZO DANIEL"/>
    <s v="DNI"/>
    <n v="29599892"/>
    <s v="20295998920"/>
    <d v="1982-09-03T00:00:00"/>
    <m/>
    <m/>
    <m/>
    <m/>
    <s v="ASISTENCIA TÉCNICA"/>
    <s v="AT"/>
    <d v="2015-08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ARIAS CRISTIAN"/>
    <s v="DNI"/>
    <n v="32321098"/>
    <s v="20323210986"/>
    <d v="1986-05-10T00:00:00"/>
    <m/>
    <m/>
    <m/>
    <m/>
    <s v="ASISTENCIA TÉCNICA"/>
    <s v="AT"/>
    <d v="2012-08-01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ARICETA MARCELA"/>
    <s v="DNI"/>
    <n v="34801157"/>
    <s v="27348011575"/>
    <d v="1989-10-08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ARRIAGA CRISTIAN"/>
    <s v="DNI"/>
    <n v="23700637"/>
    <s v="20237006373"/>
    <d v="1974-08-25T00:00:00"/>
    <m/>
    <m/>
    <m/>
    <m/>
    <s v="ASISTENCIA TÉCNICA"/>
    <s v="AT"/>
    <d v="2012-03-01T00:00:00"/>
    <m/>
    <d v="2016-12-31T00:00:00"/>
    <m/>
    <s v="UNTREF"/>
    <m/>
    <n v="1000"/>
    <n v="1000"/>
    <n v="1170"/>
    <n v="1310"/>
    <n v="1310"/>
  </r>
  <r>
    <s v="SFMyCP"/>
    <x v="0"/>
    <x v="0"/>
    <x v="6"/>
    <x v="11"/>
    <x v="2"/>
    <m/>
    <m/>
    <s v="ADMINISTRATIVO"/>
    <m/>
    <s v="CCK - Alem 351"/>
    <s v="ARZUAGA ANDRES"/>
    <s v="DNI"/>
    <n v="31195953"/>
    <n v="20311959531"/>
    <d v="1984-11-01T00:00:00"/>
    <m/>
    <m/>
    <m/>
    <m/>
    <s v="ASISTENCIA TÉCNICA"/>
    <s v="AT"/>
    <m/>
    <m/>
    <d v="2016-08-31T00:00:00"/>
    <m/>
    <s v="UNTREF"/>
    <m/>
    <m/>
    <m/>
    <n v="1170"/>
    <n v="0"/>
    <m/>
  </r>
  <r>
    <s v="SFMyCP"/>
    <x v="0"/>
    <x v="1"/>
    <x v="3"/>
    <x v="21"/>
    <x v="2"/>
    <m/>
    <m/>
    <m/>
    <s v="TECNÓPOLIS"/>
    <m/>
    <s v="ASTARITO María Florencia"/>
    <s v="DNI"/>
    <n v="34343723"/>
    <n v="23343437234"/>
    <m/>
    <m/>
    <m/>
    <m/>
    <m/>
    <s v="LEY MARCO"/>
    <s v="LM"/>
    <d v="2012-07-01T00:00:00"/>
    <d v="2016-12-31T00:00:00"/>
    <d v="2016-12-31T00:00:00"/>
    <s v="D0"/>
    <m/>
    <m/>
    <n v="1000"/>
    <m/>
    <n v="1170"/>
    <n v="1310"/>
    <n v="1310"/>
  </r>
  <r>
    <s v="SFMyCP"/>
    <x v="0"/>
    <x v="0"/>
    <x v="0"/>
    <x v="0"/>
    <x v="0"/>
    <m/>
    <s v="ANIMACION"/>
    <s v="ANALISTA"/>
    <s v="PALPALÁ-JUJUY"/>
    <s v="PALPALÁ-JUJUY"/>
    <s v="AUCAPIÑA MATIAS ROBERTO"/>
    <s v="DNI"/>
    <n v="37460002"/>
    <n v="20374600029"/>
    <d v="1993-02-01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2"/>
    <x v="2"/>
    <m/>
    <m/>
    <m/>
    <s v="TECNÓPOLIS"/>
    <m/>
    <s v="AUED María Cecilia"/>
    <s v="DNI"/>
    <n v="21729750"/>
    <n v="27217297503"/>
    <m/>
    <m/>
    <m/>
    <m/>
    <m/>
    <s v="LEY MARCO"/>
    <s v="LM"/>
    <d v="2012-11-30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AVALOS  JORGE RUBEN"/>
    <s v="DNI"/>
    <n v="13978790"/>
    <n v="20139787901"/>
    <d v="1957-06-25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1"/>
    <x v="0"/>
    <x v="5"/>
    <x v="2"/>
    <x v="2"/>
    <m/>
    <m/>
    <m/>
    <m/>
    <m/>
    <s v="AVALOS MAIRA JAVMIN IARA"/>
    <s v="DNI"/>
    <n v="35146744"/>
    <n v="23351467444"/>
    <m/>
    <m/>
    <m/>
    <m/>
    <m/>
    <s v="LEY MARCO"/>
    <s v="LM"/>
    <d v="2014-10-01T00:00:00"/>
    <m/>
    <d v="2016-12-31T00:00:00"/>
    <s v="D0"/>
    <m/>
    <m/>
    <m/>
    <m/>
    <n v="1170"/>
    <n v="0"/>
    <n v="0"/>
  </r>
  <r>
    <s v="SFMyCP"/>
    <x v="0"/>
    <x v="1"/>
    <x v="1"/>
    <x v="15"/>
    <x v="10"/>
    <m/>
    <m/>
    <s v="VISITAS GUIADAS"/>
    <m/>
    <s v="CCK - Alem 351"/>
    <s v="AVALOS MONICA"/>
    <s v="DNI"/>
    <n v="18858115"/>
    <n v="27188581159"/>
    <d v="1990-12-08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AVRUJ FERNANDO"/>
    <s v="DNI"/>
    <n v="27952359"/>
    <s v="20279523599"/>
    <d v="1980-02-22T00:00:00"/>
    <m/>
    <m/>
    <m/>
    <m/>
    <s v="ASISTENCIA TÉCNICA"/>
    <s v="AT"/>
    <d v="2011-09-01T00:00:00"/>
    <m/>
    <d v="2016-12-31T00:00:00"/>
    <m/>
    <s v="UNTREF"/>
    <m/>
    <n v="1000"/>
    <n v="1000"/>
    <n v="1170"/>
    <n v="1310"/>
    <n v="1310"/>
  </r>
  <r>
    <s v="SFMyCP"/>
    <x v="0"/>
    <x v="1"/>
    <x v="3"/>
    <x v="19"/>
    <x v="2"/>
    <m/>
    <m/>
    <m/>
    <s v="TECNÓPOLIS"/>
    <m/>
    <s v="AZUAGA BAEZ Lucian Beder"/>
    <s v="DNI"/>
    <n v="35238261"/>
    <n v="20352382613"/>
    <m/>
    <m/>
    <m/>
    <m/>
    <m/>
    <s v="LEY MARCO"/>
    <s v="LM"/>
    <d v="2013-05-01T00:00:00"/>
    <d v="2016-03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PROMOCIONES"/>
    <s v="ADMINISTRATIVO"/>
    <s v="CABILDO 65"/>
    <s v="CABILDO 65"/>
    <s v="AZZAM ANA"/>
    <s v="DNI"/>
    <n v="26239126"/>
    <s v="23262391264"/>
    <d v="1977-09-24T00:00:00"/>
    <m/>
    <m/>
    <m/>
    <m/>
    <s v="ASISTENCIA TÉCNICA"/>
    <s v="AT"/>
    <d v="2013-11-1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6"/>
    <x v="11"/>
    <s v="AUTOMOTORES"/>
    <s v="CHOFER"/>
    <m/>
    <m/>
    <m/>
    <s v="AZZOLINI MARCELO"/>
    <s v="DNI"/>
    <n v="28511778"/>
    <n v="20285117780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1"/>
    <x v="3"/>
    <x v="14"/>
    <x v="2"/>
    <m/>
    <m/>
    <s v="MANTENIMIENTO INTERNO"/>
    <s v="TECNÓPOLIS"/>
    <s v="TECNOPOLIS"/>
    <s v="BAEZ  ANGEL"/>
    <s v="DNI"/>
    <n v="11692335"/>
    <s v="20116923352"/>
    <d v="1955-08-02T00:00:00"/>
    <m/>
    <m/>
    <m/>
    <m/>
    <s v="ASISTENCIA TÉCNICA"/>
    <s v="AT"/>
    <d v="2013-10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3"/>
    <s v="LOGISTICA OPERATIVA"/>
    <s v="Asistente"/>
    <s v="OPERATIVA Y LOGISTICA"/>
    <s v="CCK"/>
    <s v="CCK - Alem 351"/>
    <s v="BAEZ ESTEBAN"/>
    <s v="DNI"/>
    <n v="30020464"/>
    <s v="20300204644"/>
    <d v="1983-03-06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ENCARGADO DE LIMPIEZA"/>
    <s v="TECNÓPOLIS"/>
    <s v="TECNOPOLIS"/>
    <s v="BALBUENA  DIEGO DANIE"/>
    <s v="DNI"/>
    <n v="26674300"/>
    <s v="23266743009"/>
    <d v="1978-07-03T00:00:00"/>
    <m/>
    <m/>
    <m/>
    <m/>
    <s v="ASISTENCIA TÉCNICA"/>
    <s v="AT"/>
    <d v="2014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2"/>
    <s v="LOGISTICA OPERATIVA"/>
    <s v="Tecnomecánica"/>
    <s v="Tecnomecánica"/>
    <s v="CCK"/>
    <s v="CCK - Alem 351"/>
    <s v="BALCAZAR JORGE DANIEL"/>
    <s v="DNI"/>
    <n v="37900747"/>
    <s v="20379007474"/>
    <d v="1994-11-17T00:00:00"/>
    <m/>
    <m/>
    <m/>
    <m/>
    <s v="ASISTENCIA TÉCNICA"/>
    <s v="AT"/>
    <d v="2015-06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18"/>
    <x v="2"/>
    <m/>
    <s v="RECEPCIONISTA"/>
    <s v="RECEPCION IBC"/>
    <s v="TECNÓPOLIS"/>
    <m/>
    <s v="BALDASSARRE Luz María "/>
    <s v="DNI"/>
    <n v="17999601"/>
    <n v="23179996014"/>
    <m/>
    <m/>
    <m/>
    <m/>
    <m/>
    <s v="LEY MARCO"/>
    <s v="LM"/>
    <d v="2013-04-30T00:00:00"/>
    <d v="2016-03-31T00:00:00"/>
    <d v="2016-12-31T00:00:00"/>
    <s v="B3"/>
    <m/>
    <m/>
    <n v="1000"/>
    <m/>
    <n v="1170"/>
    <n v="1310"/>
    <n v="1310"/>
  </r>
  <r>
    <s v="SFMyCP"/>
    <x v="0"/>
    <x v="0"/>
    <x v="4"/>
    <x v="2"/>
    <x v="2"/>
    <m/>
    <s v="PRIVADA"/>
    <s v="ADMINISTRATIVO"/>
    <m/>
    <s v="CCK - Alem 351"/>
    <s v="BALDIOLI CLAUIDA ALEJANDRA"/>
    <s v="DNI"/>
    <n v="17787833"/>
    <n v="27177878338"/>
    <d v="1966-11-22T00:00:00"/>
    <m/>
    <m/>
    <m/>
    <m/>
    <s v="ASISTENCIA TÉCNICA"/>
    <s v="AT"/>
    <d v="2016-01-01T00:00:00"/>
    <m/>
    <d v="2016-12-31T00:00:00"/>
    <m/>
    <s v="UNTREF"/>
    <m/>
    <n v="1000"/>
    <n v="1070"/>
    <n v="1170"/>
    <n v="1310"/>
    <n v="1310"/>
  </r>
  <r>
    <s v="SFMyCP"/>
    <x v="0"/>
    <x v="1"/>
    <x v="3"/>
    <x v="4"/>
    <x v="2"/>
    <m/>
    <s v="COCINA"/>
    <s v="PRODUCCION GRAL DE RECETAS, MANIPULACIÓN DE INGREDIENTES, DESPCACHO DE ALIMENTOS"/>
    <s v="TECNÓPOLIS"/>
    <s v="TECNOPOLIS"/>
    <s v="BALDUCCI  ANALÍA"/>
    <s v="DNI"/>
    <n v="24290240"/>
    <s v="27242902403"/>
    <d v="1975-01-17T00:00:00"/>
    <m/>
    <m/>
    <m/>
    <m/>
    <s v="ASISTENCIA TÉCNICA"/>
    <s v="AT"/>
    <d v="2012-02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24"/>
    <x v="2"/>
    <m/>
    <s v="Asistente"/>
    <s v="ADMINISTRATIVO"/>
    <s v="CCK"/>
    <s v="CCK - Alem 351"/>
    <s v="BALMACEDA NAYLA "/>
    <s v="DNI"/>
    <n v="31832610"/>
    <s v="27318326105"/>
    <d v="1985-08-01T00:00:00"/>
    <m/>
    <m/>
    <m/>
    <m/>
    <s v="ASISTENCIA TÉCNICA"/>
    <s v="AT"/>
    <d v="2015-07-01T00:00:00"/>
    <m/>
    <d v="2016-12-31T00:00:00"/>
    <m/>
    <s v="UNTREF"/>
    <s v="UNLAM -TDA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BALSAMO, RICARDO"/>
    <s v="DNI"/>
    <n v="13501717"/>
    <s v="20135017176"/>
    <d v="1957-05-2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5"/>
    <x v="2"/>
    <m/>
    <s v="CCK"/>
    <m/>
    <m/>
    <m/>
    <s v="BARBIERI MAXIMILIANO"/>
    <s v="DNI"/>
    <n v="33787058"/>
    <n v="23337870589"/>
    <m/>
    <m/>
    <m/>
    <m/>
    <m/>
    <s v="LEY MARCO"/>
    <s v="LM"/>
    <d v="2013-12-01T00:00:00"/>
    <m/>
    <d v="2016-12-31T00:00:00"/>
    <s v="C0"/>
    <m/>
    <m/>
    <n v="1000"/>
    <m/>
    <n v="1170"/>
    <n v="1310"/>
    <n v="1310"/>
  </r>
  <r>
    <s v="SFMyCP"/>
    <x v="0"/>
    <x v="1"/>
    <x v="3"/>
    <x v="19"/>
    <x v="2"/>
    <m/>
    <m/>
    <m/>
    <s v="TECNÓPOLIS"/>
    <m/>
    <s v="BAREIRO Carla Maribel"/>
    <s v="DNI"/>
    <n v="30513038"/>
    <n v="27305130384"/>
    <m/>
    <m/>
    <m/>
    <m/>
    <m/>
    <s v="LEY MARCO"/>
    <s v="LM"/>
    <d v="2011-07-01T00:00:00"/>
    <d v="2016-12-31T00:00:00"/>
    <d v="2016-12-31T00:00:00"/>
    <s v="D1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BARELA, LILIANA"/>
    <s v="DNI"/>
    <n v="6439250"/>
    <n v="27064392501"/>
    <d v="1950-07-19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2"/>
    <x v="2"/>
    <m/>
    <m/>
    <s v="SUPERVISION DE REDES DE AGUA/ATENCION DEL RESERVORIO"/>
    <s v="TECNÓPOLIS"/>
    <s v="TECNOPOLIS"/>
    <s v="BAROLI  DANIEL RUBEN"/>
    <s v="DNI"/>
    <n v="11330261"/>
    <n v="20113302616"/>
    <d v="1954-10-13T00:00:00"/>
    <m/>
    <m/>
    <m/>
    <m/>
    <s v="ASISTENCIA TÉCNICA"/>
    <s v="AT"/>
    <d v="2012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6"/>
    <x v="2"/>
    <m/>
    <m/>
    <m/>
    <s v="TECNÓPOLIS"/>
    <m/>
    <s v="BARRAGAN Ricardo"/>
    <s v="DNI"/>
    <n v="18114083"/>
    <n v="20181140837"/>
    <m/>
    <m/>
    <m/>
    <m/>
    <m/>
    <s v="LEY MARCO"/>
    <s v="LM"/>
    <d v="2013-02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6"/>
    <x v="2"/>
    <m/>
    <m/>
    <s v="TRASLADOS/CARGA Y DESCARGA"/>
    <s v="TECNÓPOLIS"/>
    <s v="TECNOPOLIS"/>
    <s v="BARRAZA MARCELO"/>
    <s v="DNI"/>
    <n v="34334182"/>
    <s v="20343341823"/>
    <d v="1989-03-12T00:00:00"/>
    <m/>
    <m/>
    <m/>
    <m/>
    <s v="ASISTENCIA TÉCNICA"/>
    <s v="AT"/>
    <d v="2013-09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BARRIONUEVO MARIA MARTA"/>
    <s v="DNI"/>
    <n v="29229482"/>
    <n v="23292294824"/>
    <d v="1982-03-01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3"/>
    <x v="27"/>
    <x v="2"/>
    <m/>
    <m/>
    <m/>
    <s v="TECNÓPOLIS"/>
    <m/>
    <s v="BARRIONUEVO Ricardo Javier"/>
    <s v="DNI"/>
    <n v="31257034"/>
    <n v="20312570344"/>
    <m/>
    <m/>
    <m/>
    <m/>
    <m/>
    <s v="LEY MARCO"/>
    <s v="LM"/>
    <d v="2011-06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0"/>
    <x v="2"/>
    <m/>
    <s v="PRIVADA"/>
    <s v="ADMINISTRATIVA"/>
    <s v="CCK"/>
    <s v="CCK - Alem 351"/>
    <s v="BARROZO, KARINA ISABEL"/>
    <s v="DNI"/>
    <n v="21710251"/>
    <s v="27217102516"/>
    <d v="1970-06-21T00:00:00"/>
    <m/>
    <m/>
    <m/>
    <m/>
    <s v="ASISTENCIA TÉCNICA"/>
    <s v="AT"/>
    <d v="2016-02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BARTOLOMÉ PAULA"/>
    <s v="DNI"/>
    <n v="22849417"/>
    <s v="27228494173"/>
    <d v="1972-08-30T00:00:00"/>
    <m/>
    <m/>
    <m/>
    <m/>
    <s v="ASISTENCIA TÉCNICA"/>
    <s v="AT"/>
    <d v="2011-03-11T00:00:00"/>
    <m/>
    <d v="2016-12-31T00:00:00"/>
    <m/>
    <s v="UNTREF"/>
    <s v="UNSAM- LADA"/>
    <n v="1000"/>
    <n v="1000"/>
    <n v="1170"/>
    <n v="1310"/>
    <n v="1310"/>
  </r>
  <r>
    <s v="SFMyCP"/>
    <x v="0"/>
    <x v="0"/>
    <x v="6"/>
    <x v="11"/>
    <x v="2"/>
    <m/>
    <m/>
    <m/>
    <m/>
    <m/>
    <s v="PRESUTTI JEREMIAS"/>
    <s v="DNI"/>
    <m/>
    <m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CARRERA LUCIA"/>
    <s v="DNI"/>
    <n v="33362851"/>
    <n v="27333628517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ARONA BARBARA"/>
    <s v="DNI"/>
    <n v="37869364"/>
    <n v="27378693646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BACIGALUPO SOFIA"/>
    <s v="DNI"/>
    <n v="36947998"/>
    <n v="27369479984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BARBONI CONSTANZA"/>
    <s v="DNI"/>
    <n v="38011494"/>
    <n v="27380114947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LOS MELINA VIVIANA"/>
    <s v="DNI"/>
    <n v="34332288"/>
    <n v="27343322882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BEY PRISCILA"/>
    <s v="DNI"/>
    <n v="36785043"/>
    <n v="36785043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MARTINEZ YAIR"/>
    <s v="DNI"/>
    <n v="33623466"/>
    <n v="33623466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DIAMENT DENISE GISELLE"/>
    <s v="DNI"/>
    <n v="34021830"/>
    <n v="27340218308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CASAÑA PABLO MARTIN"/>
    <s v="DNI"/>
    <n v="18833698"/>
    <n v="20188336982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VAZQUEZ AGUSTINA"/>
    <s v="DNI"/>
    <n v="36529503"/>
    <n v="23365295034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BENAVIDES SOL"/>
    <s v="DNI"/>
    <n v="39098292"/>
    <n v="39098292"/>
    <m/>
    <m/>
    <m/>
    <m/>
    <m/>
    <s v="ASISTENCIA TÉCNICA"/>
    <s v="AT"/>
    <d v="2016-08-01T00:00:00"/>
    <m/>
    <d v="2016-12-31T00:00:00"/>
    <m/>
    <m/>
    <m/>
    <m/>
    <m/>
    <m/>
    <n v="0"/>
    <n v="1310"/>
  </r>
  <r>
    <s v="SFMyCP"/>
    <x v="0"/>
    <x v="0"/>
    <x v="6"/>
    <x v="11"/>
    <x v="2"/>
    <m/>
    <m/>
    <m/>
    <m/>
    <m/>
    <s v="BATTISTOZZI ANA"/>
    <s v="DNI"/>
    <n v="1826888"/>
    <n v="23018268884"/>
    <m/>
    <m/>
    <m/>
    <m/>
    <m/>
    <m/>
    <s v="AT"/>
    <d v="2016-07-01T00:00:00"/>
    <m/>
    <d v="2016-09-30T00:00:00"/>
    <m/>
    <s v="UNTREF"/>
    <m/>
    <m/>
    <m/>
    <n v="1170"/>
    <n v="0"/>
    <n v="1310"/>
  </r>
  <r>
    <s v="SFMyCP"/>
    <x v="0"/>
    <x v="1"/>
    <x v="3"/>
    <x v="23"/>
    <x v="2"/>
    <m/>
    <s v="Tareas Generales"/>
    <s v="Tareas Generales"/>
    <m/>
    <m/>
    <s v="BAZAN MARCELA ADRIANA"/>
    <s v="DNI"/>
    <n v="24671609"/>
    <m/>
    <m/>
    <m/>
    <m/>
    <m/>
    <m/>
    <m/>
    <s v="CO"/>
    <m/>
    <m/>
    <d v="2016-12-31T00:00:00"/>
    <m/>
    <m/>
    <m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BEDINI HERNANDEZ LUCILA"/>
    <s v="DNI"/>
    <n v="32771136"/>
    <n v="27327711364"/>
    <d v="1986-10-28T00:00:00"/>
    <m/>
    <m/>
    <m/>
    <m/>
    <s v="ASISTENCIA TÉCNICA"/>
    <s v="AT"/>
    <d v="2016-05-01T00:00:00"/>
    <m/>
    <d v="2016-12-31T00:00:00"/>
    <m/>
    <s v="UNTREF"/>
    <m/>
    <m/>
    <n v="1070"/>
    <n v="1170"/>
    <n v="0"/>
    <n v="0"/>
  </r>
  <r>
    <s v="SFMyCP"/>
    <x v="1"/>
    <x v="0"/>
    <x v="5"/>
    <x v="17"/>
    <x v="2"/>
    <m/>
    <m/>
    <s v="Asistencia Juridica"/>
    <s v="CCK"/>
    <s v="CCK - Alem 351"/>
    <s v="BEHN FABRIZIO"/>
    <s v="DNI"/>
    <n v="34253913"/>
    <s v="20342539131"/>
    <d v="1988-12-02T00:00:00"/>
    <m/>
    <m/>
    <m/>
    <m/>
    <s v="ASISTENCIA TÉCNICA"/>
    <s v="AT"/>
    <d v="2013-08-12T00:00:00"/>
    <m/>
    <d v="2016-12-31T00:00:00"/>
    <m/>
    <s v="UNTREF"/>
    <s v="UNLAM- TDA"/>
    <n v="1000"/>
    <n v="1070"/>
    <n v="1170"/>
    <n v="1310"/>
    <n v="1310"/>
  </r>
  <r>
    <s v="SFMyCP"/>
    <x v="0"/>
    <x v="1"/>
    <x v="1"/>
    <x v="10"/>
    <x v="2"/>
    <m/>
    <s v="Productora"/>
    <m/>
    <s v="CCK"/>
    <m/>
    <s v="BELTRAME ÉNOLA"/>
    <s v="DNI"/>
    <n v="29315234"/>
    <n v="27293152344"/>
    <m/>
    <m/>
    <m/>
    <m/>
    <m/>
    <s v="LEY MARCO"/>
    <s v="LM"/>
    <d v="2015-08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2"/>
    <x v="2"/>
    <m/>
    <m/>
    <s v="MANTENIMIENTO DE ESPACIOS VERDES"/>
    <m/>
    <s v="TECNOPOLIS"/>
    <s v="BELTRAN LEONARDO ANTONIO"/>
    <s v="DNI"/>
    <n v="37686108"/>
    <s v="20376861083"/>
    <d v="1991-01-31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CONTENIDOS DIGITALES ABIERTOS CDA"/>
    <s v="ADMINISTRATIVO"/>
    <s v="CABILDO 65"/>
    <s v="CABILDO 65"/>
    <s v="BENANTAR FAYÇAL"/>
    <s v="DNI"/>
    <n v="32244163"/>
    <s v="20322441631"/>
    <d v="1986-02-21T00:00:00"/>
    <m/>
    <m/>
    <m/>
    <m/>
    <s v="ASISTENCIA TÉCNICA"/>
    <s v="AT"/>
    <d v="2012-05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3"/>
    <x v="2"/>
    <m/>
    <m/>
    <m/>
    <s v="CCK"/>
    <s v="CCK - Alem 351"/>
    <s v="BENAVIDEZ CORDOBA Lucas Belisario A."/>
    <s v="DNI"/>
    <n v="29146267"/>
    <n v="20291462678"/>
    <m/>
    <m/>
    <m/>
    <m/>
    <m/>
    <s v="LEY MARCO"/>
    <s v="LM"/>
    <d v="2012-06-01T00:00:00"/>
    <d v="2016-12-31T00:00:00"/>
    <d v="2016-12-31T00:00:00"/>
    <s v="C0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BENEDETTI, RICARDO"/>
    <s v="DNI"/>
    <n v="17944793"/>
    <n v="20179447939"/>
    <d v="1966-09-0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5"/>
    <x v="2"/>
    <m/>
    <s v="asistente funcional"/>
    <s v="asistente funcional"/>
    <s v="CCK"/>
    <s v="CCK - Alem 351"/>
    <s v="BENGOLEA, MARTIN HERNAN"/>
    <s v="DNI"/>
    <n v="32143655"/>
    <n v="20321436553"/>
    <d v="1986-03-01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14"/>
    <x v="2"/>
    <m/>
    <m/>
    <s v="TRABAJO DE COSTURA A MAQUINA/CORTADOR"/>
    <s v="TECNÓPOLIS"/>
    <s v="TECNOPOLIS"/>
    <s v="BENITEZ  FELIX SATURNINO"/>
    <s v="DNI"/>
    <n v="17283320"/>
    <s v="23172833209"/>
    <d v="1964-10-28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COORDINADOR GENERAL DE LIMPIEZA"/>
    <s v="TECNÓPOLIS"/>
    <s v="TECNOPOLIS"/>
    <s v="BENITEZ  JULIO CESAR"/>
    <s v="DNI"/>
    <n v="22694967"/>
    <s v="20226949675"/>
    <d v="1972-07-08T00:00:00"/>
    <m/>
    <m/>
    <m/>
    <m/>
    <s v="ASISTENCIA TÉCNICA"/>
    <s v="AT"/>
    <d v="2012-02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24"/>
    <x v="2"/>
    <m/>
    <s v="Asistente"/>
    <s v="ADMINISTRATIVO"/>
    <s v="CCK"/>
    <s v="CCK - Alem 351"/>
    <s v="BENITEZ STRAKA ORLANDO"/>
    <s v="DNI"/>
    <n v="33794129"/>
    <s v="20337941290"/>
    <d v="1988-08-02T00:00:00"/>
    <m/>
    <m/>
    <m/>
    <m/>
    <s v="ASISTENCIA TÉCNICA"/>
    <s v="AT"/>
    <d v="2015-03-03T00:00:00"/>
    <m/>
    <d v="2016-12-31T00:00:00"/>
    <m/>
    <s v="UNTREF"/>
    <s v="UNLAM -TDA"/>
    <n v="1000"/>
    <n v="1070"/>
    <n v="1170"/>
    <n v="1310"/>
    <n v="1310"/>
  </r>
  <r>
    <s v="SFMyCP"/>
    <x v="0"/>
    <x v="0"/>
    <x v="0"/>
    <x v="2"/>
    <x v="2"/>
    <m/>
    <s v="PRIVADA"/>
    <s v="ADMINISTRATIVO"/>
    <m/>
    <s v="CCK - Alem 351"/>
    <s v="BERDINI MARIA ANGELICA"/>
    <s v="DNI"/>
    <n v="16447164"/>
    <s v="27164471646"/>
    <d v="1964-01-03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BERDYSZAK CLAUDIA ELENA"/>
    <s v="DNI"/>
    <n v="12759584"/>
    <n v="23127595844"/>
    <d v="1959-02-13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BERENGUA LUCIANO"/>
    <s v="DNI"/>
    <n v="33219975"/>
    <s v="20332199758"/>
    <d v="1987-11-17T00:00:00"/>
    <m/>
    <m/>
    <m/>
    <m/>
    <s v="ASISTENCIA TÉCNICA"/>
    <s v="AT"/>
    <d v="2014-09-08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4"/>
    <x v="2"/>
    <m/>
    <s v="COCINA"/>
    <m/>
    <s v="TECNÓPOLIS"/>
    <m/>
    <s v="BERMUDEZ CORTEZ Ariel Felipe"/>
    <s v="DNI"/>
    <n v="95120832"/>
    <n v="23951208329"/>
    <m/>
    <m/>
    <m/>
    <m/>
    <m/>
    <s v="LEY MARCO"/>
    <s v="LM"/>
    <d v="2013-04-01T00:00:00"/>
    <d v="2016-03-31T00:00:00"/>
    <d v="2016-12-31T00:00:00"/>
    <s v="C1"/>
    <m/>
    <m/>
    <n v="1000"/>
    <m/>
    <n v="1170"/>
    <n v="1310"/>
    <n v="1310"/>
  </r>
  <r>
    <s v="SFMyCP"/>
    <x v="0"/>
    <x v="0"/>
    <x v="0"/>
    <x v="8"/>
    <x v="6"/>
    <m/>
    <s v="PROGRAMA POLOS AUDIOVISUALES TECNOLÓGICOS"/>
    <m/>
    <s v="CABILDO 65"/>
    <m/>
    <s v="BERNARDO MARIA MURIEL"/>
    <s v="DNI"/>
    <n v="23328471"/>
    <n v="27233284713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0"/>
    <x v="0"/>
    <x v="0"/>
    <x v="8"/>
    <x v="6"/>
    <m/>
    <s v="PANORAMA ARGENTINO"/>
    <m/>
    <s v="CABILDO 65"/>
    <m/>
    <s v="BERSUSKY DIEGO MARTIN"/>
    <s v="DNI"/>
    <n v="27026871"/>
    <n v="20270268715"/>
    <m/>
    <m/>
    <m/>
    <m/>
    <m/>
    <s v="LEY MARCO"/>
    <s v="LM"/>
    <d v="2012-12-01T00:00:00"/>
    <d v="2016-12-31T00:00:00"/>
    <d v="2016-12-31T00:00:00"/>
    <s v="B1"/>
    <m/>
    <m/>
    <n v="1000"/>
    <m/>
    <n v="1170"/>
    <n v="1310"/>
    <n v="1310"/>
  </r>
  <r>
    <s v="SFMyCP"/>
    <x v="0"/>
    <x v="1"/>
    <x v="1"/>
    <x v="15"/>
    <x v="2"/>
    <m/>
    <m/>
    <m/>
    <m/>
    <m/>
    <s v="BERTERRE LETICIA"/>
    <s v="DNI"/>
    <n v="29699158"/>
    <n v="27296991584"/>
    <m/>
    <m/>
    <m/>
    <m/>
    <m/>
    <s v="LEY MARCO"/>
    <s v="LM"/>
    <d v="2010-07-19T00:00:00"/>
    <d v="2016-12-31T00:00:00"/>
    <d v="2016-12-31T00:00:00"/>
    <s v="C1"/>
    <m/>
    <m/>
    <n v="1000"/>
    <m/>
    <n v="1170"/>
    <n v="1310"/>
    <n v="1310"/>
  </r>
  <r>
    <s v="SFMyCP"/>
    <x v="0"/>
    <x v="0"/>
    <x v="0"/>
    <x v="8"/>
    <x v="6"/>
    <m/>
    <s v="PROGRAMA POLOS AUDIOVISUALES TECNOLÓGICOS"/>
    <s v="ADMINISTRATIVO"/>
    <s v="CABILDO 65"/>
    <s v="CABILDO 65"/>
    <s v="BESSE YESSICA"/>
    <s v="DNI"/>
    <n v="32498204"/>
    <s v="27324982049"/>
    <d v="1986-08-05T00:00:00"/>
    <m/>
    <m/>
    <m/>
    <m/>
    <s v="ASISTENCIA TÉCNICA"/>
    <s v="AT"/>
    <d v="2015-02-12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10"/>
    <m/>
    <m/>
    <s v="VISITAS GUIADAS"/>
    <m/>
    <s v="CCK - Alem 351"/>
    <s v="BETELLA MARITA TERESITA"/>
    <s v="DNI"/>
    <n v="40149217"/>
    <n v="27401492173"/>
    <d v="1997-01-15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7"/>
    <m/>
    <m/>
    <m/>
    <s v="CCK"/>
    <m/>
    <s v="BEURET GUSTAVO"/>
    <s v="DNI"/>
    <n v="27841036"/>
    <n v="20278410367"/>
    <m/>
    <m/>
    <m/>
    <m/>
    <m/>
    <s v="LEY MARCO"/>
    <s v="LM"/>
    <d v="2010-08-02T00:00:00"/>
    <d v="2016-12-31T00:00:00"/>
    <d v="2016-12-31T00:00:00"/>
    <s v="C1"/>
    <m/>
    <m/>
    <n v="1000"/>
    <m/>
    <n v="1170"/>
    <n v="1310"/>
    <n v="1310"/>
  </r>
  <r>
    <s v="SFMyCP"/>
    <x v="0"/>
    <x v="0"/>
    <x v="8"/>
    <x v="1"/>
    <x v="2"/>
    <m/>
    <m/>
    <s v="ADMINISTRATIVO"/>
    <m/>
    <s v="CCK - Alem 351"/>
    <s v="BIAUS IBARBORDE MARIA VIRGINIA"/>
    <s v="DNI"/>
    <n v="31464790"/>
    <n v="23314647904"/>
    <d v="1985-02-13T00:00:00"/>
    <m/>
    <m/>
    <m/>
    <m/>
    <s v="ASISTENCIA TÉCNICA"/>
    <s v="AT"/>
    <m/>
    <m/>
    <d v="2016-12-31T00:00:00"/>
    <m/>
    <s v="UNTREF"/>
    <m/>
    <m/>
    <m/>
    <n v="1170"/>
    <n v="0"/>
    <n v="0"/>
  </r>
  <r>
    <s v="SFMyCP"/>
    <x v="0"/>
    <x v="1"/>
    <x v="3"/>
    <x v="19"/>
    <x v="2"/>
    <m/>
    <m/>
    <m/>
    <s v="TECNÓPOLIS"/>
    <m/>
    <s v="BIELE Carlos David"/>
    <s v="DNI"/>
    <n v="32094923"/>
    <n v="20320949239"/>
    <m/>
    <m/>
    <m/>
    <m/>
    <m/>
    <s v="LEY MARCO"/>
    <s v="LM"/>
    <d v="2011-07-01T00:00:00"/>
    <d v="2016-12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COORDINACION"/>
    <m/>
    <s v="CABILDO 65"/>
    <m/>
    <s v="BILLONI AHUMADA NAHUEL ANIBAL"/>
    <s v="DNI"/>
    <n v="31407283"/>
    <n v="23314072839"/>
    <m/>
    <m/>
    <m/>
    <m/>
    <m/>
    <s v="LEY MARCO"/>
    <s v="LM"/>
    <d v="2012-12-01T00:00:00"/>
    <d v="2016-12-31T00:00:00"/>
    <d v="2016-12-31T00:00:00"/>
    <s v="A0"/>
    <m/>
    <m/>
    <n v="1000"/>
    <m/>
    <n v="1170"/>
    <n v="1310"/>
    <n v="1310"/>
  </r>
  <r>
    <s v="SFMyCP"/>
    <x v="0"/>
    <x v="1"/>
    <x v="1"/>
    <x v="5"/>
    <x v="13"/>
    <s v="ACCESO ALEM"/>
    <s v="Asistente"/>
    <s v="Asistente"/>
    <s v="CCK"/>
    <s v="CCK - Alem 351"/>
    <s v="BIONDO PAULA"/>
    <s v="DNI"/>
    <n v="37376814"/>
    <s v="27373768141"/>
    <d v="1993-03-29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26"/>
    <x v="2"/>
    <m/>
    <m/>
    <s v="OPERACIÓN/MONTAJE/MANTENIMIENTO"/>
    <s v="TECNÓPOLIS"/>
    <s v="TECNOPOLIS"/>
    <s v="BLANCO ALEJANDRO RAMON"/>
    <s v="DNI"/>
    <n v="27766980"/>
    <s v="20277669804"/>
    <d v="1980-02-22T00:00:00"/>
    <m/>
    <m/>
    <m/>
    <m/>
    <s v="ASISTENCIA TÉCNICA"/>
    <s v="AT"/>
    <d v="2013-04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BOASS DIEGO"/>
    <s v="DNI"/>
    <n v="30219051"/>
    <s v="20302190519"/>
    <d v="1983-03-16T00:00:00"/>
    <m/>
    <m/>
    <m/>
    <m/>
    <s v="ASISTENCIA TÉCNICA"/>
    <s v="AT"/>
    <d v="2013-11-01T00:00:00"/>
    <m/>
    <d v="2016-12-31T00:00:00"/>
    <m/>
    <s v="UNTREF"/>
    <m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BOAZZO GASTON LEONEL"/>
    <s v="DNI"/>
    <n v="23799726"/>
    <n v="20237997264"/>
    <d v="1974-08-25T00:00:00"/>
    <m/>
    <m/>
    <m/>
    <m/>
    <s v="ASISTENCIA TÉCNICA"/>
    <s v="AT"/>
    <d v="2016-05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ACUA MAYOR"/>
    <s v="ADMINISTRATIVO"/>
    <s v="CABILDO 65"/>
    <s v="CABILDO 65"/>
    <s v="BOBILLO GABRIEL"/>
    <s v="DNI"/>
    <n v="23102518"/>
    <s v="23231025189"/>
    <d v="1973-01-12T00:00:00"/>
    <m/>
    <m/>
    <m/>
    <m/>
    <s v="ASISTENCIA TÉCNICA"/>
    <s v="AT"/>
    <d v="2012-03-19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Asistente"/>
    <s v="Asistente"/>
    <s v="CCK"/>
    <s v="CCK - Alem 351"/>
    <s v="BOCCI FIORELLA"/>
    <s v="DNI"/>
    <n v="37752815"/>
    <s v="27377528153"/>
    <d v="1993-05-31T00:00:00"/>
    <m/>
    <m/>
    <m/>
    <m/>
    <s v="ASISTENCIA TÉCNICA"/>
    <s v="AT"/>
    <d v="2014-11-12T00:00:00"/>
    <m/>
    <d v="2016-12-31T00:00:00"/>
    <m/>
    <s v="UNTREF"/>
    <s v="UNLAM- DGA"/>
    <n v="1000"/>
    <n v="1070"/>
    <n v="1170"/>
    <n v="1310"/>
    <n v="1310"/>
  </r>
  <r>
    <s v="SFMyCP"/>
    <x v="0"/>
    <x v="1"/>
    <x v="3"/>
    <x v="26"/>
    <x v="2"/>
    <m/>
    <m/>
    <m/>
    <s v="TECNÓPOLIS"/>
    <m/>
    <s v="BONANNI Héctor Daniel"/>
    <s v="DNI"/>
    <n v="31271654"/>
    <n v="20312716543"/>
    <m/>
    <m/>
    <m/>
    <m/>
    <m/>
    <s v="LEY MARCO"/>
    <s v="LM"/>
    <d v="2013-02-0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5"/>
    <x v="13"/>
    <m/>
    <m/>
    <m/>
    <m/>
    <m/>
    <s v="BONATO LUCAS GASTON"/>
    <s v="DNI"/>
    <n v="26927767"/>
    <m/>
    <m/>
    <m/>
    <m/>
    <m/>
    <m/>
    <m/>
    <s v="LM"/>
    <m/>
    <m/>
    <d v="2016-12-31T00:00:00"/>
    <s v="C1"/>
    <m/>
    <m/>
    <n v="1000"/>
    <m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BONAVERA RENDO SANTIAGO"/>
    <s v="DNI"/>
    <n v="28643869"/>
    <s v="20286438696"/>
    <d v="1981-01-12T00:00:00"/>
    <m/>
    <m/>
    <m/>
    <m/>
    <s v="ASISTENCIA TÉCNICA"/>
    <s v="AT"/>
    <d v="2015-02-02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BORELLI, AVELINO OSCAR"/>
    <s v="DNI"/>
    <n v="17673078"/>
    <n v="20176730782"/>
    <d v="1966-02-28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4"/>
    <x v="2"/>
    <m/>
    <m/>
    <s v="ATENCIÓN DE MOSTRADOR"/>
    <s v="TECNÓPOLIS"/>
    <s v="TECNOPOLIS"/>
    <s v="BORGET JUAN MARTIN"/>
    <s v="DNI"/>
    <n v="35360874"/>
    <s v="20353608747"/>
    <d v="1990-12-23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8"/>
    <x v="2"/>
    <m/>
    <m/>
    <s v="ADMINISTRACION,DSTRIBUCION Y SEGUIMIENTO DE TAREAS/ORGANIZACIÓN DEL AEREA MANTENIMIENTO"/>
    <s v="TECNÓPOLIS"/>
    <s v="TECNOPOLIS"/>
    <s v="BORREL MARIA JULIETA"/>
    <s v="DNI"/>
    <n v="34423729"/>
    <s v="27344237293"/>
    <d v="1989-08-05T00:00:00"/>
    <m/>
    <m/>
    <m/>
    <m/>
    <s v="ASISTENCIA TÉCNICA"/>
    <s v="AT"/>
    <d v="2015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BOTTAZZI MARIA"/>
    <s v="DNI"/>
    <n v="30925290"/>
    <s v="27309252905"/>
    <d v="1984-04-21T00:00:00"/>
    <m/>
    <m/>
    <m/>
    <m/>
    <s v="ASISTENCIA TÉCNICA"/>
    <s v="AT"/>
    <d v="2013-05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BOUZON ARIANA"/>
    <s v="DNI"/>
    <n v="30833891"/>
    <s v="27308338911"/>
    <d v="1983-12-09T00:00:00"/>
    <m/>
    <m/>
    <m/>
    <m/>
    <s v="ASISTENCIA TÉCNICA"/>
    <s v="AT"/>
    <d v="2015-02-02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6"/>
    <x v="14"/>
    <m/>
    <s v="DOCTOR"/>
    <s v="ADMINISTRATIVO"/>
    <m/>
    <s v="CCK - Alem 351"/>
    <s v="BRADLEY GUILLERMO"/>
    <s v="DNI"/>
    <n v="10966721"/>
    <n v="20109667219"/>
    <d v="1954-11-30T00:00:00"/>
    <m/>
    <m/>
    <m/>
    <m/>
    <s v="ASISTENCIA TÉCNICA"/>
    <s v="AT"/>
    <d v="2016-07-14T00:00:00"/>
    <m/>
    <d v="2016-12-31T00:00:00"/>
    <m/>
    <s v="UNTREF"/>
    <m/>
    <m/>
    <m/>
    <n v="1170"/>
    <n v="0"/>
    <n v="0"/>
  </r>
  <r>
    <s v="SFMyCP"/>
    <x v="0"/>
    <x v="1"/>
    <x v="1"/>
    <x v="15"/>
    <x v="2"/>
    <m/>
    <s v="SECRETARIA"/>
    <s v="ASISTENTE"/>
    <s v="CCK"/>
    <s v="CCK - Alem 351"/>
    <s v="BRAHIN MARIANELLA"/>
    <s v="DNI"/>
    <n v="35452327"/>
    <s v="27354523278"/>
    <d v="1990-11-30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0"/>
    <x v="0"/>
    <x v="8"/>
    <x v="6"/>
    <m/>
    <s v="PROMOCIONES"/>
    <s v="ADMINISTRATIVO"/>
    <s v="CABILDO 65"/>
    <s v="CABILDO 65"/>
    <s v="BRAUDE SEBASTIAN"/>
    <s v="DNI"/>
    <n v="29250290"/>
    <n v="20292502909"/>
    <d v="1982-01-07T00:00:00"/>
    <m/>
    <m/>
    <m/>
    <m/>
    <s v="ASISTENCIA TÉCNICA"/>
    <s v="AT"/>
    <d v="2015-04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BRAVO  MARCELO"/>
    <s v="DNI"/>
    <n v="24320153"/>
    <s v="20243201536"/>
    <d v="1975-02-01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BRITEZ  GUSTAVO"/>
    <s v="DNI"/>
    <n v="28710766"/>
    <s v="20287107669"/>
    <d v="1981-03-03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29"/>
    <x v="2"/>
    <m/>
    <s v="Analista"/>
    <m/>
    <s v="CCK"/>
    <m/>
    <s v="BRUNO ANALIA"/>
    <s v="DNI"/>
    <n v="27930015"/>
    <n v="27279300152"/>
    <m/>
    <m/>
    <m/>
    <m/>
    <m/>
    <s v="LEY MARCO"/>
    <s v="LM"/>
    <d v="2011-07-18T00:00:00"/>
    <d v="2016-12-31T00:00:00"/>
    <d v="2016-12-31T00:00:00"/>
    <s v="B1"/>
    <m/>
    <m/>
    <n v="1000"/>
    <m/>
    <n v="1170"/>
    <n v="1310"/>
    <n v="1310"/>
  </r>
  <r>
    <s v="SFMyCP"/>
    <x v="0"/>
    <x v="1"/>
    <x v="1"/>
    <x v="15"/>
    <x v="2"/>
    <m/>
    <s v="Administrativo"/>
    <m/>
    <s v="CCK"/>
    <m/>
    <s v="BRUNO SABRINA ALEJANDRA"/>
    <s v="DNI"/>
    <n v="28936423"/>
    <n v="23289364234"/>
    <m/>
    <m/>
    <m/>
    <m/>
    <m/>
    <s v="LEY MARCO"/>
    <s v="LM"/>
    <d v="2013-03-04T00:00:00"/>
    <d v="2016-03-31T00:00:00"/>
    <d v="2016-12-31T00:00:00"/>
    <s v="B0"/>
    <m/>
    <m/>
    <n v="1000"/>
    <m/>
    <n v="0"/>
    <n v="1310"/>
    <n v="1310"/>
  </r>
  <r>
    <s v="SFMyCP"/>
    <x v="0"/>
    <x v="1"/>
    <x v="3"/>
    <x v="6"/>
    <x v="2"/>
    <m/>
    <m/>
    <m/>
    <s v="TECNÓPOLIS"/>
    <m/>
    <s v="BRUZZONI Ariel Esteban"/>
    <s v="DNI"/>
    <n v="33841323"/>
    <n v="20338413239"/>
    <m/>
    <m/>
    <m/>
    <m/>
    <m/>
    <s v="LEY MARCO"/>
    <s v="LM"/>
    <d v="2012-04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20"/>
    <x v="2"/>
    <m/>
    <m/>
    <s v="SUPERVISOR DE PARQUIZACIÓN"/>
    <s v="TECNÓPOLIS"/>
    <s v="TECNOPOLIS"/>
    <s v="BUGLIO  EMILIANO CRUZ"/>
    <s v="DNI"/>
    <n v="30832626"/>
    <s v="20308326269"/>
    <d v="1984-05-07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BUNSOW GUSTAVO"/>
    <s v="DNI"/>
    <n v="27000237"/>
    <s v="20270002375"/>
    <d v="1978-11-07T00:00:00"/>
    <m/>
    <m/>
    <m/>
    <m/>
    <s v="ASISTENCIA TÉCNICA"/>
    <s v="AT"/>
    <d v="2012-06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7"/>
    <x v="2"/>
    <m/>
    <m/>
    <m/>
    <s v="CCK"/>
    <m/>
    <s v="BUONOCORE NATALIA"/>
    <s v="DNI"/>
    <n v="31343795"/>
    <n v="27313437952"/>
    <m/>
    <m/>
    <m/>
    <m/>
    <m/>
    <s v="LEY MARCO"/>
    <s v="LM"/>
    <d v="2011-07-18T00:00:00"/>
    <d v="2016-12-31T00:00:00"/>
    <d v="2016-12-31T00:00:00"/>
    <s v="B1"/>
    <m/>
    <m/>
    <n v="1000"/>
    <m/>
    <n v="1170"/>
    <n v="1310"/>
    <n v="1310"/>
  </r>
  <r>
    <s v="SFMyCP"/>
    <x v="0"/>
    <x v="1"/>
    <x v="3"/>
    <x v="3"/>
    <x v="2"/>
    <m/>
    <m/>
    <s v="ENCARGADO DE LIMPIEZA"/>
    <s v="TECNÓPOLIS"/>
    <s v="TECNOPOLIS"/>
    <s v="BURLATO ROSA ANGELA"/>
    <s v="DNI"/>
    <n v="23284659"/>
    <s v="27232846599"/>
    <d v="1972-12-09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BURSZTYN ANDRES"/>
    <s v="DNI"/>
    <n v="34137132"/>
    <s v="20341371326"/>
    <d v="1988-09-22T00:00:00"/>
    <m/>
    <m/>
    <m/>
    <m/>
    <s v="ASISTENCIA TÉCNICA"/>
    <s v="AT"/>
    <d v="2013-02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BACUA"/>
    <s v="ADMINISTRATIVO"/>
    <s v="CABILDO 65"/>
    <s v="CABILDO 65"/>
    <s v="BUSSOLA FLORENCIA"/>
    <s v="DNI"/>
    <n v="30401842"/>
    <s v="27304018424"/>
    <d v="1983-07-14T00:00:00"/>
    <m/>
    <m/>
    <m/>
    <m/>
    <s v="ASISTENCIA TÉCNICA"/>
    <s v="AT"/>
    <d v="2012-04-23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2"/>
    <x v="2"/>
    <m/>
    <m/>
    <s v="SUPERVISION DE REDES DE AGUA Y CLOACAS"/>
    <s v="TECNÓPOLIS"/>
    <s v="TECNOPOLIS"/>
    <s v="BUSTOS  JORGE JONATHAN"/>
    <s v="DNI"/>
    <n v="36294092"/>
    <s v="20362940924"/>
    <d v="1991-07-03T00:00:00"/>
    <m/>
    <m/>
    <m/>
    <m/>
    <s v="ASISTENCIA TÉCNICA"/>
    <s v="AT"/>
    <m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BUSTOS CIUCOLI FERNANDA"/>
    <s v="DNI"/>
    <n v="32604139"/>
    <s v="23326041394"/>
    <d v="1986-08-30T00:00:00"/>
    <m/>
    <m/>
    <m/>
    <m/>
    <s v="ASISTENCIA TÉCNICA"/>
    <s v="AT"/>
    <d v="2013-05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2"/>
    <x v="2"/>
    <m/>
    <m/>
    <m/>
    <s v="TECNÓPOLIS"/>
    <m/>
    <s v="BUSTOS Lucas Matías"/>
    <s v="DNI"/>
    <n v="32555604"/>
    <n v="20325556049"/>
    <m/>
    <m/>
    <m/>
    <m/>
    <m/>
    <s v="LEY MARCO"/>
    <s v="LM"/>
    <d v="2013-04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23"/>
    <x v="2"/>
    <m/>
    <s v="Tareas Generales"/>
    <s v="TAREAS EN GENERAL PAÑOL"/>
    <s v="TECNÓPOLIS"/>
    <m/>
    <s v="BUSTOS VIVIANA"/>
    <s v="DNI"/>
    <n v="17862197"/>
    <n v="27178621977"/>
    <m/>
    <m/>
    <m/>
    <m/>
    <m/>
    <s v="ASISTENCIA TÉCNICA"/>
    <s v="CO"/>
    <d v="2014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"/>
    <x v="1"/>
    <m/>
    <m/>
    <s v="VISITAS GUIADAS"/>
    <m/>
    <s v="CCK - Alem 351"/>
    <s v="CABALLERO CACERES JUANMANUELA"/>
    <s v="DNI"/>
    <n v="35567267"/>
    <n v="27355672676"/>
    <d v="1991-04-24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1"/>
    <x v="0"/>
    <x v="5"/>
    <x v="29"/>
    <x v="2"/>
    <m/>
    <m/>
    <s v="ADMINISTRATIVO"/>
    <m/>
    <s v="CCK - Alem 351"/>
    <s v="CABEZA ALMIRON LUCIANO"/>
    <s v="DNI"/>
    <n v="34258772"/>
    <n v="20342587721"/>
    <d v="1988-10-13T00:00:00"/>
    <m/>
    <m/>
    <m/>
    <m/>
    <s v="ASISTENCIA TÉCNICA"/>
    <s v="AT"/>
    <d v="2016-04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COMISION DE SEGUIMIENTO"/>
    <s v="ADMINISTRATIVO"/>
    <s v="CABILDO 65"/>
    <s v="CABILDO 65"/>
    <s v="CABRAL JUAN"/>
    <s v="DNI"/>
    <n v="11566265"/>
    <s v="20115662652"/>
    <d v="1955-03-21T00:00:00"/>
    <m/>
    <m/>
    <m/>
    <m/>
    <s v="ASISTENCIA TÉCNICA"/>
    <s v="AT"/>
    <d v="2012-05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CABRERA  FLAVIA GRACIELA"/>
    <s v="DNI"/>
    <n v="29330355"/>
    <s v="27293303555"/>
    <d v="1982-03-08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3"/>
    <s v="LIMPIEZA (En comisión Tecnópolis)"/>
    <s v="Auxiliar"/>
    <s v="Auxiliar"/>
    <s v="CCK"/>
    <s v="CCK - Alem 351"/>
    <s v="CABRERA VALERIA"/>
    <s v="DNI"/>
    <n v="26071220"/>
    <s v="27260712204"/>
    <d v="1977-10-31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5"/>
    <m/>
    <m/>
    <m/>
    <m/>
    <m/>
    <s v="CACCAMO SILVIA GRACIELA"/>
    <s v="DNI"/>
    <n v="11634842"/>
    <m/>
    <m/>
    <m/>
    <m/>
    <m/>
    <m/>
    <m/>
    <s v="LM"/>
    <m/>
    <m/>
    <d v="2016-12-31T00:00:00"/>
    <s v="C1"/>
    <m/>
    <m/>
    <n v="1000"/>
    <m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CACCIOLA TOMAS"/>
    <s v="DNI"/>
    <n v="33605569"/>
    <s v="20336055696"/>
    <d v="1988-01-11T00:00:00"/>
    <m/>
    <m/>
    <m/>
    <m/>
    <s v="ASISTENCIA TÉCNICA"/>
    <s v="AT"/>
    <d v="2015-05-04T00:00:00"/>
    <m/>
    <d v="2016-12-31T00:00:00"/>
    <m/>
    <s v="UNTREF"/>
    <m/>
    <n v="1000"/>
    <n v="100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CACERES LEGUIZAMON SELVA"/>
    <s v="DNI"/>
    <n v="94138946"/>
    <s v="27941389460"/>
    <d v="1986-08-27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25"/>
    <x v="2"/>
    <m/>
    <s v="COORDINADOR"/>
    <m/>
    <s v="CCK"/>
    <m/>
    <s v="CACERES SASSO NICOLAS"/>
    <s v="DNI"/>
    <n v="36755076"/>
    <n v="20367550768"/>
    <m/>
    <m/>
    <m/>
    <m/>
    <m/>
    <s v="LEY MARCO"/>
    <s v="LM"/>
    <d v="2011-05-01T00:00:00"/>
    <d v="2016-12-31T00:00:00"/>
    <d v="2016-12-31T00:00:00"/>
    <s v="B1"/>
    <m/>
    <m/>
    <n v="1000"/>
    <m/>
    <n v="1170"/>
    <n v="1310"/>
    <n v="1310"/>
  </r>
  <r>
    <s v="SFMyCP"/>
    <x v="1"/>
    <x v="0"/>
    <x v="5"/>
    <x v="16"/>
    <x v="14"/>
    <m/>
    <s v="Enfermera/o"/>
    <m/>
    <s v="CCK"/>
    <m/>
    <s v="CAIGUARA NORA VIVIANA"/>
    <s v="DNI"/>
    <n v="21498647"/>
    <n v="27214986472"/>
    <m/>
    <m/>
    <m/>
    <m/>
    <m/>
    <s v="LEY MARCO"/>
    <s v="LM"/>
    <d v="2015-07-16T00:00:00"/>
    <d v="2016-03-31T00:00:00"/>
    <d v="2016-12-31T00:00:00"/>
    <s v="C1"/>
    <m/>
    <m/>
    <n v="1000"/>
    <m/>
    <n v="1170"/>
    <n v="1310"/>
    <n v="1310"/>
  </r>
  <r>
    <s v="SFMyCP"/>
    <x v="0"/>
    <x v="0"/>
    <x v="8"/>
    <x v="1"/>
    <x v="2"/>
    <m/>
    <m/>
    <s v="ADMINISTRATIVO"/>
    <m/>
    <s v="CCK - Alem 351"/>
    <s v="CAJADE VALERIA SOLEDAD"/>
    <s v="DNI"/>
    <n v="26475328"/>
    <s v="27264753282"/>
    <d v="1977-12-29T00:00:00"/>
    <m/>
    <m/>
    <m/>
    <m/>
    <s v="ASISTENCIA TÉCNICA"/>
    <s v="AT"/>
    <d v="2016-01-01T00:00:00"/>
    <m/>
    <d v="2016-12-31T00:00:00"/>
    <m/>
    <s v="UNTREF"/>
    <m/>
    <n v="1000"/>
    <n v="1070"/>
    <n v="1170"/>
    <n v="1310"/>
    <n v="1310"/>
  </r>
  <r>
    <s v="SFMyCP"/>
    <x v="1"/>
    <x v="0"/>
    <x v="5"/>
    <x v="2"/>
    <x v="2"/>
    <m/>
    <m/>
    <s v="ADMINISTRATIVO"/>
    <m/>
    <s v="CCK - Alem 351"/>
    <s v="CALCARAMI EUGENIA"/>
    <s v="DNI"/>
    <n v="21831009"/>
    <n v="27218310090"/>
    <d v="1970-08-13T00:00:00"/>
    <m/>
    <m/>
    <m/>
    <m/>
    <s v="ASISTENCIA TÉCNICA"/>
    <s v="AT"/>
    <d v="2016-07-11T00:00:00"/>
    <m/>
    <d v="2016-12-31T00:00:00"/>
    <m/>
    <s v="UNTREF"/>
    <m/>
    <m/>
    <m/>
    <n v="1170"/>
    <n v="0"/>
    <n v="0"/>
  </r>
  <r>
    <s v="SFMyCP"/>
    <x v="0"/>
    <x v="0"/>
    <x v="0"/>
    <x v="8"/>
    <x v="6"/>
    <m/>
    <s v="PRODUCCIÓN"/>
    <s v="PRODUCTOR de EXTERIORES"/>
    <s v="CABILDO 65"/>
    <s v="CABILDO 65"/>
    <s v="CALCATELLI HERNÁN"/>
    <s v="DNI"/>
    <n v="27184125"/>
    <s v="20271841257"/>
    <d v="1979-02-24T00:00:00"/>
    <m/>
    <m/>
    <m/>
    <m/>
    <s v="ASISTENCIA TÉCNICA"/>
    <s v="AT"/>
    <d v="2012-08-01T00:00:00"/>
    <m/>
    <d v="2016-12-31T00:00:00"/>
    <m/>
    <s v="UNTREF"/>
    <s v="UNSAM- LADA"/>
    <n v="1000"/>
    <n v="1000"/>
    <n v="1170"/>
    <n v="1310"/>
    <n v="1310"/>
  </r>
  <r>
    <s v="SFMyCP"/>
    <x v="2"/>
    <x v="0"/>
    <x v="4"/>
    <x v="2"/>
    <x v="2"/>
    <m/>
    <s v="ASISTENTE"/>
    <m/>
    <s v="CCK"/>
    <m/>
    <s v="CALDERON MARIA EUGENIA"/>
    <s v="DNI"/>
    <n v="28030258"/>
    <n v="27280302584"/>
    <m/>
    <m/>
    <m/>
    <m/>
    <m/>
    <s v="LEY MARCO"/>
    <s v="LM"/>
    <d v="2012-12-01T00:00:00"/>
    <d v="2016-12-31T00:00:00"/>
    <d v="2016-12-31T00:00:00"/>
    <s v="A1"/>
    <m/>
    <m/>
    <n v="1000"/>
    <m/>
    <n v="1170"/>
    <n v="1310"/>
    <n v="1310"/>
  </r>
  <r>
    <s v="SFMyCP"/>
    <x v="0"/>
    <x v="1"/>
    <x v="1"/>
    <x v="15"/>
    <x v="2"/>
    <m/>
    <m/>
    <m/>
    <s v="CCK"/>
    <m/>
    <s v="CALIUSCO PERLA EDITH"/>
    <s v="DNI"/>
    <n v="16668474"/>
    <n v="27166684744"/>
    <m/>
    <m/>
    <m/>
    <m/>
    <m/>
    <s v="LEY MARCO"/>
    <s v="LM"/>
    <d v="2012-12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0"/>
    <x v="2"/>
    <m/>
    <m/>
    <s v="ADMINISTRATIVA"/>
    <m/>
    <s v="CCK - Alem 351"/>
    <s v="CALVELO ALFREDO"/>
    <s v="DNI"/>
    <n v="92267421"/>
    <n v="20922674214"/>
    <d v="1969-01-12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0"/>
    <x v="4"/>
    <x v="2"/>
    <x v="2"/>
    <m/>
    <s v="PRIVADA"/>
    <s v="ADMINISTRATIVO"/>
    <m/>
    <s v="NO ENTREGAR"/>
    <s v="CALZADO, MATÍAS"/>
    <s v="DNI"/>
    <n v="32845128"/>
    <s v="20328451280"/>
    <d v="1986-12-06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CAMATS DIEGO"/>
    <s v="DNI"/>
    <n v="27084941"/>
    <s v="20270849416"/>
    <d v="1979-02-01T00:00:00"/>
    <m/>
    <m/>
    <m/>
    <m/>
    <s v="ASISTENCIA TÉCNICA"/>
    <s v="AT"/>
    <d v="2011-08-01T00:00:00"/>
    <m/>
    <d v="2016-12-31T00:00:00"/>
    <m/>
    <s v="UNTREF"/>
    <s v="UNSAM- LADA"/>
    <n v="1000"/>
    <n v="1000"/>
    <n v="1170"/>
    <n v="1310"/>
    <n v="1310"/>
  </r>
  <r>
    <s v="SFMyCP"/>
    <x v="0"/>
    <x v="0"/>
    <x v="4"/>
    <x v="2"/>
    <x v="2"/>
    <m/>
    <s v="PRIVADA"/>
    <s v="ADMINISTRATIVO"/>
    <m/>
    <s v="CCK - Alem 351"/>
    <s v="CAMBIAGGI HOLZMANN JOAQUIN ARIEL"/>
    <s v="DNI"/>
    <n v="33209881"/>
    <n v="20332098811"/>
    <m/>
    <m/>
    <m/>
    <m/>
    <m/>
    <m/>
    <s v="AT"/>
    <d v="2016-07-21T00:00:00"/>
    <m/>
    <d v="2016-12-31T00:00:00"/>
    <m/>
    <s v="UNTREF"/>
    <m/>
    <m/>
    <m/>
    <n v="1170"/>
    <n v="0"/>
    <n v="0"/>
  </r>
  <r>
    <s v="SFMyCP"/>
    <x v="0"/>
    <x v="1"/>
    <x v="1"/>
    <x v="26"/>
    <x v="2"/>
    <m/>
    <m/>
    <s v="OPERACIÓN/MONTAJE/MANTENIMIENTO"/>
    <m/>
    <s v="CCK - Alem 351"/>
    <s v="CAMINOS GONZALEZ JOAQUIN"/>
    <s v="DNI"/>
    <n v="32538637"/>
    <n v="20325386372"/>
    <d v="1986-10-27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1"/>
    <x v="0"/>
    <x v="5"/>
    <x v="24"/>
    <x v="2"/>
    <m/>
    <m/>
    <m/>
    <s v="CCK"/>
    <m/>
    <s v="CAMPANA JAVIER"/>
    <s v="DNI"/>
    <n v="36949773"/>
    <n v="20369497732"/>
    <m/>
    <m/>
    <m/>
    <m/>
    <m/>
    <s v="LEY MARCO"/>
    <s v="LM"/>
    <d v="2015-04-01T00:00:00"/>
    <d v="2016-03-31T00:00:00"/>
    <d v="2016-12-31T00:00:00"/>
    <s v="D0"/>
    <m/>
    <m/>
    <n v="1000"/>
    <m/>
    <n v="1170"/>
    <n v="1310"/>
    <n v="1310"/>
  </r>
  <r>
    <s v="SFMyCP"/>
    <x v="1"/>
    <x v="0"/>
    <x v="5"/>
    <x v="25"/>
    <x v="2"/>
    <m/>
    <s v="Analista"/>
    <s v="Analista"/>
    <s v="CCK"/>
    <s v="CCK - Alem 351"/>
    <s v="CANGIANI EMMANUEL"/>
    <s v="DNI"/>
    <n v="36688481"/>
    <s v="20366884816"/>
    <d v="1992-01-17T00:00:00"/>
    <m/>
    <m/>
    <m/>
    <m/>
    <s v="ASISTENCIA TÉCNICA"/>
    <s v="AT"/>
    <d v="2013-11-15T00:00:00"/>
    <m/>
    <d v="2016-12-31T00:00:00"/>
    <m/>
    <s v="UNTREF"/>
    <s v="UNLAM- INFO"/>
    <n v="1000"/>
    <n v="1070"/>
    <n v="1170"/>
    <n v="1310"/>
    <n v="1310"/>
  </r>
  <r>
    <s v="SFMyCP"/>
    <x v="0"/>
    <x v="0"/>
    <x v="0"/>
    <x v="8"/>
    <x v="6"/>
    <m/>
    <s v="BACUA"/>
    <s v="ADMINISTRATIVO"/>
    <s v="CABILDO 65"/>
    <s v="CABILDO 65"/>
    <s v="CANNIZZARO ANA"/>
    <s v="DNI"/>
    <n v="28079864"/>
    <s v="27280798644"/>
    <d v="1980-04-11T00:00:00"/>
    <m/>
    <m/>
    <m/>
    <m/>
    <s v="ASISTENCIA TÉCNICA"/>
    <s v="AT"/>
    <d v="2013-02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30"/>
    <x v="2"/>
    <m/>
    <s v="DESARROLLOS"/>
    <s v="Asistente"/>
    <s v="CCK"/>
    <s v="CCK - Alem 351"/>
    <s v="CANOSA MARICEL"/>
    <s v="DNI"/>
    <n v="34870420"/>
    <s v="27348704201"/>
    <d v="1989-10-03T00:00:00"/>
    <m/>
    <m/>
    <m/>
    <m/>
    <s v="ASISTENCIA TÉCNICA"/>
    <s v="AT"/>
    <d v="2015-07-06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6"/>
    <x v="2"/>
    <m/>
    <m/>
    <s v="OPERACIÓN/MONTAJE/MANTENIMIENTO"/>
    <s v="TECNÓPOLIS"/>
    <s v="TECNOPOLIS"/>
    <s v="CARABAJAL ALEJANDRO NICOLAS"/>
    <s v="DNI"/>
    <n v="31292992"/>
    <s v="23312929929"/>
    <d v="1985-01-04T00:00:00"/>
    <m/>
    <m/>
    <m/>
    <m/>
    <s v="ASISTENCIA TÉCNICA"/>
    <s v="AT"/>
    <d v="2015-07-03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6"/>
    <m/>
    <s v="Analista Sr de RR.HH."/>
    <m/>
    <s v="CCK"/>
    <m/>
    <s v="CARACINI ANDRES HORACIO"/>
    <s v="DNI"/>
    <n v="20007136"/>
    <n v="20200071361"/>
    <m/>
    <m/>
    <m/>
    <m/>
    <m/>
    <s v="LEY MARCO"/>
    <s v="LM"/>
    <d v="2007-02-01T00:00:00"/>
    <d v="2016-12-31T00:00:00"/>
    <d v="2016-12-31T00:00:00"/>
    <s v="B5"/>
    <m/>
    <m/>
    <n v="1000"/>
    <m/>
    <n v="1170"/>
    <n v="1310"/>
    <n v="1310"/>
  </r>
  <r>
    <s v="SFMyCP"/>
    <x v="0"/>
    <x v="1"/>
    <x v="1"/>
    <x v="5"/>
    <x v="17"/>
    <m/>
    <s v="Asesor"/>
    <m/>
    <s v="CCK"/>
    <m/>
    <s v="CARAM ADRIAN"/>
    <s v="DNI"/>
    <n v="17968607"/>
    <n v="20179686075"/>
    <m/>
    <m/>
    <m/>
    <m/>
    <m/>
    <s v="LEY MARCO"/>
    <s v="LM"/>
    <d v="2015-06-01T00:00:00"/>
    <d v="2016-03-31T00:00:00"/>
    <d v="2016-12-31T00:00:00"/>
    <s v="C1"/>
    <m/>
    <m/>
    <n v="1000"/>
    <m/>
    <n v="1170"/>
    <n v="1310"/>
    <n v="1310"/>
  </r>
  <r>
    <s v="SFMyCP"/>
    <x v="0"/>
    <x v="1"/>
    <x v="1"/>
    <x v="5"/>
    <x v="18"/>
    <m/>
    <s v="Coordinador"/>
    <s v="Coordinador"/>
    <s v="CCK"/>
    <s v="CCK - Alem 351"/>
    <s v="CARCA GUSTAVO"/>
    <s v="DNI"/>
    <n v="11293948"/>
    <n v="20112939483"/>
    <d v="1954-09-16T00:00:00"/>
    <m/>
    <m/>
    <m/>
    <m/>
    <s v="ASISTENCIA TÉCNICA"/>
    <s v="AT"/>
    <d v="2015-05-05T00:00:00"/>
    <m/>
    <d v="2016-12-31T00:00:00"/>
    <m/>
    <s v="UNTREF"/>
    <s v="UNLAM- BICENTENARIO"/>
    <n v="1000"/>
    <n v="1070"/>
    <n v="1170"/>
    <n v="1310"/>
    <n v="1310"/>
  </r>
  <r>
    <s v="SFMyCP"/>
    <x v="1"/>
    <x v="0"/>
    <x v="5"/>
    <x v="24"/>
    <x v="2"/>
    <m/>
    <s v="PRIVADA"/>
    <s v="Administrativo"/>
    <m/>
    <s v="TECNOPOLIS"/>
    <s v="CARCATERRA VICTORIA"/>
    <s v="DNI"/>
    <n v="27507704"/>
    <n v="27275077041"/>
    <d v="1979-05-22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1"/>
    <x v="3"/>
    <x v="31"/>
    <x v="2"/>
    <m/>
    <m/>
    <s v="MANTENIMIENTO GENERAÑ"/>
    <s v="TECNÓPOLIS"/>
    <s v="TECNOPOLIS"/>
    <s v="CARDENES HECTOR DANIEL"/>
    <s v="DNI"/>
    <n v="31091613"/>
    <s v="20310916138"/>
    <d v="1984-10-13T00:00:00"/>
    <m/>
    <m/>
    <m/>
    <m/>
    <s v="ASISTENCIA TÉCNICA"/>
    <s v="AT"/>
    <d v="2015-09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2"/>
    <x v="2"/>
    <m/>
    <s v="JGM"/>
    <s v="ADMINISTRATIVO"/>
    <m/>
    <s v="CCK - Alem 351"/>
    <s v="CARDERO HORACIO"/>
    <s v="DNI"/>
    <n v="7374442"/>
    <n v="20073744424"/>
    <d v="1948-12-05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3"/>
    <x v="2"/>
    <m/>
    <m/>
    <s v="LIMPIEZA GENERAL DEL PARQUE"/>
    <s v="TECNÓPOLIS"/>
    <s v="TECNOPOLIS"/>
    <s v="CARDOZO  GRACIELA DELMIRA"/>
    <s v="DNI"/>
    <n v="20341389"/>
    <s v="27203413896"/>
    <d v="1986-07-14T00:00:00"/>
    <m/>
    <m/>
    <m/>
    <m/>
    <s v="ASISTENCIA TÉCNICA"/>
    <s v="AT"/>
    <d v="2012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25"/>
    <x v="2"/>
    <m/>
    <s v="ASESORA"/>
    <s v="Analista"/>
    <s v="CCK"/>
    <s v="CCK - Alem 351"/>
    <s v="CARDOZO ANDREA"/>
    <s v="DNI"/>
    <n v="25284962"/>
    <s v="27252849624"/>
    <d v="1976-05-28T00:00:00"/>
    <m/>
    <m/>
    <m/>
    <m/>
    <s v="ASISTENCIA TÉCNICA"/>
    <s v="AT"/>
    <m/>
    <m/>
    <d v="2016-12-31T00:00:00"/>
    <m/>
    <s v="UNTREF"/>
    <s v="UNLAM- INFO"/>
    <n v="1000"/>
    <n v="1070"/>
    <n v="1170"/>
    <n v="1310"/>
    <n v="1310"/>
  </r>
  <r>
    <s v="SFMyCP"/>
    <x v="0"/>
    <x v="1"/>
    <x v="1"/>
    <x v="26"/>
    <x v="19"/>
    <m/>
    <m/>
    <s v="ADMINISTRATIVO"/>
    <m/>
    <s v="CCK - Alem 351"/>
    <s v="CARDOZO EDUARDO HERNAN"/>
    <s v="DNI"/>
    <n v="25051947"/>
    <n v="20250519479"/>
    <d v="1976-04-01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7"/>
    <x v="2"/>
    <x v="2"/>
    <m/>
    <s v="PRIVADA"/>
    <s v="ADMINISTRATIVO"/>
    <m/>
    <s v="CCK - Alem 351"/>
    <s v="CARDUS MARIA MOHORADE"/>
    <s v="DNI"/>
    <n v="33022528"/>
    <n v="27330225284"/>
    <d v="1987-05-19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1"/>
    <x v="0"/>
    <x v="5"/>
    <x v="17"/>
    <x v="2"/>
    <s v="(IGUALDAD CULTURAL)"/>
    <s v="ASESORA LEGAL"/>
    <m/>
    <s v="CCK"/>
    <m/>
    <s v="CARELLO SABRINA"/>
    <s v="DNI"/>
    <n v="28964645"/>
    <n v="27289646456"/>
    <m/>
    <m/>
    <m/>
    <m/>
    <m/>
    <s v="LEY MARCO"/>
    <s v="LM"/>
    <d v="2008-11-01T00:00:00"/>
    <d v="2016-12-31T00:00:00"/>
    <d v="2016-12-31T00:00:00"/>
    <s v="B2"/>
    <m/>
    <m/>
    <n v="1000"/>
    <m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CARINI DIEGO"/>
    <s v="DNI"/>
    <n v="23124300"/>
    <s v="20231243004"/>
    <d v="1973-01-11T00:00:00"/>
    <m/>
    <m/>
    <m/>
    <m/>
    <s v="ASISTENCIA TÉCNICA"/>
    <s v="AT"/>
    <d v="2015-03-02T00:00:00"/>
    <m/>
    <d v="2016-12-31T00:00:00"/>
    <m/>
    <s v="UNTREF"/>
    <m/>
    <n v="1000"/>
    <n v="1000"/>
    <n v="1170"/>
    <n v="1310"/>
    <n v="1310"/>
  </r>
  <r>
    <s v="SFMyCP"/>
    <x v="0"/>
    <x v="1"/>
    <x v="1"/>
    <x v="13"/>
    <x v="2"/>
    <m/>
    <m/>
    <m/>
    <s v="CCK"/>
    <s v="CCK - Alem 351"/>
    <s v="CARNEVALE  María Luciana"/>
    <s v="DNI"/>
    <n v="31829624"/>
    <n v="27318296249"/>
    <m/>
    <m/>
    <m/>
    <m/>
    <m/>
    <s v="LEY MARCO"/>
    <s v="LM"/>
    <d v="2012-11-30T00:00:00"/>
    <d v="2016-12-31T00:00:00"/>
    <d v="2016-12-31T00:00:00"/>
    <s v="C0"/>
    <m/>
    <m/>
    <n v="1000"/>
    <m/>
    <n v="1170"/>
    <n v="1310"/>
    <n v="1310"/>
  </r>
  <r>
    <s v="SFMyCP"/>
    <x v="0"/>
    <x v="0"/>
    <x v="8"/>
    <x v="1"/>
    <x v="2"/>
    <m/>
    <m/>
    <s v="ADMINISTRATIVO"/>
    <m/>
    <s v="CCK - Alem 351"/>
    <s v="CARPENA NICOLAS"/>
    <s v="DNI"/>
    <n v="25701825"/>
    <s v="20257018254"/>
    <d v="1977-01-15T00:00:00"/>
    <m/>
    <m/>
    <m/>
    <m/>
    <s v="ASISTENCIA TÉCNICA"/>
    <s v="AT"/>
    <d v="2016-03-01T00:00:00"/>
    <m/>
    <d v="2016-12-31T00:00:00"/>
    <m/>
    <s v="UNTREF"/>
    <m/>
    <n v="1000"/>
    <n v="107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CARRILLO FELIX EDUARDO"/>
    <s v="DNI"/>
    <n v="30029488"/>
    <n v="20300294880"/>
    <d v="1983-10-21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5"/>
    <x v="13"/>
    <s v="ACCESO ALEM"/>
    <s v="Asistente"/>
    <s v="Asistente"/>
    <s v="CCK"/>
    <s v="CCK - Alem 351"/>
    <s v="CARRUTHERS FEDERICO"/>
    <s v="DNI"/>
    <n v="37274121"/>
    <s v="20372741210"/>
    <d v="1992-12-28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2"/>
    <x v="2"/>
    <m/>
    <m/>
    <s v="MANTENIMIENTO DE ESPACIOS VERDES"/>
    <m/>
    <s v="TECNOPOLIS"/>
    <s v="CARUSO DIEGO EZEQUIEL"/>
    <s v="DNI"/>
    <n v="38423281"/>
    <s v="20384232818"/>
    <d v="1994-07-20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PRODUCCIÓN"/>
    <s v="PRODUCTOR de EXTERIORES"/>
    <s v="CABILDO 65"/>
    <s v="CABILDO 65"/>
    <s v="CASADO MARIANO"/>
    <s v="DNI"/>
    <n v="33305513"/>
    <s v="23333055139"/>
    <d v="1987-08-10T00:00:00"/>
    <m/>
    <m/>
    <m/>
    <m/>
    <s v="ASISTENCIA TÉCNICA"/>
    <s v="AT"/>
    <d v="2012-05-01T00:00:00"/>
    <m/>
    <d v="2016-12-31T00:00:00"/>
    <m/>
    <s v="UNTREF"/>
    <m/>
    <n v="1000"/>
    <n v="1000"/>
    <n v="1170"/>
    <n v="1310"/>
    <n v="1310"/>
  </r>
  <r>
    <s v="SFMyCP"/>
    <x v="0"/>
    <x v="1"/>
    <x v="1"/>
    <x v="1"/>
    <x v="1"/>
    <m/>
    <m/>
    <s v="ADMINISTRATIVO"/>
    <m/>
    <s v="CCK - Alem 351"/>
    <s v="CASAK ANDRES"/>
    <s v="DNI"/>
    <n v="23470508"/>
    <n v="20234705084"/>
    <d v="1973-08-19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CASCO GUILLERMO"/>
    <s v="DNI"/>
    <n v="29721412"/>
    <s v="20297214129"/>
    <d v="1982-11-22T00:00:00"/>
    <m/>
    <m/>
    <m/>
    <m/>
    <s v="ASISTENCIA TÉCNICA"/>
    <s v="AT"/>
    <d v="2012-04-16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9"/>
    <x v="2"/>
    <m/>
    <s v="ADMINISTRATIVO"/>
    <m/>
    <s v="TECNÓPOLIS"/>
    <m/>
    <s v="CASTELLI Carla"/>
    <s v="DNI"/>
    <n v="36702151"/>
    <n v="27367021514"/>
    <m/>
    <m/>
    <m/>
    <m/>
    <m/>
    <s v="LEY MARCO"/>
    <s v="LM"/>
    <d v="2010-11-01T00:00:00"/>
    <d v="2016-12-31T00:00:00"/>
    <d v="2016-12-31T00:00:00"/>
    <s v="C1"/>
    <m/>
    <m/>
    <n v="1000"/>
    <m/>
    <n v="1170"/>
    <n v="1310"/>
    <n v="1310"/>
  </r>
  <r>
    <s v="SFMyCP"/>
    <x v="0"/>
    <x v="1"/>
    <x v="1"/>
    <x v="26"/>
    <x v="2"/>
    <m/>
    <m/>
    <s v="OPERACIÓN/MONTAJE/MANTENIMIENTO"/>
    <m/>
    <s v="CCK - Alem 351"/>
    <s v="CASTELLUCCI MARIANA"/>
    <s v="DNI"/>
    <n v="27627728"/>
    <n v="20276277281"/>
    <d v="1979-08-22T00:00:00"/>
    <m/>
    <m/>
    <m/>
    <m/>
    <s v="ASISTENCIA TÉCNICA"/>
    <s v="AT"/>
    <d v="2016-07-01T00:00:00"/>
    <m/>
    <d v="2016-08-31T00:00:00"/>
    <m/>
    <s v="UNTREF"/>
    <m/>
    <m/>
    <m/>
    <n v="1170"/>
    <n v="0"/>
    <m/>
  </r>
  <r>
    <s v="SFMyCP"/>
    <x v="0"/>
    <x v="1"/>
    <x v="1"/>
    <x v="5"/>
    <x v="13"/>
    <s v="ACCESO BOUCHARD"/>
    <s v="Asistente"/>
    <s v="Asistente"/>
    <s v="CCK"/>
    <s v="CCK - Alem 351"/>
    <s v="CASTIELLO NICOLAS"/>
    <s v="DNI"/>
    <n v="36948427"/>
    <s v="20369484274"/>
    <d v="1992-09-16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4"/>
    <x v="2"/>
    <m/>
    <s v="COCINA"/>
    <s v="SUPERVISÓN CONTROL DE CALIDAD DE MERCADERÍA/ISO"/>
    <s v="TECNÓPOLIS"/>
    <s v="TECNOPOLIS"/>
    <s v="CASTILLO  MARIA ANGELES"/>
    <s v="DNI"/>
    <n v="29582611"/>
    <s v="27295826113"/>
    <d v="1982-06-10T00:00:00"/>
    <m/>
    <m/>
    <m/>
    <m/>
    <s v="ASISTENCIA TÉCNICA"/>
    <s v="AT"/>
    <d v="2015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2"/>
    <s v="LOGISTICA OPERATIVA"/>
    <s v="Auxiliar de Mantenimiento"/>
    <s v="Auxiliar de Mantenimiento"/>
    <s v="CCK"/>
    <s v="CCK - Alem 351"/>
    <s v="CASTILLO ENZO"/>
    <s v="DNI"/>
    <n v="23490897"/>
    <n v="20234908972"/>
    <d v="1990-05-15T00:00:00"/>
    <m/>
    <m/>
    <m/>
    <m/>
    <s v="ASISTENCIA TÉCNICA"/>
    <s v="AT"/>
    <d v="2015-07-03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3"/>
    <x v="2"/>
    <m/>
    <m/>
    <s v="LIMPIEZA DE OFICINAS/BAÑOS Y CAFETARIA DEL IBC"/>
    <s v="CCK"/>
    <s v="CCK - Alem 351"/>
    <s v="CASTRO  MARIA INES"/>
    <s v="DNI"/>
    <n v="13165661"/>
    <s v="27131656616"/>
    <d v="1957-04-07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0"/>
    <x v="0"/>
    <m/>
    <s v="GESTION DE PROYECTOS"/>
    <s v="ANALISTA"/>
    <s v="PALPALÁ-JUJUY"/>
    <s v="PALPALÁ-JUJUY"/>
    <s v="CASTRO ABRAHAM"/>
    <s v="DNI"/>
    <n v="25287129"/>
    <n v="20252871293"/>
    <d v="1976-07-15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CASTRO ANALIA"/>
    <s v="DNI"/>
    <n v="25325251"/>
    <s v="27253252516"/>
    <d v="1976-07-21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3"/>
    <x v="2"/>
    <m/>
    <m/>
    <m/>
    <s v="TECNÓPOLIS"/>
    <m/>
    <s v="CASTRO Diego Fernando"/>
    <s v="DNI"/>
    <n v="22885684"/>
    <n v="20228856844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CATERBERG LEANDRO"/>
    <s v="DNI"/>
    <n v="30930552"/>
    <s v="20309305524"/>
    <d v="1984-04-11T00:00:00"/>
    <m/>
    <m/>
    <m/>
    <m/>
    <s v="ASISTENCIA TÉCNICA"/>
    <s v="AT"/>
    <d v="2013-04-13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3"/>
    <x v="2"/>
    <m/>
    <m/>
    <m/>
    <s v="CCK"/>
    <s v="CCK - Alem 351"/>
    <s v="CATTANEO Juan Ignacio"/>
    <s v="DNI"/>
    <n v="30862762"/>
    <n v="20308627625"/>
    <m/>
    <m/>
    <m/>
    <m/>
    <m/>
    <s v="LEY MARCO"/>
    <s v="LM"/>
    <d v="2012-11-30T00:00:00"/>
    <d v="2016-12-31T00:00:00"/>
    <d v="2016-12-31T00:00:00"/>
    <s v="D0"/>
    <m/>
    <m/>
    <n v="1000"/>
    <m/>
    <n v="1170"/>
    <n v="1310"/>
    <n v="1310"/>
  </r>
  <r>
    <s v="SFMyCP"/>
    <x v="0"/>
    <x v="0"/>
    <x v="9"/>
    <x v="2"/>
    <x v="2"/>
    <m/>
    <s v="DIRECTOR"/>
    <s v="COORDINACIÖN"/>
    <m/>
    <s v="CCK - Alem 351"/>
    <s v="CAVA, FERNANDA"/>
    <s v="DNI"/>
    <n v="21588783"/>
    <n v="27215887834"/>
    <d v="1970-06-26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4"/>
    <x v="2"/>
    <x v="2"/>
    <m/>
    <s v="ASISTENTE"/>
    <m/>
    <s v="CCK"/>
    <m/>
    <s v="CELANO  JUAN MANUEL"/>
    <s v="DNI"/>
    <n v="28792441"/>
    <n v="20287924411"/>
    <m/>
    <m/>
    <m/>
    <m/>
    <m/>
    <s v="LEY MARCO"/>
    <s v="LM"/>
    <d v="2015-05-01T00:00:00"/>
    <d v="2016-03-31T00:00:00"/>
    <d v="2016-12-31T00:00:00"/>
    <s v="B0"/>
    <m/>
    <m/>
    <n v="1000"/>
    <m/>
    <n v="1170"/>
    <n v="1310"/>
    <n v="1310"/>
  </r>
  <r>
    <s v="SFMyCP"/>
    <x v="0"/>
    <x v="1"/>
    <x v="3"/>
    <x v="14"/>
    <x v="2"/>
    <m/>
    <m/>
    <s v="ATENCIÓN DE MOSTRADOR"/>
    <s v="TECNÓPOLIS"/>
    <s v="TECNOPOLIS"/>
    <s v="CENA RODOLFO ELIAS"/>
    <s v="DNI"/>
    <n v="38854457"/>
    <s v="20388544571"/>
    <d v="1995-05-24T00:00:00"/>
    <m/>
    <m/>
    <m/>
    <m/>
    <s v="ASISTENCIA TÉCNICA"/>
    <s v="AT"/>
    <d v="2013-08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6"/>
    <m/>
    <s v="Analista de RR.HH."/>
    <s v="ADMINISTRATIVO"/>
    <s v="CCK"/>
    <s v="CCK - Alem 351"/>
    <s v="CERINI CAROLINA "/>
    <s v="DNI"/>
    <n v="27259209"/>
    <s v="27272592093"/>
    <d v="1979-04-19T00:00:00"/>
    <m/>
    <m/>
    <m/>
    <m/>
    <s v="ASISTENCIA TÉCNICA"/>
    <s v="AT"/>
    <d v="2015-09-11T00:00:00"/>
    <m/>
    <d v="2016-12-31T00:00:00"/>
    <m/>
    <s v="UNTREF"/>
    <s v="UNLAM -TDA"/>
    <n v="1000"/>
    <n v="1070"/>
    <n v="1170"/>
    <n v="1310"/>
    <n v="1310"/>
  </r>
  <r>
    <s v="SFMyCP"/>
    <x v="1"/>
    <x v="0"/>
    <x v="5"/>
    <x v="25"/>
    <x v="2"/>
    <m/>
    <m/>
    <m/>
    <m/>
    <m/>
    <s v="CERNIUS GUSTAVO ALBERTO"/>
    <s v="DNI"/>
    <n v="21915097"/>
    <n v="20219150971"/>
    <m/>
    <m/>
    <m/>
    <m/>
    <m/>
    <s v="LEY MARCO"/>
    <s v="LM"/>
    <d v="2015-03-01T00:00:00"/>
    <d v="2016-03-31T00:00:00"/>
    <d v="2016-12-31T00:00:00"/>
    <s v="B1"/>
    <m/>
    <m/>
    <n v="1000"/>
    <m/>
    <n v="1170"/>
    <n v="1310"/>
    <n v="1310"/>
  </r>
  <r>
    <s v="SFMyCP"/>
    <x v="0"/>
    <x v="1"/>
    <x v="1"/>
    <x v="15"/>
    <x v="2"/>
    <m/>
    <s v="Asistente funcional"/>
    <s v="asistente funcional"/>
    <s v="CCK"/>
    <s v="CCK - Alem 351"/>
    <s v="CES OZAN CAROLINA"/>
    <s v="DNI"/>
    <n v="35172281"/>
    <s v="27351722814"/>
    <d v="1990-04-10T00:00:00"/>
    <m/>
    <m/>
    <m/>
    <m/>
    <s v="ASISTENCIA TÉCNICA"/>
    <s v="AT"/>
    <d v="2013-09-02T00:00:00"/>
    <m/>
    <d v="2016-12-31T00:00:00"/>
    <m/>
    <s v="UNTREF"/>
    <s v="UNLAM- DGA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CESPEDES MARICONDA VICTORIA"/>
    <s v="DNI"/>
    <n v="33761570"/>
    <n v="27337615703"/>
    <d v="1988-10-18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CHACON PABLO GREGORIO"/>
    <s v="DNI"/>
    <n v="30012181"/>
    <n v="20300121811"/>
    <d v="1983-04-28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8"/>
    <x v="2"/>
    <m/>
    <m/>
    <m/>
    <s v="TECNÓPOLIS"/>
    <m/>
    <s v="CHAPARRO Yanina"/>
    <s v="DNI"/>
    <n v="28620660"/>
    <n v="27286206609"/>
    <m/>
    <m/>
    <m/>
    <m/>
    <m/>
    <s v="LEY MARCO"/>
    <s v="LM"/>
    <d v="2012-11-30T00:00:00"/>
    <d v="2016-12-31T00:00:00"/>
    <d v="2016-12-31T00:00:00"/>
    <s v="D0"/>
    <m/>
    <m/>
    <n v="1000"/>
    <m/>
    <n v="1170"/>
    <n v="1310"/>
    <n v="1310"/>
  </r>
  <r>
    <s v="SFMyCP"/>
    <x v="0"/>
    <x v="1"/>
    <x v="3"/>
    <x v="26"/>
    <x v="2"/>
    <m/>
    <m/>
    <s v="PRODUCCIÓN DE CAMPO/LOGISTICA/ARMADO"/>
    <s v="TECNÓPOLIS"/>
    <s v="TECNOPOLIS"/>
    <s v="CHAVES  JUAN CARLOS"/>
    <s v="DNI"/>
    <n v="17110640"/>
    <s v="20171106401"/>
    <d v="1964-12-13T00:00:00"/>
    <m/>
    <m/>
    <m/>
    <m/>
    <s v="ASISTENCIA TÉCNICA"/>
    <s v="AT"/>
    <d v="2013-03-06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9"/>
    <x v="2"/>
    <m/>
    <m/>
    <m/>
    <s v="TECNÓPOLIS"/>
    <m/>
    <s v="CHAVES Anahí Soledad"/>
    <s v="DNI"/>
    <n v="38128842"/>
    <n v="27381288426"/>
    <m/>
    <m/>
    <m/>
    <m/>
    <m/>
    <s v="LEY MARCO"/>
    <s v="LM"/>
    <d v="2012-11-30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5"/>
    <x v="3"/>
    <s v="LIMPIEZA (En comisión Tecnópolis)"/>
    <s v="Asistente"/>
    <s v="OPERATIVA Y LOGISTICA"/>
    <s v="CCK"/>
    <s v="CCK - Alem 351"/>
    <s v="CHEMES, MARIANO"/>
    <s v="DNI"/>
    <n v="34435620"/>
    <s v="20344356204"/>
    <d v="1978-11-04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ANORAMA ARGENTINO"/>
    <s v="PRODUCTOR de EXTERIORES"/>
    <s v="CABILDO 65"/>
    <s v="CABILDO 65"/>
    <s v="CHIMENTON LOURDES"/>
    <s v="DNI"/>
    <n v="27108257"/>
    <s v="27271082571"/>
    <d v="1979-03-27T00:00:00"/>
    <m/>
    <m/>
    <m/>
    <m/>
    <s v="ASISTENCIA TÉCNICA"/>
    <s v="AT"/>
    <d v="2011-09-26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2"/>
    <x v="2"/>
    <m/>
    <m/>
    <m/>
    <s v="TECNÓPOLIS"/>
    <m/>
    <s v="CHIOCCONI Carlos Alberto"/>
    <s v="DNI"/>
    <n v="11230423"/>
    <n v="20112304232"/>
    <m/>
    <m/>
    <m/>
    <m/>
    <m/>
    <s v="LEY MARCO"/>
    <s v="LM"/>
    <d v="2012-12-01T00:00:00"/>
    <d v="2016-12-31T00:00:00"/>
    <d v="2016-12-31T00:00:00"/>
    <s v="B5"/>
    <m/>
    <m/>
    <n v="1000"/>
    <m/>
    <n v="1170"/>
    <n v="1310"/>
    <n v="1310"/>
  </r>
  <r>
    <s v="SFMyCP"/>
    <x v="0"/>
    <x v="0"/>
    <x v="0"/>
    <x v="8"/>
    <x v="6"/>
    <m/>
    <s v="ADMINISTRACIÓN"/>
    <m/>
    <s v="CABILDO 65"/>
    <m/>
    <s v="CHRISTENSEN ANDREA VANINA"/>
    <s v="DNI"/>
    <n v="30220115"/>
    <n v="27302201159"/>
    <m/>
    <m/>
    <m/>
    <m/>
    <m/>
    <s v="LEY MARCO"/>
    <s v="LM"/>
    <d v="2012-12-01T00:00:00"/>
    <d v="2016-12-31T00:00:00"/>
    <d v="2016-12-31T00:00:00"/>
    <s v="C1"/>
    <m/>
    <m/>
    <n v="1000"/>
    <m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CIARLANTINI DARIO"/>
    <s v="DNI"/>
    <n v="36086015"/>
    <s v="23360860159"/>
    <d v="1991-10-01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1"/>
    <x v="0"/>
    <x v="2"/>
    <x v="2"/>
    <x v="2"/>
    <m/>
    <s v="PRIVADA"/>
    <s v="ADMINISTRATIVO"/>
    <m/>
    <s v="CCK - Alem 351"/>
    <s v="CIBEIRA, MARIA"/>
    <s v="DNI"/>
    <n v="16975219"/>
    <s v="27169752198"/>
    <d v="1964-04-17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5"/>
    <x v="20"/>
    <m/>
    <s v="Asistente"/>
    <s v="Asistente"/>
    <s v="CCK"/>
    <s v="CCK - Alem 351"/>
    <s v="CICCOTOSTTO ROMINA"/>
    <s v="DNI"/>
    <n v="18882003"/>
    <s v="23188820034"/>
    <d v="1989-05-10T00:00:00"/>
    <m/>
    <m/>
    <m/>
    <m/>
    <s v="ASISTENCIA TÉCNICA"/>
    <s v="AT"/>
    <d v="2014-02-01T00:00:00"/>
    <m/>
    <d v="2016-12-31T00:00:00"/>
    <m/>
    <s v="UNTREF"/>
    <s v="UNLAM- DGA"/>
    <n v="1000"/>
    <n v="1070"/>
    <n v="1170"/>
    <n v="1310"/>
    <n v="1310"/>
  </r>
  <r>
    <s v="SFMyCP"/>
    <x v="0"/>
    <x v="1"/>
    <x v="1"/>
    <x v="10"/>
    <x v="2"/>
    <m/>
    <s v="Coordinación"/>
    <s v="ADMINISTRATIVA"/>
    <s v="CCK"/>
    <s v="CCK - Alem 351"/>
    <s v="CIORDIA, GENOVEVA SUSANA"/>
    <s v="DNI"/>
    <n v="16975165"/>
    <s v="27169751655"/>
    <d v="1964-06-10T00:00:00"/>
    <m/>
    <m/>
    <m/>
    <m/>
    <s v="ASISTENCIA TÉCNICA"/>
    <s v="AT"/>
    <d v="2015-12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"/>
    <x v="2"/>
    <m/>
    <s v="PRIVADA"/>
    <s v="ADMINISTRATIVO"/>
    <m/>
    <s v="TECNOPOLIS"/>
    <s v="CLAUDINO MARIELA"/>
    <s v="DNI"/>
    <n v="26934949"/>
    <n v="27269349498"/>
    <d v="1978-10-21T00:00:00"/>
    <m/>
    <m/>
    <m/>
    <m/>
    <s v="ASISTENCIA TÉCNICA"/>
    <s v="AT"/>
    <d v="2016-03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BACUA"/>
    <s v="ADMINISTRATIVO"/>
    <s v="CABILDO 65"/>
    <s v="CABILDO 65"/>
    <s v="COLER PAOLA"/>
    <s v="DNI"/>
    <n v="26364795"/>
    <s v="27263647950"/>
    <d v="1978-02-13T00:00:00"/>
    <m/>
    <m/>
    <m/>
    <m/>
    <s v="ASISTENCIA TÉCNICA"/>
    <s v="AT"/>
    <d v="2011-07-18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COLO DANIELA"/>
    <s v="DNI"/>
    <n v="31174675"/>
    <s v="27311746753"/>
    <d v="1984-09-04T00:00:00"/>
    <m/>
    <m/>
    <m/>
    <m/>
    <s v="ASISTENCIA TÉCNICA"/>
    <s v="AT"/>
    <d v="2015-08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32"/>
    <x v="2"/>
    <m/>
    <s v="ADMINISTRATIVO"/>
    <m/>
    <s v="TECNÓPOLIS"/>
    <m/>
    <s v="COLONNA Marilyn"/>
    <s v="DNI"/>
    <n v="29919350"/>
    <n v="27109341202"/>
    <m/>
    <m/>
    <m/>
    <m/>
    <m/>
    <s v="LEY MARCO"/>
    <s v="LM"/>
    <d v="2014-02-01T00:00:00"/>
    <d v="2016-03-31T00:00:00"/>
    <d v="2016-12-31T00:00:00"/>
    <s v="C1"/>
    <m/>
    <m/>
    <n v="1000"/>
    <m/>
    <n v="1170"/>
    <n v="1310"/>
    <n v="1310"/>
  </r>
  <r>
    <s v="SFMyCP"/>
    <x v="0"/>
    <x v="1"/>
    <x v="1"/>
    <x v="15"/>
    <x v="10"/>
    <m/>
    <m/>
    <s v="VISITAS GUIADAS"/>
    <m/>
    <s v="CCK - Alem 351"/>
    <s v="CONCILIO MARIA DEL ROSARIO"/>
    <s v="DNI"/>
    <n v="39245263"/>
    <n v="27392452635"/>
    <d v="1995-09-11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1"/>
    <x v="1"/>
    <x v="33"/>
    <x v="2"/>
    <m/>
    <s v="Jefe de Gabinete"/>
    <s v="Asistente"/>
    <s v="CCK"/>
    <s v="CCK - Alem 351"/>
    <s v="CONSIGLI, JULIANA"/>
    <s v="DNI"/>
    <n v="22896765"/>
    <s v="27228967659"/>
    <d v="1973-01-0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"/>
    <x v="2"/>
    <m/>
    <s v="PRIVADA"/>
    <s v="ADMINISTRATIVO"/>
    <m/>
    <s v="CCK - Alem 351"/>
    <s v="COPELLO ALEJANDRO"/>
    <s v="DNI"/>
    <n v="12945483"/>
    <s v="20129454831"/>
    <d v="1958-10-1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COPELLO MARINA"/>
    <s v="DNI"/>
    <n v="29041166"/>
    <s v="27290411667"/>
    <d v="1981-09-0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CORIAS IACOVINO ADRIEL"/>
    <s v="DNI"/>
    <n v="31912459"/>
    <s v="20319124595"/>
    <d v="1985-10-27T00:00:00"/>
    <m/>
    <m/>
    <m/>
    <m/>
    <s v="ASISTENCIA TÉCNICA"/>
    <s v="AT"/>
    <d v="2013-10-08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"/>
    <x v="2"/>
    <m/>
    <s v="PRIVADA"/>
    <m/>
    <s v="TECNÓPOLIS"/>
    <m/>
    <s v="ACHAVAL PABLO"/>
    <s v="DNI"/>
    <n v="37206132"/>
    <n v="20372061325"/>
    <m/>
    <m/>
    <m/>
    <m/>
    <m/>
    <s v="ASISTENCIA TÉCNICA"/>
    <s v="AT"/>
    <m/>
    <m/>
    <m/>
    <m/>
    <m/>
    <m/>
    <m/>
    <m/>
    <n v="1170"/>
    <n v="0"/>
    <n v="0"/>
  </r>
  <r>
    <s v="SFMyCP"/>
    <x v="0"/>
    <x v="1"/>
    <x v="3"/>
    <x v="2"/>
    <x v="2"/>
    <m/>
    <s v="PRIVADA"/>
    <m/>
    <s v="TECNÓPOLIS"/>
    <m/>
    <s v="CASTELLANOS ANA MARIEL"/>
    <s v="DNI"/>
    <n v="25539605"/>
    <m/>
    <m/>
    <m/>
    <m/>
    <m/>
    <m/>
    <s v="ASISTENCIA TÉCNICA"/>
    <s v="AT"/>
    <m/>
    <m/>
    <m/>
    <m/>
    <m/>
    <m/>
    <m/>
    <m/>
    <n v="1170"/>
    <n v="0"/>
    <n v="0"/>
  </r>
  <r>
    <s v="SFMyCP"/>
    <x v="0"/>
    <x v="1"/>
    <x v="3"/>
    <x v="26"/>
    <x v="2"/>
    <m/>
    <m/>
    <s v="OPERACIÓN/MONTAJE/MANTENIMIENTO"/>
    <s v="TECNÓPOLIS"/>
    <s v="TECNOPOLIS"/>
    <s v="CORONEL MARCELO ADRIAN"/>
    <s v="DNI"/>
    <n v="27287977"/>
    <s v="20272879770"/>
    <d v="1979-06-03T00:00:00"/>
    <m/>
    <m/>
    <m/>
    <m/>
    <s v="ASISTENCIA TÉCNICA"/>
    <s v="AT"/>
    <d v="2013-04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CORSALINI MARCO PABLO"/>
    <s v="DNI"/>
    <n v="39372628"/>
    <n v="20393726289"/>
    <d v="1995-11-03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3"/>
    <x v="2"/>
    <m/>
    <m/>
    <m/>
    <s v="TECNÓPOLIS"/>
    <m/>
    <s v="CORTEZ Silvia Luisa"/>
    <s v="DNI"/>
    <n v="20688117"/>
    <n v="27206881173"/>
    <m/>
    <m/>
    <m/>
    <m/>
    <m/>
    <s v="LEY MARCO"/>
    <s v="LM"/>
    <d v="2012-01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16"/>
    <x v="11"/>
    <s v="AUTOMOTORES"/>
    <s v="CHOFER"/>
    <m/>
    <m/>
    <m/>
    <s v="COSTA ANABELLA ROXANA"/>
    <s v="DNI"/>
    <n v="22305941"/>
    <n v="23223059414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1"/>
    <x v="1"/>
    <x v="1"/>
    <x v="1"/>
    <m/>
    <m/>
    <s v="ADMINISTRATIVO"/>
    <m/>
    <s v="CCK - Alem 351"/>
    <s v="COSTA IVANA"/>
    <s v="DNI"/>
    <n v="20593034"/>
    <n v="27205930340"/>
    <d v="1968-10-11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34"/>
    <x v="2"/>
    <m/>
    <m/>
    <m/>
    <s v="TECNÓPOLIS"/>
    <m/>
    <s v="CRETELLA Pablo Gabriel"/>
    <s v="DNI"/>
    <n v="17233895"/>
    <n v="20172338950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3"/>
    <x v="2"/>
    <m/>
    <m/>
    <m/>
    <s v="CCK"/>
    <s v="CCK - Alem 351"/>
    <s v="CREVATINI  María Sol"/>
    <s v="DNI"/>
    <n v="30366685"/>
    <n v="27303666856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0"/>
    <x v="0"/>
    <m/>
    <s v="DISEÑO"/>
    <s v="ANALISTA"/>
    <s v="PALPALÁ-JUJUY"/>
    <s v="PALPALÁ-JUJUY"/>
    <s v="CRUZ MATEO EZEQUIEL"/>
    <s v="DNI"/>
    <n v="30666242"/>
    <n v="20306662423"/>
    <d v="1984-05-22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BACUA"/>
    <m/>
    <s v="CABILDO 65"/>
    <m/>
    <s v="CUASNICU JULIA"/>
    <s v="DNI"/>
    <n v="24940117"/>
    <n v="27249401175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0"/>
    <x v="1"/>
    <x v="3"/>
    <x v="19"/>
    <x v="2"/>
    <m/>
    <m/>
    <m/>
    <s v="TECNÓPOLIS"/>
    <m/>
    <s v="CUELLAR Jonathan Nahuel"/>
    <s v="DNI"/>
    <n v="36644944"/>
    <n v="20366449443"/>
    <m/>
    <m/>
    <m/>
    <m/>
    <m/>
    <s v="LEY MARCO"/>
    <s v="LM"/>
    <d v="2012-03-01T00:00:00"/>
    <d v="2016-12-31T00:00:00"/>
    <d v="2016-12-31T00:00:00"/>
    <s v="D0"/>
    <m/>
    <m/>
    <n v="1000"/>
    <m/>
    <n v="1170"/>
    <n v="1310"/>
    <n v="1310"/>
  </r>
  <r>
    <s v="SFMyCP"/>
    <x v="1"/>
    <x v="0"/>
    <x v="5"/>
    <x v="16"/>
    <x v="14"/>
    <m/>
    <s v="Enfermera/o"/>
    <s v="ADMINISTRATIVO"/>
    <m/>
    <s v="CCK - Alem 351"/>
    <s v="CUELLAR OLGA"/>
    <s v="DNI"/>
    <n v="14799602"/>
    <n v="27147996026"/>
    <d v="1962-08-24T00:00:00"/>
    <m/>
    <m/>
    <m/>
    <m/>
    <s v="ASISTENCIA TÉCNICA"/>
    <s v="AT"/>
    <d v="2016-07-14T00:00:00"/>
    <m/>
    <d v="2016-12-31T00:00:00"/>
    <m/>
    <s v="UNTREF"/>
    <m/>
    <m/>
    <m/>
    <n v="1170"/>
    <n v="0"/>
    <n v="0"/>
  </r>
  <r>
    <s v="SFMyCP"/>
    <x v="1"/>
    <x v="0"/>
    <x v="5"/>
    <x v="16"/>
    <x v="11"/>
    <s v="AUTOMOTORES"/>
    <s v="CHOFER"/>
    <m/>
    <s v="CCK"/>
    <m/>
    <s v="CUEVAS DANIEL"/>
    <s v="DNI"/>
    <n v="18315881"/>
    <n v="20183158814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CUEVAS, GUSTAVO"/>
    <s v="DNI"/>
    <n v="24753217"/>
    <s v="20247532170"/>
    <d v="1975-07-2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BACUA"/>
    <s v="ADMINISTRATIVO"/>
    <s v="CABILDO 65"/>
    <s v="CABILDO 65"/>
    <s v="CURRAS OSCAR"/>
    <s v="DNI"/>
    <n v="94614938"/>
    <s v="20946149382"/>
    <d v="1973-08-31T00:00:00"/>
    <m/>
    <m/>
    <m/>
    <m/>
    <s v="ASISTENCIA TÉCNICA"/>
    <s v="AT"/>
    <d v="2011-09-22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31"/>
    <x v="2"/>
    <m/>
    <m/>
    <s v="CONTROL/SUPERVICION DE LA LIMPIEZA PREDIO"/>
    <s v="TECNÓPOLIS"/>
    <s v="TECNOPOLIS"/>
    <s v="CUSI MARIEL"/>
    <s v="DNI"/>
    <n v="23652019"/>
    <s v="27236520191"/>
    <d v="1974-01-10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5"/>
    <x v="2"/>
    <m/>
    <m/>
    <m/>
    <s v="TECNÓPOLIS"/>
    <m/>
    <s v="D´AMBROSIO Mara"/>
    <s v="DNI"/>
    <n v="26263263"/>
    <n v="27262632631"/>
    <m/>
    <m/>
    <m/>
    <m/>
    <m/>
    <s v="LEY MARCO"/>
    <s v="LM"/>
    <d v="2011-12-01T00:00:00"/>
    <d v="2016-12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D´ANGELO LORENZO"/>
    <s v="DNI"/>
    <n v="62695520"/>
    <s v="20626955208"/>
    <d v="1980-04-03T00:00:00"/>
    <m/>
    <m/>
    <m/>
    <m/>
    <s v="ASISTENCIA TÉCNICA"/>
    <s v="AT"/>
    <d v="2015-07-01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D´AURIA LEONARDO"/>
    <s v="DNI"/>
    <n v="28800211"/>
    <s v="20288002119"/>
    <d v="1981-03-28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7"/>
    <x v="2"/>
    <m/>
    <s v="ADMINISTRACIÓN"/>
    <s v="ADMINISTRATIVO"/>
    <m/>
    <s v="CCK - Alem 351"/>
    <s v="D´HERS JUAN"/>
    <s v="DNI"/>
    <n v="32628904"/>
    <s v="20326289044"/>
    <d v="1986-12-19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1"/>
    <x v="0"/>
    <x v="5"/>
    <x v="7"/>
    <x v="2"/>
    <m/>
    <m/>
    <m/>
    <m/>
    <m/>
    <s v="D´HERS TOMAS"/>
    <s v="DNI"/>
    <n v="34783483"/>
    <n v="20347834832"/>
    <m/>
    <m/>
    <m/>
    <m/>
    <m/>
    <s v="LEY MARCO"/>
    <s v="LM"/>
    <d v="2008-04-01T00:00:00"/>
    <d v="2016-12-31T00:00:00"/>
    <d v="2016-12-31T00:00:00"/>
    <s v="A0"/>
    <m/>
    <m/>
    <n v="1000"/>
    <m/>
    <n v="1170"/>
    <n v="1310"/>
    <n v="1310"/>
  </r>
  <r>
    <s v="SFMyCP"/>
    <x v="1"/>
    <x v="0"/>
    <x v="5"/>
    <x v="36"/>
    <x v="2"/>
    <m/>
    <s v="Asistente"/>
    <s v="Asistente"/>
    <s v="CCK"/>
    <s v="CCK - Alem 351"/>
    <s v="DAGUANNO FLORENCIA CAROLINA"/>
    <s v="DNI"/>
    <n v="35378165"/>
    <s v="27353781656"/>
    <d v="1990-12-29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19"/>
    <x v="2"/>
    <m/>
    <m/>
    <m/>
    <s v="TECNÓPOLIS"/>
    <m/>
    <s v="DALIA Gonzalo Martin"/>
    <s v="DNI"/>
    <n v="33530306"/>
    <n v="20335303068"/>
    <m/>
    <m/>
    <m/>
    <m/>
    <m/>
    <s v="LEY MARCO"/>
    <s v="LM"/>
    <d v="2011-07-01T00:00:00"/>
    <d v="2016-12-31T00:00:00"/>
    <d v="2016-12-31T00:00:00"/>
    <s v="D1"/>
    <m/>
    <m/>
    <n v="1000"/>
    <m/>
    <n v="1170"/>
    <n v="1310"/>
    <n v="1310"/>
  </r>
  <r>
    <s v="SFMyCP"/>
    <x v="0"/>
    <x v="1"/>
    <x v="1"/>
    <x v="5"/>
    <x v="13"/>
    <s v="SOPORTE ADMINISTRATIVO"/>
    <s v="ADMINISTRATIVA"/>
    <s v="Auxiliar"/>
    <s v="CCK"/>
    <s v="CCK - Alem 351"/>
    <s v="DANIEL DANIRA"/>
    <s v="DNI"/>
    <n v="93355924"/>
    <s v="27933559241"/>
    <d v="1990-10-30T00:00:00"/>
    <m/>
    <m/>
    <m/>
    <m/>
    <s v="ASISTENCIA TÉCNICA"/>
    <s v="AT"/>
    <d v="2015-07-20T00:00:00"/>
    <m/>
    <d v="2016-12-31T00:00:00"/>
    <m/>
    <s v="UNTREF"/>
    <s v="UNLAM- BICENTENARIO"/>
    <n v="1000"/>
    <n v="1070"/>
    <n v="1170"/>
    <n v="1310"/>
    <n v="1310"/>
  </r>
  <r>
    <s v="SFMyCP"/>
    <x v="0"/>
    <x v="0"/>
    <x v="6"/>
    <x v="11"/>
    <x v="2"/>
    <m/>
    <m/>
    <s v="ADMINISTRATIVO"/>
    <m/>
    <s v="CCK - Alem 351"/>
    <s v="DE ARTEAGA ALICIA MARIA"/>
    <s v="DNI"/>
    <n v="6398055"/>
    <n v="27063980558"/>
    <d v="1950-08-15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19"/>
    <x v="2"/>
    <m/>
    <m/>
    <m/>
    <s v="TECNÓPOLIS"/>
    <m/>
    <s v="DE CESARE Martin Julian"/>
    <s v="DNI"/>
    <n v="36949353"/>
    <n v="20369493532"/>
    <m/>
    <m/>
    <m/>
    <m/>
    <m/>
    <s v="LEY MARCO"/>
    <s v="LM"/>
    <d v="2013-05-01T00:00:00"/>
    <d v="2016-03-31T00:00:00"/>
    <d v="2016-12-31T00:00:00"/>
    <s v="D1"/>
    <m/>
    <m/>
    <n v="1000"/>
    <m/>
    <n v="1170"/>
    <n v="1310"/>
    <n v="1310"/>
  </r>
  <r>
    <s v="SFMyCP"/>
    <x v="0"/>
    <x v="0"/>
    <x v="6"/>
    <x v="11"/>
    <x v="2"/>
    <m/>
    <m/>
    <s v="ADMINISTRATIVO"/>
    <m/>
    <s v="CCK - Alem 351"/>
    <s v="DE GANAY AGUSTINA"/>
    <s v="DNI"/>
    <n v="34434699"/>
    <s v="24344346999"/>
    <d v="1989-02-24T00:00:00"/>
    <m/>
    <m/>
    <m/>
    <m/>
    <s v="ASISTENCIA TÉCNICA"/>
    <s v="AT"/>
    <d v="2016-01-01T00:00:00"/>
    <m/>
    <d v="2016-12-31T00:00:00"/>
    <m/>
    <s v="UNTREF"/>
    <m/>
    <n v="1000"/>
    <n v="1070"/>
    <n v="1170"/>
    <n v="1310"/>
    <n v="1310"/>
  </r>
  <r>
    <s v="SFMyCP"/>
    <x v="0"/>
    <x v="1"/>
    <x v="1"/>
    <x v="10"/>
    <x v="2"/>
    <s v="(IGUALDAD CULTURAL)"/>
    <m/>
    <m/>
    <s v="CCK"/>
    <m/>
    <s v="DE GENNARO LUCÍA"/>
    <s v="DNI"/>
    <n v="26068613"/>
    <n v="27260686130"/>
    <m/>
    <m/>
    <m/>
    <m/>
    <m/>
    <s v="LEY MARCO"/>
    <s v="LM"/>
    <d v="2011-10-10T00:00:00"/>
    <d v="2016-12-31T00:00:00"/>
    <d v="2016-12-31T00:00:00"/>
    <s v="A0"/>
    <m/>
    <m/>
    <n v="1000"/>
    <m/>
    <n v="1170"/>
    <n v="1310"/>
    <n v="1310"/>
  </r>
  <r>
    <s v="SFMyCP"/>
    <x v="1"/>
    <x v="0"/>
    <x v="2"/>
    <x v="37"/>
    <x v="2"/>
    <m/>
    <s v="CONTENIDOS"/>
    <m/>
    <s v="CCK"/>
    <m/>
    <s v="DE LA CUADRA GONZALO"/>
    <s v="DNI"/>
    <n v="94251427"/>
    <n v="20942514272"/>
    <m/>
    <m/>
    <m/>
    <m/>
    <m/>
    <s v="LEY MARCO"/>
    <s v="LM"/>
    <d v="2012-12-01T00:00:00"/>
    <d v="2016-12-31T00:00:00"/>
    <d v="2016-12-31T00:00:00"/>
    <s v="B2"/>
    <m/>
    <m/>
    <n v="1000"/>
    <m/>
    <n v="1170"/>
    <n v="1310"/>
    <n v="1310"/>
  </r>
  <r>
    <s v="SFMyCP"/>
    <x v="0"/>
    <x v="1"/>
    <x v="7"/>
    <x v="2"/>
    <x v="2"/>
    <m/>
    <s v="PRIVADA"/>
    <s v="ADMINISTRATIVO"/>
    <m/>
    <s v="CCK - Alem 351"/>
    <s v="DE LA FUENTE SILVIA ANDREA"/>
    <s v="DNI"/>
    <n v="22061547"/>
    <n v="27220615478"/>
    <d v="1971-04-05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18"/>
    <x v="2"/>
    <m/>
    <s v="RECEPCIONISTA"/>
    <s v="RECEPCION IBC"/>
    <s v="TECNÓPOLIS"/>
    <s v="TECNOPOLIS"/>
    <s v="DE MIGUEL NAHIR DEBORA"/>
    <s v="DNI"/>
    <n v="28927088"/>
    <s v="23289270884"/>
    <d v="1981-06-24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0"/>
    <x v="9"/>
    <m/>
    <s v="Tecnica"/>
    <s v="ADMINISTRATIVA"/>
    <m/>
    <s v="CCK - Alem 351"/>
    <s v="DE SIMONE PABLO JAVIER"/>
    <s v="DNI"/>
    <n v="25940510"/>
    <s v="20259405107"/>
    <d v="1977-03-19T00:00:00"/>
    <m/>
    <m/>
    <m/>
    <m/>
    <s v="ASISTENCIA TÉCNICA"/>
    <s v="AT"/>
    <d v="2016-04-15T00:00:00"/>
    <m/>
    <d v="2016-12-31T00:00:00"/>
    <m/>
    <s v="UNTREF"/>
    <m/>
    <n v="1000"/>
    <n v="1070"/>
    <n v="1170"/>
    <n v="1310"/>
    <n v="1310"/>
  </r>
  <r>
    <s v="SFMyCP"/>
    <x v="0"/>
    <x v="1"/>
    <x v="3"/>
    <x v="2"/>
    <x v="2"/>
    <m/>
    <s v="PRIVADA"/>
    <s v="ADMINISTRATIVO"/>
    <m/>
    <s v="TECNOPOLIS"/>
    <s v="DEL CASSALE DANIELA"/>
    <s v="DNI"/>
    <n v="26621498"/>
    <n v="27266214982"/>
    <d v="1978-06-09T00:00:00"/>
    <m/>
    <m/>
    <m/>
    <m/>
    <s v="ASISTENCIA TÉCNICA"/>
    <s v="AT"/>
    <d v="2016-03-01T00:00:00"/>
    <m/>
    <d v="2016-12-31T00:00:00"/>
    <m/>
    <s v="UNTREF"/>
    <m/>
    <n v="1000"/>
    <n v="1070"/>
    <n v="1170"/>
    <n v="1310"/>
    <n v="1310"/>
  </r>
  <r>
    <s v="SFMyCP"/>
    <x v="0"/>
    <x v="1"/>
    <x v="3"/>
    <x v="26"/>
    <x v="2"/>
    <m/>
    <m/>
    <s v="OPERACIÓN/MONTAJE/MANTENIMIENTO"/>
    <s v="TECNÓPOLIS"/>
    <s v="TECNOPOLIS"/>
    <s v="DEL VALLE  LUCAS JAVIER"/>
    <s v="DNI"/>
    <n v="28916369"/>
    <s v="20289163698"/>
    <d v="1981-07-09T00:00:00"/>
    <m/>
    <m/>
    <m/>
    <m/>
    <s v="ASISTENCIA TÉCNICA"/>
    <s v="AT"/>
    <d v="2015-01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DELGADO  ALICIA SUSANA"/>
    <s v="DNI"/>
    <n v="5930366"/>
    <s v="27059303665"/>
    <d v="1948-09-05T00:00:00"/>
    <m/>
    <m/>
    <m/>
    <m/>
    <s v="ASISTENCIA TÉCNICA"/>
    <s v="AT"/>
    <d v="2012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36"/>
    <x v="2"/>
    <m/>
    <s v="Analista"/>
    <s v="Asistente"/>
    <s v="CCK"/>
    <s v="CCK - Alem 351"/>
    <s v="DELGADO PAMELA ROMINA"/>
    <s v="DNI"/>
    <n v="31198044"/>
    <s v="27311980446"/>
    <d v="1984-09-06T00:00:00"/>
    <m/>
    <m/>
    <m/>
    <m/>
    <s v="ASISTENCIA TÉCNICA"/>
    <s v="AT"/>
    <d v="2015-03-02T00:00:00"/>
    <m/>
    <d v="2016-12-31T00:00:00"/>
    <m/>
    <s v="UNTREF"/>
    <s v="UNSAM-MINPLAN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DELGADO PATRICIO"/>
    <s v="DNI"/>
    <n v="26953105"/>
    <s v="20269531054"/>
    <d v="1978-08-15T00:00:00"/>
    <m/>
    <m/>
    <m/>
    <m/>
    <s v="ASISTENCIA TÉCNICA"/>
    <s v="AT"/>
    <d v="2012-04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DELUCA NICOLAS"/>
    <s v="DNI"/>
    <n v="30566485"/>
    <s v="20305664856"/>
    <d v="1985-01-12T00:00:00"/>
    <m/>
    <m/>
    <m/>
    <m/>
    <s v="ASISTENCIA TÉCNICA"/>
    <s v="AT"/>
    <d v="2013-05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DEROTIER NORMA NOEMÍ"/>
    <s v="DNI"/>
    <n v="20375995"/>
    <n v="27203759954"/>
    <d v="1968-08-17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1"/>
    <x v="0"/>
    <x v="5"/>
    <x v="7"/>
    <x v="2"/>
    <m/>
    <m/>
    <s v="ADMINISTRATIVO"/>
    <m/>
    <s v="CCK - Alem 351"/>
    <s v="DI BELLO LORENA"/>
    <s v="DNI"/>
    <n v="31413340"/>
    <n v="23314133404"/>
    <d v="1985-04-04T00:00:00"/>
    <m/>
    <m/>
    <m/>
    <m/>
    <s v="ASISTENCIA TÉCNICA"/>
    <s v="AT"/>
    <d v="2016-07-12T00:00:00"/>
    <m/>
    <d v="2016-12-31T00:00:00"/>
    <m/>
    <s v="UNTREF"/>
    <m/>
    <s v=" ---"/>
    <s v=" ---"/>
    <n v="1170"/>
    <n v="1310"/>
    <n v="1310"/>
  </r>
  <r>
    <s v="SFMyCP"/>
    <x v="0"/>
    <x v="1"/>
    <x v="3"/>
    <x v="14"/>
    <x v="2"/>
    <m/>
    <m/>
    <s v="TRABAJO ADMINISTRATIVO/TRABAJO COSTURA A MAQUINA"/>
    <s v="TECNÓPOLIS"/>
    <s v="TECNOPOLIS"/>
    <s v="DI RENZO NANCY GABRIELA"/>
    <s v="DNI"/>
    <n v="32036474"/>
    <s v="23320364744"/>
    <d v="1985-12-07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3"/>
    <s v="LIMPIEZA (En comisión Tecnópolis)"/>
    <s v="Auxiliar"/>
    <s v="Auxiliar"/>
    <s v="CCK"/>
    <s v="CCK - Alem 351"/>
    <s v="DIALISANDRO JORGE"/>
    <s v="DNI"/>
    <n v="37041079"/>
    <s v="20370410799"/>
    <d v="1992-06-03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DIAZ CARRASCO MANUEL"/>
    <s v="DNI"/>
    <n v="25997290"/>
    <s v="20259972907"/>
    <d v="1977-07-02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1"/>
    <x v="0"/>
    <x v="5"/>
    <x v="16"/>
    <x v="16"/>
    <m/>
    <s v="Coordinador"/>
    <s v="COORDINADOR"/>
    <s v="CCK"/>
    <s v="CCK - Alem 351"/>
    <s v="DIAZ GABRIEL PABLO"/>
    <s v="DNI"/>
    <n v="20350247"/>
    <n v="20203502479"/>
    <d v="1968-06-29T00:00:00"/>
    <m/>
    <m/>
    <m/>
    <m/>
    <s v="ASISTENCIA TÉCNICA"/>
    <s v="AT"/>
    <d v="2015-06-01T00:00:00"/>
    <m/>
    <d v="2016-12-31T00:00:00"/>
    <m/>
    <s v="UNTREF"/>
    <s v="UNSAM-MINPLAN"/>
    <n v="1000"/>
    <n v="107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DIAZ MARIA"/>
    <s v="DNI"/>
    <n v="30407450"/>
    <s v="27304074502"/>
    <d v="1983-07-16T00:00:00"/>
    <m/>
    <m/>
    <m/>
    <m/>
    <s v="ASISTENCIA TÉCNICA"/>
    <s v="AT"/>
    <d v="2013-11-18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ADMINISTRACION"/>
    <s v="ASISTENTE"/>
    <s v="CCK"/>
    <s v="CCK - Alem 351"/>
    <s v="DIAZ MARIA  VIRGINIA"/>
    <s v="DNI"/>
    <n v="33300296"/>
    <s v="27333002960"/>
    <d v="1987-10-28T00:00:00"/>
    <m/>
    <m/>
    <m/>
    <m/>
    <s v="ASISTENCIA TÉCNICA"/>
    <s v="AT"/>
    <d v="2013-07-22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9"/>
    <x v="2"/>
    <m/>
    <s v="Asistente"/>
    <m/>
    <s v="CCK"/>
    <m/>
    <s v="DIAZ ZULMA"/>
    <s v="DNI"/>
    <n v="21801576"/>
    <n v="27218015765"/>
    <m/>
    <m/>
    <m/>
    <m/>
    <m/>
    <s v="LEY MARCO"/>
    <s v="LM"/>
    <d v="2011-06-01T00:00:00"/>
    <d v="2016-12-31T00:00:00"/>
    <d v="2016-12-31T00:00:00"/>
    <s v="C1"/>
    <m/>
    <m/>
    <n v="1000"/>
    <m/>
    <n v="1170"/>
    <n v="1310"/>
    <n v="1310"/>
  </r>
  <r>
    <s v="SFMyCP"/>
    <x v="0"/>
    <x v="1"/>
    <x v="3"/>
    <x v="3"/>
    <x v="2"/>
    <m/>
    <m/>
    <s v="PRODUCCION GRAL DE RECETAS, MANIPULACIÓN DE INGREDIENTES, DESPCACHO DE ALIMENTOS"/>
    <s v="TECNÓPOLIS"/>
    <s v="TECNOPOLIS"/>
    <s v="DIEZ  IRENE MARCELA"/>
    <s v="DNI"/>
    <n v="25906662"/>
    <s v="27259066625"/>
    <d v="1977-04-14T00:00:00"/>
    <m/>
    <m/>
    <m/>
    <m/>
    <s v="ASISTENCIA TÉCNICA"/>
    <s v="AT"/>
    <d v="2015-05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2"/>
    <m/>
    <m/>
    <s v="asistente funcional"/>
    <m/>
    <s v="CCK - Alem 351"/>
    <s v="DOBARRO ALEJANDRO"/>
    <s v="DNI"/>
    <n v="24962686"/>
    <n v="20249626865"/>
    <d v="1975-10-10T00:00:00"/>
    <m/>
    <m/>
    <m/>
    <m/>
    <s v="ASISTENCIA TÉCNICA"/>
    <s v="AT"/>
    <d v="2016-06-15T00:00:00"/>
    <m/>
    <d v="2016-12-31T00:00:00"/>
    <m/>
    <s v="UNTREF"/>
    <m/>
    <m/>
    <n v="1070"/>
    <n v="1170"/>
    <n v="0"/>
    <n v="0"/>
  </r>
  <r>
    <s v="SFMyCP"/>
    <x v="0"/>
    <x v="1"/>
    <x v="3"/>
    <x v="10"/>
    <x v="2"/>
    <m/>
    <m/>
    <m/>
    <s v="TECNÓPOLIS"/>
    <m/>
    <s v="DOMINGUEZ Diego Fernando"/>
    <s v="DNI"/>
    <n v="24837596"/>
    <n v="20248375966"/>
    <m/>
    <m/>
    <m/>
    <m/>
    <m/>
    <s v="LEY MARCO"/>
    <s v="LM"/>
    <d v="2010-01-01T00:00:00"/>
    <d v="2016-12-31T00:00:00"/>
    <d v="2016-12-31T00:00:00"/>
    <s v="C1"/>
    <m/>
    <m/>
    <n v="1000"/>
    <m/>
    <n v="1170"/>
    <n v="1310"/>
    <n v="1310"/>
  </r>
  <r>
    <s v="SFMyCP"/>
    <x v="0"/>
    <x v="1"/>
    <x v="1"/>
    <x v="5"/>
    <x v="13"/>
    <s v="LIMPIEZA (En comisión Tecnópolis)"/>
    <s v="Auxiliar"/>
    <s v="Auxiliar"/>
    <s v="CCK"/>
    <s v="CCK - Alem 351"/>
    <s v="DOMINGUEZ EMILIANO"/>
    <s v="DNI"/>
    <n v="25865315"/>
    <s v="20258653158"/>
    <d v="1977-06-02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DONATI VALERIA"/>
    <s v="DNI"/>
    <n v="24963203"/>
    <s v="27249632037"/>
    <d v="1975-10-08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1"/>
    <x v="0"/>
    <x v="5"/>
    <x v="25"/>
    <x v="2"/>
    <m/>
    <s v="Asistente Técnico"/>
    <m/>
    <s v="CCK"/>
    <m/>
    <s v="DOPICO FERNANDO"/>
    <s v="DNI"/>
    <n v="27273858"/>
    <n v="20272738581"/>
    <m/>
    <m/>
    <m/>
    <m/>
    <m/>
    <s v="LEY MARCO"/>
    <s v="LM"/>
    <d v="2005-02-01T00:00:00"/>
    <d v="2016-12-31T00:00:00"/>
    <d v="2016-12-31T00:00:00"/>
    <s v="B2"/>
    <m/>
    <m/>
    <n v="1000"/>
    <m/>
    <n v="1170"/>
    <n v="1310"/>
    <n v="1310"/>
  </r>
  <r>
    <s v="SFMyCP"/>
    <x v="0"/>
    <x v="1"/>
    <x v="1"/>
    <x v="38"/>
    <x v="2"/>
    <m/>
    <m/>
    <m/>
    <m/>
    <m/>
    <s v="DORATO MARIA SOLEDAD "/>
    <s v="DNI"/>
    <n v="31009442"/>
    <n v="27310094426"/>
    <m/>
    <m/>
    <m/>
    <m/>
    <m/>
    <s v="LEY MARCO"/>
    <s v="LM"/>
    <d v="2012-12-01T00:00:00"/>
    <d v="2016-12-31T00:00:00"/>
    <d v="2016-12-31T00:00:00"/>
    <s v="D0"/>
    <m/>
    <m/>
    <n v="1000"/>
    <m/>
    <n v="1170"/>
    <n v="1310"/>
    <n v="1310"/>
  </r>
  <r>
    <s v="SFMyCP"/>
    <x v="0"/>
    <x v="1"/>
    <x v="1"/>
    <x v="10"/>
    <x v="2"/>
    <m/>
    <s v="Productor"/>
    <s v="ADMINISTRATIVA"/>
    <s v="CCK"/>
    <s v="CCK - Alem 351"/>
    <s v="DOTTA LETICIA"/>
    <s v="DNI"/>
    <n v="24856633"/>
    <s v="27248566332"/>
    <d v="1975-10-24T00:00:00"/>
    <m/>
    <m/>
    <m/>
    <m/>
    <s v="ASISTENCIA TÉCNICA"/>
    <s v="AT"/>
    <d v="2013-04-01T00:00:00"/>
    <m/>
    <d v="2016-12-31T00:00:00"/>
    <m/>
    <s v="UNTREF"/>
    <s v="UNSAM-TDA"/>
    <n v="1000"/>
    <n v="1070"/>
    <n v="1170"/>
    <n v="1310"/>
    <n v="1310"/>
  </r>
  <r>
    <s v="SFMyCP"/>
    <x v="0"/>
    <x v="1"/>
    <x v="3"/>
    <x v="22"/>
    <x v="2"/>
    <m/>
    <m/>
    <m/>
    <s v="TECNÓPOLIS"/>
    <m/>
    <s v="DRAGO CUTELLE Andrea Fabiana"/>
    <s v="DNI"/>
    <n v="20742183"/>
    <n v="27207421834"/>
    <m/>
    <m/>
    <m/>
    <m/>
    <m/>
    <s v="LEY MARCO"/>
    <s v="LM"/>
    <d v="2012-12-01T00:00:00"/>
    <d v="2016-12-31T00:00:00"/>
    <d v="2016-12-31T00:00:00"/>
    <s v="B5"/>
    <m/>
    <m/>
    <n v="1000"/>
    <m/>
    <n v="1170"/>
    <n v="1310"/>
    <n v="1310"/>
  </r>
  <r>
    <s v="SFMyCP"/>
    <x v="0"/>
    <x v="1"/>
    <x v="3"/>
    <x v="31"/>
    <x v="2"/>
    <m/>
    <m/>
    <s v="CONTROL DE DEPOSITOS/RELEVAMIENTOS"/>
    <s v="TECNÓPOLIS"/>
    <s v="TECNOPOLIS"/>
    <s v="DUARTE CARLOS DIONISIO"/>
    <s v="DNI"/>
    <n v="18220453"/>
    <n v="20182204537"/>
    <d v="1976-11-06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0"/>
    <x v="0"/>
    <m/>
    <s v="GESTION DE PROYECTOS"/>
    <s v="ANALISTA"/>
    <s v="PALPALÁ-JUJUY"/>
    <s v="PALPALÁ-JUJUY"/>
    <s v="DUARTE MARIO ALEJANDRO"/>
    <s v="DNI"/>
    <n v="31858106"/>
    <n v="20318581062"/>
    <d v="1985-09-01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PANORAMA ARGENTINO"/>
    <s v="ADMINISTRATIVO"/>
    <s v="CABILDO 65"/>
    <s v="CABILDO 65"/>
    <s v="DUGO CHRISTIAN"/>
    <s v="DNI"/>
    <n v="20956958"/>
    <s v="20209569583"/>
    <d v="1969-08-28T00:00:00"/>
    <m/>
    <m/>
    <m/>
    <m/>
    <s v="ASISTENCIA TÉCNICA"/>
    <s v="AT"/>
    <d v="2014-05-1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0"/>
    <x v="0"/>
    <m/>
    <s v="DISEÑO"/>
    <s v="ANALISTA"/>
    <s v="PALPALÁ-JUJUY"/>
    <s v="PALPALÁ-JUJUY"/>
    <s v="DURAN DANIEL AUGUSTO"/>
    <s v="DNI"/>
    <n v="29942530"/>
    <n v="20299425305"/>
    <d v="1982-12-23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5"/>
    <x v="2"/>
    <m/>
    <m/>
    <m/>
    <m/>
    <m/>
    <s v="DVORKIN PABLO"/>
    <s v="DNI"/>
    <n v="30593086"/>
    <n v="20305930866"/>
    <m/>
    <m/>
    <m/>
    <m/>
    <m/>
    <m/>
    <s v="LM"/>
    <d v="2005-08-01T00:00:00"/>
    <m/>
    <d v="2016-12-31T00:00:00"/>
    <s v="C0"/>
    <m/>
    <m/>
    <m/>
    <m/>
    <n v="1170"/>
    <n v="0"/>
    <n v="0"/>
  </r>
  <r>
    <s v="SFMyCP"/>
    <x v="0"/>
    <x v="0"/>
    <x v="0"/>
    <x v="8"/>
    <x v="6"/>
    <m/>
    <s v="TÉCNICA Y TRANSMISIÓN"/>
    <s v="ADMINISTRATIVO"/>
    <s v="CABILDO 65"/>
    <s v="CABILDO 65"/>
    <s v="ECHEVERRIA LAUTARO"/>
    <s v="DNI"/>
    <n v="32188347"/>
    <s v="20321883479"/>
    <d v="1986-03-09T00:00:00"/>
    <m/>
    <m/>
    <m/>
    <m/>
    <s v="ASISTENCIA TÉCNICA"/>
    <s v="AT"/>
    <d v="2015-07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29"/>
    <x v="2"/>
    <m/>
    <s v=""/>
    <s v="ADMINISTRATIVO"/>
    <m/>
    <s v="CCK - Alem 351"/>
    <s v="ECHEVERRIA MARIANA"/>
    <s v="DNI"/>
    <n v="34207982"/>
    <s v="27342079828"/>
    <d v="1989-01-23T00:00:00"/>
    <m/>
    <m/>
    <m/>
    <m/>
    <s v="ASISTENCIA TÉCNICA"/>
    <s v="AT"/>
    <d v="2015-03-01T00:00:00"/>
    <m/>
    <d v="2016-12-31T00:00:00"/>
    <m/>
    <s v="UNTREF"/>
    <s v="UNLAM -TDA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EFRON HORACIO"/>
    <s v="DNI"/>
    <n v="17454322"/>
    <n v="20174543225"/>
    <d v="1965-10-19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ROMOCIONES"/>
    <s v="ADMINISTRATIVO"/>
    <s v="CABILDO 65"/>
    <s v="CABILDO 65"/>
    <s v="EILETZ CATALINA"/>
    <s v="DNI"/>
    <n v="32783953"/>
    <s v="27327839530"/>
    <d v="1986-12-28T00:00:00"/>
    <m/>
    <m/>
    <m/>
    <m/>
    <s v="ASISTENCIA TÉCNICA"/>
    <s v="AT"/>
    <d v="2015-07-01T00:00:00"/>
    <m/>
    <d v="2016-12-31T00:00:00"/>
    <m/>
    <s v="UNTREF"/>
    <s v="UNSAM- LADA"/>
    <n v="1000"/>
    <n v="1000"/>
    <n v="1170"/>
    <n v="1310"/>
    <n v="1310"/>
  </r>
  <r>
    <s v="SFMyCP"/>
    <x v="0"/>
    <x v="0"/>
    <x v="8"/>
    <x v="1"/>
    <x v="2"/>
    <m/>
    <m/>
    <s v="ADMINISTRATIVO"/>
    <m/>
    <s v="CCK - Alem 351"/>
    <s v="EKART KARINA"/>
    <s v="DNI"/>
    <n v="24903622"/>
    <s v="27249036221"/>
    <d v="1976-03-10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s v="CCK"/>
    <s v="PROGRAMA POLOS AUDIOVISUALES TECNOLÓGICOS"/>
    <m/>
    <s v="CABILDO 65"/>
    <m/>
    <s v="ELEM VIVIAN BEATRIZ"/>
    <s v="DNI"/>
    <n v="12633838"/>
    <n v="23126338384"/>
    <m/>
    <m/>
    <m/>
    <m/>
    <m/>
    <s v="LEY MARCO"/>
    <s v="LM"/>
    <d v="2014-10-01T00:00:00"/>
    <d v="2016-03-31T00:00:00"/>
    <d v="2016-12-31T00:00:00"/>
    <s v="B0"/>
    <m/>
    <m/>
    <n v="1000"/>
    <m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ELMO, ALEJANDRA"/>
    <s v="DNI"/>
    <n v="28233579"/>
    <s v="23282335794"/>
    <d v="1980-07-0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EMBON GUSTAVO"/>
    <s v="DNI"/>
    <n v="23195541"/>
    <s v="20231955411"/>
    <d v="1973-02-19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ENCIZO CRISTIAN RAMON"/>
    <s v="DNI"/>
    <n v="34363932"/>
    <s v="20343639326"/>
    <d v="1990-08-31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ERBEA JUAN"/>
    <s v="DNI"/>
    <n v="30861963"/>
    <s v="20308619630"/>
    <d v="1984-08-04T00:00:00"/>
    <m/>
    <m/>
    <m/>
    <m/>
    <s v="ASISTENCIA TÉCNICA"/>
    <s v="AT"/>
    <d v="2014-06-23T00:00:00"/>
    <m/>
    <d v="2016-12-31T00:00:00"/>
    <m/>
    <s v="UNTREF"/>
    <m/>
    <n v="1000"/>
    <n v="1000"/>
    <n v="1170"/>
    <n v="1310"/>
    <n v="1310"/>
  </r>
  <r>
    <s v="SFMyCP"/>
    <x v="0"/>
    <x v="1"/>
    <x v="3"/>
    <x v="4"/>
    <x v="2"/>
    <m/>
    <s v="COCINA"/>
    <s v="ORGANIZACIÓN DE MERCADERÍA DE DEPÓSITOS/COMANDO DE ACTIVIDADES/PRODUCCIÓN GRAL DE RECETAS"/>
    <s v="TECNÓPOLIS"/>
    <s v="TECNOPOLIS"/>
    <s v="ESCOBAR GONZALEZ  MARIO SEBASTIAN"/>
    <s v="DNI"/>
    <n v="94512322"/>
    <s v="20945123223"/>
    <d v="1993-01-19T00:00:00"/>
    <m/>
    <m/>
    <m/>
    <m/>
    <s v="ASISTENCIA TÉCNICA"/>
    <s v="AT"/>
    <d v="2012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4"/>
    <x v="2"/>
    <m/>
    <m/>
    <m/>
    <s v="TECNÓPOLIS"/>
    <m/>
    <s v="ESCOBAR Hector Jorge"/>
    <s v="DNI"/>
    <n v="20718608"/>
    <n v="20207186083"/>
    <m/>
    <m/>
    <m/>
    <m/>
    <m/>
    <s v="LEY MARCO"/>
    <s v="LM"/>
    <d v="2012-02-01T00:00:00"/>
    <d v="2016-12-31T00:00:00"/>
    <d v="2016-12-31T00:00:00"/>
    <s v="C0"/>
    <m/>
    <m/>
    <n v="1000"/>
    <m/>
    <n v="1170"/>
    <n v="1310"/>
    <n v="1310"/>
  </r>
  <r>
    <s v="SFMyCP"/>
    <x v="0"/>
    <x v="0"/>
    <x v="9"/>
    <x v="2"/>
    <x v="2"/>
    <m/>
    <m/>
    <s v="ADMINISTRATIVO"/>
    <m/>
    <s v="CCK - Alem 351"/>
    <s v="ESCOBAR MARIA FERNANDA"/>
    <s v="DNI"/>
    <n v="23275418"/>
    <s v="23232754184"/>
    <d v="1973-06-28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34"/>
    <x v="2"/>
    <m/>
    <m/>
    <m/>
    <s v="TECNÓPOLIS"/>
    <m/>
    <s v="ESCOBAR Raúl Eduardo"/>
    <s v="DNI"/>
    <n v="23109452"/>
    <n v="20231094521"/>
    <m/>
    <m/>
    <m/>
    <m/>
    <m/>
    <s v="LEY MARCO"/>
    <s v="LM"/>
    <d v="2012-02-01T00:00:00"/>
    <d v="2016-12-31T00:00:00"/>
    <d v="2016-12-31T00:00:00"/>
    <s v="C0"/>
    <m/>
    <m/>
    <n v="1000"/>
    <m/>
    <n v="1170"/>
    <n v="1310"/>
    <n v="1310"/>
  </r>
  <r>
    <s v="SFMyCP"/>
    <x v="0"/>
    <x v="0"/>
    <x v="8"/>
    <x v="1"/>
    <x v="2"/>
    <m/>
    <m/>
    <m/>
    <s v="CCK"/>
    <s v="CCK - Alem 351"/>
    <s v="ESCRIÑA María Carmen"/>
    <s v="DNI"/>
    <n v="28334271"/>
    <n v="23283242714"/>
    <m/>
    <m/>
    <m/>
    <m/>
    <m/>
    <s v="LEY MARCO"/>
    <s v="LM"/>
    <d v="2012-04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16"/>
    <x v="11"/>
    <s v="AUTOMOTORES"/>
    <s v="CHOFER"/>
    <m/>
    <s v="CCK"/>
    <m/>
    <s v="ESNAOLA  JUAN JOSE"/>
    <s v="DNI"/>
    <n v="14890843"/>
    <n v="20148908436"/>
    <m/>
    <m/>
    <m/>
    <m/>
    <m/>
    <s v="LEY MARCO"/>
    <s v="LM"/>
    <d v="2014-12-01T00:00:00"/>
    <d v="2016-03-31T00:00:00"/>
    <d v="2016-12-31T00:00:00"/>
    <s v="D0"/>
    <m/>
    <m/>
    <n v="1000"/>
    <m/>
    <n v="0"/>
    <n v="0"/>
    <n v="0"/>
  </r>
  <r>
    <s v="SFMyCP"/>
    <x v="0"/>
    <x v="0"/>
    <x v="0"/>
    <x v="8"/>
    <x v="6"/>
    <m/>
    <s v="BACUA"/>
    <s v="ADMINISTRATIVO"/>
    <s v="CABILDO 65"/>
    <s v="CABILDO 65"/>
    <s v="ESPINOLA CINTIA"/>
    <s v="DNI"/>
    <n v="34529374"/>
    <s v="23345293744"/>
    <d v="1989-05-13T00:00:00"/>
    <m/>
    <m/>
    <m/>
    <m/>
    <s v="ASISTENCIA TÉCNICA"/>
    <s v="AT"/>
    <d v="2012-12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30"/>
    <x v="2"/>
    <m/>
    <s v="ASESOR"/>
    <s v="ASESOR"/>
    <m/>
    <s v="CCK - Alem 351"/>
    <s v="ESQUIVEL GABRIELA ZULMA"/>
    <m/>
    <m/>
    <m/>
    <d v="1973-03-30T00:00:00"/>
    <m/>
    <m/>
    <m/>
    <m/>
    <m/>
    <s v="AT"/>
    <d v="2016-07-01T00:00:00"/>
    <d v="2016-12-31T00:00:00"/>
    <d v="2016-12-31T00:00:00"/>
    <m/>
    <s v="UNTREF"/>
    <m/>
    <m/>
    <m/>
    <n v="1170"/>
    <n v="0"/>
    <n v="0"/>
  </r>
  <r>
    <s v="SFMyCP"/>
    <x v="1"/>
    <x v="0"/>
    <x v="5"/>
    <x v="17"/>
    <x v="2"/>
    <m/>
    <m/>
    <s v="Asistencia Juridica"/>
    <m/>
    <s v="CCK - Alem 351"/>
    <s v="ESTANGA SARRAUA ANDRES"/>
    <s v="DNI"/>
    <n v="38861032"/>
    <n v="20388610329"/>
    <d v="1995-02-26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1"/>
    <x v="38"/>
    <x v="2"/>
    <m/>
    <s v="Administrativo"/>
    <s v="ADMINISTRATIVO"/>
    <s v="CCK"/>
    <s v="CCK - Alem 351"/>
    <s v="FACENTE VERONICA LUJAN"/>
    <s v="DNI"/>
    <n v="27822762"/>
    <s v="27278227621"/>
    <d v="1980-02-04T00:00:00"/>
    <m/>
    <m/>
    <m/>
    <m/>
    <s v="ASISTENCIA TÉCNICA"/>
    <s v="AT"/>
    <d v="2013-11-16T00:00:00"/>
    <m/>
    <d v="2016-12-31T00:00:00"/>
    <m/>
    <s v="UNTREF"/>
    <s v="CULTURA"/>
    <n v="1000"/>
    <n v="1070"/>
    <n v="1170"/>
    <n v="1310"/>
    <n v="1310"/>
  </r>
  <r>
    <s v="SFMyCP"/>
    <x v="0"/>
    <x v="1"/>
    <x v="3"/>
    <x v="26"/>
    <x v="2"/>
    <m/>
    <m/>
    <m/>
    <s v="TECNÓPOLIS"/>
    <m/>
    <s v="FACHAL Esteban Federico"/>
    <s v="DNI"/>
    <n v="29635339"/>
    <n v="20296353397"/>
    <m/>
    <m/>
    <m/>
    <m/>
    <m/>
    <s v="LEY MARCO"/>
    <s v="LM"/>
    <d v="2010-04-01T00:00:00"/>
    <d v="2016-12-31T00:00:00"/>
    <d v="2016-12-31T00:00:00"/>
    <s v="C1"/>
    <m/>
    <m/>
    <n v="1000"/>
    <m/>
    <n v="1170"/>
    <n v="1310"/>
    <n v="1310"/>
  </r>
  <r>
    <s v="SFMyCP"/>
    <x v="0"/>
    <x v="0"/>
    <x v="8"/>
    <x v="1"/>
    <x v="2"/>
    <m/>
    <m/>
    <s v="ADMINISTRATIVO"/>
    <m/>
    <s v="CCK - Alem 351"/>
    <s v="FAMA ANTONIO JULIAN"/>
    <s v="DNI"/>
    <n v="31559806"/>
    <n v="20315598061"/>
    <d v="1985-03-02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0"/>
    <x v="6"/>
    <x v="11"/>
    <x v="2"/>
    <m/>
    <m/>
    <s v="ADMINISTRATIVO"/>
    <m/>
    <s v="CCK - Alem 351"/>
    <s v="FAOUR MICHELLE"/>
    <s v="DNI"/>
    <n v="35368163"/>
    <n v="27353681635"/>
    <d v="1990-11-05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26"/>
    <x v="2"/>
    <m/>
    <m/>
    <m/>
    <s v="TECNÓPOLIS"/>
    <m/>
    <s v="FARA ERNESTO LEANDRO"/>
    <s v="DNI"/>
    <n v="30135252"/>
    <n v="20301352523"/>
    <m/>
    <m/>
    <m/>
    <m/>
    <m/>
    <s v="LEY MARCO"/>
    <s v="LM"/>
    <d v="2013-04-01T00:00:00"/>
    <d v="2016-03-31T00:00:00"/>
    <d v="2016-12-31T00:00:00"/>
    <s v="D0"/>
    <m/>
    <m/>
    <n v="1000"/>
    <m/>
    <n v="1170"/>
    <n v="1310"/>
    <n v="1310"/>
  </r>
  <r>
    <s v="SFMyCP"/>
    <x v="0"/>
    <x v="1"/>
    <x v="1"/>
    <x v="5"/>
    <x v="2"/>
    <m/>
    <m/>
    <s v="Auxiliar"/>
    <m/>
    <s v="CCK - Alem 351"/>
    <s v="FARANNA OSCAR ALBERTO"/>
    <s v="DNI"/>
    <n v="28746454"/>
    <n v="20287464542"/>
    <d v="1970-12-15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38"/>
    <x v="2"/>
    <m/>
    <m/>
    <s v="ADMINISTRATIVO"/>
    <s v="CCK"/>
    <s v="CCK - Alem 351"/>
    <s v="FARINAZZO PAOLA ANDREA"/>
    <s v="DNI"/>
    <n v="23782289"/>
    <s v="27237822892"/>
    <d v="1974-01-18T00:00:00"/>
    <m/>
    <m/>
    <m/>
    <m/>
    <s v="ASISTENCIA TÉCNICA"/>
    <s v="AT"/>
    <d v="2015-01-12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3"/>
    <x v="2"/>
    <m/>
    <s v="Tareas Generales"/>
    <s v="MANTENIMIENTO DE ESPACIOS VERDES"/>
    <s v="TECNÓPOLIS"/>
    <m/>
    <s v="FARIÑA MARIELA NOEMI"/>
    <s v="DNI"/>
    <n v="27888389"/>
    <n v="27278883898"/>
    <m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3"/>
    <x v="2"/>
    <x v="2"/>
    <m/>
    <s v="PRIVADA"/>
    <s v="ADMINISTRATIVO"/>
    <m/>
    <s v="TECNOPOLIS"/>
    <s v="FAVERIO LAMOTHE ANTONIO"/>
    <s v="DNI"/>
    <n v="33423803"/>
    <n v="20334238035"/>
    <d v="1987-10-22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s v="CCK"/>
    <s v="FOMENTO"/>
    <s v="ADMINISTRATIVO"/>
    <s v="CABILDO 65"/>
    <s v="CABILDO 65"/>
    <s v="FAZIO NATALIA"/>
    <s v="DNI"/>
    <n v="27926754"/>
    <s v="27279267546"/>
    <d v="1980-02-25T00:00:00"/>
    <m/>
    <m/>
    <m/>
    <m/>
    <s v="ASISTENCIA TÉCNICA"/>
    <s v="AT"/>
    <d v="2013-02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10"/>
    <m/>
    <m/>
    <s v="VISITAS GUIADAS"/>
    <m/>
    <s v="CCK - Alem 351"/>
    <s v="FAZZITO JUAN CARLOS"/>
    <s v="DNI"/>
    <n v="34641137"/>
    <n v="20346411377"/>
    <d v="1989-06-19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ROMOCIONES"/>
    <s v="ADMINISTRATIVO"/>
    <s v="CABILDO 65"/>
    <s v="CABILDO 65"/>
    <s v="FEIS MARA"/>
    <s v="DNI"/>
    <n v="33498759"/>
    <s v="27334987596"/>
    <d v="1987-12-02T00:00:00"/>
    <m/>
    <m/>
    <m/>
    <m/>
    <s v="ASISTENCIA TÉCNICA"/>
    <s v="AT"/>
    <d v="2009-11-19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25"/>
    <x v="2"/>
    <m/>
    <s v="Analista"/>
    <s v="Analista"/>
    <s v="CCK"/>
    <s v="CCK - Alem 351"/>
    <s v="FERNANDEZ ALEJANDRO"/>
    <s v="DNI"/>
    <n v="35429157"/>
    <s v="20354291577"/>
    <d v="1993-02-09T00:00:00"/>
    <m/>
    <m/>
    <m/>
    <m/>
    <s v="ASISTENCIA TÉCNICA"/>
    <s v="AT"/>
    <d v="2015-04-01T00:00:00"/>
    <m/>
    <d v="2016-12-31T00:00:00"/>
    <m/>
    <s v="UNTREF"/>
    <s v="UNLAM- INFO"/>
    <n v="1000"/>
    <n v="1070"/>
    <n v="1170"/>
    <n v="1310"/>
    <n v="1310"/>
  </r>
  <r>
    <s v="SFMyCP"/>
    <x v="1"/>
    <x v="0"/>
    <x v="5"/>
    <x v="7"/>
    <x v="2"/>
    <m/>
    <m/>
    <m/>
    <m/>
    <m/>
    <s v="FERNANDEZ CARLOS  "/>
    <s v="DNI"/>
    <n v="27311920"/>
    <n v="20273119206"/>
    <m/>
    <m/>
    <m/>
    <m/>
    <m/>
    <s v="LEY MARCO"/>
    <s v="LM"/>
    <d v="2012-12-01T00:00:00"/>
    <d v="2016-12-31T00:00:00"/>
    <d v="2016-12-31T00:00:00"/>
    <s v="A0"/>
    <m/>
    <m/>
    <n v="1000"/>
    <m/>
    <n v="0"/>
    <n v="0"/>
    <n v="0"/>
  </r>
  <r>
    <s v="SFMyCP"/>
    <x v="0"/>
    <x v="1"/>
    <x v="3"/>
    <x v="6"/>
    <x v="2"/>
    <m/>
    <m/>
    <m/>
    <s v="TECNÓPOLIS"/>
    <m/>
    <s v="FERNANDEZ Carlos Germán"/>
    <s v="DNI"/>
    <n v="31135350"/>
    <m/>
    <m/>
    <m/>
    <m/>
    <m/>
    <m/>
    <s v="LEY MARCO"/>
    <s v="LM"/>
    <d v="2011-06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FERNANDEZ CARLOS HORACIO"/>
    <s v="DNI"/>
    <n v="17928508"/>
    <s v="20179285089"/>
    <d v="1966-11-03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0"/>
    <x v="4"/>
    <x v="2"/>
    <x v="2"/>
    <m/>
    <s v="PRIVADA"/>
    <s v="ADMINISTRATIVO"/>
    <m/>
    <s v="CCK - Alem 351"/>
    <s v="FERNANDEZ DIEGO OSCAR "/>
    <s v="DNI"/>
    <n v="25177118"/>
    <m/>
    <m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1"/>
    <x v="30"/>
    <x v="2"/>
    <m/>
    <s v="PRIVADA"/>
    <s v="ADMINISTRATIVO"/>
    <s v="CCK"/>
    <s v="CCK - Alem 351"/>
    <s v="FERNANDEZ FLORENCIA"/>
    <s v="DNI"/>
    <n v="39066240"/>
    <n v="27390662403"/>
    <d v="1995-07-21T00:00:00"/>
    <m/>
    <m/>
    <m/>
    <m/>
    <s v="ASISTENCIA TÉCNICA"/>
    <s v="AT"/>
    <d v="2016-02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FERNANDEZ MACEDONIO"/>
    <s v="DNI"/>
    <n v="27946545"/>
    <s v="20279465459"/>
    <d v="1980-03-25T00:00:00"/>
    <m/>
    <m/>
    <m/>
    <m/>
    <s v="ASISTENCIA TÉCNICA"/>
    <s v="AT"/>
    <d v="2013-04-01T00:00:00"/>
    <m/>
    <d v="2016-12-31T00:00:00"/>
    <m/>
    <s v="UNTREF"/>
    <m/>
    <n v="1000"/>
    <n v="1000"/>
    <n v="1170"/>
    <n v="1310"/>
    <n v="1310"/>
  </r>
  <r>
    <s v="SFMyCP"/>
    <x v="0"/>
    <x v="1"/>
    <x v="3"/>
    <x v="10"/>
    <x v="2"/>
    <m/>
    <m/>
    <m/>
    <s v="TECNÓPOLIS"/>
    <m/>
    <s v="FERNANDEZ MANTEROLA Amalia"/>
    <s v="DNI"/>
    <n v="30571636"/>
    <n v="27305716362"/>
    <m/>
    <m/>
    <m/>
    <m/>
    <m/>
    <s v="LEY MARCO"/>
    <s v="LM"/>
    <d v="2012-10-30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"/>
    <s v="ADMINISTRATIVO"/>
    <s v="CABILDO 65"/>
    <s v="CABILDO 65"/>
    <s v="FERNANDEZ MARA"/>
    <s v="DNI"/>
    <n v="31343615"/>
    <s v="27313436158"/>
    <d v="1984-11-23T00:00:00"/>
    <m/>
    <m/>
    <m/>
    <m/>
    <s v="ASISTENCIA TÉCNICA"/>
    <s v="AT"/>
    <d v="2012-12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0"/>
    <x v="2"/>
    <m/>
    <m/>
    <s v="ADMINISTRATIVA"/>
    <m/>
    <s v="CCK - Alem 351"/>
    <s v="FERNANDEZ NADALE LUCIA"/>
    <s v="DNI"/>
    <n v="32236578"/>
    <s v="27322365786"/>
    <d v="1986-03-07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3"/>
    <x v="2"/>
    <m/>
    <m/>
    <s v="LIMPIEZA GENERAL DEL PARQUE"/>
    <s v="TECNÓPOLIS"/>
    <s v="TECNOPOLIS"/>
    <s v="FERNANDEZ VICENTA LUCIA"/>
    <s v="DNI"/>
    <n v="16253797"/>
    <s v="27162537976"/>
    <d v="1964-08-15T00:00:00"/>
    <m/>
    <m/>
    <m/>
    <m/>
    <s v="ASISTENCIA TÉCNICA"/>
    <s v="AT"/>
    <d v="2012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9"/>
    <x v="2"/>
    <m/>
    <m/>
    <m/>
    <s v="TECNÓPOLIS"/>
    <m/>
    <s v="FERRANDO Andrea Bibiana"/>
    <s v="DNI"/>
    <n v="20965399"/>
    <n v="27209653996"/>
    <m/>
    <m/>
    <m/>
    <m/>
    <m/>
    <s v="LEY MARCO"/>
    <s v="LM"/>
    <d v="2010-01-01T00:00:00"/>
    <d v="2016-12-31T00:00:00"/>
    <d v="2016-12-31T00:00:00"/>
    <s v="C1"/>
    <m/>
    <m/>
    <n v="1000"/>
    <m/>
    <n v="1170"/>
    <n v="1310"/>
    <n v="1310"/>
  </r>
  <r>
    <s v="SFMyCP"/>
    <x v="0"/>
    <x v="0"/>
    <x v="0"/>
    <x v="8"/>
    <x v="6"/>
    <m/>
    <s v="BACUA"/>
    <s v="ADMINISTRATIVO"/>
    <s v="CABILDO 65"/>
    <s v="CABILDO 65"/>
    <s v="FERRANTE ANDRES"/>
    <s v="DNI"/>
    <n v="27537306"/>
    <s v="20275373061"/>
    <s v="14/08/1979"/>
    <m/>
    <m/>
    <m/>
    <m/>
    <s v="ASISTENCIA TÉCNICA"/>
    <s v="AT"/>
    <d v="2011-05-09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0"/>
    <x v="2"/>
    <m/>
    <m/>
    <s v="ADMINISTRATIVA"/>
    <m/>
    <s v="CCK - Alem 351"/>
    <s v="FERRARI LUCAS"/>
    <s v="DNI"/>
    <n v="22825888"/>
    <s v="20228258882"/>
    <d v="1972-08-25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1"/>
    <x v="0"/>
    <x v="2"/>
    <x v="2"/>
    <x v="2"/>
    <m/>
    <s v="PRIVADA"/>
    <s v="ADMINISTRATIVO"/>
    <m/>
    <s v="CCK - Alem 351"/>
    <s v="FERRARI SANDRA PATRICIA"/>
    <s v="DNI"/>
    <n v="37234433"/>
    <n v="23372344334"/>
    <d v="1973-07-0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FERREIRA ESPINDOLA  MARIANA PAMELA"/>
    <s v="DNI"/>
    <n v="34669940"/>
    <s v="27346699405"/>
    <d v="1988-10-09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1"/>
    <s v="AUTOMOTORES"/>
    <s v="CHOFER"/>
    <m/>
    <s v="CCK"/>
    <m/>
    <s v="FERREIRA SERGIO "/>
    <s v="DNI"/>
    <n v="33928176"/>
    <n v="23339281769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s v="CCK"/>
    <s v="PROGRAMA POLOS AUDIOVISUALES TECNOLÓGICOS"/>
    <m/>
    <s v="CABILDO 65"/>
    <m/>
    <s v="FERREIRO PABLO DANIEL"/>
    <s v="DNI"/>
    <n v="35561266"/>
    <n v="20355612660"/>
    <m/>
    <m/>
    <m/>
    <m/>
    <m/>
    <s v="LEY MARCO"/>
    <s v="LM"/>
    <d v="2011-03-01T00:00:00"/>
    <d v="2016-12-31T00:00:00"/>
    <d v="2016-12-31T00:00:00"/>
    <s v="C1"/>
    <m/>
    <m/>
    <n v="1000"/>
    <m/>
    <n v="1170"/>
    <n v="1310"/>
    <n v="1310"/>
  </r>
  <r>
    <s v="SFMyCP"/>
    <x v="0"/>
    <x v="0"/>
    <x v="8"/>
    <x v="1"/>
    <x v="2"/>
    <m/>
    <m/>
    <m/>
    <s v="CCK"/>
    <s v="CCK - Alem 351"/>
    <s v="FERRERES Juan Ignacio"/>
    <s v="DNI"/>
    <n v="23377687"/>
    <n v="20233776875"/>
    <m/>
    <m/>
    <m/>
    <m/>
    <m/>
    <s v="LEY MARCO"/>
    <s v="LM"/>
    <d v="2012-11-30T00:00:00"/>
    <d v="2016-12-31T00:00:00"/>
    <d v="2016-12-31T00:00:00"/>
    <s v="B0"/>
    <m/>
    <m/>
    <n v="1000"/>
    <m/>
    <n v="1170"/>
    <n v="1310"/>
    <n v="1310"/>
  </r>
  <r>
    <s v="SFMyCP"/>
    <x v="0"/>
    <x v="1"/>
    <x v="1"/>
    <x v="10"/>
    <x v="2"/>
    <m/>
    <m/>
    <s v="ADMINISTRATIVA"/>
    <m/>
    <s v="CCK - Alem 351"/>
    <s v="FERRUFINO MARCO"/>
    <s v="DNI"/>
    <n v="23602538"/>
    <n v="20236025382"/>
    <d v="1973-11-09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FEYLING ANA PAULINA"/>
    <s v="DNI"/>
    <n v="25736011"/>
    <n v="27257360119"/>
    <d v="1977-02-11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8"/>
    <x v="4"/>
    <m/>
    <s v="CONTENIDOS DIGITALES ABIERTOS CDA"/>
    <s v="PRODUCTOR de EXTERIORES"/>
    <s v="CABILDO 65"/>
    <s v="CABILDO 65"/>
    <s v="FIAMINGO YAGO"/>
    <s v="DNI"/>
    <n v="31061385"/>
    <s v="20310613852"/>
    <d v="1984-07-08T00:00:00"/>
    <m/>
    <m/>
    <m/>
    <m/>
    <s v="ASISTENCIA TÉCNICA"/>
    <s v="AT"/>
    <d v="2015-08-13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ADMINISTRACIÓN"/>
    <m/>
    <s v="CABILDO 65"/>
    <m/>
    <s v="FIDALME MARIA NATALIA"/>
    <s v="DNI"/>
    <n v="27769740"/>
    <n v="27277697403"/>
    <m/>
    <m/>
    <m/>
    <m/>
    <m/>
    <s v="LEY MARCO"/>
    <s v="LM"/>
    <d v="2015-03-01T00:00:00"/>
    <d v="2016-03-31T00:00:00"/>
    <d v="2016-12-31T00:00:00"/>
    <s v="D0"/>
    <m/>
    <m/>
    <n v="1000"/>
    <m/>
    <n v="1170"/>
    <n v="1310"/>
    <n v="1310"/>
  </r>
  <r>
    <s v="SFMyCP"/>
    <x v="0"/>
    <x v="1"/>
    <x v="1"/>
    <x v="2"/>
    <x v="2"/>
    <m/>
    <s v="COORD GESTIÓN FEDERAL "/>
    <s v="ADMINISTRATIVO"/>
    <m/>
    <s v="CCK - Alem 351"/>
    <s v="FIGLIOLIA OMAR"/>
    <s v="DNI"/>
    <n v="13654259"/>
    <n v="20136542592"/>
    <d v="1959-12-24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6"/>
    <x v="2"/>
    <m/>
    <m/>
    <s v="MANTENIMIENTO GRAL DEL PARQUE"/>
    <s v="TECNÓPOLIS"/>
    <s v="TECNOPOLIS"/>
    <s v="FIGUEROA  MIGUEL ANGEL"/>
    <s v="DNI"/>
    <n v="20354090"/>
    <s v="20203540907"/>
    <d v="1968-06-07T00:00:00"/>
    <m/>
    <m/>
    <m/>
    <m/>
    <s v="ASISTENCIA TÉCNICA"/>
    <s v="AT"/>
    <d v="2011-09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m/>
    <s v="TECNÓPOLIS"/>
    <m/>
    <s v="FIGUEROA José Luis"/>
    <s v="DNI"/>
    <n v="23402784"/>
    <n v="20234027841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0"/>
    <x v="2"/>
    <m/>
    <m/>
    <s v="ADMINISTRATIVA"/>
    <m/>
    <s v="CCK - Alem 351"/>
    <s v="FILIPPELLI GUIDO"/>
    <s v="DNI"/>
    <n v="32267824"/>
    <s v="20322678240"/>
    <d v="1986-04-04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26"/>
    <x v="2"/>
    <m/>
    <m/>
    <s v="OPERACIÓN/MONTAJE/MANTENIMIENTO"/>
    <m/>
    <s v="TECNOPOLIS"/>
    <s v="FIORRUCIO JOSE LUIS"/>
    <s v="DNI"/>
    <n v="7961336"/>
    <n v="20079613364"/>
    <d v="1949-09-08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FLAMMINIO SERGIO"/>
    <s v="DNI"/>
    <n v="24881120"/>
    <s v="20248811200"/>
    <d v="1975-09-04T00:00:00"/>
    <m/>
    <m/>
    <m/>
    <m/>
    <s v="ASISTENCIA TÉCNICA"/>
    <s v="AT"/>
    <d v="2012-09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0"/>
    <x v="2"/>
    <m/>
    <m/>
    <s v="ADMINISTRATIVA"/>
    <m/>
    <s v="CCK - Alem 351"/>
    <s v="FLEITAS MAGDALENA DELFINA"/>
    <s v="DNI"/>
    <n v="21834189"/>
    <n v="27218341891"/>
    <d v="1970-11-14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FLORENTIN JOSÉ GABRIEL"/>
    <s v="DNI"/>
    <n v="24319998"/>
    <n v="20243199981"/>
    <d v="1967-12-30T00:00:00"/>
    <m/>
    <m/>
    <m/>
    <m/>
    <s v="ASISTENCIA TÉCNICA"/>
    <s v="CO"/>
    <d v="2011-11-03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m/>
    <s v="TECNÓPOLIS"/>
    <m/>
    <s v="FLORENTIN Marcelo Max Roy"/>
    <s v="DNI"/>
    <n v="35151859"/>
    <n v="20351518597"/>
    <m/>
    <m/>
    <m/>
    <m/>
    <m/>
    <s v="LEY MARCO"/>
    <s v="LM"/>
    <d v="2011-06-01T00:00:00"/>
    <d v="2016-12-31T00:00:00"/>
    <d v="2016-12-31T00:00:00"/>
    <s v="D1"/>
    <m/>
    <m/>
    <n v="1000"/>
    <m/>
    <n v="1170"/>
    <n v="1310"/>
    <n v="1310"/>
  </r>
  <r>
    <s v="SFMyCP"/>
    <x v="0"/>
    <x v="1"/>
    <x v="3"/>
    <x v="19"/>
    <x v="2"/>
    <m/>
    <m/>
    <m/>
    <s v="TECNÓPOLIS"/>
    <m/>
    <s v="FLORES Diego Alexis"/>
    <s v="DNI"/>
    <n v="35253895"/>
    <n v="20352538958"/>
    <m/>
    <m/>
    <m/>
    <m/>
    <m/>
    <s v="LEY MARCO"/>
    <s v="LM"/>
    <d v="2012-11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29"/>
    <x v="2"/>
    <m/>
    <s v="Administrativo"/>
    <s v="ADMINISTRATIVO"/>
    <m/>
    <s v="CCK - Alem 351"/>
    <s v="FLORES FLORENCIA CAROLINA"/>
    <s v="DNI"/>
    <n v="38997666"/>
    <s v="EN TRAMITE"/>
    <d v="1995-05-18T00:00:00"/>
    <m/>
    <m/>
    <m/>
    <m/>
    <s v="ASISTENCIA TÉCNICA"/>
    <s v="AT"/>
    <d v="2016-07-18T00:00:00"/>
    <m/>
    <d v="2016-12-31T00:00:00"/>
    <m/>
    <s v="UNTREF"/>
    <m/>
    <m/>
    <m/>
    <n v="1170"/>
    <n v="0"/>
    <n v="0"/>
  </r>
  <r>
    <s v="SFMyCP"/>
    <x v="0"/>
    <x v="1"/>
    <x v="1"/>
    <x v="5"/>
    <x v="13"/>
    <m/>
    <m/>
    <s v="Auxiliar"/>
    <m/>
    <s v="CCK - Alem 351"/>
    <s v="FONTANA LUCIANO"/>
    <s v="DNI"/>
    <n v="35255476"/>
    <s v="20352554767"/>
    <d v="1990-07-05T00:00:00"/>
    <m/>
    <m/>
    <m/>
    <m/>
    <s v="ASISTENCIA TÉCNICA"/>
    <s v="AT"/>
    <d v="2014-08-01T00:00:00"/>
    <m/>
    <d v="2016-12-31T00:00:00"/>
    <m/>
    <s v="UNTREF"/>
    <m/>
    <n v="1000"/>
    <n v="1070"/>
    <n v="1170"/>
    <n v="1310"/>
    <n v="1310"/>
  </r>
  <r>
    <s v="SFMyCP"/>
    <x v="0"/>
    <x v="0"/>
    <x v="6"/>
    <x v="11"/>
    <x v="2"/>
    <m/>
    <m/>
    <s v="Orientador de Sala"/>
    <m/>
    <m/>
    <s v="FONTES SELVA"/>
    <s v="DNI"/>
    <n v="92436017"/>
    <n v="27924360173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1"/>
    <x v="0"/>
    <x v="5"/>
    <x v="16"/>
    <x v="16"/>
    <m/>
    <s v="Analista de RR.HH."/>
    <s v="ADMINISTRATIVO"/>
    <s v="CCK"/>
    <s v="CCK - Alem 351"/>
    <s v="FORNERO FABRICIO"/>
    <s v="DNI"/>
    <n v="26938300"/>
    <s v="20269383004"/>
    <d v="1978-12-07T00:00:00"/>
    <m/>
    <m/>
    <m/>
    <m/>
    <s v="ASISTENCIA TÉCNICA"/>
    <s v="AT"/>
    <d v="2015-03-01T00:00:00"/>
    <m/>
    <d v="2016-12-31T00:00:00"/>
    <m/>
    <s v="UNTREF"/>
    <s v="UNSAM-MINPLAN"/>
    <n v="1000"/>
    <n v="1070"/>
    <n v="1170"/>
    <n v="1310"/>
    <n v="1310"/>
  </r>
  <r>
    <s v="SFMyCP"/>
    <x v="0"/>
    <x v="1"/>
    <x v="1"/>
    <x v="5"/>
    <x v="12"/>
    <s v="ELECTRICIDAD"/>
    <s v="ASISTENTE"/>
    <s v="ASISTENTE"/>
    <s v="CCK"/>
    <s v="CCK - Alem 351"/>
    <s v="FRANCESCHI SANTIAGO"/>
    <s v="DNI"/>
    <n v="14972197"/>
    <s v="20149721976"/>
    <d v="1962-07-27T00:00:00"/>
    <m/>
    <m/>
    <m/>
    <m/>
    <s v="ASISTENCIA TÉCNICA"/>
    <s v="AT"/>
    <d v="2015-06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14"/>
    <x v="2"/>
    <m/>
    <m/>
    <m/>
    <s v="TECNÓPOLIS"/>
    <m/>
    <s v="FRATTESI Gabriel Hernán"/>
    <s v="DNI"/>
    <n v="26965728"/>
    <n v="20269657287"/>
    <m/>
    <m/>
    <m/>
    <m/>
    <m/>
    <s v="LEY MARCO"/>
    <s v="LM"/>
    <d v="2012-04-01T00:00:00"/>
    <d v="2016-12-31T00:00:00"/>
    <d v="2016-12-31T00:00:00"/>
    <s v="C0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FREGA, DANIELA"/>
    <s v="DNI"/>
    <n v="35323287"/>
    <n v="27353232873"/>
    <d v="1990-06-0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6"/>
    <x v="11"/>
    <x v="2"/>
    <m/>
    <s v="ADMINISTRACION"/>
    <m/>
    <s v="CCK"/>
    <m/>
    <s v="FREIBERG INGRID"/>
    <s v="DNI"/>
    <n v="25555134"/>
    <n v="27255551340"/>
    <m/>
    <m/>
    <m/>
    <m/>
    <m/>
    <s v="LEY MARCO"/>
    <s v="LM"/>
    <d v="2013-12-01T00:00:00"/>
    <d v="2016-03-31T00:00:00"/>
    <d v="2016-12-31T00:00:00"/>
    <s v="A2"/>
    <m/>
    <m/>
    <n v="1000"/>
    <m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FRIEDENBACH MARTIN"/>
    <s v="DNI"/>
    <n v="34146409"/>
    <s v="23341464099"/>
    <d v="1988-10-14T00:00:00"/>
    <m/>
    <m/>
    <m/>
    <m/>
    <s v="ASISTENCIA TÉCNICA"/>
    <s v="AT"/>
    <d v="2013-12-01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FUENTES JUAN"/>
    <s v="DNI"/>
    <n v="29548353"/>
    <s v="23295483539"/>
    <d v="1982-10-24T00:00:00"/>
    <m/>
    <m/>
    <m/>
    <m/>
    <s v="ASISTENCIA TÉCNICA"/>
    <s v="AT"/>
    <d v="2015-11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5"/>
    <x v="13"/>
    <s v="CONTROL DE ACCESOS B"/>
    <s v="Asistente "/>
    <s v="Asistente "/>
    <s v="CCK"/>
    <s v="CCK - Alem 351"/>
    <s v="FUENTES LANESAN MANUEL"/>
    <s v="DNI"/>
    <n v="33426836"/>
    <s v="20334268366"/>
    <d v="1988-03-25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1"/>
    <x v="5"/>
    <x v="13"/>
    <s v="CONTROL DE ACCESOS A"/>
    <s v="Responsable"/>
    <s v="Auxiliar"/>
    <s v="CCK"/>
    <s v="CCK - Alem 351"/>
    <s v="FUENTES LANESAN RUBEN"/>
    <s v="DNI"/>
    <n v="35569349"/>
    <s v="20355693490"/>
    <d v="1990-10-27T00:00:00"/>
    <m/>
    <m/>
    <m/>
    <m/>
    <s v="ASISTENCIA TÉCNICA"/>
    <s v="AT"/>
    <d v="2015-02-23T00:00:00"/>
    <m/>
    <d v="2016-12-31T00:00:00"/>
    <m/>
    <s v="UNTREF"/>
    <s v="UNLAM -TDA"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FUERTES MARIA EUGENIA"/>
    <s v="DNI"/>
    <n v="31018424"/>
    <n v="27310184247"/>
    <d v="1984-07-14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6"/>
    <x v="2"/>
    <m/>
    <m/>
    <m/>
    <s v="TECNÓPOLIS"/>
    <m/>
    <s v="FUSCO Jenaro Hugo"/>
    <s v="DNI"/>
    <n v="12728703"/>
    <n v="20127287032"/>
    <m/>
    <m/>
    <m/>
    <m/>
    <m/>
    <s v="LEY MARCO"/>
    <s v="LM"/>
    <d v="2011-03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0"/>
    <x v="2"/>
    <m/>
    <m/>
    <s v="ADMINISTRATIVO"/>
    <m/>
    <s v="CCK - Alem 351"/>
    <s v="GAERE CLAUDIA ALICIA"/>
    <s v="DNI"/>
    <n v="16037424"/>
    <n v="27160374247"/>
    <d v="1962-03-23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1"/>
    <x v="3"/>
    <x v="40"/>
    <x v="21"/>
    <m/>
    <m/>
    <s v="MANTENIMIENTO DE ESPACIOS VERDES"/>
    <s v="TECNÓPOLIS"/>
    <s v="TECNOPOLIS"/>
    <s v="GAILLARD  ADRIANA"/>
    <s v="DNI"/>
    <n v="22351485"/>
    <n v="27223514850"/>
    <d v="1972-01-15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GAILLARD  NORMA BEATRIZ"/>
    <s v="DNI"/>
    <n v="17476516"/>
    <s v="27174765168"/>
    <d v="1965-07-25T00:00:00"/>
    <m/>
    <m/>
    <m/>
    <m/>
    <s v="ASISTENCIA TÉCNICA"/>
    <s v="AT"/>
    <d v="2013-01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3"/>
    <s v="CONTROL DE ACCESO B"/>
    <s v="Responsable"/>
    <s v="Auxiliar"/>
    <s v="CCK"/>
    <s v="CCK - Alem 351"/>
    <s v="GAITÁN MATÍAS ÁNGEL"/>
    <s v="DNI"/>
    <n v="35111771"/>
    <s v="20351117711"/>
    <d v="1990-02-04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GALARZA HUGO MARCELO"/>
    <s v="DNI"/>
    <n v="26053585"/>
    <s v="20260535855"/>
    <d v="1977-10-18T00:00:00"/>
    <m/>
    <m/>
    <m/>
    <m/>
    <s v="ASISTENCIA TÉCNICA"/>
    <s v="AT"/>
    <m/>
    <m/>
    <d v="2016-12-31T00:00:00"/>
    <m/>
    <s v="UNTREF"/>
    <s v="UNTREF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GALEOTTI, MONICA"/>
    <s v="DNI"/>
    <n v="10795536"/>
    <s v="23107955364"/>
    <d v="1953-09-18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8"/>
    <x v="1"/>
    <x v="2"/>
    <m/>
    <m/>
    <s v="ADMINISTRATIVO"/>
    <m/>
    <s v="CCK - Alem 351"/>
    <s v="GALLIZZI MARIANO NAHUEL"/>
    <s v="DNI"/>
    <n v="31014183"/>
    <n v="20310141837"/>
    <d v="1984-09-10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7"/>
    <x v="2"/>
    <x v="2"/>
    <m/>
    <s v="Asesor"/>
    <m/>
    <m/>
    <m/>
    <s v="GANCHEGUI MARTIN"/>
    <s v="DNI"/>
    <n v="31541032"/>
    <n v="20315410321"/>
    <m/>
    <m/>
    <m/>
    <m/>
    <m/>
    <s v="LEY MARCO"/>
    <s v="LM"/>
    <d v="2010-07-01T00:00:00"/>
    <d v="2016-12-31T00:00:00"/>
    <d v="2016-12-31T00:00:00"/>
    <s v="C1"/>
    <m/>
    <m/>
    <n v="1000"/>
    <m/>
    <n v="1170"/>
    <n v="1310"/>
    <n v="1310"/>
  </r>
  <r>
    <s v="SFMyCP"/>
    <x v="0"/>
    <x v="1"/>
    <x v="3"/>
    <x v="26"/>
    <x v="2"/>
    <m/>
    <m/>
    <m/>
    <s v="TECNÓPOLIS"/>
    <m/>
    <s v="GANEM Mariano"/>
    <s v="DNI"/>
    <n v="29117820"/>
    <n v="24291178207"/>
    <m/>
    <m/>
    <m/>
    <m/>
    <m/>
    <s v="LEY MARCO"/>
    <s v="LM"/>
    <d v="2011-03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6"/>
    <x v="2"/>
    <m/>
    <m/>
    <m/>
    <s v="TECNÓPOLIS"/>
    <m/>
    <s v="GARAY Walter Damian"/>
    <s v="DNI"/>
    <n v="34690282"/>
    <n v="20346902826"/>
    <m/>
    <m/>
    <m/>
    <m/>
    <m/>
    <s v="LEY MARCO"/>
    <s v="LM"/>
    <d v="2013-07-01T00:00:00"/>
    <d v="2016-03-31T00:00:00"/>
    <d v="2016-12-31T00:00:00"/>
    <s v="D1"/>
    <m/>
    <m/>
    <n v="1000"/>
    <m/>
    <n v="1170"/>
    <n v="1310"/>
    <n v="1310"/>
  </r>
  <r>
    <s v="SFMyCP"/>
    <x v="1"/>
    <x v="0"/>
    <x v="5"/>
    <x v="17"/>
    <x v="2"/>
    <s v="(IGUALDAD CULTURAL)"/>
    <s v="Analista"/>
    <m/>
    <s v="CCK"/>
    <m/>
    <s v="GARBE VERONICA"/>
    <s v="DNI"/>
    <n v="29894708"/>
    <n v="27298947086"/>
    <m/>
    <m/>
    <m/>
    <m/>
    <m/>
    <s v="LEY MARCO"/>
    <s v="LM"/>
    <d v="2011-06-06T00:00:00"/>
    <d v="2016-12-31T00:00:00"/>
    <d v="2016-12-31T00:00:00"/>
    <s v="B0"/>
    <m/>
    <m/>
    <n v="1000"/>
    <m/>
    <n v="1170"/>
    <n v="1310"/>
    <n v="1310"/>
  </r>
  <r>
    <s v="SFMyCP"/>
    <x v="0"/>
    <x v="0"/>
    <x v="0"/>
    <x v="8"/>
    <x v="6"/>
    <m/>
    <s v="PRENSA Y COMUNICACIÓN"/>
    <s v="ADMINISTRATIVO"/>
    <s v="CABILDO 65"/>
    <s v="CABILDO 65"/>
    <s v="GARCÍA BARLETTA SANTIAGO"/>
    <s v="DNI"/>
    <n v="38444374"/>
    <s v="20384443746"/>
    <d v="1994-08-09T00:00:00"/>
    <m/>
    <m/>
    <m/>
    <m/>
    <s v="ASISTENCIA TÉCNICA"/>
    <s v="AT"/>
    <d v="2013-11-11T00:00:00"/>
    <m/>
    <d v="2016-12-31T00:00:00"/>
    <m/>
    <s v="UNTREF"/>
    <s v="UNSAM- LADA"/>
    <n v="1000"/>
    <n v="1070"/>
    <n v="1170"/>
    <n v="1310"/>
    <n v="1310"/>
  </r>
  <r>
    <s v="SFMyCP"/>
    <x v="0"/>
    <x v="1"/>
    <x v="1"/>
    <x v="10"/>
    <x v="2"/>
    <m/>
    <s v="Analista"/>
    <s v="ADMINISTRATIVA"/>
    <s v="CCK"/>
    <s v="CCK - Alem 351"/>
    <s v="GARCIA CAFFI VICTORIA"/>
    <s v="DNI"/>
    <n v="35728494"/>
    <s v="27357284940"/>
    <d v="1991-01-23T00:00:00"/>
    <m/>
    <m/>
    <m/>
    <m/>
    <s v="ASISTENCIA TÉCNICA"/>
    <s v="AT"/>
    <d v="2015-05-04T00:00:00"/>
    <m/>
    <d v="2016-12-31T00:00:00"/>
    <m/>
    <s v="UNTREF"/>
    <s v="UNSAM-MINPLAN"/>
    <n v="1000"/>
    <n v="1070"/>
    <n v="1170"/>
    <n v="1310"/>
    <n v="1310"/>
  </r>
  <r>
    <s v="SFMyCP"/>
    <x v="0"/>
    <x v="1"/>
    <x v="1"/>
    <x v="2"/>
    <x v="2"/>
    <m/>
    <s v="COORD GESTIÓN FEDERAL Z. NORTE"/>
    <s v="ADMINISTRATIVO"/>
    <m/>
    <s v="CCK - Alem 351"/>
    <s v="GARCIA CARDENAS MARTIN"/>
    <s v="DNI"/>
    <n v="10424747"/>
    <n v="20104247475"/>
    <d v="1952-04-13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2"/>
    <x v="0"/>
    <x v="4"/>
    <x v="2"/>
    <x v="2"/>
    <m/>
    <s v="PRIVADA"/>
    <s v="ADMINISTRATIVO"/>
    <m/>
    <s v="CCK - Alem 351"/>
    <s v="GARCIA CONEJERO, MARIA LAURA"/>
    <s v="DNI"/>
    <n v="20372601"/>
    <n v="27203726010"/>
    <d v="1968-06-07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33"/>
    <x v="2"/>
    <m/>
    <s v="Asistente"/>
    <s v="Asistente"/>
    <s v="CCK"/>
    <s v="CCK - Alem 351"/>
    <s v="GARCIA DANIELA"/>
    <s v="DNI"/>
    <n v="32438452"/>
    <s v="27324384524"/>
    <d v="1986-06-29T00:00:00"/>
    <m/>
    <m/>
    <m/>
    <m/>
    <s v="ASISTENCIA TÉCNICA"/>
    <s v="AT"/>
    <d v="2016-02-01T00:00:00"/>
    <m/>
    <d v="2016-12-31T00:00:00"/>
    <m/>
    <s v="UNTREF"/>
    <s v="UNSAM"/>
    <n v="1000"/>
    <n v="1070"/>
    <n v="1170"/>
    <n v="1310"/>
    <n v="1310"/>
  </r>
  <r>
    <s v="SFMyCP"/>
    <x v="0"/>
    <x v="0"/>
    <x v="6"/>
    <x v="11"/>
    <x v="2"/>
    <m/>
    <m/>
    <m/>
    <m/>
    <m/>
    <s v="GARCIA FERNANDO"/>
    <s v="DNI"/>
    <n v="18549052"/>
    <n v="20185490522"/>
    <m/>
    <m/>
    <m/>
    <m/>
    <m/>
    <m/>
    <s v="AT"/>
    <d v="2016-08-01T00:00:00"/>
    <m/>
    <d v="2016-10-30T00:00:00"/>
    <m/>
    <s v="UNTREF"/>
    <m/>
    <m/>
    <m/>
    <m/>
    <n v="0"/>
    <n v="1310"/>
  </r>
  <r>
    <s v="SFMyCP"/>
    <x v="0"/>
    <x v="0"/>
    <x v="0"/>
    <x v="8"/>
    <x v="6"/>
    <m/>
    <s v="POSTPRODUCCIÓN"/>
    <s v="ADMINISTRATIVO"/>
    <s v="CABILDO 65"/>
    <s v="CABILDO 65"/>
    <s v="GARCIA HORACIO"/>
    <s v="DNI"/>
    <n v="10476319"/>
    <s v="20104763198"/>
    <d v="1952-06-04T00:00:00"/>
    <m/>
    <m/>
    <m/>
    <m/>
    <s v="ASISTENCIA TÉCNICA"/>
    <s v="AT"/>
    <d v="2012-11-01T00:00:00"/>
    <m/>
    <d v="2016-12-31T00:00:00"/>
    <m/>
    <s v="UNTREF"/>
    <s v="UNSAM- LADA"/>
    <n v="1000"/>
    <n v="1000"/>
    <n v="1170"/>
    <n v="1310"/>
    <n v="1310"/>
  </r>
  <r>
    <s v="SFMyCP"/>
    <x v="1"/>
    <x v="0"/>
    <x v="10"/>
    <x v="2"/>
    <x v="2"/>
    <m/>
    <s v="ASISTENTE"/>
    <s v="Administrativo"/>
    <s v="CCK"/>
    <s v="CCK - Alem 351"/>
    <s v="GARCIA SANTIAGO ANDRES"/>
    <s v="DNI"/>
    <n v="33780682"/>
    <s v="20337806822"/>
    <d v="1988-08-26T00:00:00"/>
    <m/>
    <m/>
    <m/>
    <m/>
    <s v="ASISTENCIA TÉCNICA"/>
    <s v="AT"/>
    <d v="2015-09-21T00:00:00"/>
    <m/>
    <d v="2016-12-31T00:00:00"/>
    <m/>
    <s v="UNTREF"/>
    <s v="UNSAM-MINPLAN"/>
    <n v="1000"/>
    <n v="1070"/>
    <n v="1170"/>
    <n v="1310"/>
    <n v="1310"/>
  </r>
  <r>
    <s v="SFMyCP"/>
    <x v="0"/>
    <x v="0"/>
    <x v="0"/>
    <x v="8"/>
    <x v="6"/>
    <m/>
    <s v="ADMINISTRACIÓN"/>
    <m/>
    <s v="CABILDO 65"/>
    <m/>
    <s v="GAUNA MARIA LUCILA"/>
    <s v="DNI"/>
    <n v="30035347"/>
    <n v="27300353474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0"/>
    <x v="1"/>
    <x v="1"/>
    <x v="15"/>
    <x v="10"/>
    <m/>
    <m/>
    <s v="VISITAS GUIADAS"/>
    <m/>
    <s v="CCK - Alem 351"/>
    <s v="GAVIOLI SANTIAGO"/>
    <s v="DNI"/>
    <n v="35109083"/>
    <n v="23351090839"/>
    <d v="1990-06-19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13"/>
    <x v="2"/>
    <s v="(GESTIÓN OPERATIVA)"/>
    <m/>
    <s v="ADMINISTRATIVO"/>
    <s v="CCK"/>
    <s v="CCK - Alem 351"/>
    <s v="GERBINO MARIANO"/>
    <s v="DNI"/>
    <n v="25936671"/>
    <s v="20259366713"/>
    <d v="1977-07-08T00:00:00"/>
    <m/>
    <m/>
    <m/>
    <m/>
    <s v="ASISTENCIA TÉCNICA"/>
    <s v="AT"/>
    <d v="2013-05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GERVASIO MONICA LAURA"/>
    <s v="DNI"/>
    <n v="11958625"/>
    <s v="27119586254"/>
    <d v="1958-01-11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s v="CCK"/>
    <s v="PROGRAMA POLOS AUDIOVISUALES TECNOLÓGICOS"/>
    <m/>
    <s v="CABILDO 65"/>
    <m/>
    <s v="GIBEAUD ELIANA JACQELINE"/>
    <s v="DNI"/>
    <n v="29019894"/>
    <n v="27290198947"/>
    <m/>
    <m/>
    <m/>
    <m/>
    <m/>
    <s v="LEY MARCO"/>
    <s v="LM"/>
    <d v="2012-12-01T00:00:00"/>
    <d v="2016-12-31T00:00:00"/>
    <d v="2016-12-31T00:00:00"/>
    <s v="B1"/>
    <m/>
    <m/>
    <n v="1000"/>
    <m/>
    <n v="1170"/>
    <n v="1310"/>
    <n v="1310"/>
  </r>
  <r>
    <s v="SFMyCP"/>
    <x v="0"/>
    <x v="1"/>
    <x v="3"/>
    <x v="14"/>
    <x v="2"/>
    <m/>
    <m/>
    <m/>
    <s v="TECNÓPOLIS"/>
    <m/>
    <s v="GIL RIVERA Borja Santiago"/>
    <s v="DNI"/>
    <n v="37339485"/>
    <n v="20373394859"/>
    <m/>
    <m/>
    <m/>
    <m/>
    <m/>
    <s v="LEY MARCO"/>
    <s v="LM"/>
    <d v="2012-11-30T00:00:00"/>
    <d v="2016-12-31T00:00:00"/>
    <d v="2016-12-31T00:00:00"/>
    <s v="F0"/>
    <m/>
    <m/>
    <n v="1000"/>
    <m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GIMENEZ FABIAN"/>
    <s v="DNI"/>
    <n v="16895479"/>
    <s v="20168954795"/>
    <d v="1964-06-16T00:00:00"/>
    <m/>
    <m/>
    <m/>
    <m/>
    <s v="ASISTENCIA TÉCNICA"/>
    <s v="AT"/>
    <d v="2015-04-01T00:00:00"/>
    <m/>
    <d v="2016-12-31T00:00:00"/>
    <m/>
    <s v="UNTREF"/>
    <s v="UNSAM- LADA"/>
    <n v="1000"/>
    <n v="1000"/>
    <n v="1170"/>
    <n v="1310"/>
    <n v="1310"/>
  </r>
  <r>
    <s v="SFMyCP"/>
    <x v="0"/>
    <x v="0"/>
    <x v="8"/>
    <x v="1"/>
    <x v="2"/>
    <m/>
    <m/>
    <s v="ADMINISTRATIVO"/>
    <m/>
    <s v="CCK - Alem 351"/>
    <s v="GIMENEZ JAZMIN"/>
    <s v="DNI"/>
    <n v="36904627"/>
    <n v="27369046271"/>
    <d v="1992-06-08T00:00:00"/>
    <m/>
    <m/>
    <m/>
    <m/>
    <s v="ASISTENCIA TÉCNICA"/>
    <s v="AT"/>
    <d v="2016-06-21T00:00:00"/>
    <m/>
    <d v="2016-12-31T00:00:00"/>
    <m/>
    <s v="UNTREF"/>
    <m/>
    <m/>
    <n v="1070"/>
    <n v="1170"/>
    <n v="0"/>
    <n v="0"/>
  </r>
  <r>
    <s v="SFMyCP"/>
    <x v="0"/>
    <x v="1"/>
    <x v="1"/>
    <x v="30"/>
    <x v="2"/>
    <m/>
    <s v="PRIVADA"/>
    <s v="ADMINISTRATIVO"/>
    <s v="CCK"/>
    <s v="CCK - Alem 351"/>
    <s v="GIMENEZ JERONIMO"/>
    <s v="DNI"/>
    <n v="33768361"/>
    <n v="20337683615"/>
    <d v="1988-05-15T00:00:00"/>
    <m/>
    <m/>
    <m/>
    <m/>
    <s v="ASISTENCIA TÉCNICA"/>
    <s v="AT"/>
    <d v="2016-02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5"/>
    <x v="2"/>
    <s v="operaciones"/>
    <s v="Analista"/>
    <s v="Analista"/>
    <s v="CCK"/>
    <s v="CCK - Alem 351"/>
    <s v="GIMENEZ JORGE"/>
    <s v="DNI"/>
    <n v="34771528"/>
    <s v="20347715280"/>
    <d v="1989-11-27T00:00:00"/>
    <m/>
    <m/>
    <m/>
    <m/>
    <s v="ASISTENCIA TÉCNICA"/>
    <s v="AT"/>
    <d v="2014-03-21T00:00:00"/>
    <m/>
    <d v="2016-12-31T00:00:00"/>
    <m/>
    <s v="UNTREF"/>
    <s v="UNLAM- INFO"/>
    <n v="1000"/>
    <n v="1070"/>
    <n v="1170"/>
    <n v="1310"/>
    <n v="1310"/>
  </r>
  <r>
    <s v="SFMyCP"/>
    <x v="0"/>
    <x v="1"/>
    <x v="3"/>
    <x v="19"/>
    <x v="2"/>
    <m/>
    <m/>
    <m/>
    <s v="TECNÓPOLIS"/>
    <m/>
    <s v="GIMENEZ Leonel Guillermo"/>
    <s v="DNI"/>
    <n v="29753648"/>
    <n v="20297536487"/>
    <m/>
    <m/>
    <m/>
    <m/>
    <m/>
    <s v="LEY MARCO"/>
    <s v="LM"/>
    <d v="2011-07-01T00:00:00"/>
    <d v="2016-12-31T00:00:00"/>
    <d v="2016-12-31T00:00:00"/>
    <s v="D1"/>
    <m/>
    <m/>
    <n v="1000"/>
    <m/>
    <n v="1170"/>
    <n v="1310"/>
    <n v="1310"/>
  </r>
  <r>
    <s v="SFMyCP"/>
    <x v="1"/>
    <x v="0"/>
    <x v="5"/>
    <x v="29"/>
    <x v="2"/>
    <m/>
    <s v="Asistente"/>
    <m/>
    <s v="CCK"/>
    <m/>
    <s v="GIRODO LORENA"/>
    <s v="DNI"/>
    <n v="21111727"/>
    <n v="27211117279"/>
    <m/>
    <m/>
    <m/>
    <m/>
    <m/>
    <s v="LEY MARCO"/>
    <s v="LM"/>
    <d v="2011-06-29T00:00:00"/>
    <d v="2016-12-31T00:00:00"/>
    <d v="2016-12-31T00:00:00"/>
    <s v="C1"/>
    <m/>
    <m/>
    <n v="1000"/>
    <m/>
    <n v="1170"/>
    <n v="1310"/>
    <n v="1310"/>
  </r>
  <r>
    <s v="SFMyCP"/>
    <x v="0"/>
    <x v="1"/>
    <x v="1"/>
    <x v="5"/>
    <x v="2"/>
    <m/>
    <m/>
    <s v="ADMINISTRATIVO"/>
    <m/>
    <s v="CCK - Alem 351"/>
    <s v="GISFREDI GABRIEL ESTEBAN"/>
    <s v="DNI"/>
    <n v="22472515"/>
    <n v="23224725159"/>
    <d v="1972-12-02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s v="CCK"/>
    <s v="FOMENTO"/>
    <s v="ADMINISTRATIVO"/>
    <s v="CABILDO 65"/>
    <s v="CABILDO 65"/>
    <s v="GOFMAN MARIA"/>
    <s v="DNI"/>
    <n v="26805036"/>
    <s v="27268050367"/>
    <d v="1978-07-20T00:00:00"/>
    <m/>
    <m/>
    <m/>
    <m/>
    <s v="ASISTENCIA TÉCNICA"/>
    <s v="AT"/>
    <d v="2012-06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GOLDEMBERG PAMINA"/>
    <s v="DNI"/>
    <n v="32224230"/>
    <s v="27322242307"/>
    <d v="1986-03-11T00:00:00"/>
    <m/>
    <m/>
    <m/>
    <m/>
    <s v="ASISTENCIA TÉCNICA"/>
    <s v="AT"/>
    <d v="2011-09-22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2"/>
    <x v="2"/>
    <m/>
    <m/>
    <m/>
    <s v="TECNÓPOLIS"/>
    <m/>
    <s v="GOMA Mariángeles"/>
    <s v="DNI"/>
    <n v="24515335"/>
    <n v="27245153355"/>
    <m/>
    <m/>
    <m/>
    <m/>
    <m/>
    <s v="LEY MARCO"/>
    <s v="LM"/>
    <d v="2013-11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GOMEZ ALICIA"/>
    <s v="DNI"/>
    <n v="34556569"/>
    <n v="27345565693"/>
    <d v="1989-12-15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19"/>
    <m/>
    <m/>
    <s v="Tecnico"/>
    <m/>
    <s v="CCK - Alem 351"/>
    <s v="GOMEZ CARLOS LUIS"/>
    <s v="DNI"/>
    <n v="13976769"/>
    <n v="20139767692"/>
    <d v="1960-01-13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TÉCNICA Y TRANSMISIÓN"/>
    <s v="ADMINISTRATIVO"/>
    <s v="CABILDO 65"/>
    <s v="CABILDO 65"/>
    <s v="GOMEZ FABIAN"/>
    <s v="DNI"/>
    <n v="17815852"/>
    <s v="20178158520"/>
    <d v="1966-06-16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BACUA"/>
    <s v="ADMINISTRATIVO"/>
    <s v="CABILDO 65"/>
    <s v="CABILDO 65"/>
    <s v="GOMEZ FERNANDEZ ANDREA"/>
    <s v="DNI"/>
    <n v="33700374"/>
    <s v="27337003740"/>
    <d v="1988-04-07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3"/>
    <x v="2"/>
    <m/>
    <m/>
    <m/>
    <s v="TECNÓPOLIS"/>
    <m/>
    <s v="GOMEZ Flavia Romina"/>
    <s v="DNI"/>
    <n v="23551187"/>
    <n v="27235511873"/>
    <m/>
    <m/>
    <m/>
    <m/>
    <m/>
    <s v="LEY MARCO"/>
    <s v="LM"/>
    <d v="2012-10-31T00:00:00"/>
    <d v="2016-12-31T00:00:00"/>
    <d v="2016-12-31T00:00:00"/>
    <s v="D1"/>
    <m/>
    <m/>
    <n v="1000"/>
    <m/>
    <n v="1170"/>
    <n v="1310"/>
    <n v="1310"/>
  </r>
  <r>
    <s v="SFMyCP"/>
    <x v="0"/>
    <x v="1"/>
    <x v="3"/>
    <x v="23"/>
    <x v="2"/>
    <m/>
    <s v="Tareas Generales"/>
    <s v="TAREAS EN GENERAL PAÑOL"/>
    <s v="TECNÓPOLIS"/>
    <m/>
    <s v="GOMEZ GABRIELA"/>
    <s v="DNI"/>
    <n v="28328515"/>
    <n v="23283285154"/>
    <m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3"/>
    <m/>
    <s v="Asistente"/>
    <s v="Asistente "/>
    <s v="CCK"/>
    <s v="CCK - Alem 351"/>
    <s v="GOMEZ GARNERO IGNACIO"/>
    <s v="DNI"/>
    <n v="36086487"/>
    <s v="20360864872"/>
    <d v="1991-10-30T00:00:00"/>
    <m/>
    <m/>
    <m/>
    <m/>
    <s v="ASISTENCIA TÉCNICA"/>
    <s v="AT"/>
    <d v="2015-08-03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GOMEZ HECTOR ANDRES"/>
    <s v="DNI"/>
    <n v="38629669"/>
    <s v="20386296694"/>
    <d v="1994-04-06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GOMEZ JUAN LEONARDO"/>
    <s v="DNI"/>
    <n v="23356117"/>
    <s v="20233561178"/>
    <d v="1973-09-15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m/>
    <s v="TECNÓPOLIS"/>
    <m/>
    <s v="GOMEZ Marta Margarita"/>
    <s v="DNI"/>
    <n v="20405235"/>
    <n v="27204052358"/>
    <m/>
    <m/>
    <m/>
    <m/>
    <m/>
    <s v="LEY MARCO"/>
    <s v="LM"/>
    <d v="2011-08-01T00:00:00"/>
    <d v="2016-12-31T00:00:00"/>
    <d v="2016-12-31T00:00:00"/>
    <s v="F0"/>
    <m/>
    <m/>
    <n v="1000"/>
    <m/>
    <n v="1170"/>
    <n v="1310"/>
    <n v="1310"/>
  </r>
  <r>
    <s v="SFMyCP"/>
    <x v="0"/>
    <x v="1"/>
    <x v="1"/>
    <x v="1"/>
    <x v="1"/>
    <m/>
    <m/>
    <s v="ADMINISTRATIVO"/>
    <m/>
    <s v="CCK - Alem 351"/>
    <s v="GOMEZ NADIA CAROLINA"/>
    <s v="DNI"/>
    <n v="31114117"/>
    <n v="27311141177"/>
    <d v="1984-09-04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0"/>
    <x v="8"/>
    <x v="1"/>
    <x v="2"/>
    <m/>
    <m/>
    <s v="ADMINISTRATIVO"/>
    <m/>
    <s v="CCK - Alem 351"/>
    <s v="GOMEZ SABRINA"/>
    <s v="DNI"/>
    <n v="28080987"/>
    <n v="27280809875"/>
    <d v="1980-05-01T00:00:00"/>
    <m/>
    <m/>
    <m/>
    <m/>
    <s v="ASISTENCIA TÉCNICA"/>
    <s v="AT"/>
    <d v="2016-06-21T00:00:00"/>
    <m/>
    <d v="2016-12-31T00:00:00"/>
    <m/>
    <s v="UNTREF"/>
    <m/>
    <m/>
    <n v="1070"/>
    <n v="1170"/>
    <n v="0"/>
    <n v="0"/>
  </r>
  <r>
    <s v="SFMyCP"/>
    <x v="0"/>
    <x v="1"/>
    <x v="1"/>
    <x v="5"/>
    <x v="12"/>
    <s v="LOGISTICA OPERATIVA"/>
    <s v="Técnico"/>
    <s v="Técnico"/>
    <s v="CCK"/>
    <s v="CCK - Alem 351"/>
    <s v="GOMEZ WILSON"/>
    <s v="DNI"/>
    <n v="94929982"/>
    <s v="20949299822"/>
    <d v="1990-01-04T00:00:00"/>
    <m/>
    <m/>
    <m/>
    <m/>
    <s v="ASISTENCIA TÉCNICA"/>
    <s v="AT"/>
    <m/>
    <m/>
    <d v="2016-12-31T00:00:00"/>
    <m/>
    <s v="UNTREF"/>
    <s v="UNSAM-MINPLAN"/>
    <n v="1000"/>
    <n v="107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GOMEZ YÉSICA MABEL"/>
    <s v="DNI"/>
    <n v="31750830"/>
    <m/>
    <d v="1985-08-15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3"/>
    <x v="26"/>
    <x v="2"/>
    <m/>
    <m/>
    <m/>
    <s v="TECNÓPOLIS"/>
    <m/>
    <s v="GONZALEZ Aníbal Adrián"/>
    <s v="DNI"/>
    <n v="24220906"/>
    <n v="20242209061"/>
    <m/>
    <m/>
    <m/>
    <m/>
    <m/>
    <s v="LEY MARCO"/>
    <s v="LM"/>
    <d v="2012-01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5"/>
    <x v="10"/>
    <m/>
    <m/>
    <s v="VISITAS GUIADAS"/>
    <m/>
    <s v="CCK - Alem 351"/>
    <s v="GONZALEZ ARCE DANIEL"/>
    <s v="DNI"/>
    <n v="40747726"/>
    <n v="20407477260"/>
    <d v="1997-10-21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3"/>
    <x v="2"/>
    <x v="2"/>
    <m/>
    <s v="PRIVADA"/>
    <s v="ADMINISTRATIVO"/>
    <m/>
    <s v="TECNOPOLIS"/>
    <s v="GONZALEZ DIEGO"/>
    <s v="DNI"/>
    <n v="31215701"/>
    <n v="20312157013"/>
    <d v="1985-02-07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GONZALEZ HEREDIA, GUILLERMO"/>
    <s v="DNI"/>
    <n v="22825030"/>
    <s v="23228250309"/>
    <d v="1972-07-29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5"/>
    <x v="2"/>
    <m/>
    <s v="Asistente funcional"/>
    <s v="asistente funcional"/>
    <s v="CCK"/>
    <s v="CCK - Alem 351"/>
    <s v="GONZALEZ HORACIO"/>
    <s v="DNI"/>
    <n v="13852028"/>
    <s v="20138520286"/>
    <d v="1960-04-11T00:00:00"/>
    <m/>
    <m/>
    <m/>
    <m/>
    <s v="ASISTENCIA TÉCNICA"/>
    <s v="AT"/>
    <d v="2009-04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3"/>
    <x v="2"/>
    <m/>
    <m/>
    <m/>
    <s v="TECNÓPOLIS"/>
    <m/>
    <s v="GONZALEZ Juan Carlos"/>
    <s v="DNI"/>
    <n v="36251926"/>
    <n v="20362519269"/>
    <m/>
    <m/>
    <m/>
    <m/>
    <m/>
    <s v="LEY MARCO"/>
    <s v="LM"/>
    <d v="2013-05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BACUA"/>
    <s v="ADMINISTRATIVO"/>
    <s v="CABILDO 65"/>
    <s v="CABILDO 65"/>
    <s v="GONZALEZ MARIA"/>
    <s v="DNI"/>
    <n v="31292772"/>
    <s v="27312927727"/>
    <d v="1984-12-07T00:00:00"/>
    <m/>
    <m/>
    <m/>
    <m/>
    <s v="ASISTENCIA TÉCNICA"/>
    <s v="AT"/>
    <d v="2013-08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3"/>
    <x v="2"/>
    <m/>
    <m/>
    <m/>
    <s v="TECNÓPOLIS"/>
    <m/>
    <s v="GONZALEZ Mariela"/>
    <s v="DNI"/>
    <n v="29624857"/>
    <n v="27296248571"/>
    <m/>
    <m/>
    <m/>
    <m/>
    <m/>
    <s v="LEY MARCO"/>
    <s v="LM"/>
    <d v="2011-07-01T00:00:00"/>
    <d v="2016-12-31T00:00:00"/>
    <d v="2016-12-31T00:00:00"/>
    <s v="D0"/>
    <m/>
    <m/>
    <n v="1000"/>
    <m/>
    <n v="1170"/>
    <n v="1310"/>
    <n v="1310"/>
  </r>
  <r>
    <s v="SFMyCP"/>
    <x v="0"/>
    <x v="1"/>
    <x v="1"/>
    <x v="5"/>
    <x v="3"/>
    <s v="LOGISTICA OPERATIVA"/>
    <s v="Técnico"/>
    <s v="OPERATIVA Y LOGISTICA"/>
    <s v="CCK"/>
    <s v="CCK - Alem 351"/>
    <s v="GONZALEZ NELSON"/>
    <s v="DNI"/>
    <n v="22609036"/>
    <s v="20226090364"/>
    <d v="1972-02-18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GONZALEZ NICOLÁS"/>
    <s v="DNI"/>
    <n v="34975868"/>
    <s v="20349758688"/>
    <d v="1989-11-21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0"/>
    <x v="2"/>
    <m/>
    <s v="PRIVADA"/>
    <s v="ADMINISTRATIVA"/>
    <s v="CCK"/>
    <s v="CCK - Alem 351"/>
    <s v="GONZALEZ NOGUERA, MICHELLE"/>
    <s v="DNI"/>
    <n v="25495401"/>
    <s v="27254954018"/>
    <d v="1976-01-27T00:00:00"/>
    <m/>
    <m/>
    <m/>
    <m/>
    <s v="ASISTENCIA TÉCNICA"/>
    <s v="AT"/>
    <d v="2016-02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36"/>
    <x v="2"/>
    <s v="SOPORTE ADMINISTRATIVO"/>
    <s v="SECRETARIA"/>
    <s v="Asistente"/>
    <s v="CCK"/>
    <s v="CCK - Alem 351"/>
    <s v="GONZALEZ ROCIO CRISTAL"/>
    <s v="DNI"/>
    <n v="38399930"/>
    <s v="27383999303"/>
    <d v="1994-06-30T00:00:00"/>
    <m/>
    <m/>
    <m/>
    <m/>
    <s v="ASISTENCIA TÉCNICA"/>
    <s v="AT"/>
    <d v="2015-09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1"/>
    <x v="10"/>
    <x v="9"/>
    <m/>
    <m/>
    <s v="ADMINISTRATIVA"/>
    <m/>
    <s v="CCK - Alem 351"/>
    <s v="GONZALEZ SANTIAGO MANUEL"/>
    <s v="DNI"/>
    <n v="36596267"/>
    <n v="20365962678"/>
    <d v="1991-11-14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5"/>
    <x v="3"/>
    <s v="LIMPIEZA (En comisión Tecnópolis)"/>
    <s v="Auxiliar"/>
    <s v="OPERATIVA Y LOGISTICA"/>
    <s v="CCK"/>
    <s v="CCK - Alem 351"/>
    <s v="GOÑI HERNAN"/>
    <s v="DNI"/>
    <n v="36660968"/>
    <s v="20366609688"/>
    <d v="1991-11-29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9"/>
    <x v="2"/>
    <m/>
    <m/>
    <m/>
    <s v="TECNÓPOLIS"/>
    <m/>
    <s v="GORGONE Adrian"/>
    <s v="DNI"/>
    <n v="23672087"/>
    <n v="20236720870"/>
    <m/>
    <m/>
    <m/>
    <m/>
    <m/>
    <s v="LEY MARCO"/>
    <s v="LM"/>
    <d v="2011-07-01T00:00:00"/>
    <d v="2016-12-31T00:00:00"/>
    <d v="2016-12-31T00:00:00"/>
    <s v="D1"/>
    <m/>
    <m/>
    <n v="1000"/>
    <m/>
    <n v="1170"/>
    <n v="1310"/>
    <n v="1310"/>
  </r>
  <r>
    <s v="SFMyCP"/>
    <x v="0"/>
    <x v="1"/>
    <x v="3"/>
    <x v="41"/>
    <x v="2"/>
    <m/>
    <m/>
    <m/>
    <s v="TECNÓPOLIS"/>
    <m/>
    <s v="GORGONE Vanesa Andrea"/>
    <s v="DNI"/>
    <n v="22503320"/>
    <n v="27225033205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GORNO  CLEMENTE ERNESTO"/>
    <s v="DNI"/>
    <n v="23656609"/>
    <s v="23236566099"/>
    <d v="1973-08-08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2"/>
    <x v="2"/>
    <m/>
    <m/>
    <s v="ADMINISTRATIVO"/>
    <m/>
    <s v="CCK - Alem 351"/>
    <s v="GRANDINETTI CLAUDIO"/>
    <s v="DNI"/>
    <n v="20611734"/>
    <n v="2026117347"/>
    <d v="1969-03-08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13"/>
    <m/>
    <s v="Asistente"/>
    <s v="Asistente "/>
    <s v="CCK"/>
    <s v="CCK - Alem 351"/>
    <s v="GRANERO MARIA NOEL"/>
    <s v="DNI"/>
    <n v="33426846"/>
    <s v="27334268468"/>
    <d v="1988-05-02T00:00:00"/>
    <m/>
    <m/>
    <m/>
    <m/>
    <s v="ASISTENCIA TÉCNICA"/>
    <s v="AT"/>
    <d v="2015-08-02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9"/>
    <x v="2"/>
    <m/>
    <s v="ADMINISTRATIVO"/>
    <m/>
    <s v="TECNÓPOLIS"/>
    <m/>
    <s v="GRASSO María Inés"/>
    <s v="DNI"/>
    <n v="27457003"/>
    <n v="27274570046"/>
    <m/>
    <m/>
    <m/>
    <m/>
    <m/>
    <s v="LEY MARCO"/>
    <s v="LM"/>
    <d v="2012-05-01T00:00:00"/>
    <d v="2016-12-31T00:00:00"/>
    <d v="2016-12-31T00:00:00"/>
    <s v="C0"/>
    <m/>
    <m/>
    <n v="1000"/>
    <m/>
    <n v="1170"/>
    <n v="1310"/>
    <n v="1310"/>
  </r>
  <r>
    <s v="SFMyCP"/>
    <x v="0"/>
    <x v="1"/>
    <x v="7"/>
    <x v="2"/>
    <x v="2"/>
    <m/>
    <s v="PRIVADA"/>
    <s v="ADMINISTRATIVO"/>
    <m/>
    <s v="CCK - Alem 351"/>
    <s v="GREGORIC LUIS"/>
    <s v="DNI"/>
    <n v="11735933"/>
    <s v="20117359337"/>
    <d v="1938-08-03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32"/>
    <x v="2"/>
    <m/>
    <s v="ADMINISTRATIVO"/>
    <m/>
    <s v="TECNÓPOLIS"/>
    <m/>
    <s v="GRIMBLAT IANINA"/>
    <s v="DNI"/>
    <n v="16225344"/>
    <n v="27162253447"/>
    <m/>
    <m/>
    <m/>
    <m/>
    <m/>
    <s v="LEY MARCO"/>
    <s v="LM"/>
    <d v="2013-07-01T00:00:00"/>
    <d v="2016-03-31T00:00:00"/>
    <d v="2016-12-31T00:00:00"/>
    <s v="C1"/>
    <m/>
    <m/>
    <n v="1000"/>
    <m/>
    <n v="1170"/>
    <n v="1310"/>
    <n v="1310"/>
  </r>
  <r>
    <s v="SFMyCP"/>
    <x v="0"/>
    <x v="1"/>
    <x v="3"/>
    <x v="14"/>
    <x v="2"/>
    <m/>
    <m/>
    <m/>
    <s v="TECNÓPOLIS"/>
    <m/>
    <s v="GUELBERT BENJAMIN DAVID"/>
    <s v="DNI"/>
    <n v="14689931"/>
    <n v="20146899316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7"/>
    <x v="2"/>
    <m/>
    <m/>
    <m/>
    <s v="CCK"/>
    <m/>
    <s v="GUELET MUÑOZ JOHANA ANAHI"/>
    <s v="DNI"/>
    <n v="34712943"/>
    <n v="27347129432"/>
    <m/>
    <m/>
    <m/>
    <m/>
    <m/>
    <s v="LEY MARCO"/>
    <s v="LM"/>
    <d v="2015-09-01T00:00:00"/>
    <d v="2016-03-31T00:00:00"/>
    <d v="2016-12-31T00:00:00"/>
    <s v="B0"/>
    <m/>
    <m/>
    <n v="1000"/>
    <m/>
    <n v="1170"/>
    <n v="1310"/>
    <n v="1310"/>
  </r>
  <r>
    <s v="SFMyCP"/>
    <x v="0"/>
    <x v="1"/>
    <x v="1"/>
    <x v="10"/>
    <x v="9"/>
    <m/>
    <m/>
    <m/>
    <m/>
    <m/>
    <s v="GUERRA LUCAS"/>
    <s v="DNI"/>
    <n v="24600825"/>
    <n v="20246008257"/>
    <m/>
    <m/>
    <m/>
    <m/>
    <m/>
    <m/>
    <s v="LM"/>
    <d v="2012-12-01T00:00:00"/>
    <m/>
    <d v="2016-12-31T00:00:00"/>
    <s v="B3"/>
    <m/>
    <m/>
    <m/>
    <m/>
    <n v="1170"/>
    <n v="0"/>
    <n v="0"/>
  </r>
  <r>
    <s v="SFMyCP"/>
    <x v="0"/>
    <x v="0"/>
    <x v="0"/>
    <x v="2"/>
    <x v="2"/>
    <m/>
    <s v="PRIVADA"/>
    <s v="ADMINISTRATIVO"/>
    <m/>
    <s v="CCK - Alem 351"/>
    <s v="GUERRERO IGNACIO"/>
    <s v="DNI"/>
    <n v="22796345"/>
    <s v="20227963450"/>
    <d v="1972-09-27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1"/>
    <x v="1"/>
    <x v="10"/>
    <x v="2"/>
    <m/>
    <s v="Analista"/>
    <s v="ADMINISTRATIVA"/>
    <s v="CCK"/>
    <s v="CCK - Alem 351"/>
    <s v="GUINSBURG DANIELA"/>
    <s v="DNI"/>
    <n v="35320893"/>
    <s v="23353208934"/>
    <d v="1990-09-28T00:00:00"/>
    <m/>
    <m/>
    <m/>
    <m/>
    <s v="ASISTENCIA TÉCNICA"/>
    <s v="AT"/>
    <d v="2015-05-15T00:00:00"/>
    <m/>
    <d v="2016-12-31T00:00:00"/>
    <m/>
    <s v="UNTREF"/>
    <s v="UNSAM-MINPLAN"/>
    <n v="1000"/>
    <n v="1070"/>
    <n v="1170"/>
    <n v="1310"/>
    <n v="1310"/>
  </r>
  <r>
    <s v="SFMyCP"/>
    <x v="0"/>
    <x v="1"/>
    <x v="1"/>
    <x v="5"/>
    <x v="2"/>
    <m/>
    <m/>
    <s v="ADMINISTRATIVO"/>
    <m/>
    <s v="CCK - Alem 351"/>
    <s v="GUTIERRE SERGIO EDUARDO"/>
    <s v="DNI"/>
    <n v="24222400"/>
    <n v="20242224001"/>
    <d v="1975-01-27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6"/>
    <x v="2"/>
    <m/>
    <m/>
    <s v="MANTENIMIENTO GRAL DEL PARQUE"/>
    <s v="TECNÓPOLIS"/>
    <s v="TECNOPOLIS"/>
    <s v="GUTIERREZ GABRIEL ALBERTO"/>
    <s v="DNI"/>
    <n v="25838929"/>
    <s v="20258389299"/>
    <d v="1977-02-23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GUTIERREZ RODRIGO"/>
    <s v="DNI"/>
    <n v="26819198"/>
    <s v="20268191985"/>
    <d v="1978-08-2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GUZMAN  MAXIMILIANO JOSUE"/>
    <s v="DNI"/>
    <n v="32595983"/>
    <s v="20325959836"/>
    <d v="1987-04-03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GUZMÁN WALTER"/>
    <s v="DNI"/>
    <n v="14314816"/>
    <s v="20143148166"/>
    <d v="1961-07-10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5"/>
    <x v="22"/>
    <m/>
    <m/>
    <m/>
    <m/>
    <m/>
    <s v="HABERMEHL ANDRES"/>
    <s v="DNI"/>
    <n v="35970957"/>
    <m/>
    <m/>
    <m/>
    <m/>
    <m/>
    <m/>
    <m/>
    <s v="LM"/>
    <m/>
    <m/>
    <d v="2016-12-31T00:00:00"/>
    <s v="C0"/>
    <m/>
    <m/>
    <e v="#REF!"/>
    <m/>
    <m/>
    <n v="0"/>
    <n v="0"/>
  </r>
  <r>
    <s v="SFMyCP"/>
    <x v="1"/>
    <x v="0"/>
    <x v="2"/>
    <x v="2"/>
    <x v="2"/>
    <m/>
    <s v="PRIVADA"/>
    <s v="ADMINISTRATIVO"/>
    <m/>
    <s v="CCK - Alem 351"/>
    <s v="HAMILTON, FEDERICO"/>
    <s v="DNI"/>
    <n v="24962533"/>
    <s v="20249625338"/>
    <d v="1975-09-24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38"/>
    <x v="2"/>
    <m/>
    <s v="ADMINISTRATIVO"/>
    <m/>
    <s v="TECNÓPOLIS"/>
    <m/>
    <s v="HENCEK ANDREA MARIANA"/>
    <s v="DNI"/>
    <n v="25144136"/>
    <n v="27251441362"/>
    <m/>
    <m/>
    <m/>
    <m/>
    <m/>
    <s v="LEY MARCO"/>
    <s v="LM"/>
    <d v="2010-03-01T00:00:00"/>
    <d v="2016-12-31T00:00:00"/>
    <d v="2016-12-31T00:00:00"/>
    <s v="C1"/>
    <m/>
    <m/>
    <n v="1000"/>
    <m/>
    <n v="1170"/>
    <n v="1310"/>
    <n v="1310"/>
  </r>
  <r>
    <s v="SFMyCP"/>
    <x v="0"/>
    <x v="1"/>
    <x v="3"/>
    <x v="38"/>
    <x v="2"/>
    <m/>
    <s v="ADMINISTRATIVO"/>
    <m/>
    <s v="TECNÓPOLIS"/>
    <m/>
    <s v="HENCEK FERNANDA GABRIELA"/>
    <s v="DNI"/>
    <n v="26019114"/>
    <n v="23260191144"/>
    <m/>
    <m/>
    <m/>
    <m/>
    <m/>
    <s v="LEY MARCO"/>
    <s v="LM"/>
    <d v="2010-04-01T00:00:00"/>
    <d v="2016-12-31T00:00:00"/>
    <d v="2016-12-31T00:00:00"/>
    <s v="B1"/>
    <m/>
    <m/>
    <n v="1000"/>
    <m/>
    <n v="1170"/>
    <n v="1310"/>
    <n v="1310"/>
  </r>
  <r>
    <s v="SFMyCP"/>
    <x v="0"/>
    <x v="0"/>
    <x v="0"/>
    <x v="8"/>
    <x v="6"/>
    <m/>
    <m/>
    <s v="ADMINISTRATIVO"/>
    <s v="CABILDO 65"/>
    <s v="CABILDO 65"/>
    <s v="HERAS MAURICIO"/>
    <s v="DNI"/>
    <n v="27027265"/>
    <s v="20270272658"/>
    <d v="1978-12-17T00:00:00"/>
    <m/>
    <m/>
    <m/>
    <m/>
    <s v="ASISTENCIA TÉCNICA"/>
    <s v="AT"/>
    <d v="2010-04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2"/>
    <x v="2"/>
    <s v="(GESTIÓN OPERATIVA)"/>
    <m/>
    <m/>
    <s v="CCK"/>
    <m/>
    <s v="HERMOSA SILVINA"/>
    <s v="DNI"/>
    <n v="24159112"/>
    <n v="27241591129"/>
    <m/>
    <m/>
    <m/>
    <m/>
    <m/>
    <s v="LEY MARCO"/>
    <s v="LM"/>
    <d v="2010-04-01T00:00:00"/>
    <d v="2016-12-31T00:00:00"/>
    <d v="2016-12-31T00:00:00"/>
    <s v="B1"/>
    <m/>
    <m/>
    <n v="1000"/>
    <m/>
    <n v="1170"/>
    <n v="1310"/>
    <n v="1310"/>
  </r>
  <r>
    <s v="SFMyCP"/>
    <x v="0"/>
    <x v="0"/>
    <x v="0"/>
    <x v="42"/>
    <x v="2"/>
    <m/>
    <s v=""/>
    <m/>
    <s v="CCK"/>
    <m/>
    <s v="HERNANDEZ MAXIMILIANO PABLO"/>
    <s v="DNI"/>
    <n v="34681893"/>
    <n v="20346818930"/>
    <m/>
    <m/>
    <m/>
    <m/>
    <m/>
    <s v="LEY MARCO"/>
    <s v="LM"/>
    <d v="2011-11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29"/>
    <x v="2"/>
    <s v="CONTROL DE ACCESOS  B"/>
    <s v="Asistente"/>
    <s v="ADMINISTRATIVO"/>
    <s v="CCK"/>
    <s v="CCK - Alem 351"/>
    <s v="HERRERA LARA MARIELA"/>
    <s v="DNI"/>
    <n v="37023551"/>
    <s v="27370235517"/>
    <d v="1992-11-25T00:00:00"/>
    <m/>
    <m/>
    <m/>
    <m/>
    <s v="ASISTENCIA TÉCNICA"/>
    <s v="AT"/>
    <m/>
    <m/>
    <d v="2016-12-31T00:00:00"/>
    <m/>
    <s v="UNTREF"/>
    <s v="UNLAM- BICENTENARIO"/>
    <n v="1000"/>
    <n v="1070"/>
    <n v="1170"/>
    <n v="1310"/>
    <n v="1310"/>
  </r>
  <r>
    <s v="SFMyCP"/>
    <x v="0"/>
    <x v="1"/>
    <x v="1"/>
    <x v="5"/>
    <x v="13"/>
    <m/>
    <s v="Asistente"/>
    <s v="Asistente "/>
    <s v="CCK"/>
    <s v="CCK - Alem 351"/>
    <s v="HERRERA MARIA DEL MAR"/>
    <s v="DNI"/>
    <n v="37900697"/>
    <s v="27379006979"/>
    <d v="1994-06-15T00:00:00"/>
    <m/>
    <m/>
    <m/>
    <m/>
    <s v="ASISTENCIA TÉCNICA"/>
    <s v="AT"/>
    <d v="2015-06-01T00:00:00"/>
    <m/>
    <d v="2016-12-31T00:00:00"/>
    <m/>
    <s v="UNTREF"/>
    <s v="UNLAM- BICENTENARIO"/>
    <n v="1000"/>
    <n v="1070"/>
    <n v="1170"/>
    <n v="1310"/>
    <n v="1310"/>
  </r>
  <r>
    <s v="SFMyCP"/>
    <x v="1"/>
    <x v="0"/>
    <x v="5"/>
    <x v="16"/>
    <x v="14"/>
    <m/>
    <s v="Enfermera/o"/>
    <m/>
    <s v="CCK"/>
    <m/>
    <s v="HERRERA MARIA EUGENIA"/>
    <s v="DNI"/>
    <n v="28633654"/>
    <n v="27286336545"/>
    <m/>
    <m/>
    <m/>
    <m/>
    <m/>
    <s v="LEY MARCO"/>
    <s v="LM"/>
    <d v="2015-06-01T00:00:00"/>
    <d v="2016-03-31T00:00:00"/>
    <d v="2016-12-31T00:00:00"/>
    <s v="C0"/>
    <m/>
    <m/>
    <n v="1000"/>
    <m/>
    <n v="1170"/>
    <n v="1310"/>
    <n v="1310"/>
  </r>
  <r>
    <s v="SFMyCP"/>
    <x v="1"/>
    <x v="0"/>
    <x v="5"/>
    <x v="16"/>
    <x v="14"/>
    <m/>
    <s v="Enfermera/o"/>
    <m/>
    <s v="CCK"/>
    <m/>
    <s v="HERRERA CLAUDIA MARCELA"/>
    <s v="DNI"/>
    <n v="27493096"/>
    <n v="27274930964"/>
    <d v="1979-06-09T00:00:00"/>
    <m/>
    <m/>
    <m/>
    <m/>
    <s v="ASISTENCIA TÉCNICA"/>
    <s v="AT"/>
    <d v="2016-08-02T00:00:00"/>
    <m/>
    <d v="2016-12-31T00:00:00"/>
    <m/>
    <m/>
    <m/>
    <m/>
    <m/>
    <m/>
    <n v="0"/>
    <n v="0"/>
  </r>
  <r>
    <s v="SFMyCP"/>
    <x v="0"/>
    <x v="1"/>
    <x v="3"/>
    <x v="3"/>
    <x v="2"/>
    <m/>
    <m/>
    <m/>
    <s v="TECNÓPOLIS"/>
    <m/>
    <s v="HERRERA VERONICA LORENA"/>
    <s v="DNI"/>
    <n v="28496920"/>
    <n v="27284969206"/>
    <m/>
    <m/>
    <m/>
    <m/>
    <m/>
    <s v="LEY MARCO"/>
    <s v="LM"/>
    <d v="2012-10-31T00:00:00"/>
    <d v="2016-12-31T00:00:00"/>
    <d v="2016-12-31T00:00:00"/>
    <s v="F0"/>
    <m/>
    <m/>
    <n v="1000"/>
    <m/>
    <n v="1170"/>
    <n v="1310"/>
    <n v="1310"/>
  </r>
  <r>
    <s v="SFMyCP"/>
    <x v="0"/>
    <x v="1"/>
    <x v="3"/>
    <x v="19"/>
    <x v="2"/>
    <m/>
    <m/>
    <m/>
    <s v="TECNÓPOLIS"/>
    <m/>
    <s v="HERRERA WALTER NICOLAS"/>
    <s v="DNI"/>
    <n v="30277829"/>
    <n v="23302778299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16"/>
    <x v="16"/>
    <s v="COMUNICACIÓN"/>
    <s v="COMUNICACIÓN"/>
    <m/>
    <m/>
    <m/>
    <s v="HOROVITZ HERNAN"/>
    <s v="DNI"/>
    <n v="31641802"/>
    <n v="20316418024"/>
    <m/>
    <m/>
    <m/>
    <m/>
    <m/>
    <s v="LEY MARCO"/>
    <s v="LM"/>
    <d v="2011-07-28T00:00:00"/>
    <d v="2016-12-31T00:00:00"/>
    <d v="2016-12-31T00:00:00"/>
    <s v="C1"/>
    <m/>
    <m/>
    <n v="1000"/>
    <m/>
    <n v="1170"/>
    <n v="1310"/>
    <n v="1310"/>
  </r>
  <r>
    <s v="SFMyCP"/>
    <x v="1"/>
    <x v="0"/>
    <x v="5"/>
    <x v="29"/>
    <x v="2"/>
    <m/>
    <m/>
    <s v="ADMINISTRATIVO"/>
    <m/>
    <s v="CCK - Alem 351"/>
    <s v="HORTAS, DANIEL"/>
    <s v="DNI"/>
    <n v="14289145"/>
    <s v="20142891450"/>
    <d v="1960-11-16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7"/>
    <x v="2"/>
    <m/>
    <m/>
    <s v="ADMINISTRATIVO"/>
    <m/>
    <s v="CCK - Alem 351"/>
    <s v="HURTADO DENIS"/>
    <s v="DNI"/>
    <n v="35569357"/>
    <s v="20355693571"/>
    <d v="1990-11-14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1"/>
    <x v="5"/>
    <x v="12"/>
    <s v="LOGISTICA OPERATIVA"/>
    <s v="Auxiliar de Mantenimiento"/>
    <s v="Auxiliar de Mantenimiento"/>
    <s v="CCK"/>
    <s v="CCK - Alem 351"/>
    <s v="HURTADO RICARDO"/>
    <s v="DNI"/>
    <n v="35897670"/>
    <s v="20358976701"/>
    <d v="1992-10-02T00:00:00"/>
    <m/>
    <m/>
    <m/>
    <m/>
    <s v="ASISTENCIA TÉCNICA"/>
    <s v="AT"/>
    <d v="2015-06-01T00:00:00"/>
    <m/>
    <d v="2016-12-31T00:00:00"/>
    <m/>
    <s v="UNTREF"/>
    <s v="UNSAM-MINPLAN"/>
    <n v="1000"/>
    <n v="1070"/>
    <n v="1170"/>
    <n v="1310"/>
    <n v="1310"/>
  </r>
  <r>
    <s v="SFMyCP"/>
    <x v="1"/>
    <x v="0"/>
    <x v="5"/>
    <x v="16"/>
    <x v="11"/>
    <s v="AUTOMOTORES"/>
    <s v="CHOFER"/>
    <m/>
    <s v="CCK"/>
    <m/>
    <s v="HUTCHINSON RICARDO"/>
    <s v="DNI"/>
    <n v="14619813"/>
    <n v="23146198139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1"/>
    <x v="0"/>
    <x v="5"/>
    <x v="16"/>
    <x v="16"/>
    <m/>
    <m/>
    <m/>
    <m/>
    <m/>
    <s v="IALUNER HÜLSEN GABRIELA"/>
    <s v="DNI"/>
    <n v="30762932"/>
    <n v="27307629327"/>
    <m/>
    <m/>
    <m/>
    <m/>
    <m/>
    <m/>
    <s v="LM"/>
    <d v="2008-10-01T00:00:00"/>
    <m/>
    <d v="2016-12-31T00:00:00"/>
    <s v="C1"/>
    <m/>
    <m/>
    <n v="1000"/>
    <m/>
    <n v="1170"/>
    <n v="1310"/>
    <n v="1310"/>
  </r>
  <r>
    <s v="SFMyCP"/>
    <x v="1"/>
    <x v="0"/>
    <x v="5"/>
    <x v="29"/>
    <x v="2"/>
    <m/>
    <m/>
    <m/>
    <s v="CCK"/>
    <m/>
    <s v="IBAÑEZ ORLANDO"/>
    <s v="DNI"/>
    <n v="18780444"/>
    <n v="20187804443"/>
    <m/>
    <m/>
    <m/>
    <m/>
    <m/>
    <s v="LEY MARCO"/>
    <s v="LM"/>
    <d v="2007-01-01T00:00:00"/>
    <d v="2016-12-31T00:00:00"/>
    <d v="2016-12-31T00:00:00"/>
    <s v="A3"/>
    <m/>
    <m/>
    <n v="1000"/>
    <m/>
    <n v="1170"/>
    <n v="1310"/>
    <n v="1310"/>
  </r>
  <r>
    <s v="SFMyCP"/>
    <x v="0"/>
    <x v="0"/>
    <x v="8"/>
    <x v="1"/>
    <x v="2"/>
    <m/>
    <m/>
    <s v="ADMINISTRATIVO"/>
    <m/>
    <s v="CCK - Alem 351"/>
    <s v="IBARGUREN MANUELA"/>
    <s v="DNI"/>
    <n v="35962369"/>
    <n v="27359623696"/>
    <d v="1991-03-26T00:00:00"/>
    <m/>
    <m/>
    <m/>
    <m/>
    <s v="ASISTENCIA TÉCNICA"/>
    <s v="AT"/>
    <d v="2016-07-04T00:00:00"/>
    <m/>
    <d v="2016-12-31T00:00:00"/>
    <m/>
    <s v="UNTREF"/>
    <m/>
    <m/>
    <n v="1070"/>
    <n v="1170"/>
    <n v="0"/>
    <n v="0"/>
  </r>
  <r>
    <s v="SFMyCP"/>
    <x v="0"/>
    <x v="1"/>
    <x v="3"/>
    <x v="6"/>
    <x v="2"/>
    <m/>
    <m/>
    <s v="MANTENIMIENTO GRAL DEL PARQUE"/>
    <s v="TECNÓPOLIS"/>
    <s v="TECNOPOLIS"/>
    <s v="IGARTUA  SEBASTIAN"/>
    <s v="DNI"/>
    <n v="35766149"/>
    <s v="20357661499"/>
    <d v="1989-07-13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IGLESIAS ANA "/>
    <s v="DNI"/>
    <n v="27264874"/>
    <s v="27272648749"/>
    <d v="1979-07-27T00:00:00"/>
    <m/>
    <m/>
    <m/>
    <m/>
    <s v="ASISTENCIA TÉCNICA"/>
    <s v="AT"/>
    <d v="2013-09-09T00:00:00"/>
    <m/>
    <d v="2016-12-31T00:00:00"/>
    <m/>
    <s v="UNTREF"/>
    <m/>
    <n v="1000"/>
    <n v="1000"/>
    <n v="1170"/>
    <n v="1310"/>
    <n v="1310"/>
  </r>
  <r>
    <s v="SFMyCP"/>
    <x v="0"/>
    <x v="1"/>
    <x v="1"/>
    <x v="30"/>
    <x v="2"/>
    <m/>
    <s v="Sub Director"/>
    <m/>
    <m/>
    <m/>
    <s v="IGLESIAS LEANDRO"/>
    <s v="DNI"/>
    <m/>
    <m/>
    <m/>
    <m/>
    <m/>
    <m/>
    <m/>
    <m/>
    <m/>
    <m/>
    <m/>
    <d v="2016-12-31T00:00:00"/>
    <m/>
    <m/>
    <m/>
    <s v="."/>
    <m/>
    <s v=" ---"/>
    <s v=" ---"/>
    <s v=" ---"/>
  </r>
  <r>
    <s v="SFMyCP"/>
    <x v="0"/>
    <x v="0"/>
    <x v="6"/>
    <x v="11"/>
    <x v="2"/>
    <m/>
    <m/>
    <s v="ADMINISTRATIVO"/>
    <m/>
    <s v="CCK - Alem 351"/>
    <s v="IGNATTI GUIDO"/>
    <s v="DNI"/>
    <n v="28950634"/>
    <s v="23289506349"/>
    <d v="1981-08-14T00:00:00"/>
    <m/>
    <m/>
    <m/>
    <m/>
    <s v="ASISTENCIA TÉCNICA"/>
    <s v="AT"/>
    <d v="2016-01-01T00:00:00"/>
    <m/>
    <d v="2016-12-31T00:00:00"/>
    <m/>
    <s v="UNTREF"/>
    <m/>
    <n v="1000"/>
    <n v="1070"/>
    <n v="1170"/>
    <n v="1310"/>
    <n v="1310"/>
  </r>
  <r>
    <s v="SFMyCP"/>
    <x v="1"/>
    <x v="0"/>
    <x v="5"/>
    <x v="25"/>
    <x v="2"/>
    <m/>
    <s v="Técnico"/>
    <s v="Analista"/>
    <s v="CCK"/>
    <s v="CCK - Alem 351"/>
    <s v="ILLANES SANTIAGO"/>
    <s v="DNI"/>
    <n v="26580826"/>
    <s v="20265808264"/>
    <d v="1977-12-26T00:00:00"/>
    <m/>
    <m/>
    <m/>
    <m/>
    <s v="ASISTENCIA TÉCNICA"/>
    <s v="AT"/>
    <d v="2013-11-26T00:00:00"/>
    <m/>
    <d v="2016-12-31T00:00:00"/>
    <m/>
    <s v="UNTREF"/>
    <s v="UNLAM- INFO"/>
    <n v="1000"/>
    <n v="1070"/>
    <n v="1170"/>
    <n v="1310"/>
    <n v="1310"/>
  </r>
  <r>
    <s v="SFMyCP"/>
    <x v="1"/>
    <x v="0"/>
    <x v="5"/>
    <x v="16"/>
    <x v="14"/>
    <m/>
    <s v="Enfermera/o"/>
    <m/>
    <s v="CCK"/>
    <m/>
    <s v="IMAZ KARINA PAOLA"/>
    <s v="DNI"/>
    <n v="23120215"/>
    <n v="27231202159"/>
    <m/>
    <m/>
    <m/>
    <m/>
    <m/>
    <s v="LEY MARCO"/>
    <s v="LM"/>
    <d v="2015-05-2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15"/>
    <x v="10"/>
    <m/>
    <m/>
    <s v="VISITAS GUIADAS"/>
    <m/>
    <s v="CCK - Alem 351"/>
    <s v="INGEGNIERI FRANCISCO"/>
    <s v="DNI"/>
    <n v="39910014"/>
    <n v="20399100144"/>
    <d v="1996-08-16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IÑIGO  MARIA CRISTINA"/>
    <s v="DNI"/>
    <n v="22228890"/>
    <n v="27222288903"/>
    <d v="1971-06-09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1"/>
    <x v="0"/>
    <x v="5"/>
    <x v="24"/>
    <x v="2"/>
    <m/>
    <s v="Asistente administrativo."/>
    <m/>
    <s v="CCK"/>
    <m/>
    <s v="IRIART, SERGIO"/>
    <s v="DNI"/>
    <n v="33546747"/>
    <n v="20335467478"/>
    <m/>
    <m/>
    <m/>
    <m/>
    <m/>
    <s v="LEY MARCO"/>
    <s v="LM"/>
    <d v="2013-01-02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IRIONDO MATIAS"/>
    <s v="DNI"/>
    <n v="24921752"/>
    <s v="20249217523"/>
    <d v="1975-10-12T00:00:00"/>
    <m/>
    <m/>
    <m/>
    <m/>
    <s v="ASISTENCIA TÉCNICA"/>
    <s v="AT"/>
    <d v="2014-04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ITURRALDE ADRIAN"/>
    <s v="DNI"/>
    <n v="16237010"/>
    <s v="20162370104"/>
    <d v="1963-01-12T00:00:00"/>
    <m/>
    <m/>
    <m/>
    <m/>
    <s v="ASISTENCIA TÉCNICA"/>
    <s v="AT"/>
    <d v="2013-06-01T00:00:00"/>
    <m/>
    <d v="2016-12-31T00:00:00"/>
    <m/>
    <s v="UNTREF"/>
    <m/>
    <n v="1000"/>
    <n v="1000"/>
    <n v="1170"/>
    <n v="1310"/>
    <n v="1310"/>
  </r>
  <r>
    <s v="SFMyCP"/>
    <x v="0"/>
    <x v="1"/>
    <x v="1"/>
    <x v="1"/>
    <x v="1"/>
    <m/>
    <m/>
    <s v="ADMINISTRATIVO"/>
    <m/>
    <s v="CCK - Alem 351"/>
    <s v="IVANOSKI MARIA LUCILA"/>
    <s v="DNI"/>
    <n v="28778937"/>
    <n v="27287789373"/>
    <d v="1981-05-15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JACOBO LOLA MARIA"/>
    <s v="DNI"/>
    <m/>
    <m/>
    <m/>
    <m/>
    <m/>
    <m/>
    <m/>
    <m/>
    <s v="AT"/>
    <m/>
    <m/>
    <d v="2016-12-31T00:00:00"/>
    <m/>
    <s v="UNTREF"/>
    <m/>
    <m/>
    <m/>
    <n v="1170"/>
    <n v="0"/>
    <n v="0"/>
  </r>
  <r>
    <s v="SFMyCP"/>
    <x v="0"/>
    <x v="0"/>
    <x v="6"/>
    <x v="11"/>
    <x v="2"/>
    <m/>
    <m/>
    <s v="Orientador de Sala"/>
    <m/>
    <m/>
    <s v="JALIL CAROLINA"/>
    <s v="DNI"/>
    <n v="26392514"/>
    <n v="27263925144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0"/>
    <x v="0"/>
    <x v="0"/>
    <x v="8"/>
    <x v="6"/>
    <m/>
    <s v="PANORAMA ARGENTINO"/>
    <s v="ADMINISTRATIVO"/>
    <s v="CABILDO 65"/>
    <s v="CABILDO 65"/>
    <s v="JECHSMAYR HERNAN"/>
    <s v="DNI"/>
    <n v="17964747"/>
    <s v="20179647479"/>
    <d v="1966-10-13T00:00:00"/>
    <m/>
    <m/>
    <m/>
    <m/>
    <s v="ASISTENCIA TÉCNICA"/>
    <s v="AT"/>
    <d v="2012-03-01T00:00:00"/>
    <m/>
    <d v="2016-12-31T00:00:00"/>
    <m/>
    <s v="UNTREF"/>
    <s v="UNSAM- LADA"/>
    <n v="1000"/>
    <n v="1070"/>
    <n v="1170"/>
    <n v="1310"/>
    <n v="1310"/>
  </r>
  <r>
    <s v="SFMyCP"/>
    <x v="0"/>
    <x v="1"/>
    <x v="3"/>
    <x v="12"/>
    <x v="2"/>
    <m/>
    <s v="Administrativo"/>
    <m/>
    <s v="TECNÓPOLIS"/>
    <m/>
    <s v="JIMENEZ ALEGRE NELLY GLADYS"/>
    <s v="DNI"/>
    <n v="28814776"/>
    <n v="27288147766"/>
    <m/>
    <m/>
    <m/>
    <m/>
    <m/>
    <s v="LEY MARCO"/>
    <s v="LM"/>
    <d v="2015-03-01T00:00:00"/>
    <d v="2016-03-31T00:00:00"/>
    <d v="2016-12-31T00:00:00"/>
    <s v="C0"/>
    <m/>
    <m/>
    <n v="1000"/>
    <m/>
    <n v="1170"/>
    <n v="1310"/>
    <n v="1310"/>
  </r>
  <r>
    <s v="SFMyCP"/>
    <x v="1"/>
    <x v="0"/>
    <x v="5"/>
    <x v="29"/>
    <x v="2"/>
    <m/>
    <s v="Asistente"/>
    <m/>
    <s v="CCK"/>
    <m/>
    <s v="JIMENEZ LUIS"/>
    <s v="DNI"/>
    <n v="29192074"/>
    <n v="20291920749"/>
    <m/>
    <m/>
    <m/>
    <m/>
    <m/>
    <s v="LEY MARCO"/>
    <s v="LM"/>
    <d v="2010-06-01T00:00:00"/>
    <d v="2016-12-31T00:00:00"/>
    <d v="2016-12-31T00:00:00"/>
    <s v="C1"/>
    <m/>
    <m/>
    <n v="1000"/>
    <m/>
    <n v="1170"/>
    <n v="1310"/>
    <n v="1310"/>
  </r>
  <r>
    <s v="SFMyCP"/>
    <x v="0"/>
    <x v="0"/>
    <x v="0"/>
    <x v="8"/>
    <x v="6"/>
    <m/>
    <s v="PANORAMA ARGENTINO"/>
    <s v="PRODUCTOR de EXTERIORES"/>
    <s v="CABILDO 65"/>
    <s v="CABILDO 65"/>
    <s v="JORDAN MARIANO"/>
    <s v="DNI"/>
    <n v="28080101"/>
    <s v="20280801012"/>
    <d v="1980-04-14T00:00:00"/>
    <m/>
    <m/>
    <m/>
    <m/>
    <s v="ASISTENCIA TÉCNICA"/>
    <s v="AT"/>
    <d v="2015-04-15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2"/>
    <m/>
    <m/>
    <m/>
    <s v="CCK"/>
    <m/>
    <s v="JORGE MARTHA"/>
    <s v="DNI"/>
    <n v="16765329"/>
    <n v="24167653290"/>
    <m/>
    <m/>
    <m/>
    <m/>
    <m/>
    <s v="LEY MARCO"/>
    <s v="LM"/>
    <d v="2010-06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19"/>
    <x v="2"/>
    <m/>
    <m/>
    <s v="CONTROL DE ACCESOS/DIGITALIZACION VEHICULAR"/>
    <s v="TECNÓPOLIS"/>
    <s v="TECNOPOLIS"/>
    <s v="JOSA ANDREA FABIANA"/>
    <s v="DNI"/>
    <n v="17802888"/>
    <s v="27178028885"/>
    <d v="1965-10-25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26"/>
    <x v="2"/>
    <m/>
    <m/>
    <s v="OPERACIÓN/MONTAJE/MANTENIMIENTO"/>
    <m/>
    <s v="TECNOPOLIS"/>
    <s v="JUAREZ CLAUDIO NESTOR"/>
    <s v="DNI"/>
    <n v="14596714"/>
    <n v="20145967148"/>
    <d v="1961-07-03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22"/>
    <m/>
    <m/>
    <m/>
    <m/>
    <m/>
    <s v="JUAREZ JESUS EMMANUEL MARIO"/>
    <s v="DNI"/>
    <n v="33194188"/>
    <m/>
    <m/>
    <m/>
    <m/>
    <m/>
    <m/>
    <m/>
    <s v="LM"/>
    <m/>
    <m/>
    <d v="2016-12-31T00:00:00"/>
    <s v="C1"/>
    <m/>
    <m/>
    <n v="1000"/>
    <m/>
    <n v="1170"/>
    <n v="1310"/>
    <n v="1310"/>
  </r>
  <r>
    <s v="SFMyCP"/>
    <x v="0"/>
    <x v="1"/>
    <x v="1"/>
    <x v="15"/>
    <x v="10"/>
    <m/>
    <m/>
    <s v="VISITAS GUIADAS"/>
    <m/>
    <s v="CCK - Alem 351"/>
    <s v="JUAREZ JUAQUIN NEMESIO"/>
    <s v="DNI"/>
    <n v="39624844"/>
    <n v="20396248442"/>
    <d v="1996-03-31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0"/>
    <x v="2"/>
    <x v="2"/>
    <m/>
    <s v="PRIVADA"/>
    <m/>
    <s v="CCK"/>
    <m/>
    <s v="JUAREZ JULIAN"/>
    <s v="DNI"/>
    <n v="38357064"/>
    <n v="20383570647"/>
    <m/>
    <m/>
    <m/>
    <m/>
    <m/>
    <s v="ASISTENCIA TÉCNICA"/>
    <s v="AT"/>
    <m/>
    <m/>
    <m/>
    <m/>
    <m/>
    <m/>
    <m/>
    <m/>
    <m/>
    <n v="0"/>
    <m/>
  </r>
  <r>
    <s v="SFMyCP"/>
    <x v="0"/>
    <x v="0"/>
    <x v="0"/>
    <x v="8"/>
    <x v="6"/>
    <m/>
    <s v="PANORAMA ARGENTINO"/>
    <s v="ADMINISTRATIVO"/>
    <s v="CABILDO 65"/>
    <s v="CABILDO 65"/>
    <s v="JURI GABRIEL"/>
    <s v="DNI"/>
    <n v="22478193"/>
    <s v="20224781939"/>
    <d v="1970-04-30T00:00:00"/>
    <m/>
    <m/>
    <m/>
    <m/>
    <s v="ASISTENCIA TÉCNICA"/>
    <s v="AT"/>
    <d v="2011-06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ANORAMA ARGENTINO"/>
    <m/>
    <s v="CABILDO 65"/>
    <m/>
    <s v="JUSTO MARIA DEL ROSARIO"/>
    <s v="DNI"/>
    <n v="32890956"/>
    <n v="27328909567"/>
    <m/>
    <m/>
    <m/>
    <m/>
    <m/>
    <s v="LEY MARCO"/>
    <s v="LM"/>
    <d v="2011-05-01T00:00:00"/>
    <d v="2016-12-31T00:00:00"/>
    <d v="2016-12-31T00:00:00"/>
    <s v="C1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KACANAS VALERIA ANA"/>
    <s v="DNI"/>
    <n v="21850394"/>
    <n v="27218503948"/>
    <d v="1970-10-17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1"/>
    <x v="0"/>
    <x v="5"/>
    <x v="17"/>
    <x v="2"/>
    <m/>
    <s v=""/>
    <s v="Asistencia Juridica"/>
    <m/>
    <s v="CCK - Alem 351"/>
    <s v="KAIRUZ GISELA VANINA "/>
    <s v="DNI"/>
    <n v="33839983"/>
    <s v="27338399834"/>
    <d v="1989-03-16T00:00:00"/>
    <m/>
    <m/>
    <m/>
    <m/>
    <s v="ASISTENCIA TÉCNICA"/>
    <s v="AT"/>
    <d v="2015-09-01T00:00:00"/>
    <m/>
    <d v="2016-12-31T00:00:00"/>
    <m/>
    <s v="UNTREF"/>
    <s v="UNLAM -TDA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KALOC JULIETA SOLEDAD"/>
    <s v="DNI"/>
    <n v="40734118"/>
    <n v="27407341185"/>
    <d v="1997-11-13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15"/>
    <x v="10"/>
    <m/>
    <m/>
    <s v="VISITAS GUIADAS"/>
    <m/>
    <s v="CCK - Alem 351"/>
    <s v="KALOC PABLO DAMIAN"/>
    <s v="DNI"/>
    <n v="39214117"/>
    <n v="20392141171"/>
    <d v="1995-09-14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1"/>
    <x v="2"/>
    <m/>
    <m/>
    <m/>
    <s v="CCK"/>
    <m/>
    <s v="KAPLUN FEDERICO BRUNO"/>
    <s v="DNI"/>
    <n v="27860764"/>
    <n v="20278607640"/>
    <m/>
    <m/>
    <m/>
    <m/>
    <m/>
    <s v="LEY MARCO"/>
    <s v="LM"/>
    <d v="2011-11-01T00:00:00"/>
    <d v="2016-12-31T00:00:00"/>
    <d v="2016-12-31T00:00:00"/>
    <s v="B0"/>
    <m/>
    <m/>
    <n v="1000"/>
    <m/>
    <n v="1170"/>
    <n v="1310"/>
    <n v="1310"/>
  </r>
  <r>
    <s v="SFMyCP"/>
    <x v="0"/>
    <x v="0"/>
    <x v="0"/>
    <x v="8"/>
    <x v="6"/>
    <s v="CCK"/>
    <s v="ADMINISTRACIÓN"/>
    <s v="ADMINISTRATIVO"/>
    <s v="CABILDO 65"/>
    <s v="CCK - Alem 351"/>
    <s v="KAPLUN NICOLAS"/>
    <s v="DNI"/>
    <n v="26365492"/>
    <s v="20263654928"/>
    <d v="1978-02-26T00:00:00"/>
    <m/>
    <m/>
    <m/>
    <m/>
    <s v="ASISTENCIA TÉCNICA"/>
    <s v="AT"/>
    <d v="2015-09-01T00:00:00"/>
    <m/>
    <d v="2016-12-31T00:00:00"/>
    <m/>
    <s v="UNTREF"/>
    <s v="UNSAM- LADA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KAPSIUK, ELIO"/>
    <s v="DNI"/>
    <n v="18393076"/>
    <s v="20183930762"/>
    <d v="1967-11-16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5"/>
    <x v="2"/>
    <m/>
    <m/>
    <s v="asistente funcional"/>
    <s v="CCK"/>
    <s v="CCK - Alem 351"/>
    <s v="KARAVAITIS, ALEJANDRA"/>
    <s v="DNI"/>
    <n v="25248374"/>
    <n v="27252483743"/>
    <d v="1976-07-0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16"/>
    <x v="11"/>
    <s v="AUTOMOTORES"/>
    <s v="CHOFER"/>
    <m/>
    <s v="CCK"/>
    <m/>
    <s v="KARMASÍN  MARTÍN"/>
    <s v="DNI"/>
    <n v="25974116"/>
    <n v="20259741166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KATZ GABRIEL"/>
    <s v="DNI"/>
    <n v="23510339"/>
    <s v="20235103398"/>
    <d v="1973-08-15T00:00:00"/>
    <m/>
    <m/>
    <m/>
    <m/>
    <s v="ASISTENCIA TÉCNICA"/>
    <s v="AT"/>
    <d v="2010-11-01T00:00:00"/>
    <m/>
    <d v="2016-12-31T00:00:00"/>
    <m/>
    <s v="UNTREF"/>
    <s v="UNSAM- LADA"/>
    <n v="1000"/>
    <n v="1000"/>
    <n v="1170"/>
    <n v="1310"/>
    <n v="1310"/>
  </r>
  <r>
    <s v="SFMyCP"/>
    <x v="0"/>
    <x v="0"/>
    <x v="8"/>
    <x v="1"/>
    <x v="2"/>
    <m/>
    <m/>
    <s v="ADMINISTRATIVO"/>
    <m/>
    <s v="CCK - Alem 351"/>
    <s v="KATZ LAURA"/>
    <s v="DNI"/>
    <n v="27680627"/>
    <n v="27276806276"/>
    <d v="1979-09-17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KEEGAN MARY"/>
    <s v="DNI"/>
    <n v="24261523"/>
    <s v="27242615234"/>
    <d v="1974-12-29T00:00:00"/>
    <m/>
    <m/>
    <m/>
    <m/>
    <s v="ASISTENCIA TÉCNICA"/>
    <s v="AT"/>
    <d v="2015-04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6"/>
    <x v="11"/>
    <s v="AUTOMOTORES"/>
    <s v="CHOFER"/>
    <m/>
    <s v="CCK"/>
    <m/>
    <s v="KLIMASEK CLAUIDO"/>
    <s v="DNI"/>
    <n v="17380002"/>
    <n v="23173800029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1"/>
    <x v="3"/>
    <x v="10"/>
    <x v="2"/>
    <m/>
    <m/>
    <m/>
    <s v="TECNÓPOLIS"/>
    <m/>
    <s v="KOTIK GUSTAVO SERGIO"/>
    <s v="DNI"/>
    <n v="21671582"/>
    <n v="23216715829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"/>
    <x v="1"/>
    <m/>
    <m/>
    <s v="ADMINISTRATIVO"/>
    <m/>
    <s v="CCK - Alem 351"/>
    <s v="KUPFERMAN MAXIMILIANO"/>
    <s v="DNI"/>
    <n v="29591878"/>
    <n v="20295918781"/>
    <d v="1982-06-24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12"/>
    <m/>
    <m/>
    <s v="Auxiliar de Mantenimiento"/>
    <m/>
    <s v="CCK - Alem 351"/>
    <s v="KUTALEK GERMAN"/>
    <s v="DNI"/>
    <n v="37878033"/>
    <n v="20378780331"/>
    <d v="1993-07-12T00:00:00"/>
    <m/>
    <m/>
    <m/>
    <m/>
    <s v="ASISTENCIA TÉCNICA"/>
    <s v="AT"/>
    <d v="2016-07-01T00:00:00"/>
    <m/>
    <d v="2016-12-31T00:00:00"/>
    <m/>
    <s v="UNTREF"/>
    <m/>
    <s v=" ---"/>
    <s v=" ---"/>
    <n v="1170"/>
    <n v="1310"/>
    <n v="1310"/>
  </r>
  <r>
    <s v="SFMyCP"/>
    <x v="0"/>
    <x v="0"/>
    <x v="4"/>
    <x v="2"/>
    <x v="2"/>
    <m/>
    <s v="PRIVADA"/>
    <s v="ADMINISTRATIVO"/>
    <m/>
    <s v="CCK - Alem 351"/>
    <s v="LA TORELLA, MARIANA"/>
    <s v="DNI"/>
    <n v="29353203"/>
    <n v="27293532031"/>
    <d v="1982-02-06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s v="CCK"/>
    <s v="PROGRAMA POLOS AUDIOVISUALES TECNOLÓGICOS"/>
    <m/>
    <s v="CABILDO 65"/>
    <m/>
    <s v="LABORDE ERICA SOLEDAD"/>
    <s v="DNI"/>
    <n v="30060661"/>
    <n v="27300606615"/>
    <m/>
    <m/>
    <m/>
    <m/>
    <m/>
    <s v="LEY MARCO"/>
    <s v="LM"/>
    <d v="2011-03-01T00:00:00"/>
    <d v="2016-12-31T00:00:00"/>
    <d v="2016-12-31T00:00:00"/>
    <s v="C1"/>
    <m/>
    <m/>
    <n v="1000"/>
    <m/>
    <n v="1170"/>
    <n v="1310"/>
    <n v="1310"/>
  </r>
  <r>
    <s v="SFMyCP"/>
    <x v="1"/>
    <x v="0"/>
    <x v="5"/>
    <x v="7"/>
    <x v="2"/>
    <s v="REFERENTE"/>
    <m/>
    <m/>
    <s v="CCK"/>
    <m/>
    <s v="LADA ALEJANDRO"/>
    <s v="DNI"/>
    <n v="34253941"/>
    <n v="20342539417"/>
    <m/>
    <m/>
    <m/>
    <m/>
    <m/>
    <s v="LEY MARCO"/>
    <s v="LM"/>
    <d v="2012-12-01T00:00:00"/>
    <d v="2016-12-31T00:00:00"/>
    <d v="2016-12-31T00:00:00"/>
    <s v="A1"/>
    <m/>
    <m/>
    <n v="1000"/>
    <m/>
    <n v="1170"/>
    <n v="1310"/>
    <n v="1310"/>
  </r>
  <r>
    <s v="SFMyCP"/>
    <x v="1"/>
    <x v="0"/>
    <x v="5"/>
    <x v="7"/>
    <x v="2"/>
    <m/>
    <m/>
    <s v="ADMINISTRATIVO"/>
    <m/>
    <s v="CCK - Alem 351"/>
    <s v="LADA SANTIAGO RUBEN"/>
    <s v="DNI"/>
    <n v="35569382"/>
    <n v="20355693822"/>
    <d v="1990-12-19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0"/>
    <x v="8"/>
    <x v="1"/>
    <x v="2"/>
    <m/>
    <m/>
    <s v="ADMINISTRATIVO"/>
    <s v="CCK"/>
    <s v="CCK - Alem 351"/>
    <s v="LAMARQUE EUGENIO"/>
    <s v="DNI"/>
    <n v="32949122"/>
    <s v="24329491222"/>
    <d v="1987-02-05T00:00:00"/>
    <m/>
    <m/>
    <m/>
    <m/>
    <s v="ASISTENCIA TÉCNICA"/>
    <s v="AT"/>
    <d v="2014-06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BACUA"/>
    <s v="ADMINISTRATIVO"/>
    <s v="CABILDO 65"/>
    <s v="CABILDO 65"/>
    <s v="LAMAS AGUSTIN MATEO"/>
    <s v="DNI"/>
    <n v="32603492"/>
    <s v="20326034925"/>
    <d v="1986-09-19T00:00:00"/>
    <m/>
    <m/>
    <m/>
    <m/>
    <s v="ASISTENCIA TÉCNICA"/>
    <s v="AT"/>
    <d v="2013-02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2"/>
    <x v="2"/>
    <m/>
    <m/>
    <m/>
    <s v="TECNÓPOLIS"/>
    <m/>
    <s v="LAMPART GABRIEL NICOLAS"/>
    <s v="DNI"/>
    <n v="24646302"/>
    <n v="20246463027"/>
    <m/>
    <m/>
    <m/>
    <m/>
    <m/>
    <s v="LEY MARCO"/>
    <s v="LM"/>
    <d v="2012-04-01T00:00:00"/>
    <d v="2016-12-31T00:00:00"/>
    <d v="2016-12-31T00:00:00"/>
    <s v="C0"/>
    <m/>
    <m/>
    <n v="1000"/>
    <m/>
    <n v="1170"/>
    <n v="1310"/>
    <n v="1310"/>
  </r>
  <r>
    <s v="SFMyCP"/>
    <x v="0"/>
    <x v="0"/>
    <x v="4"/>
    <x v="2"/>
    <x v="2"/>
    <m/>
    <s v="PRIVADA"/>
    <s v="ADMINISTRATIVO"/>
    <m/>
    <s v="CCK - Alem 351"/>
    <s v="LANARI EUGENIA"/>
    <s v="DNI"/>
    <n v="34653242"/>
    <n v="23346532424"/>
    <d v="1986-10-22T00:00:00"/>
    <m/>
    <m/>
    <m/>
    <m/>
    <m/>
    <s v="AT"/>
    <m/>
    <m/>
    <d v="2016-12-31T00:00:00"/>
    <m/>
    <s v="UNTREF"/>
    <m/>
    <m/>
    <m/>
    <n v="1170"/>
    <n v="0"/>
    <n v="0"/>
  </r>
  <r>
    <s v="SFMyCP"/>
    <x v="0"/>
    <x v="0"/>
    <x v="4"/>
    <x v="2"/>
    <x v="2"/>
    <m/>
    <s v="PRIVADA"/>
    <s v="ADMINISTRATIVO"/>
    <m/>
    <s v="CCK - Alem 351"/>
    <s v="LANARI SOFIA"/>
    <s v="DNI"/>
    <n v="32677592"/>
    <n v="23326775924"/>
    <d v="1986-10-22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ANORAMA ARGENTINO"/>
    <s v="ADMINISTRATIVO"/>
    <s v="CABILDO 65"/>
    <s v="CABILDO 65"/>
    <s v="LANDONI DIEGO"/>
    <s v="DNI"/>
    <n v="26338210"/>
    <s v="20263382103"/>
    <d v="1977-11-25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7"/>
    <x v="2"/>
    <m/>
    <m/>
    <s v="ADMINISTRATIVO"/>
    <m/>
    <s v="CCK - Alem 351"/>
    <s v="LANDRIEL AGUSTIN"/>
    <s v="DNI"/>
    <n v="35634548"/>
    <n v="20356345488"/>
    <d v="1990-08-31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1"/>
    <x v="0"/>
    <x v="5"/>
    <x v="16"/>
    <x v="14"/>
    <m/>
    <s v="Enfermera/o"/>
    <m/>
    <s v="CCK"/>
    <m/>
    <s v="LANNO LORENA"/>
    <s v="DNI"/>
    <n v="27948229"/>
    <n v="27279482293"/>
    <m/>
    <m/>
    <m/>
    <m/>
    <m/>
    <s v="LEY MARCO"/>
    <s v="LM"/>
    <d v="2015-06-01T00:00:00"/>
    <d v="2016-03-31T00:00:00"/>
    <d v="2016-12-31T00:00:00"/>
    <s v="B0"/>
    <s v="U. LA MATANZA"/>
    <s v="LEY MARCO "/>
    <n v="1000"/>
    <m/>
    <n v="1170"/>
    <n v="1310"/>
    <n v="1310"/>
  </r>
  <r>
    <s v="SFMyCP"/>
    <x v="0"/>
    <x v="0"/>
    <x v="0"/>
    <x v="2"/>
    <x v="2"/>
    <m/>
    <m/>
    <s v="ADMINISTRATIVO"/>
    <m/>
    <s v="CCK - Alem 351"/>
    <s v="LANSON DANIEL"/>
    <s v="DNI"/>
    <n v="92485428"/>
    <n v="20924854287"/>
    <d v="1976-09-29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4"/>
    <x v="43"/>
    <x v="23"/>
    <m/>
    <s v="PRIVADA"/>
    <s v="ADMINISTRATIVO"/>
    <m/>
    <s v="NO ENTREGAR"/>
    <s v="LARRALDE FRANCISCO"/>
    <s v="DNI"/>
    <n v="29998060"/>
    <n v="20299980605"/>
    <d v="1983-02-17T00:00:00"/>
    <m/>
    <m/>
    <m/>
    <m/>
    <s v="ASISTENCIA TÉCNICA"/>
    <s v="AT"/>
    <d v="2016-03-15T00:00:00"/>
    <m/>
    <d v="2016-08-31T00:00:00"/>
    <m/>
    <s v="UNTREF"/>
    <m/>
    <n v="1000"/>
    <n v="1070"/>
    <n v="1170"/>
    <n v="1310"/>
    <m/>
  </r>
  <r>
    <s v="SFMyCP"/>
    <x v="0"/>
    <x v="0"/>
    <x v="0"/>
    <x v="8"/>
    <x v="6"/>
    <m/>
    <s v="PRODUCCIÓN"/>
    <s v="PRODUCTOR de EXTERIORES"/>
    <s v="CABILDO 65"/>
    <s v="CABILDO 65"/>
    <s v="LARREGINA FLORENCIA"/>
    <s v="DNI"/>
    <n v="34482878"/>
    <s v="23344828784"/>
    <d v="1989-04-17T00:00:00"/>
    <m/>
    <m/>
    <m/>
    <m/>
    <s v="ASISTENCIA TÉCNICA"/>
    <s v="AT"/>
    <d v="2015-06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LARROSA FEDERICO"/>
    <s v="DNI"/>
    <n v="31772426"/>
    <s v="20317724269"/>
    <d v="1985-02-25T00:00:00"/>
    <m/>
    <m/>
    <m/>
    <m/>
    <s v="ASISTENCIA TÉCNICA"/>
    <s v="AT"/>
    <d v="2013-12-12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LASAGNI AGUSTINA"/>
    <s v="DNI"/>
    <n v="35269809"/>
    <s v="27352698097"/>
    <d v="1990-07-21T00:00:00"/>
    <m/>
    <m/>
    <m/>
    <m/>
    <s v="ASISTENCIA TÉCNICA"/>
    <s v="AT"/>
    <d v="2015-05-04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"/>
    <x v="2"/>
    <m/>
    <s v="PRIVADA"/>
    <s v="ADMINISTRATIVO"/>
    <m/>
    <s v="TECNOPOLIS"/>
    <s v="LASTRA CLAUDIO"/>
    <s v="DNI"/>
    <n v="14957725"/>
    <n v="20149577255"/>
    <d v="1962-08-06T00:00:00"/>
    <m/>
    <m/>
    <m/>
    <m/>
    <s v="ASISTENCIA TÉCNICA"/>
    <s v="AT"/>
    <d v="2016-03-01T00:00:00"/>
    <m/>
    <d v="2016-12-31T00:00:00"/>
    <m/>
    <s v="UNTREF"/>
    <m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LATTANZIO AITA"/>
    <s v="DNI"/>
    <n v="24524414"/>
    <s v="27245244148"/>
    <d v="1975-08-09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LAVAYEN FRANCO BRUNO"/>
    <s v="DNI"/>
    <n v="35931200"/>
    <n v="20359312009"/>
    <d v="1991-07-16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0"/>
    <x v="0"/>
    <m/>
    <s v="DISEÑO"/>
    <s v="ANALISTA"/>
    <s v="PALPALÁ-JUJUY"/>
    <s v="PALPALÁ-JUJUY"/>
    <s v="LAZARTE ARMANDO FABIO"/>
    <s v="DNI"/>
    <n v="29419234"/>
    <n v="20294192345"/>
    <d v="1982-07-07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5"/>
    <x v="13"/>
    <s v="LIMPIEZA (En comisión Tecnópolis)"/>
    <s v="Auxiliar"/>
    <s v="Auxiliar"/>
    <s v="CCK"/>
    <s v="CCK - Alem 351"/>
    <s v="LEAL CAMILA"/>
    <s v="DNI"/>
    <n v="39000432"/>
    <s v="27390004325"/>
    <d v="1986-04-26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LECH SOSINSKI ADAM"/>
    <s v="DNI"/>
    <n v="92778623"/>
    <s v="20927786231"/>
    <d v="1982-11-22T00:00:00"/>
    <m/>
    <m/>
    <m/>
    <m/>
    <s v="ASISTENCIA TÉCNICA"/>
    <s v="AT"/>
    <d v="2013-04-20T00:00:00"/>
    <m/>
    <d v="2016-12-31T00:00:00"/>
    <m/>
    <s v="UNTREF"/>
    <m/>
    <n v="1000"/>
    <n v="1000"/>
    <n v="1170"/>
    <n v="1310"/>
    <n v="1310"/>
  </r>
  <r>
    <s v="SFMyCP"/>
    <x v="0"/>
    <x v="1"/>
    <x v="3"/>
    <x v="6"/>
    <x v="2"/>
    <m/>
    <m/>
    <m/>
    <s v="TECNÓPOLIS"/>
    <m/>
    <s v="LEDESMA NESTOR DAMIAN"/>
    <s v="DNI"/>
    <n v="39761602"/>
    <n v="23397616029"/>
    <m/>
    <m/>
    <m/>
    <m/>
    <m/>
    <s v="LEY MARCO"/>
    <s v="LM"/>
    <d v="2011-07-01T00:00:00"/>
    <d v="2016-12-31T00:00:00"/>
    <d v="2016-12-31T00:00:00"/>
    <s v="D0"/>
    <m/>
    <m/>
    <n v="1000"/>
    <m/>
    <n v="1170"/>
    <n v="1310"/>
    <n v="1310"/>
  </r>
  <r>
    <s v="SFMyCP"/>
    <x v="0"/>
    <x v="1"/>
    <x v="3"/>
    <x v="23"/>
    <x v="2"/>
    <m/>
    <s v="Tareas Generales"/>
    <s v="CARPINTERO"/>
    <s v="TECNÓPOLIS"/>
    <m/>
    <s v="LEGUIZAMON  RODRIGO"/>
    <s v="DNI"/>
    <n v="36175840"/>
    <n v="20361758405"/>
    <m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3"/>
    <x v="23"/>
    <x v="2"/>
    <m/>
    <s v="Tareas Generales"/>
    <s v="Tareas Generales"/>
    <s v="TECNÓPOLIS"/>
    <m/>
    <s v="LEGUIZAMON MARGARITA"/>
    <s v="DNI"/>
    <n v="23033997"/>
    <m/>
    <m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1"/>
    <x v="2"/>
    <x v="2"/>
    <m/>
    <m/>
    <s v="asistente funcional"/>
    <s v="CCK"/>
    <s v="CCK - Alem 351"/>
    <s v="LEIBOUSKI ELIZABETH"/>
    <s v="DNI"/>
    <n v="23447824"/>
    <s v="27234478244"/>
    <d v="1973-07-25T00:00:00"/>
    <m/>
    <m/>
    <m/>
    <m/>
    <s v="ASISTENCIA TÉCNICA"/>
    <s v="AT"/>
    <d v="2013-09-02T00:00:00"/>
    <m/>
    <d v="2016-12-31T00:00:00"/>
    <m/>
    <s v="UNTREF"/>
    <s v="UNLAM -TDA"/>
    <n v="1000"/>
    <n v="1070"/>
    <n v="1170"/>
    <n v="1310"/>
    <n v="1310"/>
  </r>
  <r>
    <s v="SFMyCP"/>
    <x v="0"/>
    <x v="1"/>
    <x v="1"/>
    <x v="13"/>
    <x v="2"/>
    <m/>
    <m/>
    <m/>
    <s v="CCK"/>
    <s v="CCK - Alem 351"/>
    <s v="LEMME JOSE MARIA"/>
    <s v="DNI"/>
    <n v="29191202"/>
    <n v="20291912029"/>
    <m/>
    <m/>
    <m/>
    <m/>
    <m/>
    <s v="LEY MARCO"/>
    <s v="LM"/>
    <d v="2012-07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16"/>
    <x v="8"/>
    <m/>
    <s v="RECURSOS HUMANOS"/>
    <m/>
    <s v="CABILDO 65"/>
    <m/>
    <s v="LENCINAS MARIA LAURA"/>
    <s v="DNI"/>
    <n v="27382228"/>
    <n v="27273822289"/>
    <m/>
    <m/>
    <m/>
    <m/>
    <m/>
    <s v="LEY MARCO"/>
    <s v="LM"/>
    <d v="2010-04-01T00:00:00"/>
    <d v="2016-12-31T00:00:00"/>
    <d v="2016-12-31T00:00:00"/>
    <s v="B1"/>
    <m/>
    <m/>
    <n v="1000"/>
    <m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LENTINI DIEGO"/>
    <s v="DNI"/>
    <n v="31732531"/>
    <s v="20317325313"/>
    <d v="1985-06-05T00:00:00"/>
    <m/>
    <m/>
    <m/>
    <m/>
    <s v="ASISTENCIA TÉCNICA"/>
    <s v="AT"/>
    <d v="2013-12-10T00:00:00"/>
    <m/>
    <d v="2016-12-31T00:00:00"/>
    <m/>
    <s v="UNTREF"/>
    <m/>
    <n v="1000"/>
    <n v="1000"/>
    <n v="1170"/>
    <n v="1310"/>
    <n v="1310"/>
  </r>
  <r>
    <s v="SFMyCP"/>
    <x v="1"/>
    <x v="0"/>
    <x v="5"/>
    <x v="17"/>
    <x v="2"/>
    <m/>
    <m/>
    <m/>
    <s v="CCK"/>
    <m/>
    <s v="LENTIS JHONATAN"/>
    <s v="DNI"/>
    <n v="32576720"/>
    <n v="20325767201"/>
    <m/>
    <m/>
    <m/>
    <m/>
    <m/>
    <s v="LEY MARCO"/>
    <s v="LM"/>
    <d v="2013-01-01T00:00:00"/>
    <d v="2016-03-31T00:00:00"/>
    <d v="2016-12-31T00:00:00"/>
    <s v="B0"/>
    <m/>
    <m/>
    <n v="1000"/>
    <m/>
    <n v="1170"/>
    <n v="1310"/>
    <n v="1310"/>
  </r>
  <r>
    <s v="SFMyCP"/>
    <x v="0"/>
    <x v="0"/>
    <x v="0"/>
    <x v="8"/>
    <x v="6"/>
    <m/>
    <s v="PROMOCIONES"/>
    <s v="ADMINISTRATIVO"/>
    <s v="CABILDO 65"/>
    <s v="CABILDO 65"/>
    <s v="LENZBERG JULIA"/>
    <s v="DNI"/>
    <n v="29951587"/>
    <s v="27299515872"/>
    <d v="1982-12-03T00:00:00"/>
    <m/>
    <m/>
    <m/>
    <m/>
    <s v="ASISTENCIA TÉCNICA"/>
    <s v="AT"/>
    <d v="2012-08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3"/>
    <x v="2"/>
    <m/>
    <s v="Tareas Generales"/>
    <s v="MANTENIMIENTO DE ESPACIOS VERDES"/>
    <s v="TECNÓPOLIS"/>
    <m/>
    <s v="LEON MERCEDES MABEL"/>
    <s v="DNI"/>
    <n v="14620292"/>
    <n v="27146202921"/>
    <m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LEONE AGOSTINA"/>
    <s v="DNI"/>
    <n v="34001226"/>
    <s v="27340012262"/>
    <d v="1988-07-29T00:00:00"/>
    <m/>
    <m/>
    <m/>
    <m/>
    <s v="ASISTENCIA TÉCNICA"/>
    <s v="AT"/>
    <d v="2015-10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LEVY ALEJANDRO"/>
    <s v="DNI"/>
    <n v="18205034"/>
    <s v="20182050343"/>
    <d v="1966-06-17T00:00:00"/>
    <m/>
    <m/>
    <m/>
    <m/>
    <s v="ASISTENCIA TÉCNICA"/>
    <s v="AT"/>
    <d v="2012-05-08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5"/>
    <x v="5"/>
    <m/>
    <s v="SECRETARÍA"/>
    <m/>
    <s v="CCK"/>
    <m/>
    <s v="LEYES SABRINA"/>
    <s v="LC"/>
    <n v="27642766"/>
    <n v="27276427666"/>
    <m/>
    <m/>
    <m/>
    <m/>
    <m/>
    <s v="LEY MARCO"/>
    <s v="LM"/>
    <d v="2006-04-01T00:00:00"/>
    <d v="2016-12-31T00:00:00"/>
    <d v="2016-12-31T00:00:00"/>
    <s v="B3"/>
    <m/>
    <m/>
    <n v="1000"/>
    <m/>
    <n v="1170"/>
    <n v="1310"/>
    <n v="1310"/>
  </r>
  <r>
    <s v="SFMyCP"/>
    <x v="0"/>
    <x v="1"/>
    <x v="3"/>
    <x v="2"/>
    <x v="2"/>
    <m/>
    <s v="PRIVADA"/>
    <s v="ADMINISTRATIVO"/>
    <m/>
    <s v="TECNOPOLIS"/>
    <s v="LIPARI KARIN"/>
    <s v="DNI"/>
    <n v="22792210"/>
    <n v="27227922104"/>
    <d v="1972-08-02T00:00:00"/>
    <m/>
    <m/>
    <m/>
    <m/>
    <s v="ASISTENCIA TÉCNICA"/>
    <s v="AT"/>
    <d v="2016-03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20"/>
    <m/>
    <s v="Ing Seguridad e Higiene"/>
    <s v="Ing Seguridad e Higiene"/>
    <s v="CCK"/>
    <s v="CCK - Alem 351"/>
    <s v="LIRUSSO RAUL"/>
    <s v="DNI"/>
    <n v="11387784"/>
    <n v="20113877848"/>
    <d v="1955-07-23T00:00:00"/>
    <m/>
    <m/>
    <m/>
    <m/>
    <s v="ASISTENCIA TÉCNICA"/>
    <s v="AT"/>
    <d v="2015-05-02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44"/>
    <x v="2"/>
    <m/>
    <m/>
    <m/>
    <s v="TECNÓPOLIS"/>
    <m/>
    <s v="LISERA MARIANO HUGO"/>
    <s v="DNI"/>
    <n v="27344679"/>
    <n v="20273446797"/>
    <m/>
    <m/>
    <m/>
    <m/>
    <m/>
    <s v="LEY MARCO"/>
    <s v="LM"/>
    <d v="2011-03-01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ADMINISTRACIÓN"/>
    <m/>
    <s v="CABILDO 65"/>
    <m/>
    <s v="LIZARRAGA CARLOS ALBERTO"/>
    <s v="DNI"/>
    <n v="31376447"/>
    <n v="20313764479"/>
    <m/>
    <m/>
    <m/>
    <m/>
    <m/>
    <s v="LEY MARCO"/>
    <s v="LM"/>
    <d v="2011-03-01T00:00:00"/>
    <d v="2016-12-31T00:00:00"/>
    <d v="2016-12-31T00:00:00"/>
    <s v="D1"/>
    <m/>
    <m/>
    <n v="1000"/>
    <m/>
    <n v="1170"/>
    <n v="1310"/>
    <n v="1310"/>
  </r>
  <r>
    <s v="SFMyCP"/>
    <x v="0"/>
    <x v="0"/>
    <x v="0"/>
    <x v="0"/>
    <x v="0"/>
    <m/>
    <s v="ANIMACION"/>
    <s v="ANALISTA"/>
    <s v="PALPALÁ-JUJUY"/>
    <s v="PALPALÁ-JUJUY"/>
    <s v="LIZARRAGA MARIO DEL VALLE"/>
    <s v="DNI"/>
    <n v="31961383"/>
    <n v="20319613839"/>
    <d v="1986-03-22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5"/>
    <x v="2"/>
    <m/>
    <m/>
    <m/>
    <s v="CCK"/>
    <s v="CCK - Alem 351"/>
    <s v="LOBO ABELLA NORA BELEN"/>
    <s v="DNI"/>
    <n v="34489609"/>
    <n v="27344896092"/>
    <m/>
    <m/>
    <m/>
    <m/>
    <m/>
    <s v="LEY MARCO"/>
    <s v="LM"/>
    <d v="2013-08-01T00:00:00"/>
    <d v="2016-03-31T00:00:00"/>
    <d v="2016-12-31T00:00:00"/>
    <s v="B0"/>
    <m/>
    <m/>
    <n v="1000"/>
    <m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LOJO MATIAS"/>
    <s v="DNI"/>
    <n v="28801969"/>
    <s v="20288019690"/>
    <d v="1981-04-18T00:00:00"/>
    <m/>
    <m/>
    <m/>
    <m/>
    <s v="ASISTENCIA TÉCNICA"/>
    <s v="AT"/>
    <d v="2012-01-01T00:00:00"/>
    <m/>
    <d v="2016-12-31T00:00:00"/>
    <m/>
    <s v="UNTREF"/>
    <m/>
    <n v="1000"/>
    <n v="1000"/>
    <n v="1170"/>
    <n v="1310"/>
    <n v="1310"/>
  </r>
  <r>
    <s v="SFMyCP"/>
    <x v="0"/>
    <x v="1"/>
    <x v="1"/>
    <x v="10"/>
    <x v="2"/>
    <m/>
    <m/>
    <s v="ADMINISTRATIVA"/>
    <m/>
    <s v="CCK - Alem 351"/>
    <s v="LOMBARDI MARTIN"/>
    <s v="DNI"/>
    <n v="34411918"/>
    <n v="20344119180"/>
    <d v="1988-10-16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22"/>
    <x v="2"/>
    <m/>
    <m/>
    <s v="ARQUITECTO"/>
    <s v="TECNÓPOLIS"/>
    <s v="TECNOPOLIS"/>
    <s v="LOPEZ  EDMUNDO EUGENIO"/>
    <s v="DNI"/>
    <n v="4607118"/>
    <s v="20046071183"/>
    <d v="1944-11-26T00:00:00"/>
    <m/>
    <m/>
    <m/>
    <m/>
    <s v="ASISTENCIA TÉCNICA"/>
    <s v="AT"/>
    <d v="2012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9"/>
    <x v="2"/>
    <m/>
    <s v="ADMINISTRATIVO"/>
    <m/>
    <s v="TECNÓPOLIS"/>
    <m/>
    <s v="LOPEZ IBAÑEZ SOLEDAD ROMINA"/>
    <s v="DNI"/>
    <n v="36741755"/>
    <n v="27367417558"/>
    <m/>
    <m/>
    <m/>
    <m/>
    <m/>
    <s v="LEY MARCO"/>
    <s v="LM"/>
    <d v="2011-11-01T00:00:00"/>
    <d v="2016-12-31T00:00:00"/>
    <d v="2016-12-31T00:00:00"/>
    <s v="C0"/>
    <m/>
    <m/>
    <n v="1000"/>
    <m/>
    <n v="1170"/>
    <n v="1310"/>
    <n v="1310"/>
  </r>
  <r>
    <s v="SFMyCP"/>
    <x v="0"/>
    <x v="1"/>
    <x v="7"/>
    <x v="2"/>
    <x v="2"/>
    <m/>
    <s v="PRIVADA"/>
    <s v="ADMINISTRATIVO"/>
    <m/>
    <s v="CCK - Alem 351"/>
    <s v="LOPEZ LARRAQUY FLORENCIA"/>
    <s v="DNI"/>
    <n v="29319713"/>
    <n v="27293197135"/>
    <d v="1981-02-13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LOPEZ LAURA"/>
    <s v="DNI"/>
    <n v="27576288"/>
    <s v="27275762887"/>
    <d v="1979-04-27T00:00:00"/>
    <m/>
    <m/>
    <m/>
    <m/>
    <s v="ASISTENCIA TÉCNICA"/>
    <s v="AT"/>
    <d v="2013-10-01T00:00:00"/>
    <m/>
    <d v="2016-12-31T00:00:00"/>
    <m/>
    <s v="UNTREF"/>
    <s v="UNSAM- LADA"/>
    <n v="1000"/>
    <n v="1000"/>
    <n v="1170"/>
    <n v="1310"/>
    <n v="1310"/>
  </r>
  <r>
    <s v="SFMyCP"/>
    <x v="0"/>
    <x v="0"/>
    <x v="6"/>
    <x v="11"/>
    <x v="2"/>
    <m/>
    <m/>
    <m/>
    <m/>
    <m/>
    <s v="LOPEZ MARCOS"/>
    <s v="DNI"/>
    <n v="12471569"/>
    <n v="20124715696"/>
    <m/>
    <m/>
    <m/>
    <m/>
    <m/>
    <m/>
    <s v="AT"/>
    <d v="2016-07-01T00:00:00"/>
    <m/>
    <d v="2016-08-31T00:00:00"/>
    <m/>
    <s v="UNTREF"/>
    <m/>
    <m/>
    <m/>
    <n v="1170"/>
    <n v="0"/>
    <m/>
  </r>
  <r>
    <s v="SFMyCP"/>
    <x v="1"/>
    <x v="0"/>
    <x v="5"/>
    <x v="16"/>
    <x v="16"/>
    <m/>
    <m/>
    <m/>
    <m/>
    <m/>
    <s v="LOPEZ MARIA LUCILA"/>
    <s v="DNI"/>
    <n v="3243932"/>
    <n v="27324397324"/>
    <m/>
    <m/>
    <m/>
    <m/>
    <m/>
    <m/>
    <s v="LM"/>
    <d v="2006-12-01T00:00:00"/>
    <m/>
    <d v="2016-12-31T00:00:00"/>
    <s v="D2"/>
    <m/>
    <m/>
    <n v="1000"/>
    <m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LOPEZ NUÑEZ MARIA"/>
    <s v="DNI"/>
    <n v="30927415"/>
    <s v="27309274151"/>
    <d v="1984-04-29T00:00:00"/>
    <m/>
    <m/>
    <m/>
    <m/>
    <s v="ASISTENCIA TÉCNICA"/>
    <s v="AT"/>
    <d v="2012-08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14"/>
    <x v="2"/>
    <m/>
    <m/>
    <m/>
    <s v="TECNÓPOLIS"/>
    <m/>
    <s v="LOPEZ QUIROZ  ADRIAN HORACIO"/>
    <s v="DNI"/>
    <n v="94048478"/>
    <n v="20940484783"/>
    <m/>
    <m/>
    <m/>
    <m/>
    <m/>
    <s v="LEY MARCO"/>
    <s v="LM"/>
    <d v="2012-05-01T00:00:00"/>
    <d v="2016-12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LORENZO AGUSTIN"/>
    <s v="DNI"/>
    <n v="38402296"/>
    <s v="20384022961"/>
    <d v="1994-11-08T00:00:00"/>
    <m/>
    <m/>
    <m/>
    <m/>
    <s v="ASISTENCIA TÉCNICA"/>
    <s v="AT"/>
    <d v="2015-09-01T00:00:00"/>
    <m/>
    <d v="2016-12-31T00:00:00"/>
    <m/>
    <s v="UNTREF"/>
    <s v="UNSAM- LADA"/>
    <n v="1000"/>
    <n v="1000"/>
    <n v="1170"/>
    <n v="1310"/>
    <n v="1310"/>
  </r>
  <r>
    <s v="SFMyCP"/>
    <x v="0"/>
    <x v="0"/>
    <x v="8"/>
    <x v="1"/>
    <x v="2"/>
    <m/>
    <m/>
    <m/>
    <s v="CCK"/>
    <s v="CCK - Alem 351"/>
    <s v="LORENZO MARIANA"/>
    <s v="DNI"/>
    <n v="29040990"/>
    <n v="27290409905"/>
    <m/>
    <m/>
    <m/>
    <m/>
    <m/>
    <s v="LEY MARCO"/>
    <s v="LM"/>
    <d v="2012-06-11T00:00:00"/>
    <d v="2016-12-31T00:00:00"/>
    <d v="2016-12-31T00:00:00"/>
    <s v="B0"/>
    <m/>
    <m/>
    <n v="1000"/>
    <m/>
    <n v="1170"/>
    <n v="1310"/>
    <n v="1310"/>
  </r>
  <r>
    <s v="SFMyCP"/>
    <x v="0"/>
    <x v="1"/>
    <x v="3"/>
    <x v="14"/>
    <x v="2"/>
    <m/>
    <m/>
    <s v="HERRERO"/>
    <s v="TECNÓPOLIS"/>
    <s v="TECNOPOLIS"/>
    <s v="LOTO  RENE ANTONIO"/>
    <s v="DNI"/>
    <n v="12803975"/>
    <s v="23128039759"/>
    <d v="1957-02-13T00:00:00"/>
    <m/>
    <m/>
    <m/>
    <m/>
    <s v="ASISTENCIA TÉCNICA"/>
    <s v="AT"/>
    <d v="2014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3"/>
    <s v="LIMPIEZA (En comisión Tecnópolis)"/>
    <s v="Auxiliar"/>
    <s v="OPERATIVA Y LOGISTICA"/>
    <s v="CCK"/>
    <s v="CCK - Alem 351"/>
    <s v="LOTZ GUILLERMO"/>
    <s v="DNI"/>
    <n v="16095673"/>
    <s v="23160956739"/>
    <d v="1963-01-15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5"/>
    <s v="SOPORTE ADMINISTRATIVO"/>
    <s v="Administrativo"/>
    <s v="ADMINISTRATIVO"/>
    <s v="CCK"/>
    <s v="CCK - Alem 351"/>
    <s v="LUCANO SANDRA"/>
    <s v="DNI"/>
    <n v="17332501"/>
    <s v="27173325016"/>
    <d v="1964-12-07T00:00:00"/>
    <m/>
    <m/>
    <m/>
    <m/>
    <s v="ASISTENCIA TÉCNICA"/>
    <s v="AT"/>
    <d v="2015-07-01T00:00:00"/>
    <m/>
    <d v="2016-12-31T00:00:00"/>
    <m/>
    <s v="UNTREF"/>
    <s v="UNLAM- BICENTENARIO"/>
    <n v="1000"/>
    <n v="1070"/>
    <n v="1170"/>
    <n v="1310"/>
    <n v="1310"/>
  </r>
  <r>
    <s v="SFMyCP"/>
    <x v="0"/>
    <x v="0"/>
    <x v="4"/>
    <x v="2"/>
    <x v="2"/>
    <m/>
    <s v="PRIVADA"/>
    <m/>
    <m/>
    <m/>
    <s v="LUCAS, MARTÍN"/>
    <s v="DNI"/>
    <n v="26333383"/>
    <m/>
    <d v="1977-11-15T00:00:00"/>
    <m/>
    <m/>
    <m/>
    <m/>
    <m/>
    <m/>
    <d v="2016-01-01T00:00:00"/>
    <m/>
    <d v="2016-12-31T00:00:00"/>
    <m/>
    <s v="U. SAN MARTÍN"/>
    <s v="UNSAM"/>
    <n v="1000"/>
    <n v="1070"/>
    <s v=" ---"/>
    <s v=" ---"/>
    <s v=" ---"/>
  </r>
  <r>
    <s v="SFMyCP"/>
    <x v="1"/>
    <x v="0"/>
    <x v="5"/>
    <x v="7"/>
    <x v="2"/>
    <m/>
    <m/>
    <s v="ADMINISTRATIVO"/>
    <m/>
    <m/>
    <s v="LUDUEÑA MAXIMILIANO"/>
    <s v="DNI"/>
    <n v="33897153"/>
    <m/>
    <m/>
    <m/>
    <m/>
    <m/>
    <m/>
    <s v="LEY MARCO"/>
    <s v="LM"/>
    <m/>
    <m/>
    <d v="2016-12-31T00:00:00"/>
    <s v="C1"/>
    <m/>
    <m/>
    <m/>
    <m/>
    <m/>
    <n v="0"/>
    <n v="0"/>
  </r>
  <r>
    <s v="SFMyCP"/>
    <x v="0"/>
    <x v="0"/>
    <x v="0"/>
    <x v="8"/>
    <x v="6"/>
    <m/>
    <s v="POSTPRODUCCIÓN"/>
    <s v="EDICION"/>
    <s v="CABILDO 65"/>
    <s v="CABILDO 65"/>
    <s v="LUIS HERNAN"/>
    <s v="DNI"/>
    <n v="29359743"/>
    <s v="20293597430"/>
    <d v="1982-03-26T00:00:00"/>
    <m/>
    <m/>
    <m/>
    <m/>
    <s v="ASISTENCIA TÉCNICA"/>
    <s v="AT"/>
    <d v="2015-07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Responsable Radio Igualdad"/>
    <m/>
    <s v="CABILDO 65"/>
    <m/>
    <s v="LUNA ROMAN DARIO"/>
    <s v="DNI"/>
    <n v="23889942"/>
    <n v="20238899428"/>
    <m/>
    <m/>
    <m/>
    <m/>
    <m/>
    <s v="LEY MARCO"/>
    <s v="LM"/>
    <d v="2015-01-01T00:00:00"/>
    <d v="2016-03-31T00:00:00"/>
    <d v="2016-12-31T00:00:00"/>
    <s v="A1"/>
    <m/>
    <m/>
    <n v="1000"/>
    <m/>
    <n v="1170"/>
    <n v="1310"/>
    <n v="1310"/>
  </r>
  <r>
    <s v="SFMyCP"/>
    <x v="1"/>
    <x v="0"/>
    <x v="5"/>
    <x v="7"/>
    <x v="2"/>
    <m/>
    <m/>
    <s v="ADMINISTRATIVO"/>
    <m/>
    <s v="CCK - Alem 351"/>
    <s v="LYNCH EMANUEL"/>
    <s v="DNI"/>
    <n v="38551275"/>
    <s v="23385512759"/>
    <d v="1994-12-05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1"/>
    <x v="0"/>
    <x v="5"/>
    <x v="29"/>
    <x v="2"/>
    <m/>
    <s v="Analista"/>
    <s v="ADMINISTRATIVO"/>
    <m/>
    <s v="CCK - Alem 351"/>
    <s v="MAC DONALD LINDA"/>
    <s v="DNI"/>
    <n v="32102678"/>
    <s v="27321026783"/>
    <d v="1987-01-22T00:00:00"/>
    <m/>
    <m/>
    <m/>
    <m/>
    <s v="ASISTENCIA TÉCNICA"/>
    <s v="AT"/>
    <d v="2016-05-02T00:00:00"/>
    <m/>
    <d v="2016-12-31T00:00:00"/>
    <m/>
    <s v="UNTREF"/>
    <m/>
    <n v="1000"/>
    <n v="1070"/>
    <n v="1170"/>
    <n v="1310"/>
    <n v="1310"/>
  </r>
  <r>
    <s v="SFMyCP"/>
    <x v="0"/>
    <x v="1"/>
    <x v="1"/>
    <x v="38"/>
    <x v="2"/>
    <m/>
    <s v="Administrativo"/>
    <s v="ADMINISTRATIVO"/>
    <s v="CCK"/>
    <s v="CCK - Alem 351"/>
    <s v="MACAGNI IRINA MARÍA NELLY"/>
    <s v="DNI"/>
    <n v="28077190"/>
    <s v="27280771908"/>
    <d v="1980-03-25T00:00:00"/>
    <m/>
    <m/>
    <m/>
    <m/>
    <s v="ASISTENCIA TÉCNICA"/>
    <s v="AT"/>
    <d v="2014-12-15T00:00:00"/>
    <m/>
    <d v="2016-12-31T00:00:00"/>
    <m/>
    <s v="UNTREF"/>
    <s v="CULTURA"/>
    <n v="1000"/>
    <n v="1070"/>
    <n v="1170"/>
    <n v="1310"/>
    <n v="1310"/>
  </r>
  <r>
    <s v="SFMyCP"/>
    <x v="0"/>
    <x v="1"/>
    <x v="1"/>
    <x v="5"/>
    <x v="24"/>
    <m/>
    <s v="INVESTIGACION APLICADA"/>
    <s v="ADMINISTRATIVO"/>
    <s v="CCK"/>
    <s v="CCK - Alem 351"/>
    <s v="MACCARI PABLO"/>
    <s v="DNI"/>
    <n v="23179837"/>
    <s v="20231798375"/>
    <d v="1973-05-28T00:00:00"/>
    <m/>
    <m/>
    <m/>
    <m/>
    <s v="ASISTENCIA TÉCNICA"/>
    <s v="AT"/>
    <m/>
    <m/>
    <d v="2016-12-31T00:00:00"/>
    <m/>
    <s v="UNTREF"/>
    <s v="UNSAM"/>
    <n v="1000"/>
    <n v="1070"/>
    <n v="1170"/>
    <n v="1310"/>
    <n v="1310"/>
  </r>
  <r>
    <s v="SFMyCP"/>
    <x v="1"/>
    <x v="0"/>
    <x v="5"/>
    <x v="29"/>
    <x v="2"/>
    <m/>
    <s v="Administración"/>
    <s v="ADMINISTRATIVO"/>
    <s v="CCK"/>
    <s v="CCK - Alem 351"/>
    <s v="MACCHI SEBASTIAN"/>
    <s v="DNI"/>
    <n v="32478554"/>
    <s v="20324785540"/>
    <d v="1986-07-27T00:00:00"/>
    <m/>
    <m/>
    <m/>
    <m/>
    <s v="ASISTENCIA TÉCNICA"/>
    <s v="AT"/>
    <d v="2015-04-20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1"/>
    <x v="2"/>
    <m/>
    <m/>
    <m/>
    <s v="TECNÓPOLIS"/>
    <m/>
    <s v="MACHADO Carmen Noemi"/>
    <s v="DNI"/>
    <n v="29014857"/>
    <n v="27290148575"/>
    <m/>
    <m/>
    <m/>
    <m/>
    <m/>
    <s v="LEY MARCO"/>
    <s v="LM"/>
    <d v="2011-07-01T00:00:00"/>
    <d v="2016-12-31T00:00:00"/>
    <d v="2016-12-31T00:00:00"/>
    <s v="D1"/>
    <m/>
    <m/>
    <n v="1000"/>
    <m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MACHO VIRGINIA"/>
    <s v="DNI"/>
    <n v="27113656"/>
    <s v="27271136566"/>
    <d v="1978-12-22T00:00:00"/>
    <m/>
    <m/>
    <m/>
    <m/>
    <s v="ASISTENCIA TÉCNICA"/>
    <s v="AT"/>
    <d v="2012-08-01T00:00:00"/>
    <m/>
    <d v="2016-12-31T00:00:00"/>
    <m/>
    <s v="UNTREF"/>
    <m/>
    <n v="1000"/>
    <n v="1000"/>
    <n v="1170"/>
    <n v="1310"/>
    <n v="1310"/>
  </r>
  <r>
    <s v="SFMyCP"/>
    <x v="0"/>
    <x v="1"/>
    <x v="1"/>
    <x v="5"/>
    <x v="7"/>
    <m/>
    <s v="Asistente Técnico"/>
    <s v="ADMINISTRATIVO"/>
    <s v="CCK"/>
    <s v="CCK - Alem 351"/>
    <s v="MACIÁ PABLO ARIEL"/>
    <s v="DNI"/>
    <n v="33403626"/>
    <s v="20334036260"/>
    <d v="1987-11-21T00:00:00"/>
    <m/>
    <m/>
    <m/>
    <m/>
    <s v="ASISTENCIA TÉCNICA"/>
    <s v="AT"/>
    <d v="2015-06-02T00:00:00"/>
    <m/>
    <d v="2016-12-31T00:00:00"/>
    <m/>
    <s v="UNTREF"/>
    <s v="UNLAM- BICENTENARIO"/>
    <n v="1000"/>
    <n v="1070"/>
    <n v="1170"/>
    <n v="1310"/>
    <n v="1310"/>
  </r>
  <r>
    <s v="SFMyCP"/>
    <x v="1"/>
    <x v="0"/>
    <x v="5"/>
    <x v="25"/>
    <x v="2"/>
    <m/>
    <s v="Analista"/>
    <s v="Analista"/>
    <s v="CCK"/>
    <s v="CCK - Alem 351"/>
    <s v="MAHAFUD JOEL"/>
    <s v="DNI"/>
    <n v="37007907"/>
    <s v="20370079073"/>
    <d v="1992-06-23T00:00:00"/>
    <m/>
    <m/>
    <m/>
    <m/>
    <s v="ASISTENCIA TÉCNICA"/>
    <s v="AT"/>
    <d v="2015-10-01T00:00:00"/>
    <m/>
    <d v="2016-12-31T00:00:00"/>
    <m/>
    <s v="UNTREF"/>
    <s v="UNLAM- INFO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MALAGRABA, MARIA GABRIELA"/>
    <s v="DNI"/>
    <n v="24963883"/>
    <n v="27249638833"/>
    <d v="1975-11-0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BACUA"/>
    <m/>
    <s v="CABILDO 65"/>
    <m/>
    <s v="MALASPINA ISABEL"/>
    <s v="DNI"/>
    <n v="29193974"/>
    <n v="27291939746"/>
    <m/>
    <m/>
    <m/>
    <m/>
    <m/>
    <s v="LEY MARCO"/>
    <s v="LM"/>
    <d v="2013-12-01T00:00:00"/>
    <d v="2016-03-31T00:00:00"/>
    <d v="2016-12-31T00:00:00"/>
    <s v="A1"/>
    <m/>
    <m/>
    <n v="1000"/>
    <m/>
    <n v="1170"/>
    <n v="1310"/>
    <n v="1310"/>
  </r>
  <r>
    <s v="SFMyCP"/>
    <x v="0"/>
    <x v="1"/>
    <x v="3"/>
    <x v="2"/>
    <x v="2"/>
    <m/>
    <m/>
    <s v="MANTENIMIENTO DE ESPACIOS VERDES"/>
    <m/>
    <s v="TECNOPOLIS"/>
    <s v="MALDONADO JONATHAN "/>
    <s v="DNI"/>
    <n v="36492782"/>
    <s v="20364927828"/>
    <d v="1991-11-24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1"/>
    <x v="3"/>
    <x v="4"/>
    <x v="2"/>
    <m/>
    <s v="COCINA"/>
    <s v="CHEF EJECUTIVO"/>
    <m/>
    <s v="TECNOPOLIS"/>
    <s v="MALOWICKI ZOLKWER GABRIEL"/>
    <s v="DNI"/>
    <n v="31764002"/>
    <n v="20317640022"/>
    <d v="1985-08-04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1"/>
    <x v="0"/>
    <x v="5"/>
    <x v="29"/>
    <x v="2"/>
    <m/>
    <m/>
    <s v="ADMINISTRATIVO"/>
    <m/>
    <s v="CCK - Alem 351"/>
    <s v="MANELLI MATÍAS NAHUEL"/>
    <s v="DNI"/>
    <n v="37755992"/>
    <s v="20377559925"/>
    <d v="1993-06-17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MANSILLA PILAR MURIEL"/>
    <s v="DNI"/>
    <n v="37424425"/>
    <n v="27374244251"/>
    <d v="1993-04-28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CONTENIDOS DIGITALES ABIERTOS CDA"/>
    <s v="ADMINISTRATIVO"/>
    <s v="CABILDO 65"/>
    <s v="CABILDO 65"/>
    <s v="MANZIONE BIANCA"/>
    <s v="DNI"/>
    <n v="37806458"/>
    <s v="27378064584"/>
    <d v="1993-08-13T00:00:00"/>
    <m/>
    <m/>
    <m/>
    <m/>
    <s v="ASISTENCIA TÉCNICA"/>
    <s v="AT"/>
    <d v="2012-10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7"/>
    <x v="25"/>
    <m/>
    <s v="Asistente"/>
    <s v="ADMINISTRATIVO"/>
    <s v="CCK"/>
    <s v="CCK - Alem 351"/>
    <s v="MARA FRANCO"/>
    <s v="DNI"/>
    <n v="32969084"/>
    <s v="23329690849"/>
    <d v="1987-10-28T00:00:00"/>
    <m/>
    <m/>
    <m/>
    <m/>
    <s v="ASISTENCIA TÉCNICA"/>
    <s v="AT"/>
    <d v="2014-12-10T00:00:00"/>
    <m/>
    <d v="2016-12-31T00:00:00"/>
    <m/>
    <s v="UNTREF"/>
    <s v="UNLAM- DGA"/>
    <n v="1000"/>
    <n v="1070"/>
    <n v="1170"/>
    <n v="1310"/>
    <n v="1310"/>
  </r>
  <r>
    <s v="SFMyCP"/>
    <x v="0"/>
    <x v="1"/>
    <x v="1"/>
    <x v="5"/>
    <x v="3"/>
    <s v="LOGISTICA OPERATIVA"/>
    <s v="Asistente Técnico Operativo"/>
    <s v="OPERATIVA Y LOGISTICA"/>
    <s v="CCK"/>
    <s v="CCK - Alem 351"/>
    <s v="MARCOTE MARIANO"/>
    <s v="DNI"/>
    <n v="30920038"/>
    <s v="20309200382"/>
    <d v="1984-06-26T00:00:00"/>
    <m/>
    <m/>
    <m/>
    <m/>
    <s v="ASISTENCIA TÉCNICA"/>
    <s v="AT"/>
    <d v="2015-07-13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14"/>
    <x v="2"/>
    <m/>
    <m/>
    <m/>
    <s v="TECNÓPOLIS"/>
    <m/>
    <s v="MARECOS Roberto Carlos"/>
    <s v="DNI"/>
    <n v="23331504"/>
    <n v="20233315045"/>
    <m/>
    <m/>
    <m/>
    <m/>
    <m/>
    <s v="LEY MARCO"/>
    <s v="LM"/>
    <d v="2013-05-01T00:00:00"/>
    <d v="2016-03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BACUA"/>
    <m/>
    <s v="CABILDO 65"/>
    <m/>
    <s v="MAREQUE MORENO MARIA PAULA"/>
    <s v="DNI"/>
    <n v="34152110"/>
    <n v="27341521101"/>
    <m/>
    <m/>
    <m/>
    <m/>
    <m/>
    <s v="LEY MARCO"/>
    <s v="LM"/>
    <d v="2009-01-01T00:00:00"/>
    <d v="2016-12-31T00:00:00"/>
    <d v="2016-12-31T00:00:00"/>
    <s v="C2"/>
    <m/>
    <m/>
    <n v="1000"/>
    <m/>
    <n v="1170"/>
    <n v="1310"/>
    <n v="1310"/>
  </r>
  <r>
    <s v="SFMyCP"/>
    <x v="0"/>
    <x v="0"/>
    <x v="4"/>
    <x v="2"/>
    <x v="2"/>
    <m/>
    <s v="PRIVADA"/>
    <s v="ADMINISTRATIVO"/>
    <m/>
    <s v="CCK - Alem 351"/>
    <s v="MARICH EKEL "/>
    <s v="DNI"/>
    <n v="24230223"/>
    <n v="20242302231"/>
    <d v="1975-03-30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0"/>
    <x v="0"/>
    <x v="2"/>
    <x v="2"/>
    <m/>
    <m/>
    <s v="ADMINISTRATIVO"/>
    <m/>
    <s v="CCK - Alem 351"/>
    <s v="MARIN JAVIER ALEJANDRO"/>
    <s v="DNI"/>
    <n v="21731906"/>
    <n v="20217319065"/>
    <d v="1970-09-12T00:00:00"/>
    <m/>
    <m/>
    <m/>
    <m/>
    <s v="ASISTENCIA TÉCNICA"/>
    <s v="AT"/>
    <d v="2016-04-01T00:00:00"/>
    <m/>
    <d v="2016-08-31T00:00:00"/>
    <m/>
    <s v="UNTREF"/>
    <m/>
    <n v="1000"/>
    <n v="1070"/>
    <n v="1170"/>
    <n v="1310"/>
    <m/>
  </r>
  <r>
    <s v="SFMyCP"/>
    <x v="0"/>
    <x v="1"/>
    <x v="7"/>
    <x v="2"/>
    <x v="2"/>
    <m/>
    <s v="PRIVADA"/>
    <s v="ADMINISTRATIVO"/>
    <m/>
    <s v="CCK - Alem 351"/>
    <s v="MARINCOVIK, PABLO"/>
    <s v="DNI"/>
    <n v="21167373"/>
    <s v="20211673738"/>
    <d v="1969-12-04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MARQUEZ CARLOS ANTONIO"/>
    <s v="DNI"/>
    <n v="16988106"/>
    <n v="20169881066"/>
    <d v="1963-02-03T00:00:00"/>
    <m/>
    <m/>
    <m/>
    <m/>
    <s v="ASISTENCIA TÉCNICA"/>
    <s v="AT"/>
    <d v="2016-04-15T00:00:00"/>
    <m/>
    <d v="2016-12-31T00:00:00"/>
    <m/>
    <s v="UNTREF"/>
    <m/>
    <n v="1000"/>
    <n v="1070"/>
    <n v="1170"/>
    <n v="1310"/>
    <n v="1310"/>
  </r>
  <r>
    <s v="SFMyCP"/>
    <x v="0"/>
    <x v="1"/>
    <x v="1"/>
    <x v="15"/>
    <x v="2"/>
    <m/>
    <m/>
    <m/>
    <s v="CCK"/>
    <m/>
    <s v="MARTIN EMILIANO"/>
    <s v="DNI"/>
    <n v="29946823"/>
    <n v="27292468933"/>
    <m/>
    <m/>
    <m/>
    <m/>
    <m/>
    <s v="LEY MARCO"/>
    <s v="LM"/>
    <d v="2012-12-01T00:00:00"/>
    <d v="2016-12-31T00:00:00"/>
    <d v="2016-12-31T00:00:00"/>
    <s v="A1"/>
    <m/>
    <m/>
    <n v="1000"/>
    <m/>
    <n v="1170"/>
    <n v="1310"/>
    <n v="1310"/>
  </r>
  <r>
    <s v="SFMyCP"/>
    <x v="0"/>
    <x v="1"/>
    <x v="3"/>
    <x v="20"/>
    <x v="2"/>
    <m/>
    <m/>
    <s v="MANTENIMIENTO DE ESPACIOS VERDES"/>
    <s v="TECNÓPOLIS"/>
    <s v="TECNOPOLIS"/>
    <s v="MARTINEZ  HECTOR MARCELO"/>
    <s v="DNI"/>
    <n v="39706510"/>
    <s v="20397065104"/>
    <d v="1995-08-24T00:00:00"/>
    <m/>
    <m/>
    <m/>
    <m/>
    <s v="ASISTENCIA TÉCNICA"/>
    <s v="AT"/>
    <d v="2014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7"/>
    <s v="REFERENTE"/>
    <s v="Coordinador de DTO"/>
    <s v="ADMINISTRATIVO"/>
    <s v="CCK"/>
    <s v="CCK - Alem 351"/>
    <s v="MARTINEZ ALBERTO"/>
    <s v="DNI"/>
    <n v="32944728"/>
    <s v="20329447287"/>
    <d v="1987-03-06T00:00:00"/>
    <m/>
    <m/>
    <m/>
    <m/>
    <s v="ASISTENCIA TÉCNICA"/>
    <s v="AT"/>
    <d v="2015-02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MARTINEZ ANAHÍ"/>
    <s v="DNI"/>
    <n v="23415236"/>
    <n v="27234152365"/>
    <d v="1973-09-1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4"/>
    <x v="2"/>
    <m/>
    <m/>
    <s v="ADMINISTRATIVO"/>
    <s v="TECNÓPOLIS"/>
    <m/>
    <s v="MARTINEZ MARIA MAGDALENA"/>
    <s v="DNI"/>
    <n v="28972145"/>
    <n v="27289721458"/>
    <d v="1981-05-08T00:00:00"/>
    <m/>
    <m/>
    <m/>
    <m/>
    <s v="ASISTENCIA TÉCNICA"/>
    <s v="AT"/>
    <m/>
    <m/>
    <m/>
    <m/>
    <m/>
    <m/>
    <m/>
    <m/>
    <n v="1170"/>
    <n v="0"/>
    <n v="0"/>
  </r>
  <r>
    <s v="SFMyCP"/>
    <x v="0"/>
    <x v="0"/>
    <x v="0"/>
    <x v="0"/>
    <x v="0"/>
    <m/>
    <s v="DESARROLLOS"/>
    <s v="ANALISTA"/>
    <s v="PALPALÁ-JUJUY"/>
    <s v="PALPALÁ-JUJUY"/>
    <s v="MARTINEZ ARIEL GUSTAVO"/>
    <s v="DNI"/>
    <n v="26451548"/>
    <n v="20264515484"/>
    <d v="1978-04-17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6"/>
    <x v="11"/>
    <x v="2"/>
    <m/>
    <m/>
    <s v="Orientador de Sala"/>
    <m/>
    <m/>
    <s v="MARTINEZ DAVILA FIORELLA"/>
    <s v="DNI"/>
    <n v="94779981"/>
    <n v="27947799814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1"/>
    <x v="0"/>
    <x v="5"/>
    <x v="16"/>
    <x v="16"/>
    <m/>
    <m/>
    <m/>
    <m/>
    <m/>
    <s v="MARTINEZ DIEGO"/>
    <s v="DNI"/>
    <n v="31985771"/>
    <n v="20319857711"/>
    <m/>
    <m/>
    <m/>
    <m/>
    <m/>
    <s v="LEY MARCO"/>
    <s v="LM"/>
    <d v="2015-03-01T00:00:00"/>
    <m/>
    <d v="2016-12-31T00:00:00"/>
    <s v="B1"/>
    <m/>
    <m/>
    <m/>
    <m/>
    <m/>
    <n v="0"/>
    <n v="0"/>
  </r>
  <r>
    <s v="SFMyCP"/>
    <x v="0"/>
    <x v="1"/>
    <x v="1"/>
    <x v="38"/>
    <x v="2"/>
    <m/>
    <s v="Administrativo"/>
    <s v="ADMINISTRATIVO"/>
    <s v="CCK"/>
    <s v="CCK - Alem 351"/>
    <s v="MARTINEZ JAVIER MARCELO"/>
    <s v="DNI"/>
    <n v="27704110"/>
    <s v="20277041104"/>
    <d v="1979-12-12T00:00:00"/>
    <m/>
    <m/>
    <m/>
    <m/>
    <s v="ASISTENCIA TÉCNICA"/>
    <s v="AT"/>
    <d v="2014-10-01T00:00:00"/>
    <m/>
    <d v="2016-12-31T00:00:00"/>
    <m/>
    <s v="UNTREF"/>
    <s v="CULTURA"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MARTINEZ MELINA"/>
    <s v="DNI"/>
    <n v="30278656"/>
    <s v="27302786564"/>
    <d v="1983-04-06T00:00:00"/>
    <m/>
    <m/>
    <m/>
    <m/>
    <s v="ASISTENCIA TÉCNICA"/>
    <s v="AT"/>
    <d v="2015-03-16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6"/>
    <x v="16"/>
    <s v="COMUNICACIÓN"/>
    <s v="COMUNICACIÓN"/>
    <m/>
    <s v="CCK"/>
    <m/>
    <s v="MARTINO MARCELA NATALIA"/>
    <s v="DNI"/>
    <n v="28807853"/>
    <n v="27288078535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1"/>
    <x v="0"/>
    <x v="5"/>
    <x v="16"/>
    <x v="11"/>
    <s v="AUTOMOTORES"/>
    <s v="CHOFER"/>
    <m/>
    <s v="CCK"/>
    <m/>
    <s v="MASÑUK  JUAN CARLOS"/>
    <s v="DNI"/>
    <n v="17513017"/>
    <n v="23175130179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MASTANDREA SERGIO"/>
    <s v="DNI"/>
    <n v="29414541"/>
    <s v="23294145419"/>
    <d v="1982-03-30T00:00:00"/>
    <m/>
    <m/>
    <m/>
    <m/>
    <s v="ASISTENCIA TÉCNICA"/>
    <s v="AT"/>
    <d v="2015-11-01T00:00:00"/>
    <m/>
    <d v="2016-12-31T00:00:00"/>
    <m/>
    <s v="UNTREF"/>
    <m/>
    <n v="1000"/>
    <n v="100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MATEOS CARLOS ALFONSO"/>
    <s v="DNI"/>
    <n v="23053676"/>
    <n v="20230536768"/>
    <d v="1972-09-23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MATUK SEBASTIAN"/>
    <s v="DNI"/>
    <n v="34304285"/>
    <n v="20343042850"/>
    <d v="1989-02-07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ROGRAMA POLOS AUDIOVISUALES TECNOLÓGICOS"/>
    <m/>
    <s v="CABILDO 65"/>
    <m/>
    <s v="MAZU OSCAR EDUARDO"/>
    <s v="DNI"/>
    <n v="16598752"/>
    <n v="20165987528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0"/>
    <x v="1"/>
    <x v="1"/>
    <x v="10"/>
    <x v="2"/>
    <m/>
    <m/>
    <s v="ADMINISTRATIVO"/>
    <m/>
    <s v="CCK - Alem 351"/>
    <s v="MAZZEI LAURA"/>
    <s v="DNI"/>
    <n v="27113663"/>
    <n v="27271136639"/>
    <d v="1978-12-25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0"/>
    <x v="6"/>
    <x v="11"/>
    <x v="2"/>
    <m/>
    <m/>
    <s v="Orientador de Sala"/>
    <m/>
    <m/>
    <s v="MC CARTHY VICTORIA"/>
    <s v="DNI"/>
    <n v="38865071"/>
    <n v="27388650716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0"/>
    <x v="1"/>
    <x v="1"/>
    <x v="5"/>
    <x v="3"/>
    <s v="LOGISTICA OPERATIVA"/>
    <s v="Asistente Técnico Operativo"/>
    <s v="OPERATIVA Y LOGISTICA"/>
    <s v="CCK"/>
    <s v="CCK - Alem 351"/>
    <s v="MEANA ADRIAN"/>
    <s v="DNI"/>
    <n v="29704359"/>
    <s v="20297043596"/>
    <d v="1982-10-28T00:00:00"/>
    <m/>
    <m/>
    <m/>
    <m/>
    <s v="ASISTENCIA TÉCNICA"/>
    <s v="AT"/>
    <d v="2015-07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1"/>
    <x v="5"/>
    <x v="15"/>
    <m/>
    <m/>
    <m/>
    <m/>
    <m/>
    <s v="MEDINA SUSANA EDIT"/>
    <s v="DNI"/>
    <n v="10776913"/>
    <m/>
    <m/>
    <m/>
    <m/>
    <m/>
    <m/>
    <m/>
    <s v="LM"/>
    <m/>
    <m/>
    <d v="2016-12-31T00:00:00"/>
    <s v="B3"/>
    <m/>
    <m/>
    <n v="1000"/>
    <m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MEDRANO ORTIZ GONZALO"/>
    <s v="DNI"/>
    <n v="34524500"/>
    <s v="20345245007"/>
    <d v="1989-05-08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MEGALOECONOMOS SOFIA"/>
    <s v="DNI"/>
    <n v="31632162"/>
    <s v="27316321629"/>
    <d v="1985-06-11T00:00:00"/>
    <m/>
    <m/>
    <m/>
    <m/>
    <s v="ASISTENCIA TÉCNICA"/>
    <s v="AT"/>
    <d v="2015-05-15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29"/>
    <x v="2"/>
    <m/>
    <s v="Administrativo"/>
    <m/>
    <s v="CCK"/>
    <m/>
    <s v="MEGIAS MANUEL"/>
    <s v="DNI"/>
    <n v="30652310"/>
    <n v="20306523105"/>
    <m/>
    <m/>
    <m/>
    <m/>
    <m/>
    <s v="LEY MARCO"/>
    <s v="LM"/>
    <d v="2009-08-01T00:00:00"/>
    <d v="2016-12-31T00:00:00"/>
    <d v="2016-12-31T00:00:00"/>
    <s v="D0"/>
    <m/>
    <m/>
    <n v="1000"/>
    <m/>
    <n v="1170"/>
    <n v="1310"/>
    <n v="1310"/>
  </r>
  <r>
    <s v="SFMyCP"/>
    <x v="0"/>
    <x v="0"/>
    <x v="8"/>
    <x v="1"/>
    <x v="2"/>
    <m/>
    <m/>
    <m/>
    <s v="CCK"/>
    <s v="CCK - Alem 351"/>
    <s v="MELILLO LUCIA"/>
    <s v="DNI"/>
    <n v="33850467"/>
    <n v="27338504670"/>
    <m/>
    <m/>
    <m/>
    <m/>
    <m/>
    <s v="LEY MARCO"/>
    <s v="LM"/>
    <d v="2012-07-01T00:00:00"/>
    <d v="2016-12-31T00:00:00"/>
    <d v="2016-12-31T00:00:00"/>
    <s v="C0"/>
    <m/>
    <m/>
    <n v="1000"/>
    <m/>
    <n v="1170"/>
    <n v="1310"/>
    <n v="1310"/>
  </r>
  <r>
    <s v="SFMyCP"/>
    <x v="1"/>
    <x v="0"/>
    <x v="5"/>
    <x v="7"/>
    <x v="2"/>
    <m/>
    <m/>
    <s v="ADMINISTRATIVO"/>
    <m/>
    <s v="CCK - Alem 351"/>
    <s v="MELITA ELEONORA"/>
    <s v="DNI"/>
    <n v="36735601"/>
    <n v="27367356019"/>
    <d v="1991-12-26T00:00:00"/>
    <m/>
    <m/>
    <m/>
    <m/>
    <s v="ASISTENCIA TÉCNICA"/>
    <s v="AT"/>
    <d v="2016-07-01T00:00:00"/>
    <m/>
    <d v="2016-12-31T00:00:00"/>
    <m/>
    <s v="UNTREF"/>
    <m/>
    <s v=" ---"/>
    <s v=" ---"/>
    <n v="1170"/>
    <n v="1310"/>
    <n v="1310"/>
  </r>
  <r>
    <s v="SFMyCP"/>
    <x v="1"/>
    <x v="0"/>
    <x v="5"/>
    <x v="29"/>
    <x v="2"/>
    <m/>
    <s v="Administrativo"/>
    <m/>
    <s v="CCK"/>
    <m/>
    <s v="MENA CAROLINA"/>
    <s v="DNI"/>
    <n v="23587261"/>
    <n v="27235872612"/>
    <m/>
    <m/>
    <m/>
    <m/>
    <m/>
    <s v="LEY MARCO"/>
    <s v="LM"/>
    <d v="2014-10-01T00:00:00"/>
    <d v="2016-03-31T00:00:00"/>
    <d v="2016-12-31T00:00:00"/>
    <s v="B1"/>
    <m/>
    <m/>
    <n v="1000"/>
    <m/>
    <n v="1170"/>
    <n v="1310"/>
    <n v="1310"/>
  </r>
  <r>
    <s v="SFMyCP"/>
    <x v="1"/>
    <x v="0"/>
    <x v="5"/>
    <x v="29"/>
    <x v="2"/>
    <m/>
    <s v="Analista"/>
    <s v="ADMINISTRATIVO"/>
    <m/>
    <s v="CCK - Alem 351"/>
    <s v="MENA GRISELDA"/>
    <s v="DNI"/>
    <n v="27664255"/>
    <s v="27276642559"/>
    <d v="1979-10-13T00:00:00"/>
    <m/>
    <m/>
    <m/>
    <m/>
    <s v="ASISTENCIA TÉCNICA"/>
    <s v="AT"/>
    <d v="2016-05-02T00:00:00"/>
    <m/>
    <d v="2016-12-31T00:00:00"/>
    <m/>
    <s v="UNTREF"/>
    <m/>
    <n v="1000"/>
    <n v="1070"/>
    <n v="1170"/>
    <n v="1310"/>
    <n v="1310"/>
  </r>
  <r>
    <s v="SFMyCP"/>
    <x v="0"/>
    <x v="0"/>
    <x v="0"/>
    <x v="0"/>
    <x v="0"/>
    <m/>
    <s v="DISEÑO"/>
    <s v="ANALISTA"/>
    <s v="PALPALÁ-JUJUY"/>
    <s v="PALPALÁ-JUJUY"/>
    <s v="MENDEZ RUBEN HECTOR"/>
    <s v="DNI"/>
    <n v="28036334"/>
    <n v="20280363341"/>
    <d v="1980-04-30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"/>
    <x v="2"/>
    <m/>
    <m/>
    <s v="SUPERVISORA DE LIMPIEZA"/>
    <m/>
    <s v="TECNOPOLIS"/>
    <s v="MENDOZA MARIA ZULEMA"/>
    <s v="DNI"/>
    <n v="23037805"/>
    <s v="27230378059"/>
    <d v="1972-12-28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1"/>
    <x v="0"/>
    <x v="5"/>
    <x v="16"/>
    <x v="11"/>
    <s v="AUTOMOTORES"/>
    <s v="CHOFER"/>
    <m/>
    <s v="CCK"/>
    <m/>
    <s v="MENER ALEJANDRO"/>
    <s v="DNI"/>
    <n v="34738717"/>
    <n v="20347387178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1"/>
    <x v="3"/>
    <x v="19"/>
    <x v="2"/>
    <m/>
    <m/>
    <m/>
    <s v="TECNÓPOLIS"/>
    <m/>
    <s v="MENNA LEANDRO ARIEL"/>
    <s v="DNI"/>
    <n v="23313220"/>
    <n v="23233132209"/>
    <m/>
    <m/>
    <m/>
    <m/>
    <m/>
    <s v="LEY MARCO"/>
    <s v="LM"/>
    <d v="2011-07-01T00:00:00"/>
    <d v="2016-12-31T00:00:00"/>
    <d v="2016-12-31T00:00:00"/>
    <s v="D1"/>
    <m/>
    <m/>
    <n v="1000"/>
    <m/>
    <n v="1170"/>
    <n v="1310"/>
    <n v="1310"/>
  </r>
  <r>
    <s v="SFMyCP"/>
    <x v="0"/>
    <x v="1"/>
    <x v="3"/>
    <x v="14"/>
    <x v="2"/>
    <m/>
    <m/>
    <s v="MANEJO DE IMPRESORA DIGITAL PLOTTER MIMAKI DE MATERIALES DE GRAFICA PARA COLOCACIÓN. MANTENIMIENTO DÉPOSITO/CARTELERÍA"/>
    <s v="TECNÓPOLIS"/>
    <s v="TECNOPOLIS"/>
    <s v="MERA MAURICIO VALENTIN"/>
    <s v="DNI"/>
    <n v="35348638"/>
    <s v="20353486382"/>
    <d v="1990-06-10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MEREÑUK TATIANA"/>
    <s v="DNI"/>
    <n v="23326986"/>
    <s v="27233269862"/>
    <d v="1973-05-05T00:00:00"/>
    <m/>
    <m/>
    <m/>
    <m/>
    <s v="ASISTENCIA TÉCNICA"/>
    <s v="AT"/>
    <d v="2011-04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MESTROCRISTINO MARTINA"/>
    <s v="DNI"/>
    <n v="38995191"/>
    <s v="27389951914"/>
    <d v="1995-05-03T00:00:00"/>
    <m/>
    <m/>
    <m/>
    <m/>
    <s v="ASISTENCIA TÉCNICA"/>
    <s v="AT"/>
    <d v="2015-08-01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MIHANOVICH CAROLINA INES"/>
    <s v="DNI"/>
    <n v="16161406"/>
    <n v="27161614063"/>
    <d v="1962-07-04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1"/>
    <x v="5"/>
    <x v="13"/>
    <s v="SOPORTE ADMINISTRATIVO"/>
    <s v="Responsable"/>
    <s v="Responsable"/>
    <s v="CCK"/>
    <s v="CCK - Alem 351"/>
    <s v="MILANESE FERNANDO"/>
    <s v="DNI"/>
    <n v="32422072"/>
    <s v="20324220721"/>
    <d v="1986-03-25T00:00:00"/>
    <m/>
    <m/>
    <m/>
    <m/>
    <s v="ASISTENCIA TÉCNICA"/>
    <s v="AT"/>
    <d v="2011-07-01T00:00:00"/>
    <m/>
    <d v="2016-12-31T00:00:00"/>
    <m/>
    <s v="UNTREF"/>
    <s v="UNLAM -TDA"/>
    <n v="1000"/>
    <n v="1070"/>
    <n v="1170"/>
    <n v="1310"/>
    <n v="1310"/>
  </r>
  <r>
    <s v="SFMyCP"/>
    <x v="0"/>
    <x v="0"/>
    <x v="4"/>
    <x v="2"/>
    <x v="2"/>
    <m/>
    <s v="PRIVADA"/>
    <s v="ADMINISTRATIVO"/>
    <s v="TECNÓPOLIS"/>
    <s v="CCK - Alem 351"/>
    <s v="MILIONE, MARCELA"/>
    <s v="DNI"/>
    <n v="12610450"/>
    <n v="27126104508"/>
    <d v="1958-05-2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MIÑO  FERNANDO  LUIS"/>
    <s v="DNI"/>
    <n v="37969951"/>
    <s v="20379699511"/>
    <d v="1993-03-13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3"/>
    <x v="2"/>
    <m/>
    <s v="Tareas Generales"/>
    <s v="Tareas Generales"/>
    <s v="TECNÓPOLIS"/>
    <m/>
    <s v="MIÑO  JUAN RAMON"/>
    <s v="DNI"/>
    <n v="25001961"/>
    <m/>
    <d v="1993-03-13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3"/>
    <x v="44"/>
    <x v="2"/>
    <m/>
    <m/>
    <m/>
    <s v="TECNÓPOLIS"/>
    <m/>
    <s v="MIÑO RAFAEL DIEGO"/>
    <s v="DNI"/>
    <n v="29026896"/>
    <n v="20290268967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5"/>
    <x v="7"/>
    <m/>
    <s v="Asistente"/>
    <s v="ADMINISTRATIVO"/>
    <s v="CCK"/>
    <s v="CCK - Alem 351"/>
    <s v="MIZZAU CAROLINA"/>
    <s v="DNI"/>
    <n v="25190198"/>
    <s v="27251901983"/>
    <d v="1976-03-02T00:00:00"/>
    <m/>
    <m/>
    <m/>
    <m/>
    <s v="ASISTENCIA TÉCNICA"/>
    <s v="AT"/>
    <d v="2015-06-01T00:00:00"/>
    <m/>
    <d v="2016-12-31T00:00:00"/>
    <m/>
    <s v="UNTREF"/>
    <s v="UNLAM- BICENTENARIO"/>
    <n v="1000"/>
    <n v="1070"/>
    <n v="1170"/>
    <n v="1310"/>
    <n v="1310"/>
  </r>
  <r>
    <s v="SFMyCP"/>
    <x v="0"/>
    <x v="0"/>
    <x v="4"/>
    <x v="2"/>
    <x v="2"/>
    <m/>
    <s v="PRIVADA"/>
    <s v="ADMINISTRATIVO"/>
    <m/>
    <s v="CCK - Alem 351"/>
    <s v="MLADINEO IVANA"/>
    <s v="DNI"/>
    <n v="32956861"/>
    <n v="27329568615"/>
    <d v="1987-06-04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MOLINA ANAHI "/>
    <s v="DNI"/>
    <n v="18847242"/>
    <s v="27188472422"/>
    <d v="1981-06-05T00:00:00"/>
    <m/>
    <m/>
    <m/>
    <m/>
    <s v="ASISTENCIA TÉCNICA"/>
    <s v="AT"/>
    <d v="2013-04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MOLLER JENSEN RAÚL"/>
    <s v="DNI"/>
    <n v="32500963"/>
    <s v="20325009633"/>
    <d v="1986-12-10T00:00:00"/>
    <m/>
    <m/>
    <m/>
    <m/>
    <s v="ASISTENCIA TÉCNICA"/>
    <s v="AT"/>
    <d v="2011-09-01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Asistente"/>
    <s v="Asistente"/>
    <s v="CCK"/>
    <s v="CCK - Alem 351"/>
    <s v="MOLLO MELISA ALEJANDRA "/>
    <s v="DNI"/>
    <n v="30516545"/>
    <s v="27305165455"/>
    <d v="1983-09-06T00:00:00"/>
    <m/>
    <m/>
    <m/>
    <m/>
    <s v="ASISTENCIA TÉCNICA"/>
    <s v="AT"/>
    <d v="2013-07-01T00:00:00"/>
    <m/>
    <d v="2016-12-31T00:00:00"/>
    <m/>
    <s v="UNTREF"/>
    <s v="UNLAM -TDA"/>
    <n v="1000"/>
    <n v="1070"/>
    <n v="1170"/>
    <n v="1310"/>
    <n v="1310"/>
  </r>
  <r>
    <s v="SFMyCP"/>
    <x v="0"/>
    <x v="1"/>
    <x v="3"/>
    <x v="26"/>
    <x v="2"/>
    <m/>
    <m/>
    <m/>
    <s v="TECNÓPOLIS"/>
    <m/>
    <s v="MONACO ELIAS GERMAN"/>
    <s v="DNI"/>
    <n v="33188115"/>
    <n v="20331881156"/>
    <m/>
    <m/>
    <m/>
    <m/>
    <m/>
    <s v="LEY MARCO"/>
    <s v="LM"/>
    <d v="2013-05-01T00:00:00"/>
    <d v="2016-03-31T00:00:00"/>
    <d v="2016-12-31T00:00:00"/>
    <s v="C0"/>
    <m/>
    <m/>
    <n v="1000"/>
    <m/>
    <n v="1170"/>
    <n v="1310"/>
    <n v="1310"/>
  </r>
  <r>
    <s v="SFMyCP"/>
    <x v="1"/>
    <x v="0"/>
    <x v="5"/>
    <x v="29"/>
    <x v="2"/>
    <m/>
    <m/>
    <s v="ADMINISTRATIVO"/>
    <m/>
    <s v="CCK - Alem 351"/>
    <s v="MONGANO GUIDO NICOLAS"/>
    <s v="DNI"/>
    <n v="32636605"/>
    <n v="20326366057"/>
    <d v="1986-10-05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1"/>
    <x v="0"/>
    <x v="5"/>
    <x v="16"/>
    <x v="16"/>
    <m/>
    <s v="Analista"/>
    <s v="ADMINISTRATIVO"/>
    <s v="CCK"/>
    <s v="CCK - Alem 351"/>
    <s v="MONOCHIO GINO"/>
    <s v="DNI"/>
    <n v="33792938"/>
    <s v="23337929389"/>
    <d v="1988-10-05T00:00:00"/>
    <m/>
    <m/>
    <m/>
    <m/>
    <s v="ASISTENCIA TÉCNICA"/>
    <s v="AT"/>
    <d v="2014-01-13T00:00:00"/>
    <m/>
    <d v="2016-12-31T00:00:00"/>
    <m/>
    <s v="UNTREF"/>
    <s v="UNSAM- LADA"/>
    <n v="1000"/>
    <n v="1070"/>
    <n v="1170"/>
    <n v="1310"/>
    <n v="1310"/>
  </r>
  <r>
    <s v="SFMyCP"/>
    <x v="0"/>
    <x v="1"/>
    <x v="3"/>
    <x v="14"/>
    <x v="2"/>
    <m/>
    <m/>
    <m/>
    <s v="TECNÓPOLIS"/>
    <m/>
    <s v="MONSERRAT RICARDO"/>
    <s v="DNI"/>
    <n v="10760860"/>
    <n v="20107608606"/>
    <m/>
    <m/>
    <m/>
    <m/>
    <m/>
    <s v="LEY MARCO"/>
    <s v="LM"/>
    <d v="2012-11-30T00:00:00"/>
    <d v="2016-12-31T00:00:00"/>
    <d v="2016-12-31T00:00:00"/>
    <s v="F0"/>
    <m/>
    <m/>
    <n v="1000"/>
    <m/>
    <n v="1170"/>
    <n v="1310"/>
    <n v="1310"/>
  </r>
  <r>
    <s v="SFMyCP"/>
    <x v="0"/>
    <x v="1"/>
    <x v="3"/>
    <x v="19"/>
    <x v="2"/>
    <m/>
    <m/>
    <s v="CONTROL DE ACCESOS/DEPOSITOS DEL PREDIO TURNO NOCHE"/>
    <s v="TECNÓPOLIS"/>
    <s v="TECNOPOLIS"/>
    <s v="MONTENEGRO  CARLOS ALBERTO"/>
    <s v="DNI"/>
    <n v="33084823"/>
    <s v="20330848236"/>
    <d v="1987-05-17T00:00:00"/>
    <m/>
    <m/>
    <m/>
    <m/>
    <s v="ASISTENCIA TÉCNICA"/>
    <s v="AT"/>
    <d v="2013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MONTENEGRO  CARLOS MARCELO"/>
    <s v="DNI"/>
    <n v="36560622"/>
    <s v="20365606227"/>
    <d v="1991-12-29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MONTENEGRO  JOSE MAXIMILANO"/>
    <s v="DNI"/>
    <n v="35713189"/>
    <s v="20357131899"/>
    <d v="1990-06-29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"/>
    <x v="2"/>
    <m/>
    <s v="PRIVADA"/>
    <s v="ADMINISTRATIVO"/>
    <m/>
    <s v="TECNOPOLIS"/>
    <s v="MONTERO FLORENCIA"/>
    <s v="DNI"/>
    <n v="92565540"/>
    <n v="27925655401"/>
    <d v="1981-11-05T00:00:00"/>
    <m/>
    <m/>
    <m/>
    <m/>
    <s v="ASISTENCIA TÉCNICA"/>
    <s v="AT"/>
    <d v="2016-03-01T00:00:00"/>
    <m/>
    <d v="2016-12-31T00:00:00"/>
    <m/>
    <s v="UNTREF"/>
    <m/>
    <n v="1000"/>
    <n v="1070"/>
    <n v="1170"/>
    <n v="1310"/>
    <n v="1310"/>
  </r>
  <r>
    <s v="SFMyCP"/>
    <x v="2"/>
    <x v="0"/>
    <x v="4"/>
    <x v="2"/>
    <x v="2"/>
    <m/>
    <m/>
    <s v="ADMINISTRATIVO"/>
    <m/>
    <s v="CCK - Alem 351"/>
    <s v="MONTES ANA LAURA"/>
    <s v="DNI"/>
    <n v="18752447"/>
    <n v="23187524474"/>
    <d v="1970-08-27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1"/>
    <x v="26"/>
    <x v="2"/>
    <m/>
    <m/>
    <s v="ADMINISTRATIVO"/>
    <m/>
    <s v="CCK - Alem 351"/>
    <s v="MONTES DE OCA YESICA"/>
    <s v="DNI"/>
    <n v="33017958"/>
    <n v="27330179584"/>
    <d v="1987-04-14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ACUA MAYOR"/>
    <s v="ADMINISTRATIVO"/>
    <s v="CABILDO 65"/>
    <s v="CABILDO 65"/>
    <s v="MONTES ROJAS MICAELA"/>
    <s v="DNI"/>
    <n v="32359444"/>
    <s v="27323594444"/>
    <d v="1986-04-30T00:00:00"/>
    <m/>
    <m/>
    <m/>
    <m/>
    <s v="ASISTENCIA TÉCNICA"/>
    <s v="AT"/>
    <d v="2012-04-23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10"/>
    <m/>
    <m/>
    <s v="VISITAS GUIADAS"/>
    <m/>
    <s v="CCK - Alem 351"/>
    <s v="MONZON ROCIO MACARENA"/>
    <s v="DNI"/>
    <n v="39696295"/>
    <n v="27396962956"/>
    <d v="1996-07-19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MOÑINO ALEJO"/>
    <s v="DNI"/>
    <n v="26580860"/>
    <s v="20265808604"/>
    <d v="1977-12-24T00:00:00"/>
    <m/>
    <m/>
    <m/>
    <m/>
    <s v="ASISTENCIA TÉCNICA"/>
    <s v="AT"/>
    <d v="2010-10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2"/>
    <x v="2"/>
    <m/>
    <s v="ASISTENTE COORD SUR"/>
    <s v="ADMINISTRATIVO"/>
    <m/>
    <s v="CCK - Alem 351"/>
    <s v="MORADO MARIA CLAUDIA"/>
    <s v="DNI"/>
    <n v="13275295"/>
    <n v="27132752953"/>
    <d v="1957-05-10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0"/>
    <x v="0"/>
    <m/>
    <s v="ANIMACION"/>
    <s v="ANALISTA"/>
    <s v="PALPALÁ-JUJUY"/>
    <s v="PALPALÁ-JUJUY"/>
    <s v="MORALES GOMEZ JIMENA MAGALÍ"/>
    <s v="DNI"/>
    <n v="32930419"/>
    <n v="27329304197"/>
    <d v="1987-02-12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9"/>
    <x v="2"/>
    <m/>
    <s v="Analista"/>
    <s v="ADMINISTRATIVO"/>
    <m/>
    <s v="CCK - Alem 351"/>
    <s v="MORAN MELINA"/>
    <s v="DNI"/>
    <n v="30277471"/>
    <s v="23302774714"/>
    <d v="1983-05-16T00:00:00"/>
    <m/>
    <m/>
    <m/>
    <m/>
    <s v="ASISTENCIA TÉCNICA"/>
    <s v="AT"/>
    <d v="2016-05-02T00:00:00"/>
    <m/>
    <d v="2016-12-31T00:00:00"/>
    <m/>
    <s v="UNTREF"/>
    <m/>
    <n v="1000"/>
    <n v="1070"/>
    <n v="1170"/>
    <n v="1310"/>
    <n v="1310"/>
  </r>
  <r>
    <s v="SFMyCP"/>
    <x v="0"/>
    <x v="1"/>
    <x v="3"/>
    <x v="3"/>
    <x v="2"/>
    <m/>
    <m/>
    <s v="ENCARGADO DE LIMPIEZA"/>
    <s v="TECNÓPOLIS"/>
    <s v="TECNOPOLIS"/>
    <s v="MORENO  VERA TEODORA"/>
    <s v="DNI"/>
    <n v="94654784"/>
    <s v="27946547846"/>
    <d v="1979-09-17T00:00:00"/>
    <m/>
    <m/>
    <m/>
    <m/>
    <s v="ASISTENCIA TÉCNICA"/>
    <s v="AT"/>
    <d v="2011-12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4"/>
    <m/>
    <s v="Enfermera/o"/>
    <s v="ADMINISTRATIVO"/>
    <m/>
    <s v="CCK - Alem 351"/>
    <s v="MORENO KARINA MERCEDES"/>
    <s v="DNI"/>
    <n v="28618309"/>
    <m/>
    <d v="1981-01-20T00:00:00"/>
    <m/>
    <m/>
    <m/>
    <m/>
    <s v="ASISTENCIA TÉCNICA"/>
    <s v="AT"/>
    <d v="2016-07-14T00:00:00"/>
    <m/>
    <d v="2016-12-31T00:00:00"/>
    <m/>
    <s v="UNTREF"/>
    <m/>
    <m/>
    <m/>
    <n v="1170"/>
    <n v="0"/>
    <n v="0"/>
  </r>
  <r>
    <s v="SFMyCP"/>
    <x v="0"/>
    <x v="1"/>
    <x v="3"/>
    <x v="23"/>
    <x v="2"/>
    <m/>
    <s v="Tareas Generales"/>
    <s v="TAREAS EN GENERAL TALLER CARPINTERIA/HERRERÍA/TEXTIL"/>
    <s v="TECNÓPOLIS"/>
    <m/>
    <s v="MORENO MARIA LAURA"/>
    <s v="DNI"/>
    <n v="32575288"/>
    <n v="27325752888"/>
    <d v="1986-09-24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MORENO MELISA"/>
    <s v="DNI"/>
    <n v="29130054"/>
    <s v="27291300540"/>
    <d v="1982-01-13T00:00:00"/>
    <m/>
    <m/>
    <m/>
    <m/>
    <s v="ASISTENCIA TÉCNICA"/>
    <s v="AT"/>
    <d v="2013-09-16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7"/>
    <x v="2"/>
    <m/>
    <m/>
    <m/>
    <s v="TECNÓPOLIS"/>
    <m/>
    <s v="MOREYRA EDUARDO HERNAN"/>
    <s v="DNI"/>
    <n v="35561238"/>
    <n v="20355612385"/>
    <m/>
    <m/>
    <m/>
    <m/>
    <m/>
    <s v="LEY MARCO"/>
    <s v="LM"/>
    <d v="2013-04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41"/>
    <x v="2"/>
    <m/>
    <m/>
    <m/>
    <s v="TECNÓPOLIS"/>
    <m/>
    <s v="MOREYRA MARTIN EZEQUIEL"/>
    <s v="DNI"/>
    <n v="33258936"/>
    <n v="23332589369"/>
    <m/>
    <m/>
    <m/>
    <m/>
    <m/>
    <s v="LEY MARCO"/>
    <s v="LM"/>
    <d v="2012-07-01T00:00:00"/>
    <d v="2016-12-31T00:00:00"/>
    <d v="2016-12-31T00:00:00"/>
    <s v="D1"/>
    <m/>
    <m/>
    <n v="1000"/>
    <m/>
    <n v="1170"/>
    <n v="1310"/>
    <n v="1310"/>
  </r>
  <r>
    <s v="SFMyCP"/>
    <x v="0"/>
    <x v="1"/>
    <x v="1"/>
    <x v="10"/>
    <x v="9"/>
    <m/>
    <s v="Analista"/>
    <m/>
    <s v="CCK"/>
    <m/>
    <s v="MORRONE LUCRECIA IVANA"/>
    <s v="DNI"/>
    <n v="29393244"/>
    <n v="27293932447"/>
    <m/>
    <m/>
    <m/>
    <m/>
    <m/>
    <s v="LEY MARCO"/>
    <s v="LM"/>
    <d v="2015-06-01T00:00:00"/>
    <d v="2016-03-31T00:00:00"/>
    <d v="2016-12-31T00:00:00"/>
    <s v="B1"/>
    <m/>
    <m/>
    <n v="1000"/>
    <m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MOYA  JUAN ABEL"/>
    <s v="DNI"/>
    <n v="32842913"/>
    <s v="20328429137"/>
    <d v="1987-01-22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MOYA  PATRICIA"/>
    <s v="DNI"/>
    <n v="28628292"/>
    <s v="27286282925"/>
    <d v="1981-02-18T00:00:00"/>
    <m/>
    <m/>
    <m/>
    <m/>
    <s v="ASISTENCIA TÉCNICA"/>
    <s v="AT"/>
    <d v="2014-10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30"/>
    <x v="2"/>
    <m/>
    <s v="Director"/>
    <m/>
    <m/>
    <m/>
    <s v="MOZZI GUSTAVO"/>
    <s v="DNI"/>
    <m/>
    <m/>
    <m/>
    <m/>
    <m/>
    <m/>
    <m/>
    <m/>
    <m/>
    <m/>
    <m/>
    <d v="2016-12-31T00:00:00"/>
    <m/>
    <m/>
    <m/>
    <s v="."/>
    <m/>
    <s v=" ---"/>
    <s v=" ---"/>
    <s v=" ---"/>
  </r>
  <r>
    <s v="SFMyCP"/>
    <x v="0"/>
    <x v="1"/>
    <x v="1"/>
    <x v="2"/>
    <x v="2"/>
    <m/>
    <s v="ASISTENTE COORD NORTE"/>
    <s v="ADMINISTRATIVO"/>
    <m/>
    <s v="CCK - Alem 351"/>
    <s v="MUINELLO NORMA"/>
    <s v="DNI"/>
    <n v="6410816"/>
    <n v="27064108161"/>
    <d v="1950-11-16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13"/>
    <x v="2"/>
    <m/>
    <m/>
    <s v="ADMINISTRATIVO"/>
    <m/>
    <s v="CCK - Alem 351"/>
    <s v="MUIÑO JUAN PABLO"/>
    <s v="DNI"/>
    <n v="24569258"/>
    <n v="20245692588"/>
    <d v="1975-06-26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MUJICA JULIAN"/>
    <s v="DNI"/>
    <n v="20294419"/>
    <s v="20202944192"/>
    <d v="1968-11-06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1"/>
    <x v="0"/>
    <x v="10"/>
    <x v="2"/>
    <x v="2"/>
    <m/>
    <m/>
    <m/>
    <m/>
    <m/>
    <s v="EGNER SERGIO DANIEL"/>
    <s v="DNI"/>
    <n v="24170797"/>
    <n v="20241707971"/>
    <d v="1974-09-24T00:00:00"/>
    <m/>
    <m/>
    <m/>
    <m/>
    <s v="ASISTENCIA TÉCNICA"/>
    <s v="AT"/>
    <d v="2016-08-01T00:00:00"/>
    <m/>
    <d v="2016-12-31T00:00:00"/>
    <m/>
    <m/>
    <m/>
    <m/>
    <m/>
    <n v="1170"/>
    <n v="0"/>
    <n v="0"/>
  </r>
  <r>
    <s v="SFMyCP"/>
    <x v="1"/>
    <x v="0"/>
    <x v="10"/>
    <x v="2"/>
    <x v="2"/>
    <m/>
    <m/>
    <m/>
    <m/>
    <m/>
    <s v="DIAZ WLODKOWSKI JANO"/>
    <s v="DNI"/>
    <n v="36791184"/>
    <n v="20367911847"/>
    <d v="1992-01-09T00:00:00"/>
    <m/>
    <m/>
    <m/>
    <m/>
    <s v="ASISTENCIA TÉCNICA"/>
    <s v="AT"/>
    <d v="2016-08-01T00:00:00"/>
    <m/>
    <d v="2016-12-31T00:00:00"/>
    <m/>
    <m/>
    <m/>
    <m/>
    <m/>
    <n v="1170"/>
    <n v="0"/>
    <n v="0"/>
  </r>
  <r>
    <s v="SFMyCP"/>
    <x v="1"/>
    <x v="0"/>
    <x v="10"/>
    <x v="2"/>
    <x v="2"/>
    <m/>
    <m/>
    <m/>
    <m/>
    <m/>
    <s v="FONTANA JUAN CARLOS"/>
    <s v="DNI"/>
    <n v="8557802"/>
    <n v="20085578023"/>
    <d v="1951-03-11T00:00:00"/>
    <m/>
    <m/>
    <m/>
    <m/>
    <s v="ASISTENCIA TÉCNICA"/>
    <s v="AT"/>
    <d v="2016-08-01T00:00:00"/>
    <m/>
    <d v="2016-09-30T00:00:00"/>
    <m/>
    <m/>
    <m/>
    <m/>
    <m/>
    <m/>
    <n v="0"/>
    <n v="0"/>
  </r>
  <r>
    <s v="SFMyCP"/>
    <x v="1"/>
    <x v="0"/>
    <x v="10"/>
    <x v="2"/>
    <x v="2"/>
    <m/>
    <m/>
    <m/>
    <m/>
    <m/>
    <s v="FERRARI GRACIELA CARMEN"/>
    <s v="DNI"/>
    <n v="29497455"/>
    <n v="27294974550"/>
    <d v="1982-06-14T00:00:00"/>
    <m/>
    <m/>
    <m/>
    <m/>
    <s v="ASISTENCIA TÉCNICA"/>
    <s v="AT"/>
    <d v="2016-08-01T00:00:00"/>
    <m/>
    <d v="2016-12-31T00:00:00"/>
    <m/>
    <m/>
    <m/>
    <m/>
    <m/>
    <n v="1170"/>
    <n v="0"/>
    <n v="0"/>
  </r>
  <r>
    <s v="SFMyCP"/>
    <x v="1"/>
    <x v="0"/>
    <x v="10"/>
    <x v="2"/>
    <x v="2"/>
    <m/>
    <m/>
    <m/>
    <m/>
    <m/>
    <s v="SOTO CLAUDIA"/>
    <s v="DNI"/>
    <n v="16345393"/>
    <n v="27163453938"/>
    <d v="1963-01-14T00:00:00"/>
    <m/>
    <m/>
    <m/>
    <m/>
    <s v="ASISTENCIA TÉCNICA"/>
    <s v="AT"/>
    <d v="2016-08-01T00:00:00"/>
    <m/>
    <d v="2016-12-30T00:00:00"/>
    <m/>
    <m/>
    <m/>
    <m/>
    <m/>
    <n v="1170"/>
    <n v="0"/>
    <n v="0"/>
  </r>
  <r>
    <s v="SFMyCP"/>
    <x v="0"/>
    <x v="0"/>
    <x v="8"/>
    <x v="1"/>
    <x v="2"/>
    <m/>
    <s v="DIRECTOR"/>
    <s v="ADMINISTRATIVO"/>
    <m/>
    <s v="CCK - Alem 351"/>
    <s v="MUÑIZ, GONZALO"/>
    <s v="DNI"/>
    <n v="29040298"/>
    <s v="20290402981"/>
    <d v="1981-09-01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PRODUCCIÓN"/>
    <s v="PAÑOL"/>
    <s v="CABILDO 65"/>
    <s v="CABILDO 65"/>
    <s v="MUÑOZ VICTOR"/>
    <s v="DNI"/>
    <n v="30411280"/>
    <s v="20304112809"/>
    <d v="1983-07-16T00:00:00"/>
    <m/>
    <m/>
    <m/>
    <m/>
    <s v="ASISTENCIA TÉCNICA"/>
    <s v="AT"/>
    <d v="2015-02-02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NANYO FEDERICO"/>
    <s v="DNI"/>
    <n v="28644032"/>
    <s v="20286440321"/>
    <d v="1980-12-03T00:00:00"/>
    <m/>
    <m/>
    <m/>
    <m/>
    <s v="ASISTENCIA TÉCNICA"/>
    <s v="AT"/>
    <d v="2013-03-01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TÉCNICA Y TRANSMISIÓN"/>
    <s v="PRODUCTOR de EXTERIORES"/>
    <s v="CABILDO 65"/>
    <s v="CABILDO 65"/>
    <s v="NAVEIRA OSCAR"/>
    <s v="DNI"/>
    <n v="23426521"/>
    <s v="20234265211"/>
    <d v="1973-11-12T00:00:00"/>
    <m/>
    <m/>
    <m/>
    <m/>
    <s v="ASISTENCIA TÉCNICA"/>
    <s v="AT"/>
    <d v="2010-04-20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NEYRA CATALINA"/>
    <s v="DNI"/>
    <n v="34203786"/>
    <n v="27342037866"/>
    <d v="1988-12-26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7"/>
    <x v="2"/>
    <x v="2"/>
    <m/>
    <s v="PRIVADA"/>
    <s v="ADMINISTRATIVO"/>
    <m/>
    <s v="CCK - Alem 351"/>
    <s v="NIELSEN, OSCAR"/>
    <s v="DNI"/>
    <n v="14156490"/>
    <n v="20141564901"/>
    <d v="1960-02-11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ACUA FEDERAL"/>
    <s v="ADMINISTRATIVO"/>
    <s v="CABILDO 65"/>
    <s v="CABILDO 65"/>
    <s v="NIETO JULIETA"/>
    <s v="DNI"/>
    <n v="31425968"/>
    <s v="27314259683"/>
    <d v="1985-03-14T00:00:00"/>
    <m/>
    <m/>
    <m/>
    <m/>
    <s v="ASISTENCIA TÉCNICA"/>
    <s v="AT"/>
    <d v="2012-05-01T00:00:00"/>
    <m/>
    <d v="2016-12-31T00:00:00"/>
    <m/>
    <s v="UNTREF"/>
    <s v="UNSAM- LADA"/>
    <n v="1000"/>
    <n v="1070"/>
    <n v="1170"/>
    <n v="1310"/>
    <n v="1310"/>
  </r>
  <r>
    <s v="SFMyCP"/>
    <x v="0"/>
    <x v="1"/>
    <x v="3"/>
    <x v="4"/>
    <x v="2"/>
    <m/>
    <s v="COCINA"/>
    <s v="SUPERVISIÓN DEL ESTADO DE MODULOS GASTRONOMICOS INTERIOR Y EXTERIOR"/>
    <s v="TECNÓPOLIS"/>
    <s v="TECNOPOLIS"/>
    <s v="NIEVAS  SERGIO ALEJANDRO"/>
    <s v="DNI"/>
    <n v="31725315"/>
    <n v="20317253150"/>
    <d v="1985-07-04T00:00:00"/>
    <m/>
    <m/>
    <m/>
    <m/>
    <s v="ASISTENCIA TÉCNICA"/>
    <s v="AT"/>
    <d v="2015-05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2"/>
    <m/>
    <m/>
    <s v="ADMINISTRATIVO"/>
    <m/>
    <s v="CCK - Alem 351"/>
    <s v="NOBILO GRACIELA"/>
    <s v="DNI"/>
    <n v="14106221"/>
    <s v="27141062218"/>
    <d v="1960-06-03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NOVIK, FLORENCIA"/>
    <s v="DNI"/>
    <n v="30742365"/>
    <n v="27307423656"/>
    <d v="1983-12-30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NOVILLO IGNACIO "/>
    <s v="DNI"/>
    <n v="26844495"/>
    <s v="20268444956"/>
    <d v="1978-10-10T00:00:00"/>
    <m/>
    <m/>
    <m/>
    <m/>
    <s v="ASISTENCIA TÉCNICA"/>
    <s v="AT"/>
    <d v="2011-08-01T00:00:00"/>
    <m/>
    <d v="2016-12-31T00:00:00"/>
    <m/>
    <s v="UNTREF"/>
    <m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NOVOTNY YANINA"/>
    <s v="DNI"/>
    <n v="23764787"/>
    <n v="23237647874"/>
    <d v="1974-12-02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NUÑEZ  CELIA NOEMI"/>
    <s v="DNI"/>
    <n v="17972399"/>
    <s v="27179723994"/>
    <d v="1966-03-11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1"/>
    <x v="7"/>
    <x v="2"/>
    <x v="2"/>
    <m/>
    <s v="Secretaria"/>
    <s v="Secretaria"/>
    <s v="CCK"/>
    <s v="CCK - Alem 351"/>
    <s v="NUÑEZ MARÍA GABRIELA"/>
    <s v="DNI"/>
    <n v="38464250"/>
    <s v="27384642506"/>
    <d v="1994-08-02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1"/>
    <x v="15"/>
    <x v="2"/>
    <m/>
    <s v="Asistente funcional"/>
    <s v="asistente funcional"/>
    <s v="CCK"/>
    <s v="CCK - Alem 351"/>
    <s v="ÑAMANDÚ FACUNDO"/>
    <s v="DNI"/>
    <n v="38176579"/>
    <s v="20381765793"/>
    <d v="1994-06-07T00:00:00"/>
    <m/>
    <m/>
    <m/>
    <m/>
    <s v="ASISTENCIA TÉCNICA"/>
    <s v="AT"/>
    <d v="2014-03-01T00:00:00"/>
    <m/>
    <d v="2016-12-31T00:00:00"/>
    <m/>
    <s v="UNTREF"/>
    <s v="UNLAM- FUSION"/>
    <n v="1000"/>
    <n v="1070"/>
    <n v="1170"/>
    <n v="1310"/>
    <n v="1310"/>
  </r>
  <r>
    <s v="SFMyCP"/>
    <x v="1"/>
    <x v="0"/>
    <x v="5"/>
    <x v="7"/>
    <x v="2"/>
    <m/>
    <s v="Analista"/>
    <m/>
    <m/>
    <m/>
    <s v="OCHOA GERMAN EMILIANO"/>
    <s v="DNI"/>
    <n v="30724860"/>
    <n v="20307249600"/>
    <m/>
    <m/>
    <m/>
    <m/>
    <m/>
    <s v="LEY MARCO"/>
    <s v="LM"/>
    <d v="2013-12-01T00:00:00"/>
    <m/>
    <d v="2016-12-31T00:00:00"/>
    <s v="B1"/>
    <m/>
    <m/>
    <m/>
    <m/>
    <n v="1170"/>
    <n v="0"/>
    <n v="0"/>
  </r>
  <r>
    <s v="SFMyCP"/>
    <x v="0"/>
    <x v="1"/>
    <x v="1"/>
    <x v="5"/>
    <x v="18"/>
    <m/>
    <s v="ASISTENTE"/>
    <s v="ASISTENTE"/>
    <s v="CCK"/>
    <s v="CCK - Alem 351"/>
    <s v="OCHOA, SERGIO MIGUEL"/>
    <s v="DNI"/>
    <n v="16965144"/>
    <s v="20169651443"/>
    <d v="1964-07-26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3"/>
    <x v="2"/>
    <m/>
    <m/>
    <m/>
    <s v="TECNÓPOLIS"/>
    <m/>
    <s v="OLIVA ALDANA GIMENA"/>
    <s v="DNI"/>
    <n v="32911473"/>
    <n v="27329114738"/>
    <m/>
    <m/>
    <m/>
    <m/>
    <m/>
    <s v="LEY MARCO"/>
    <s v="LM"/>
    <d v="2011-07-01T00:00:00"/>
    <d v="2016-12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m/>
    <s v="PRODUCTOR de EXTERIORES"/>
    <s v="CABILDO 65"/>
    <s v="CABILDO 65"/>
    <s v="OLIVA JUAN"/>
    <s v="DNI"/>
    <n v="39372456"/>
    <n v="20393724561"/>
    <d v="1996-01-09T00:00:00"/>
    <m/>
    <m/>
    <m/>
    <m/>
    <s v="ASISTENCIA TÉCNICA"/>
    <s v="AT"/>
    <d v="2015-08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OLIVA MARTIN"/>
    <s v="DNI"/>
    <n v="33486041"/>
    <s v="20334860419"/>
    <d v="1987-12-09T00:00:00"/>
    <m/>
    <m/>
    <m/>
    <m/>
    <s v="ASISTENCIA TÉCNICA"/>
    <s v="AT"/>
    <d v="2013-06-13T00:00:00"/>
    <m/>
    <d v="2016-12-31T00:00:00"/>
    <m/>
    <s v="UNTREF"/>
    <m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OLIVA VELEZ MANUEL"/>
    <s v="DNI"/>
    <n v="30335285"/>
    <n v="20303352857"/>
    <d v="1983-06-12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2"/>
    <x v="2"/>
    <m/>
    <m/>
    <s v="ADMINISTRATIVO"/>
    <m/>
    <s v="CCK - Alem 351"/>
    <s v="OLOCCO, LEANDRO"/>
    <s v="DNI"/>
    <n v="31041736"/>
    <s v="20310417360"/>
    <d v="1984-06-28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ONS MAXIMILIANO"/>
    <s v="DNI"/>
    <n v="32823856"/>
    <s v="20328238560"/>
    <d v="1987-01-28T00:00:00"/>
    <m/>
    <m/>
    <m/>
    <m/>
    <s v="ASISTENCIA TÉCNICA"/>
    <s v="AT"/>
    <d v="2011-07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24"/>
    <x v="2"/>
    <m/>
    <s v="Responsable"/>
    <s v="Administrativo"/>
    <s v="CCK"/>
    <s v="CCK - Alem 351"/>
    <s v="ORLANDO PABLO MARTIN"/>
    <s v="DNI"/>
    <n v="24756319"/>
    <s v="23247563199"/>
    <d v="1976-01-14T00:00:00"/>
    <m/>
    <m/>
    <m/>
    <m/>
    <s v="ASISTENCIA TÉCNICA"/>
    <s v="AT"/>
    <d v="2015-07-12T00:00:00"/>
    <m/>
    <d v="2016-12-31T00:00:00"/>
    <m/>
    <s v="UNTREF"/>
    <s v="UNLAM -TDA"/>
    <n v="1000"/>
    <n v="1070"/>
    <n v="1170"/>
    <n v="1310"/>
    <n v="1310"/>
  </r>
  <r>
    <s v="SFMyCP"/>
    <x v="0"/>
    <x v="0"/>
    <x v="8"/>
    <x v="1"/>
    <x v="2"/>
    <m/>
    <m/>
    <s v="ADMINISTRATIVO"/>
    <m/>
    <s v="CCK - Alem 351"/>
    <s v="ORTEGA VINCENT"/>
    <s v="DNI"/>
    <n v="36931486"/>
    <n v="20369314867"/>
    <d v="1992-08-17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1"/>
    <x v="3"/>
    <x v="2"/>
    <x v="2"/>
    <m/>
    <s v="PRIVADA"/>
    <s v="ADMINISTRATIVO"/>
    <m/>
    <s v="TECNOPOLIS"/>
    <s v="ORTIZ FRANK NICOLAS"/>
    <s v="DNI"/>
    <n v="33672652"/>
    <n v="20336726523"/>
    <d v="1998-03-29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5"/>
    <x v="13"/>
    <m/>
    <m/>
    <s v="Asistente"/>
    <m/>
    <s v="CCK - Alem 351"/>
    <s v="ORTIZ JOANA DENISSE"/>
    <s v="DNI"/>
    <n v="34417823"/>
    <s v="27344178238"/>
    <d v="1989-12-30T00:00:00"/>
    <m/>
    <m/>
    <m/>
    <m/>
    <s v="ASISTENCIA TÉCNICA"/>
    <s v="AT"/>
    <d v="2013-11-01T00:00:00"/>
    <m/>
    <d v="2016-12-31T00:00:00"/>
    <m/>
    <s v="UNTREF"/>
    <m/>
    <n v="1000"/>
    <n v="1070"/>
    <n v="1170"/>
    <n v="1310"/>
    <n v="1310"/>
  </r>
  <r>
    <s v="SFMyCP"/>
    <x v="0"/>
    <x v="1"/>
    <x v="3"/>
    <x v="10"/>
    <x v="2"/>
    <m/>
    <m/>
    <m/>
    <s v="TECNÓPOLIS"/>
    <m/>
    <s v="ORTIZ PEREZ PLATA PATRICIO LISANDRO"/>
    <s v="DNI"/>
    <n v="33507251"/>
    <n v="20335072511"/>
    <m/>
    <m/>
    <m/>
    <m/>
    <m/>
    <s v="LEY MARCO"/>
    <s v="LM"/>
    <d v="2010-03-01T00:00:00"/>
    <d v="2016-12-31T00:00:00"/>
    <d v="2016-12-31T00:00:00"/>
    <s v="C1"/>
    <m/>
    <m/>
    <n v="1000"/>
    <m/>
    <n v="1170"/>
    <n v="1310"/>
    <n v="1310"/>
  </r>
  <r>
    <s v="SFMyCP"/>
    <x v="0"/>
    <x v="1"/>
    <x v="3"/>
    <x v="4"/>
    <x v="2"/>
    <m/>
    <s v="PRIVADA"/>
    <s v="Coordinador"/>
    <m/>
    <s v="TECNOPOLIS"/>
    <s v="ORZALI GRETA"/>
    <s v="DNI"/>
    <n v="27641729"/>
    <n v="27276417296"/>
    <d v="1979-03-01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3"/>
    <x v="22"/>
    <x v="2"/>
    <m/>
    <m/>
    <m/>
    <s v="TECNÓPOLIS"/>
    <m/>
    <s v="OVADIA MARCELO NURY"/>
    <s v="DNI"/>
    <n v="11078343"/>
    <n v="20110783435"/>
    <m/>
    <m/>
    <m/>
    <m/>
    <m/>
    <s v="LEY MARCO"/>
    <s v="LM"/>
    <d v="2012-12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OVEJERO JOSE ALEJANDRO"/>
    <s v="DNI"/>
    <n v="22232165"/>
    <n v="20222321655"/>
    <d v="1971-07-21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OYAHARÇABAL JUAN"/>
    <s v="DNI"/>
    <n v="30979332"/>
    <s v="20309793324"/>
    <d v="1984-05-10T00:00:00"/>
    <m/>
    <m/>
    <m/>
    <m/>
    <s v="ASISTENCIA TÉCNICA"/>
    <s v="AT"/>
    <d v="2012-08-01T00:00:00"/>
    <m/>
    <d v="2016-12-31T00:00:00"/>
    <m/>
    <s v="UNTREF"/>
    <m/>
    <n v="1000"/>
    <n v="1000"/>
    <n v="1170"/>
    <n v="1310"/>
    <n v="1310"/>
  </r>
  <r>
    <s v="SFMyCP"/>
    <x v="0"/>
    <x v="1"/>
    <x v="3"/>
    <x v="14"/>
    <x v="2"/>
    <m/>
    <m/>
    <s v="COORDINADOR DE TALLER"/>
    <s v="TECNÓPOLIS"/>
    <s v="TECNOPOLIS"/>
    <s v="OZORIO JUAN BAUTISTA ALBERTO"/>
    <s v="DNI"/>
    <n v="20477882"/>
    <s v="20204778826"/>
    <d v="1968-10-15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4"/>
    <x v="2"/>
    <m/>
    <m/>
    <s v="MANTENIMIENTO GRAL DE GRÁFICA/CONFECCIÓN DE ESTRUCTURAS/COLOCACIÓN VINILO/REPARACIÓN DE ESTRUCTURAS"/>
    <s v="TECNÓPOLIS"/>
    <s v="TECNOPOLIS"/>
    <s v="PACHECO  VICTOR HUGO"/>
    <s v="DNI"/>
    <n v="29018545"/>
    <s v="23290185459"/>
    <d v="1981-07-04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13"/>
    <m/>
    <s v="control acceso"/>
    <s v="Auxiliar"/>
    <s v="CCK"/>
    <s v="CCK - Alem 351"/>
    <s v="PACHECO FRANCO"/>
    <s v="DNI"/>
    <n v="37233955"/>
    <s v="20372339552"/>
    <d v="1993-06-07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2"/>
    <x v="0"/>
    <x v="4"/>
    <x v="2"/>
    <x v="2"/>
    <m/>
    <m/>
    <s v="ADMINISTRATIVO"/>
    <m/>
    <s v="CCK - Alem 351"/>
    <s v="PAEZ CRISTIAN"/>
    <s v="DNI"/>
    <n v="23118409"/>
    <m/>
    <d v="1972-12-10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0"/>
    <x v="4"/>
    <x v="43"/>
    <x v="2"/>
    <m/>
    <s v="PRIVADA"/>
    <s v="ADMINISTRATIVO"/>
    <m/>
    <s v="CCK - Alem 351"/>
    <s v="PAGES VERONICA"/>
    <s v="DNI"/>
    <n v="20117208"/>
    <n v="27201172085"/>
    <d v="1968-03-02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9"/>
    <x v="2"/>
    <m/>
    <s v="ADMINISTRATIVO"/>
    <s v="COORDINADORA PERSONAL TEMPORARIO"/>
    <s v="TECNÓPOLIS"/>
    <s v="TECNOPOLIS"/>
    <s v="PAGNI MARTA INES"/>
    <s v="DNI"/>
    <n v="6237441"/>
    <s v="27062374417"/>
    <d v="1949-12-26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2"/>
    <m/>
    <s v="Analista"/>
    <m/>
    <s v="CCK"/>
    <m/>
    <s v="PALACIOS DANIELA"/>
    <s v="DNI"/>
    <n v="25065302"/>
    <n v="27250653021"/>
    <m/>
    <m/>
    <m/>
    <m/>
    <m/>
    <s v="LEY MARCO"/>
    <s v="LM"/>
    <d v="2011-02-01T00:00:00"/>
    <d v="2016-12-31T00:00:00"/>
    <d v="2016-12-31T00:00:00"/>
    <s v="B3"/>
    <m/>
    <m/>
    <n v="1000"/>
    <m/>
    <n v="1170"/>
    <n v="1310"/>
    <n v="1310"/>
  </r>
  <r>
    <s v="SFMyCP"/>
    <x v="0"/>
    <x v="0"/>
    <x v="8"/>
    <x v="1"/>
    <x v="2"/>
    <m/>
    <m/>
    <s v="ADMINISTRATIVO"/>
    <m/>
    <s v="CCK - Alem 351"/>
    <s v="PALACIOS LUCIA RUIZ"/>
    <s v="DNI"/>
    <n v="29986135"/>
    <s v="27299861355"/>
    <d v="1982-12-30T00:00:00"/>
    <m/>
    <m/>
    <m/>
    <m/>
    <s v="ASISTENCIA TÉCNICA"/>
    <s v="AT"/>
    <d v="2016-01-01T00:00:00"/>
    <m/>
    <d v="2016-12-31T00:00:00"/>
    <m/>
    <s v="UNTREF"/>
    <m/>
    <n v="1000"/>
    <n v="1070"/>
    <n v="1170"/>
    <n v="1310"/>
    <n v="1310"/>
  </r>
  <r>
    <s v="SFMyCP"/>
    <x v="1"/>
    <x v="0"/>
    <x v="5"/>
    <x v="16"/>
    <x v="14"/>
    <m/>
    <s v="DOCTOR"/>
    <s v="ADMINISTRATIVO"/>
    <m/>
    <s v="CCK - Alem 351"/>
    <s v="PAPPOLLA MARIA CELESTE "/>
    <s v="DNI"/>
    <n v="33435429"/>
    <n v="27334354291"/>
    <d v="1988-02-24T00:00:00"/>
    <m/>
    <m/>
    <m/>
    <m/>
    <s v="ASISTENCIA TÉCNICA"/>
    <s v="AT"/>
    <d v="2016-07-14T00:00:00"/>
    <m/>
    <d v="2016-12-31T00:00:00"/>
    <m/>
    <s v="UNTREF"/>
    <m/>
    <m/>
    <m/>
    <n v="1170"/>
    <n v="0"/>
    <n v="0"/>
  </r>
  <r>
    <s v="SFMyCP"/>
    <x v="0"/>
    <x v="0"/>
    <x v="0"/>
    <x v="8"/>
    <x v="6"/>
    <m/>
    <s v="BACUA"/>
    <s v="ADMINISTRATIVO"/>
    <s v="CABILDO 65"/>
    <s v="CABILDO 65"/>
    <s v="PARED NATALIA"/>
    <s v="DNI"/>
    <n v="32262741"/>
    <s v="27322627411"/>
    <d v="1986-04-20T00:00:00"/>
    <m/>
    <m/>
    <m/>
    <m/>
    <s v="ASISTENCIA TÉCNICA"/>
    <s v="AT"/>
    <d v="2012-12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ANORAMA ARGENTINO"/>
    <s v="ADMINISTRATIVO"/>
    <s v="CABILDO 65"/>
    <s v="CABILDO 65"/>
    <s v="PAREDES FRANCISCO"/>
    <s v="DNI"/>
    <n v="20552687"/>
    <s v="20205526871"/>
    <d v="1968-11-01T00:00:00"/>
    <m/>
    <m/>
    <m/>
    <m/>
    <s v="ASISTENCIA TÉCNICA"/>
    <s v="AT"/>
    <d v="2012-04-23T00:00:00"/>
    <m/>
    <d v="2016-12-31T00:00:00"/>
    <m/>
    <s v="UNTREF"/>
    <s v="UNSAM- LADA"/>
    <n v="1000"/>
    <n v="1000"/>
    <n v="1170"/>
    <n v="1310"/>
    <n v="1310"/>
  </r>
  <r>
    <s v="SFMyCP"/>
    <x v="0"/>
    <x v="1"/>
    <x v="7"/>
    <x v="2"/>
    <x v="2"/>
    <m/>
    <s v="ASISTENTE"/>
    <m/>
    <s v="CCK"/>
    <m/>
    <s v="PARMA TAMARA"/>
    <s v="DNI"/>
    <n v="30800939"/>
    <n v="23308009394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PARODI ADRIANA NOEMI"/>
    <s v="DNI"/>
    <n v="29871046"/>
    <s v="27298710469"/>
    <d v="1982-06-02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ROMOCIONES"/>
    <s v="ADMINISTRATIVO"/>
    <s v="CABILDO 65"/>
    <s v="CABILDO 65"/>
    <s v="PASCUAL FLORENCIA"/>
    <s v="DNI"/>
    <n v="25554128"/>
    <s v="27255541280"/>
    <d v="1976-10-10T00:00:00"/>
    <m/>
    <m/>
    <m/>
    <m/>
    <s v="ASISTENCIA TÉCNICA"/>
    <s v="AT"/>
    <d v="2012-05-03T00:00:00"/>
    <m/>
    <d v="2016-12-31T00:00:00"/>
    <m/>
    <s v="UNTREF"/>
    <s v="UNSAM- LADA"/>
    <n v="1000"/>
    <n v="1000"/>
    <n v="1170"/>
    <n v="1310"/>
    <n v="1310"/>
  </r>
  <r>
    <s v="SFMyCP"/>
    <x v="0"/>
    <x v="0"/>
    <x v="4"/>
    <x v="2"/>
    <x v="2"/>
    <m/>
    <s v="PRIVADA"/>
    <s v="ADMINISTRATIVO"/>
    <m/>
    <s v="CCK - Alem 351"/>
    <s v="PASSADORE MIRTHA EDITH"/>
    <s v="DNI"/>
    <n v="6717338"/>
    <n v="23067173384"/>
    <d v="1951-04-24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1"/>
    <x v="0"/>
    <x v="5"/>
    <x v="7"/>
    <x v="2"/>
    <m/>
    <m/>
    <s v="ADMINISTRATIVO"/>
    <m/>
    <s v="CCK - Alem 351"/>
    <s v="PASSAGLIA VICTORIA"/>
    <s v="DNI"/>
    <n v="34103577"/>
    <s v="27341035770"/>
    <d v="1989-01-29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14"/>
    <x v="2"/>
    <m/>
    <m/>
    <m/>
    <s v="TECNÓPOLIS"/>
    <m/>
    <s v="PASSERO NICOLAS MANUEL"/>
    <s v="DNI"/>
    <n v="35360516"/>
    <n v="20353605160"/>
    <m/>
    <m/>
    <m/>
    <m/>
    <m/>
    <s v="LEY MARCO"/>
    <s v="LM"/>
    <d v="2014-07-01T00:00:00"/>
    <d v="2016-03-31T00:00:00"/>
    <d v="2016-12-31T00:00:00"/>
    <s v="D1"/>
    <m/>
    <m/>
    <n v="1000"/>
    <m/>
    <n v="1170"/>
    <n v="1310"/>
    <n v="1310"/>
  </r>
  <r>
    <s v="SFMyCP"/>
    <x v="0"/>
    <x v="1"/>
    <x v="3"/>
    <x v="14"/>
    <x v="2"/>
    <m/>
    <m/>
    <m/>
    <s v="TECNÓPOLIS"/>
    <m/>
    <s v="PATRONE MIGUEL SANTOS"/>
    <s v="DNI"/>
    <n v="36426532"/>
    <n v="20364265329"/>
    <m/>
    <m/>
    <m/>
    <m/>
    <m/>
    <s v="LEY MARCO"/>
    <s v="LM"/>
    <d v="2012-08-01T00:00:00"/>
    <d v="2016-12-31T00:00:00"/>
    <d v="2016-12-31T00:00:00"/>
    <s v="D0"/>
    <m/>
    <m/>
    <n v="1000"/>
    <m/>
    <n v="1170"/>
    <n v="1310"/>
    <n v="1310"/>
  </r>
  <r>
    <s v="SFMyCP"/>
    <x v="0"/>
    <x v="1"/>
    <x v="3"/>
    <x v="4"/>
    <x v="2"/>
    <m/>
    <s v="COCINA"/>
    <s v="PRODUCCION GRAL DE RECETAS, MANIPULACIÓN DE INGREDIENTES, DESPCAHO DE ALIMENTOS"/>
    <s v="TECNÓPOLIS"/>
    <s v="TECNOPOLIS"/>
    <s v="PAULINO  ALEX DARIO"/>
    <s v="DNI"/>
    <n v="39562840"/>
    <s v="20395628403"/>
    <d v="1996-03-22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44"/>
    <x v="2"/>
    <m/>
    <m/>
    <m/>
    <s v="TECNÓPOLIS"/>
    <m/>
    <s v="PAVON ERNESTO FABIAN"/>
    <s v="DNI"/>
    <n v="16965096"/>
    <n v="23169650969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3"/>
    <x v="2"/>
    <m/>
    <m/>
    <s v="ENCARGADO DE LIMPIEZA"/>
    <s v="TECNÓPOLIS"/>
    <s v="TECNOPOLIS"/>
    <s v="PAVONNE LUCIA GABRIELA"/>
    <s v="DNI"/>
    <n v="18221165"/>
    <s v="27182211651"/>
    <d v="1966-11-25T00:00:00"/>
    <m/>
    <m/>
    <m/>
    <m/>
    <s v="ASISTENCIA TÉCNICA"/>
    <s v="AT"/>
    <d v="2012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s v="TRASLADOS/CARGA Y DESCARGA"/>
    <s v="TECNÓPOLIS"/>
    <s v="TECNOPOLIS"/>
    <s v="PAZ  JUAN FRANCISCO"/>
    <s v="DNI"/>
    <n v="32525350"/>
    <s v="23325253509"/>
    <d v="1986-09-24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PECORA NATALY GISELLE"/>
    <s v="DNI"/>
    <n v="37143089"/>
    <n v="27371443895"/>
    <d v="1992-10-16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2"/>
    <x v="0"/>
    <x v="4"/>
    <x v="2"/>
    <x v="2"/>
    <m/>
    <s v="PRIVADA"/>
    <s v="ADMINISTRATIVO"/>
    <m/>
    <s v="CCK - Alem 351"/>
    <s v="PEDROSA, FERNANDO HECTOR"/>
    <s v="DNI"/>
    <n v="20405368"/>
    <s v="20204053686"/>
    <d v="1968-07-2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0"/>
    <x v="2"/>
    <m/>
    <m/>
    <m/>
    <s v="TECNÓPOLIS"/>
    <m/>
    <s v="PELLEGATA PAULO NICOLAS"/>
    <s v="DNI"/>
    <n v="23877871"/>
    <n v="23238778719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PELLEGRINO ALISON"/>
    <s v="DNI"/>
    <n v="38357112"/>
    <s v="27383571125"/>
    <d v="1994-06-05T00:00:00"/>
    <m/>
    <m/>
    <m/>
    <m/>
    <s v="ASISTENCIA TÉCNICA"/>
    <s v="AT"/>
    <d v="2015-02-02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5"/>
    <x v="20"/>
    <m/>
    <s v="Asistente"/>
    <m/>
    <s v="CCK"/>
    <m/>
    <s v="PELLEGROTTI ANTONELA"/>
    <s v="DNI"/>
    <n v="34294750"/>
    <n v="27342947501"/>
    <m/>
    <m/>
    <m/>
    <m/>
    <m/>
    <s v="LEY MARCO"/>
    <s v="LM"/>
    <d v="2011-06-18T00:00:00"/>
    <d v="2016-12-31T00:00:00"/>
    <d v="2016-12-31T00:00:00"/>
    <s v="C0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PENNELA ORLANDO OSVALDO"/>
    <s v="DNI"/>
    <n v="4522026"/>
    <n v="20045220266"/>
    <d v="1945-02-20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3"/>
    <x v="2"/>
    <m/>
    <m/>
    <m/>
    <s v="TECNÓPOLIS"/>
    <m/>
    <s v="PENNINO LILIANA BEATRIZ"/>
    <s v="DNI"/>
    <n v="13780199"/>
    <n v="27137801995"/>
    <m/>
    <m/>
    <m/>
    <m/>
    <m/>
    <s v="LEY MARCO"/>
    <s v="LM"/>
    <d v="2011-12-01T00:00:00"/>
    <d v="2016-12-31T00:00:00"/>
    <d v="2016-12-31T00:00:00"/>
    <s v="D0"/>
    <m/>
    <m/>
    <n v="1000"/>
    <m/>
    <n v="1170"/>
    <n v="1310"/>
    <n v="1310"/>
  </r>
  <r>
    <s v="SFMyCP"/>
    <x v="0"/>
    <x v="1"/>
    <x v="3"/>
    <x v="10"/>
    <x v="2"/>
    <m/>
    <m/>
    <m/>
    <s v="TECNÓPOLIS"/>
    <m/>
    <s v="PEÑA RAMIRO MARTIN"/>
    <s v="DNI"/>
    <n v="23222525"/>
    <n v="20232225255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0"/>
    <x v="4"/>
    <x v="2"/>
    <x v="2"/>
    <m/>
    <s v="PRIVADA"/>
    <s v="ADMINISTRATIVO"/>
    <m/>
    <s v="CCK - Alem 351"/>
    <s v="PEÑA WALTER"/>
    <s v="DNI"/>
    <n v="20964558"/>
    <n v="20209645581"/>
    <d v="1969-06-03T00:00:00"/>
    <m/>
    <m/>
    <m/>
    <m/>
    <s v="ASISTENCIA TÉCNICA"/>
    <s v="AT"/>
    <m/>
    <m/>
    <d v="2016-12-31T00:00:00"/>
    <m/>
    <s v="UNTREF"/>
    <m/>
    <m/>
    <m/>
    <n v="1170"/>
    <n v="0"/>
    <n v="0"/>
  </r>
  <r>
    <s v="SFMyCP"/>
    <x v="0"/>
    <x v="1"/>
    <x v="1"/>
    <x v="13"/>
    <x v="2"/>
    <m/>
    <m/>
    <s v="ADMINISTRATIVO"/>
    <m/>
    <s v="CCK - Alem 351"/>
    <s v="PERAZZO  PATRICIO"/>
    <s v="DNI"/>
    <n v="18780914"/>
    <s v="20187809143"/>
    <d v="1966-01-22T00:00:00"/>
    <m/>
    <m/>
    <m/>
    <m/>
    <s v="ASISTENCIA TÉCNICA"/>
    <s v="AT"/>
    <d v="2011-03-03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4"/>
    <x v="2"/>
    <m/>
    <m/>
    <s v="CONTROL DE STOCK Y EVOLUCIÓN DE HERRAMIENTAS"/>
    <s v="TECNÓPOLIS"/>
    <s v="TECNOPOLIS"/>
    <s v="PEREZ  VICTOR RUBEN"/>
    <s v="DNI"/>
    <n v="23496931"/>
    <s v="20234969316"/>
    <d v="1974-03-08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PEREZ ALBERTO LUIS"/>
    <s v="DNI"/>
    <n v="6082291"/>
    <m/>
    <d v="1949-03-09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0"/>
    <x v="0"/>
    <x v="8"/>
    <x v="6"/>
    <m/>
    <s v="PRENSA Y COMUNICACIÓN"/>
    <m/>
    <s v="CABILDO 65"/>
    <m/>
    <s v="PEREZ CABRIADA MARIANO PABLO"/>
    <s v="DNI"/>
    <n v="25639689"/>
    <n v="20256396891"/>
    <m/>
    <m/>
    <m/>
    <m/>
    <m/>
    <s v="LEY MARCO"/>
    <s v="LM"/>
    <d v="2015-03-01T00:00:00"/>
    <d v="2016-03-31T00:00:00"/>
    <d v="2016-12-31T00:00:00"/>
    <s v="B0"/>
    <m/>
    <m/>
    <n v="1000"/>
    <m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PEREZ CARLOS WALTER"/>
    <s v="DNI"/>
    <n v="26949673"/>
    <s v="20269496739"/>
    <d v="1979-02-05T00:00:00"/>
    <m/>
    <m/>
    <m/>
    <m/>
    <s v="ASISTENCIA TÉCNICA"/>
    <s v="AT"/>
    <d v="2014-06-01T00:00:00"/>
    <m/>
    <d v="2016-12-31T00:00:00"/>
    <m/>
    <s v="UNTREF"/>
    <s v="UNTREF"/>
    <n v="1000"/>
    <n v="1070"/>
    <n v="1170"/>
    <n v="1310"/>
    <n v="1310"/>
  </r>
  <r>
    <s v="SFMyCP"/>
    <x v="0"/>
    <x v="0"/>
    <x v="4"/>
    <x v="2"/>
    <x v="2"/>
    <m/>
    <s v="PRIVADA"/>
    <s v="ADMINISTRATIVO"/>
    <m/>
    <s v="CCK - Alem 351"/>
    <s v="PEREZ FELIX ALAN"/>
    <s v="DNI"/>
    <n v="31614943"/>
    <n v="20316149430"/>
    <d v="1985-05-24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1"/>
    <x v="15"/>
    <x v="2"/>
    <m/>
    <s v="Analista"/>
    <m/>
    <s v="CCK"/>
    <m/>
    <s v="PEREZ FERNANDEZ ALEJANDRO"/>
    <s v="DNI"/>
    <n v="25730787"/>
    <n v="20257307876"/>
    <m/>
    <m/>
    <m/>
    <m/>
    <m/>
    <s v="LEY MARCO"/>
    <s v="LM"/>
    <d v="2007-11-05T00:00:00"/>
    <d v="2016-12-31T00:00:00"/>
    <d v="2016-12-31T00:00:00"/>
    <s v="B2"/>
    <m/>
    <m/>
    <n v="1000"/>
    <m/>
    <n v="1170"/>
    <n v="1310"/>
    <n v="1310"/>
  </r>
  <r>
    <s v="SFMyCP"/>
    <x v="0"/>
    <x v="0"/>
    <x v="0"/>
    <x v="8"/>
    <x v="6"/>
    <m/>
    <s v="PRENSA Y COMUNICACIÓN"/>
    <m/>
    <s v="CABILDO 65"/>
    <m/>
    <s v="PEREZ LUCIANA"/>
    <s v="LE"/>
    <n v="26183522"/>
    <n v="27261835229"/>
    <m/>
    <m/>
    <m/>
    <m/>
    <m/>
    <s v="LEY MARCO"/>
    <s v="LM"/>
    <d v="2013-12-01T00:00:00"/>
    <d v="2016-03-31T00:00:00"/>
    <d v="2016-12-31T00:00:00"/>
    <s v="B1"/>
    <m/>
    <m/>
    <n v="1000"/>
    <m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PEREZ PABLO"/>
    <s v="DNI"/>
    <n v="18303910"/>
    <s v="20183039106"/>
    <d v="1967-08-09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6"/>
    <x v="11"/>
    <x v="2"/>
    <m/>
    <m/>
    <m/>
    <m/>
    <m/>
    <s v="PERLES CLAUDIO"/>
    <s v="DNI"/>
    <n v="17547110"/>
    <n v="20175471104"/>
    <m/>
    <m/>
    <m/>
    <m/>
    <m/>
    <m/>
    <s v="AT"/>
    <d v="2016-07-01T00:00:00"/>
    <m/>
    <d v="2016-09-30T00:00:00"/>
    <m/>
    <s v="UNTREF"/>
    <m/>
    <m/>
    <m/>
    <n v="1170"/>
    <n v="0"/>
    <n v="1310"/>
  </r>
  <r>
    <s v="SFMyCP"/>
    <x v="0"/>
    <x v="0"/>
    <x v="0"/>
    <x v="8"/>
    <x v="4"/>
    <m/>
    <s v="PRODUCCIÓN"/>
    <s v="PRODUCTOR de EXTERIORES"/>
    <s v="CABILDO 65"/>
    <s v="CABILDO 65"/>
    <s v="PETTITI PABLO "/>
    <s v="DNI"/>
    <n v="24462764"/>
    <n v="20244627642"/>
    <d v="1975-04-06T00:00:00"/>
    <m/>
    <m/>
    <m/>
    <m/>
    <s v="ASISTENCIA TÉCNICA"/>
    <s v="AT"/>
    <d v="2012-03-01T00:00:00"/>
    <m/>
    <d v="2016-12-31T00:00:00"/>
    <m/>
    <s v="UNTREF"/>
    <m/>
    <n v="1000"/>
    <n v="1000"/>
    <n v="1170"/>
    <n v="1310"/>
    <n v="1310"/>
  </r>
  <r>
    <s v="SFMyCP"/>
    <x v="0"/>
    <x v="1"/>
    <x v="7"/>
    <x v="2"/>
    <x v="2"/>
    <m/>
    <s v="PRIVADA"/>
    <s v="ADMINISTRATIVO"/>
    <m/>
    <s v="CCK - Alem 351"/>
    <s v="PEZZANO FERNANDEZ SANTIAGO"/>
    <s v="DNI"/>
    <n v="33174786"/>
    <n v="20331747867"/>
    <d v="1987-07-15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1"/>
    <x v="1"/>
    <x v="5"/>
    <x v="7"/>
    <m/>
    <s v="Asistente"/>
    <s v="ADMINISTRATIVO"/>
    <s v="CCK"/>
    <s v="CCK - Alem 351"/>
    <s v="PICCOLOMINI SEBASTIAN"/>
    <s v="DNI"/>
    <n v="31851944"/>
    <s v="20318519448"/>
    <d v="1979-07-31T00:00:00"/>
    <m/>
    <m/>
    <m/>
    <m/>
    <s v="ASISTENCIA TÉCNICA"/>
    <s v="AT"/>
    <d v="2015-06-02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PICO ESTRADA MARGARITA"/>
    <s v="DNI"/>
    <n v="38614565"/>
    <m/>
    <d v="1994-11-15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0"/>
    <x v="0"/>
    <x v="8"/>
    <x v="6"/>
    <m/>
    <s v="PANORAMA ARGENTINO"/>
    <s v="PRODUCTOR de EXTERIORES"/>
    <s v="CABILDO 65"/>
    <s v="CABILDO 65"/>
    <s v="PICO GUILLERMINA"/>
    <s v="DNI"/>
    <n v="31023100"/>
    <s v="27310231008"/>
    <d v="1985-09-08T00:00:00"/>
    <m/>
    <m/>
    <m/>
    <m/>
    <s v="ASISTENCIA TÉCNICA"/>
    <s v="AT"/>
    <d v="2010-10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PIETRACCONNE MARIANELLA"/>
    <s v="DNI"/>
    <n v="31953814"/>
    <s v="27319538149"/>
    <d v="1985-11-29T00:00:00"/>
    <m/>
    <m/>
    <m/>
    <m/>
    <s v="ASISTENCIA TÉCNICA"/>
    <s v="AT"/>
    <d v="2014-05-05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PINASCO LUIS"/>
    <s v="DNI"/>
    <n v="92566818"/>
    <s v="20925668185"/>
    <d v="1960-03-24T00:00:00"/>
    <m/>
    <m/>
    <m/>
    <m/>
    <s v="ASISTENCIA TÉCNICA"/>
    <s v="AT"/>
    <d v="2013-04-13T00:00:00"/>
    <m/>
    <d v="2016-12-31T00:00:00"/>
    <m/>
    <s v="UNTREF"/>
    <s v="UNSAM- LADA"/>
    <n v="1000"/>
    <n v="1000"/>
    <n v="1170"/>
    <n v="1310"/>
    <n v="1310"/>
  </r>
  <r>
    <s v="SFMyCP"/>
    <x v="0"/>
    <x v="0"/>
    <x v="9"/>
    <x v="2"/>
    <x v="2"/>
    <m/>
    <s v="PRIVADA"/>
    <s v="ADMINISTRATIVO"/>
    <m/>
    <s v="CCK - Alem 351"/>
    <s v="PINEDA RUGELES FEILPE"/>
    <s v="DNI"/>
    <n v="93959605"/>
    <s v="20939596055"/>
    <d v="1983-04-13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PINELLA JUAN"/>
    <s v="DNI"/>
    <n v="31039670"/>
    <s v="20310396703"/>
    <d v="1984-10-10T00:00:00"/>
    <m/>
    <m/>
    <m/>
    <m/>
    <s v="ASISTENCIA TÉCNICA"/>
    <s v="AT"/>
    <d v="2013-05-01T00:00:00"/>
    <m/>
    <d v="2016-12-31T00:00:00"/>
    <m/>
    <s v="UNTREF"/>
    <m/>
    <n v="1000"/>
    <n v="1000"/>
    <n v="1170"/>
    <n v="1310"/>
    <n v="1310"/>
  </r>
  <r>
    <s v="SFMyCP"/>
    <x v="0"/>
    <x v="1"/>
    <x v="1"/>
    <x v="15"/>
    <x v="10"/>
    <m/>
    <m/>
    <s v="VISITAS GUIADAS"/>
    <m/>
    <s v="CCK - Alem 351"/>
    <s v="PIORNO GASTÓN"/>
    <s v="DNI"/>
    <n v="35402655"/>
    <n v="20354026555"/>
    <d v="1990-07-27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1"/>
    <x v="0"/>
    <x v="2"/>
    <x v="2"/>
    <x v="2"/>
    <m/>
    <s v="PRIVADA"/>
    <s v="ADMINISTRATIVO"/>
    <m/>
    <s v="CCK - Alem 351"/>
    <s v="PIQUET, MARINA LORENA"/>
    <s v="DNI"/>
    <n v="23608875"/>
    <s v="27236088753"/>
    <d v="1974-03-0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0"/>
    <x v="2"/>
    <m/>
    <m/>
    <m/>
    <s v="TECNÓPOLIS"/>
    <m/>
    <s v="PIRRI FRANCISCO VICENTE"/>
    <s v="DNI"/>
    <n v="92521410"/>
    <n v="20925214109"/>
    <m/>
    <m/>
    <m/>
    <m/>
    <m/>
    <s v="LEY MARCO"/>
    <s v="LM"/>
    <d v="2012-10-01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ACUA MAYOR"/>
    <m/>
    <s v="CABILDO 65"/>
    <m/>
    <s v="PISTOIA AGUSTINA INES"/>
    <s v="DNI"/>
    <n v="30885489"/>
    <n v="27308854898"/>
    <m/>
    <m/>
    <m/>
    <m/>
    <m/>
    <s v="LEY MARCO"/>
    <s v="LM"/>
    <d v="2012-12-01T00:00:00"/>
    <d v="2016-12-31T00:00:00"/>
    <d v="2016-12-31T00:00:00"/>
    <s v="B1"/>
    <m/>
    <m/>
    <n v="1000"/>
    <m/>
    <n v="1170"/>
    <n v="1310"/>
    <n v="1310"/>
  </r>
  <r>
    <s v="SFMyCP"/>
    <x v="0"/>
    <x v="0"/>
    <x v="0"/>
    <x v="8"/>
    <x v="6"/>
    <m/>
    <s v="PROGRAMA POLOS AUDIOVISUALES TECNOLÓGICOS"/>
    <m/>
    <s v="CABILDO 65"/>
    <m/>
    <s v="PIWOWARSKI GABRIELA SUSANA"/>
    <s v="DNI"/>
    <n v="16977688"/>
    <n v="27169776887"/>
    <m/>
    <m/>
    <m/>
    <m/>
    <m/>
    <s v="LEY MARCO"/>
    <s v="LM"/>
    <d v="2014-10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19"/>
    <x v="2"/>
    <m/>
    <m/>
    <m/>
    <s v="TECNÓPOLIS"/>
    <m/>
    <s v="PIZZI JUAN JOSE"/>
    <s v="DNI"/>
    <n v="17083297"/>
    <n v="20170832974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9"/>
    <x v="2"/>
    <m/>
    <s v="ADMINISTRATIVO"/>
    <m/>
    <s v="TECNÓPOLIS"/>
    <m/>
    <s v="PLAUL MAXIMILIANO ADRIAN"/>
    <s v="DNI"/>
    <n v="37162434"/>
    <n v="20371624342"/>
    <m/>
    <m/>
    <m/>
    <m/>
    <m/>
    <s v="LEY MARCO"/>
    <s v="LM"/>
    <d v="2012-11-30T00:00:00"/>
    <d v="2016-12-31T00:00:00"/>
    <d v="2016-12-31T00:00:00"/>
    <s v="D0"/>
    <m/>
    <m/>
    <n v="1000"/>
    <m/>
    <n v="1170"/>
    <n v="1310"/>
    <n v="1310"/>
  </r>
  <r>
    <s v="SFMyCP"/>
    <x v="0"/>
    <x v="1"/>
    <x v="1"/>
    <x v="1"/>
    <x v="1"/>
    <m/>
    <m/>
    <s v="ADMINISTRATIVO"/>
    <s v="CCK"/>
    <s v="CCK - Alem 351"/>
    <s v="POLLINI, MARGARITA"/>
    <s v="DNI"/>
    <n v="25121660"/>
    <s v="27251216601"/>
    <d v="1976-01-13T00:00:00"/>
    <m/>
    <m/>
    <m/>
    <m/>
    <s v="ASISTENCIA TÉCNICA"/>
    <s v="AT"/>
    <d v="2016-02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9"/>
    <x v="2"/>
    <m/>
    <m/>
    <m/>
    <s v="TECNÓPOLIS"/>
    <m/>
    <s v="POMMARES PABLO IGNACIO"/>
    <s v="DNI"/>
    <n v="32456433"/>
    <n v="20324564331"/>
    <m/>
    <m/>
    <m/>
    <m/>
    <m/>
    <s v="LEY MARCO"/>
    <s v="LM"/>
    <d v="2012-07-01T00:00:00"/>
    <d v="2016-12-31T00:00:00"/>
    <d v="2016-12-31T00:00:00"/>
    <s v="D0"/>
    <m/>
    <m/>
    <n v="1000"/>
    <m/>
    <n v="1170"/>
    <n v="1310"/>
    <n v="1310"/>
  </r>
  <r>
    <s v="SFMyCP"/>
    <x v="0"/>
    <x v="1"/>
    <x v="1"/>
    <x v="15"/>
    <x v="9"/>
    <m/>
    <m/>
    <s v="asistente funcional"/>
    <m/>
    <s v="CCK - Alem 351"/>
    <s v="PONCE MARIA AGUSTINA"/>
    <s v="DNI"/>
    <n v="29718936"/>
    <n v="27297189366"/>
    <d v="1982-10-31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14"/>
    <x v="2"/>
    <m/>
    <m/>
    <s v="CARPINTERO"/>
    <s v="TECNÓPOLIS"/>
    <s v="TECNOPOLIS"/>
    <s v="PONCE RAMON"/>
    <s v="DNI"/>
    <n v="28713736"/>
    <s v="20287137363"/>
    <d v="1981-04-22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1"/>
    <s v="AUTOMOTORES"/>
    <s v="CHOFER"/>
    <m/>
    <s v="CCK"/>
    <m/>
    <s v="PORTO OSVALDO "/>
    <s v="DNI"/>
    <n v="13072833"/>
    <n v="20130728333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PRESS ANA"/>
    <s v="DNI"/>
    <n v="25216896"/>
    <s v="27252168961"/>
    <d v="1976-02-26T00:00:00"/>
    <m/>
    <m/>
    <m/>
    <m/>
    <s v="ASISTENCIA TÉCNICA"/>
    <s v="AT"/>
    <d v="2012-01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2"/>
    <m/>
    <m/>
    <m/>
    <m/>
    <m/>
    <s v="PRIETO ESTEBAN"/>
    <s v="DNI"/>
    <n v="27329367"/>
    <n v="20273293672"/>
    <m/>
    <m/>
    <m/>
    <m/>
    <m/>
    <s v="LEY MARCO"/>
    <s v="LM"/>
    <d v="2013-12-01T00:00:00"/>
    <d v="2016-03-31T00:00:00"/>
    <d v="2016-12-31T00:00:00"/>
    <s v="C2"/>
    <m/>
    <m/>
    <n v="1000"/>
    <m/>
    <n v="1170"/>
    <n v="1310"/>
    <n v="1310"/>
  </r>
  <r>
    <s v="SFMyCP"/>
    <x v="0"/>
    <x v="0"/>
    <x v="8"/>
    <x v="1"/>
    <x v="2"/>
    <m/>
    <m/>
    <m/>
    <s v="CCK"/>
    <s v="CCK - Alem 351"/>
    <s v="PROIETTO INGRID MARIA LOURDES"/>
    <s v="DNI"/>
    <n v="21833580"/>
    <n v="27218335808"/>
    <m/>
    <m/>
    <m/>
    <m/>
    <m/>
    <s v="LEY MARCO"/>
    <s v="LM"/>
    <d v="2012-11-30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2"/>
    <x v="2"/>
    <m/>
    <s v="PRIVADA"/>
    <s v="ADMINISTRATIVO"/>
    <m/>
    <s v="TECNOPOLIS"/>
    <s v="PUCCIARELLI ROMINA"/>
    <s v="DNI"/>
    <n v="32805681"/>
    <n v="27328056815"/>
    <d v="1987-10-15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1"/>
    <x v="5"/>
    <x v="8"/>
    <m/>
    <s v="ciara"/>
    <m/>
    <m/>
    <m/>
    <s v="QUINTANA CARLOS ANTONIO"/>
    <s v="DNI"/>
    <n v="18528740"/>
    <n v="20185287409"/>
    <m/>
    <m/>
    <m/>
    <m/>
    <m/>
    <m/>
    <s v="LM"/>
    <d v="2013-12-01T00:00:00"/>
    <m/>
    <d v="2016-12-31T00:00:00"/>
    <s v="D0"/>
    <m/>
    <m/>
    <m/>
    <m/>
    <n v="1170"/>
    <n v="0"/>
    <n v="0"/>
  </r>
  <r>
    <s v="SFMyCP"/>
    <x v="1"/>
    <x v="0"/>
    <x v="5"/>
    <x v="25"/>
    <x v="2"/>
    <m/>
    <s v="Analista"/>
    <s v="Analista"/>
    <s v="CCK"/>
    <s v="CCK - Alem 351"/>
    <s v="QUINTANA JUAN MARTIN"/>
    <s v="DNI"/>
    <n v="36547045"/>
    <s v="20365470457"/>
    <d v="1991-09-26T00:00:00"/>
    <m/>
    <m/>
    <m/>
    <m/>
    <s v="ASISTENCIA TÉCNICA"/>
    <s v="AT"/>
    <d v="2014-06-23T00:00:00"/>
    <m/>
    <d v="2016-12-31T00:00:00"/>
    <m/>
    <s v="UNTREF"/>
    <s v="UNLAM- INFO"/>
    <n v="1000"/>
    <n v="1070"/>
    <n v="1170"/>
    <n v="1310"/>
    <n v="1310"/>
  </r>
  <r>
    <s v="SFMyCP"/>
    <x v="0"/>
    <x v="1"/>
    <x v="3"/>
    <x v="1"/>
    <x v="2"/>
    <m/>
    <s v="ADMINISTRATIVO"/>
    <m/>
    <s v="TECNÓPOLIS"/>
    <m/>
    <s v="QUIÑOÑEZ CECILIA ANDREA"/>
    <s v="DNI"/>
    <n v="36482574"/>
    <n v="27364825744"/>
    <m/>
    <m/>
    <m/>
    <m/>
    <m/>
    <s v="LEY MARCO"/>
    <s v="LM"/>
    <d v="2013-07-01T00:00:00"/>
    <d v="2016-03-31T00:00:00"/>
    <d v="2016-12-31T00:00:00"/>
    <s v="C0"/>
    <m/>
    <m/>
    <n v="1000"/>
    <m/>
    <n v="1170"/>
    <n v="1310"/>
    <n v="1310"/>
  </r>
  <r>
    <s v="SFMyCP"/>
    <x v="0"/>
    <x v="1"/>
    <x v="3"/>
    <x v="20"/>
    <x v="2"/>
    <m/>
    <m/>
    <m/>
    <s v="TECNÓPOLIS"/>
    <m/>
    <s v="QUIÑOÑEZ DAHIANA"/>
    <s v="DNI"/>
    <n v="93978389"/>
    <n v="27939783895"/>
    <m/>
    <m/>
    <m/>
    <m/>
    <m/>
    <s v="LEY MARCO"/>
    <s v="LM"/>
    <d v="2012-06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31"/>
    <x v="2"/>
    <m/>
    <m/>
    <s v="MANTENIMIENTO"/>
    <s v="TECNÓPOLIS"/>
    <s v="TECNOPOLIS"/>
    <s v="QUIROGA WALTER DAMIAN"/>
    <s v="DNI"/>
    <n v="34738374"/>
    <s v="24347383747"/>
    <d v="1989-08-19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2"/>
    <x v="2"/>
    <m/>
    <m/>
    <s v="ADMINISTRATIVO"/>
    <m/>
    <s v="CCK - Alem 351"/>
    <s v="RABELLINO NESTOR OSCAR"/>
    <s v="DNI"/>
    <n v="11530452"/>
    <n v="20115304527"/>
    <d v="1955-02-03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1"/>
    <x v="0"/>
    <x v="5"/>
    <x v="7"/>
    <x v="2"/>
    <m/>
    <m/>
    <s v="ADMINISTRATIVO"/>
    <m/>
    <s v="CCK - Alem 351"/>
    <s v="RAMIRES MARIA PAULA"/>
    <s v="DNI"/>
    <n v="30643205"/>
    <n v="27306432058"/>
    <d v="1985-05-01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1"/>
    <x v="3"/>
    <x v="38"/>
    <x v="2"/>
    <m/>
    <s v="ADMINISTRATIVO"/>
    <m/>
    <s v="TECNÓPOLIS"/>
    <m/>
    <s v="RAMIREZ Brain Esteban"/>
    <s v="DNI"/>
    <n v="35532252"/>
    <n v="20355322522"/>
    <m/>
    <m/>
    <m/>
    <m/>
    <m/>
    <s v="LEY MARCO"/>
    <s v="LM"/>
    <d v="2014-05-01T00:00:00"/>
    <d v="2016-03-31T00:00:00"/>
    <d v="2016-12-31T00:00:00"/>
    <s v="D1"/>
    <m/>
    <m/>
    <n v="1000"/>
    <m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RAMIREZ JOSÉ"/>
    <s v="DNI"/>
    <n v="25824447"/>
    <s v="20258244479"/>
    <d v="1977-05-09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RAMON BADIA JAZMIN"/>
    <s v="DNI"/>
    <n v="33443159"/>
    <s v="27334431598"/>
    <d v="1987-11-18T00:00:00"/>
    <m/>
    <m/>
    <m/>
    <m/>
    <s v="ASISTENCIA TÉCNICA"/>
    <s v="AT"/>
    <d v="2012-06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3"/>
    <x v="2"/>
    <m/>
    <s v="Tareas Generales"/>
    <s v="MANTENIMIENTO DE ESPACIOS VERDES"/>
    <s v="TECNÓPOLIS"/>
    <m/>
    <s v="RAMON GLADYS"/>
    <s v="DNI"/>
    <n v="20854162"/>
    <n v="27208541620"/>
    <m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3"/>
    <x v="20"/>
    <x v="2"/>
    <m/>
    <m/>
    <s v="MANTENIMIENTO DE ESPACIOS VERDES"/>
    <s v="TECNÓPOLIS"/>
    <s v="TECNOPOLIS"/>
    <s v="RAMON JOSE HUMBERTO"/>
    <s v="DNI"/>
    <n v="25204241"/>
    <s v="20252042416"/>
    <d v="1976-06-16T00:00:00"/>
    <m/>
    <m/>
    <m/>
    <m/>
    <s v="ASISTENCIA TÉCNICA"/>
    <s v="AT"/>
    <d v="2014-10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1"/>
    <s v="AUTOMOTORES"/>
    <s v="CHOFER"/>
    <m/>
    <s v="CCK"/>
    <m/>
    <s v="RAMOS  JUAN CARLOS"/>
    <s v="DNI"/>
    <n v="29477026"/>
    <n v="20294770268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1"/>
    <x v="0"/>
    <x v="5"/>
    <x v="29"/>
    <x v="2"/>
    <m/>
    <s v="Analista"/>
    <s v="ADMINISTRATIVO"/>
    <m/>
    <s v="CCK - Alem 351"/>
    <s v="RAMOS MIRIAM"/>
    <s v="DNI"/>
    <n v="45735293"/>
    <s v="27457352935"/>
    <d v="1995-06-28T00:00:00"/>
    <m/>
    <m/>
    <m/>
    <m/>
    <s v="ASISTENCIA TÉCNICA"/>
    <s v="AT"/>
    <d v="2016-05-02T00:00:00"/>
    <m/>
    <d v="2016-12-31T00:00:00"/>
    <m/>
    <s v="UNTREF"/>
    <m/>
    <n v="1000"/>
    <n v="107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RAMOS RAFAEL ALDO"/>
    <s v="DNI"/>
    <n v="31442888"/>
    <n v="23314428889"/>
    <d v="1985-02-22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RAMPELINI DIEGO"/>
    <s v="DNI"/>
    <n v="26621205"/>
    <s v="20266212055"/>
    <d v="1978-06-19T00:00:00"/>
    <m/>
    <m/>
    <m/>
    <m/>
    <s v="ASISTENCIA TÉCNICA"/>
    <s v="AT"/>
    <d v="2015-04-01T00:00:00"/>
    <m/>
    <d v="2016-12-31T00:00:00"/>
    <m/>
    <s v="UNTREF"/>
    <m/>
    <n v="1000"/>
    <n v="100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REBOLLO JORGE FERNANDO"/>
    <s v="DNI"/>
    <n v="92820166"/>
    <s v="20928201660"/>
    <d v="1977-03-22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REFOJOS MARIANO"/>
    <s v="DNI"/>
    <n v="31009104"/>
    <s v="23310091049"/>
    <d v="1984-01-05T00:00:00"/>
    <m/>
    <m/>
    <m/>
    <m/>
    <s v="ASISTENCIA TÉCNICA"/>
    <s v="AT"/>
    <d v="2011-03-01T00:00:00"/>
    <m/>
    <d v="2016-12-31T00:00:00"/>
    <m/>
    <s v="UNTREF"/>
    <m/>
    <n v="1000"/>
    <n v="1000"/>
    <n v="1170"/>
    <n v="1310"/>
    <n v="1310"/>
  </r>
  <r>
    <s v="SFMyCP"/>
    <x v="1"/>
    <x v="0"/>
    <x v="5"/>
    <x v="25"/>
    <x v="2"/>
    <m/>
    <s v="Analista"/>
    <m/>
    <s v="CCK"/>
    <m/>
    <s v="REPETTI ARIEL"/>
    <s v="DNI"/>
    <n v="27738544"/>
    <n v="23277385449"/>
    <m/>
    <m/>
    <m/>
    <m/>
    <m/>
    <s v="LEY MARCO"/>
    <s v="LM"/>
    <d v="2013-09-0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5"/>
    <x v="24"/>
    <m/>
    <s v="INVESTIGACION APLICADA"/>
    <s v="ADMINISTRATIVO"/>
    <s v="CCK"/>
    <s v="CCK - Alem 351"/>
    <s v="RESTUCCIO MARCELO"/>
    <s v="DNI"/>
    <n v="24946722"/>
    <s v="20249467228"/>
    <d v="1975-12-03T00:00:00"/>
    <m/>
    <m/>
    <m/>
    <m/>
    <s v="ASISTENCIA TÉCNICA"/>
    <s v="AT"/>
    <d v="2015-06-01T00:00:00"/>
    <m/>
    <d v="2016-12-31T00:00:00"/>
    <m/>
    <s v="UNTREF"/>
    <s v="UNSAM"/>
    <n v="1000"/>
    <n v="1070"/>
    <n v="1170"/>
    <n v="1310"/>
    <n v="1310"/>
  </r>
  <r>
    <s v="SFMyCP"/>
    <x v="0"/>
    <x v="0"/>
    <x v="4"/>
    <x v="43"/>
    <x v="2"/>
    <m/>
    <s v="PRIVADA"/>
    <s v="ADMINISTRATIVO"/>
    <m/>
    <s v="CCK - Alem 351"/>
    <s v="REY MARIA ELENA"/>
    <s v="DNI"/>
    <n v="33275553"/>
    <s v="27332755531"/>
    <d v="1987-07-25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14"/>
    <x v="2"/>
    <m/>
    <m/>
    <s v="MANTENIMIENTO GRAL DEL PARQUE"/>
    <s v="TECNÓPOLIS"/>
    <s v="TECNOPOLIS"/>
    <s v="REYES DAMIAN GUILLERMO"/>
    <s v="DNI"/>
    <n v="29975332"/>
    <s v="20299753329"/>
    <d v="1983-01-16T00:00:00"/>
    <m/>
    <m/>
    <m/>
    <m/>
    <s v="ASISTENCIA TÉCNICA"/>
    <s v="AT"/>
    <d v="2014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REYNELI AGUSTIN"/>
    <s v="DNI"/>
    <n v="37805084"/>
    <n v="20378050848"/>
    <d v="1993-07-21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15"/>
    <x v="10"/>
    <m/>
    <m/>
    <s v="VISITAS GUIADAS"/>
    <m/>
    <s v="CCK - Alem 351"/>
    <s v="REYNOSO CAMILA ANAHI"/>
    <s v="DNI"/>
    <n v="40946532"/>
    <m/>
    <d v="1998-05-15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0"/>
    <x v="1"/>
    <x v="1"/>
    <x v="38"/>
    <x v="2"/>
    <m/>
    <s v="Analista"/>
    <m/>
    <s v="CCK"/>
    <m/>
    <s v="REYNOSO NICHOLAS"/>
    <s v="DNI"/>
    <n v="23126327"/>
    <n v="20231263277"/>
    <m/>
    <m/>
    <m/>
    <m/>
    <m/>
    <s v="LEY MARCO"/>
    <s v="LM"/>
    <d v="2010-07-19T00:00:00"/>
    <d v="2016-12-31T00:00:00"/>
    <d v="2016-12-31T00:00:00"/>
    <s v="B1"/>
    <m/>
    <m/>
    <n v="1000"/>
    <m/>
    <n v="1170"/>
    <n v="1310"/>
    <n v="1310"/>
  </r>
  <r>
    <s v="SFMyCP"/>
    <x v="0"/>
    <x v="1"/>
    <x v="1"/>
    <x v="10"/>
    <x v="2"/>
    <m/>
    <m/>
    <s v="ADMINISTRATIVA"/>
    <m/>
    <s v="CCK - Alem 351"/>
    <s v="RICCI LIAJOVETSKY GABRIEL"/>
    <s v="DNI"/>
    <n v="30530974"/>
    <s v="20305309746"/>
    <d v="1984-05-05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18"/>
    <s v="LOGISTICA OPERATIVA"/>
    <s v="Responsable"/>
    <s v="Asistente Técnico Seguridad"/>
    <s v="CCK"/>
    <s v="CCK - Alem 351"/>
    <s v="RICCITELLI MIGUEL ANGEL"/>
    <s v="DNI"/>
    <n v="27257335"/>
    <s v="20272573353"/>
    <d v="1979-05-24T00:00:00"/>
    <m/>
    <m/>
    <m/>
    <m/>
    <s v="ASISTENCIA TÉCNICA"/>
    <s v="AT"/>
    <d v="2015-03-20T00:00:00"/>
    <m/>
    <d v="2016-12-31T00:00:00"/>
    <m/>
    <s v="UNTREF"/>
    <s v="UNLAM- DGA"/>
    <n v="1000"/>
    <n v="1070"/>
    <n v="1170"/>
    <n v="1310"/>
    <n v="1310"/>
  </r>
  <r>
    <s v="SFMyCP"/>
    <x v="1"/>
    <x v="0"/>
    <x v="5"/>
    <x v="7"/>
    <x v="2"/>
    <m/>
    <s v="ADMINISTRACIÓN"/>
    <m/>
    <s v="CCK"/>
    <m/>
    <s v="RICHINO ADRIAN EZEQUIEL"/>
    <s v="DNI"/>
    <n v="31464052"/>
    <n v="20314640528"/>
    <m/>
    <m/>
    <m/>
    <m/>
    <m/>
    <s v="LEY MARCO"/>
    <s v="LM"/>
    <d v="2015-03-01T00:00:00"/>
    <d v="2016-03-31T00:00:00"/>
    <d v="2016-12-31T00:00:00"/>
    <s v="A0"/>
    <m/>
    <m/>
    <n v="1000"/>
    <m/>
    <n v="1170"/>
    <n v="1310"/>
    <n v="1310"/>
  </r>
  <r>
    <s v="SFMyCP"/>
    <x v="1"/>
    <x v="0"/>
    <x v="5"/>
    <x v="7"/>
    <x v="2"/>
    <m/>
    <s v="ADMINISTRACIÓN"/>
    <s v="ADMINISTRATIVO"/>
    <m/>
    <s v="CCK - Alem 351"/>
    <s v="RICHINO LEANDRO"/>
    <s v="DNI"/>
    <n v="35317218"/>
    <s v="20353172183"/>
    <d v="1990-08-07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RIOS FERNANDO"/>
    <s v="DNI"/>
    <n v="25296801"/>
    <s v="20252968017"/>
    <d v="1976-05-01T00:00:00"/>
    <m/>
    <m/>
    <m/>
    <m/>
    <s v="ASISTENCIA TÉCNICA"/>
    <s v="AT"/>
    <d v="2010-12-13T00:00:00"/>
    <m/>
    <d v="2016-12-31T00:00:00"/>
    <m/>
    <s v="UNTREF"/>
    <m/>
    <n v="1000"/>
    <n v="1000"/>
    <n v="1170"/>
    <n v="1310"/>
    <n v="1310"/>
  </r>
  <r>
    <s v="SFMyCP"/>
    <x v="0"/>
    <x v="1"/>
    <x v="3"/>
    <x v="44"/>
    <x v="2"/>
    <m/>
    <m/>
    <m/>
    <s v="TECNÓPOLIS"/>
    <m/>
    <s v="RIOS Gustavo Francisco"/>
    <s v="DNI"/>
    <n v="29107451"/>
    <n v="20291074511"/>
    <m/>
    <m/>
    <m/>
    <m/>
    <m/>
    <s v="LEY MARCO"/>
    <s v="LM"/>
    <d v="2012-11-30T00:00:00"/>
    <d v="2016-12-31T00:00:00"/>
    <d v="2016-12-31T00:00:00"/>
    <s v="F0"/>
    <m/>
    <m/>
    <n v="1000"/>
    <m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RIOS MARIA ISABEL"/>
    <s v="DNI"/>
    <n v="35561305"/>
    <n v="23355613054"/>
    <d v="1990-11-26T00:00:00"/>
    <m/>
    <m/>
    <m/>
    <m/>
    <s v="ASISTENCIA TÉCNICA"/>
    <s v="CO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RIOS NÉSTOR FABIAN"/>
    <s v="DNI"/>
    <n v="17038143"/>
    <n v="20170381433"/>
    <d v="1965-01-20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1"/>
    <x v="0"/>
    <x v="5"/>
    <x v="25"/>
    <x v="2"/>
    <m/>
    <s v="Analista"/>
    <s v="Analista"/>
    <s v="CCK"/>
    <s v="CCK - Alem 351"/>
    <s v="RISSO PATRON FACUNDO"/>
    <s v="DNI"/>
    <n v="22777432"/>
    <s v="20227774321"/>
    <d v="1972-08-29T00:00:00"/>
    <m/>
    <m/>
    <m/>
    <m/>
    <s v="ASISTENCIA TÉCNICA"/>
    <s v="AT"/>
    <d v="2015-05-21T00:00:00"/>
    <m/>
    <d v="2016-12-31T00:00:00"/>
    <m/>
    <s v="UNTREF"/>
    <s v="UNLAM- INFO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RIVADENEIRA CAMILA"/>
    <s v="DNI"/>
    <n v="38625956"/>
    <n v="27386259564"/>
    <d v="1995-01-03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3"/>
    <x v="26"/>
    <x v="2"/>
    <m/>
    <m/>
    <m/>
    <s v="TECNÓPOLIS"/>
    <m/>
    <s v="RIVERA Soledad"/>
    <s v="DNI"/>
    <n v="28165475"/>
    <n v="27281654751"/>
    <m/>
    <m/>
    <m/>
    <m/>
    <m/>
    <s v="LEY MARCO"/>
    <s v="LM"/>
    <d v="2013-05-01T00:00:00"/>
    <d v="2016-03-31T00:00:00"/>
    <d v="2016-12-31T00:00:00"/>
    <s v="C0"/>
    <m/>
    <m/>
    <n v="1000"/>
    <m/>
    <n v="1170"/>
    <n v="1310"/>
    <n v="1310"/>
  </r>
  <r>
    <s v="SFMyCP"/>
    <x v="0"/>
    <x v="0"/>
    <x v="0"/>
    <x v="8"/>
    <x v="6"/>
    <m/>
    <s v="CTO"/>
    <s v="MANTENIMIENTO"/>
    <s v="CABILDO 65"/>
    <s v="CABILDO 65"/>
    <s v="ROCA LUIS GASTON"/>
    <s v="DNI"/>
    <n v="36944732"/>
    <s v="20369447328"/>
    <d v="1992-12-07T00:00:00"/>
    <m/>
    <m/>
    <m/>
    <m/>
    <s v="ASISTENCIA TÉCNICA"/>
    <s v="AT"/>
    <d v="2013-07-01T00:00:00"/>
    <m/>
    <d v="2016-12-31T00:00:00"/>
    <m/>
    <s v="UNTREF"/>
    <s v="UNSAM- LADA"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ROCA MANOUKIAN MATIAS"/>
    <s v="DNI"/>
    <n v="35084320"/>
    <s v="20350843206"/>
    <d v="1990-04-27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0"/>
    <x v="4"/>
    <x v="2"/>
    <x v="2"/>
    <m/>
    <s v="PRIVADA"/>
    <s v="ADMINISTRATIVO"/>
    <m/>
    <s v="CCK - Alem 351"/>
    <s v="RODRGUEZ JULIA"/>
    <s v="DNI"/>
    <n v="30860376"/>
    <n v="27308603763"/>
    <d v="1984-03-02T00:00:00"/>
    <m/>
    <m/>
    <m/>
    <m/>
    <s v="ASISTENCIA TÉCNICA"/>
    <s v="AT"/>
    <d v="2016-04-01T00:00:00"/>
    <m/>
    <d v="2016-12-31T00:00:00"/>
    <m/>
    <s v="UNTREF"/>
    <m/>
    <m/>
    <n v="1070"/>
    <n v="1170"/>
    <n v="0"/>
    <n v="0"/>
  </r>
  <r>
    <s v="SFMyCP"/>
    <x v="0"/>
    <x v="1"/>
    <x v="3"/>
    <x v="14"/>
    <x v="2"/>
    <m/>
    <m/>
    <s v="COLOCACIÓN DE CARTELERIA/DESARME DE ESTRUCTURAS/MANTENIMIENTO"/>
    <s v="TECNÓPOLIS"/>
    <s v="TECNOPOLIS"/>
    <s v="RODRIGUEZ JONATHAN"/>
    <s v="DNI"/>
    <n v="34782221"/>
    <s v="20347822214"/>
    <d v="1989-02-23T00:00:00"/>
    <m/>
    <m/>
    <m/>
    <m/>
    <s v="ASISTENCIA TÉCNICA"/>
    <s v="AT"/>
    <d v="2011-06-06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ANORAMA ARGENTINO"/>
    <m/>
    <s v="CABILDO 65"/>
    <m/>
    <s v="RODRIGUEZ JORGE ADRIAN"/>
    <s v="DNI"/>
    <n v="30886045"/>
    <n v="20308860451"/>
    <m/>
    <m/>
    <m/>
    <m/>
    <m/>
    <s v="LEY MARCO"/>
    <s v="LM"/>
    <d v="2013-12-01T00:00:00"/>
    <d v="2016-03-31T00:00:00"/>
    <d v="2016-12-31T00:00:00"/>
    <s v="B0"/>
    <m/>
    <m/>
    <n v="1000"/>
    <m/>
    <n v="1170"/>
    <n v="1310"/>
    <n v="1310"/>
  </r>
  <r>
    <s v="SFMyCP"/>
    <x v="1"/>
    <x v="0"/>
    <x v="5"/>
    <x v="7"/>
    <x v="2"/>
    <m/>
    <m/>
    <m/>
    <m/>
    <m/>
    <s v="RODRIGUEZ JORGE GUILLERMO"/>
    <s v="DNI"/>
    <n v="28591140"/>
    <m/>
    <m/>
    <m/>
    <m/>
    <m/>
    <m/>
    <s v="LEY MARCO"/>
    <s v="LM"/>
    <m/>
    <m/>
    <d v="2016-12-31T00:00:00"/>
    <s v="B1"/>
    <m/>
    <m/>
    <m/>
    <m/>
    <m/>
    <n v="0"/>
    <n v="0"/>
  </r>
  <r>
    <s v="SFMyCP"/>
    <x v="0"/>
    <x v="1"/>
    <x v="3"/>
    <x v="6"/>
    <x v="2"/>
    <m/>
    <m/>
    <s v="MANTENIMIENTO GRAL DEL PARQUE"/>
    <s v="TECNÓPOLIS"/>
    <s v="TECNOPOLIS"/>
    <s v="RODRIGUEZ JUAN RAMON"/>
    <s v="DNI"/>
    <n v="40843063"/>
    <s v="20408430632"/>
    <d v="1987-09-02T00:00:00"/>
    <m/>
    <m/>
    <m/>
    <m/>
    <s v="ASISTENCIA TÉCNICA"/>
    <s v="AT"/>
    <d v="2014-12-01T00:00:00"/>
    <m/>
    <d v="2016-12-31T00:00:00"/>
    <m/>
    <s v="UNTREF"/>
    <s v="UNTREF"/>
    <n v="1000"/>
    <n v="1070"/>
    <n v="1170"/>
    <n v="1310"/>
    <n v="1310"/>
  </r>
  <r>
    <s v="SFMyCP"/>
    <x v="0"/>
    <x v="0"/>
    <x v="4"/>
    <x v="2"/>
    <x v="2"/>
    <m/>
    <s v="SECRETARIA"/>
    <s v="Secretaria"/>
    <s v="CCK"/>
    <s v="CCK - Alem 351"/>
    <s v="RODRIGUEZ LEILA"/>
    <s v="DNI"/>
    <n v="34265208"/>
    <s v="27342652080"/>
    <d v="1989-02-09T00:00:00"/>
    <m/>
    <m/>
    <m/>
    <m/>
    <s v="ASISTENCIA TÉCNICA"/>
    <s v="AT"/>
    <d v="2015-08-01T00:00:00"/>
    <m/>
    <d v="2016-12-31T00:00:00"/>
    <m/>
    <s v="UNTREF"/>
    <s v="UNLAM -TDA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RODRIGUEZ MIGUEL ANGEL"/>
    <s v="DNI"/>
    <n v="21618345"/>
    <s v="20216183453"/>
    <d v="1970-05-30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0"/>
    <x v="0"/>
    <x v="4"/>
    <x v="2"/>
    <x v="2"/>
    <m/>
    <s v="PRIVADA"/>
    <s v="ADMINISTRATIVO"/>
    <m/>
    <s v="CCK - Alem 351"/>
    <s v="RODRIGUEZ MIGUEL ANGEL"/>
    <s v="DNI"/>
    <n v="11222820"/>
    <n v="23112228209"/>
    <d v="1954-01-29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TÉCNICA Y TRANSMISIÓN"/>
    <s v="ADMINISTRATIVO"/>
    <s v="CABILDO 65"/>
    <s v="CABILDO 65"/>
    <s v="ROIG GUILLERMO"/>
    <s v="DNI"/>
    <n v="18383611"/>
    <s v="20183836111"/>
    <d v="1967-07-27T00:00:00"/>
    <m/>
    <m/>
    <m/>
    <m/>
    <s v="ASISTENCIA TÉCNICA"/>
    <s v="AT"/>
    <d v="2014-05-1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5"/>
    <x v="18"/>
    <m/>
    <s v="Asistente Técnico Seguridad"/>
    <s v="Asistente Técnico Seguridad"/>
    <s v="CCK"/>
    <s v="CCK - Alem 351"/>
    <s v="ROJAS MIRTA"/>
    <s v="DNI"/>
    <n v="20640391"/>
    <s v="27206403913"/>
    <d v="1968-12-27T00:00:00"/>
    <m/>
    <m/>
    <m/>
    <m/>
    <s v="ASISTENCIA TÉCNICA"/>
    <s v="AT"/>
    <d v="2015-07-01T00:00:00"/>
    <m/>
    <d v="2016-12-31T00:00:00"/>
    <m/>
    <s v="UNTREF"/>
    <s v="UNLAM- BICENTENARIO"/>
    <n v="1000"/>
    <n v="1070"/>
    <n v="1170"/>
    <n v="1310"/>
    <n v="1310"/>
  </r>
  <r>
    <s v="SFMyCP"/>
    <x v="1"/>
    <x v="0"/>
    <x v="5"/>
    <x v="25"/>
    <x v="2"/>
    <m/>
    <s v="Analista"/>
    <s v="Analista"/>
    <s v="CCK"/>
    <s v="CCK - Alem 351"/>
    <s v="ROJAS SILVIO"/>
    <s v="DNI"/>
    <n v="38522594"/>
    <s v="20385225947"/>
    <d v="1994-09-24T00:00:00"/>
    <m/>
    <m/>
    <m/>
    <m/>
    <s v="ASISTENCIA TÉCNICA"/>
    <s v="AT"/>
    <d v="2015-01-26T00:00:00"/>
    <m/>
    <d v="2016-12-31T00:00:00"/>
    <m/>
    <s v="UNTREF"/>
    <s v="UNLAM- INFO"/>
    <n v="1000"/>
    <n v="1070"/>
    <n v="1170"/>
    <n v="1310"/>
    <n v="1310"/>
  </r>
  <r>
    <s v="SFMyCP"/>
    <x v="0"/>
    <x v="1"/>
    <x v="3"/>
    <x v="12"/>
    <x v="2"/>
    <m/>
    <s v="Administrativo"/>
    <m/>
    <s v="TECNÓPOLIS"/>
    <m/>
    <s v="ROMANO María Natalia"/>
    <s v="DNI"/>
    <n v="22645586"/>
    <n v="27226455863"/>
    <m/>
    <m/>
    <m/>
    <m/>
    <m/>
    <s v="LEY MARCO"/>
    <s v="LM"/>
    <d v="2011-05-01T00:00:00"/>
    <d v="2016-12-31T00:00:00"/>
    <d v="2016-12-31T00:00:00"/>
    <s v="B0"/>
    <m/>
    <m/>
    <n v="1000"/>
    <m/>
    <n v="1170"/>
    <n v="1310"/>
    <n v="1310"/>
  </r>
  <r>
    <s v="SFMyCP"/>
    <x v="0"/>
    <x v="1"/>
    <x v="1"/>
    <x v="30"/>
    <x v="2"/>
    <m/>
    <s v="Secretaria"/>
    <m/>
    <s v="CCK"/>
    <m/>
    <s v="ROMANO VALENTINA DEL PILAR"/>
    <s v="DNI"/>
    <n v="35216524"/>
    <n v="27352165242"/>
    <m/>
    <m/>
    <m/>
    <m/>
    <m/>
    <s v="LEY MARCO"/>
    <s v="LM"/>
    <d v="2009-04-01T00:00:00"/>
    <d v="2016-12-31T00:00:00"/>
    <d v="2016-12-31T00:00:00"/>
    <s v="B1"/>
    <m/>
    <m/>
    <n v="1000"/>
    <m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ROMERO CRISTIAN ADRIAN"/>
    <s v="DNI"/>
    <n v="30276696"/>
    <s v="20302766968"/>
    <d v="1983-04-30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ROSSI MARIA EVELIA"/>
    <s v="DNI"/>
    <n v="36526530"/>
    <s v="27365265300"/>
    <d v="1991-04-21T00:00:00"/>
    <m/>
    <m/>
    <m/>
    <m/>
    <s v="ASISTENCIA TÉCNICA"/>
    <s v="AT"/>
    <d v="2016-01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RUIZ ANDRES"/>
    <s v="DNI"/>
    <n v="22048883"/>
    <s v="20220488838"/>
    <d v="1971-02-04T00:00:00"/>
    <m/>
    <m/>
    <m/>
    <m/>
    <s v="ASISTENCIA TÉCNICA"/>
    <s v="AT"/>
    <d v="2012-08-01T00:00:00"/>
    <m/>
    <d v="2016-12-31T00:00:00"/>
    <m/>
    <s v="UNTREF"/>
    <m/>
    <n v="1000"/>
    <n v="100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RUIZ DIAZ  PEDRO DAMIAN"/>
    <s v="DNI"/>
    <n v="16639040"/>
    <s v="20166390401"/>
    <d v="1963-12-11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RUIZ LEONARDO EZEQUIEL"/>
    <s v="DNI"/>
    <n v="37350780"/>
    <s v="20373507807"/>
    <d v="1993-09-28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0"/>
    <x v="6"/>
    <x v="11"/>
    <x v="2"/>
    <m/>
    <m/>
    <s v="ADMINISTRATIVO"/>
    <m/>
    <s v="CCK - Alem 351"/>
    <s v="RUIZ NATALI MELINA"/>
    <s v="DNI"/>
    <n v="34602138"/>
    <m/>
    <d v="1989-07-02T00:00:00"/>
    <m/>
    <m/>
    <m/>
    <m/>
    <s v="ASISTENCIA TÉCNICA"/>
    <s v="AT"/>
    <d v="2016-07-01T00:00:00"/>
    <m/>
    <d v="2016-12-31T00:00:00"/>
    <m/>
    <s v="UNTREF"/>
    <m/>
    <m/>
    <m/>
    <n v="1170"/>
    <n v="0"/>
    <n v="1310"/>
  </r>
  <r>
    <s v="SFMyCP"/>
    <x v="1"/>
    <x v="0"/>
    <x v="2"/>
    <x v="2"/>
    <x v="2"/>
    <m/>
    <s v="PRIVADA"/>
    <s v="ADMINISTRATIVO"/>
    <m/>
    <s v="CCK - Alem 351"/>
    <s v="RUIZ NORA"/>
    <s v="DNI"/>
    <n v="6715531"/>
    <s v="27067155314"/>
    <d v="1947-05-0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2"/>
    <x v="0"/>
    <x v="4"/>
    <x v="2"/>
    <x v="2"/>
    <m/>
    <m/>
    <s v="ADMINISTRATIVO"/>
    <m/>
    <s v="CCK - Alem 351"/>
    <s v="RUPPERTO BARBARA"/>
    <s v="DNI"/>
    <n v="27203478"/>
    <m/>
    <d v="1979-02-17T00:00:00"/>
    <m/>
    <m/>
    <m/>
    <m/>
    <s v="ASISTENCIA TÉCNICA"/>
    <s v="AT"/>
    <d v="2016-07-01T00:00:00"/>
    <m/>
    <d v="2016-08-31T00:00:00"/>
    <m/>
    <s v="UNTREF"/>
    <m/>
    <m/>
    <m/>
    <n v="1170"/>
    <n v="0"/>
    <m/>
  </r>
  <r>
    <s v="SFMyCP"/>
    <x v="0"/>
    <x v="0"/>
    <x v="0"/>
    <x v="8"/>
    <x v="6"/>
    <m/>
    <s v="PRODUCCIÓN"/>
    <s v="PRODUCTOR de EXTERIORES"/>
    <s v="CABILDO 65"/>
    <s v="CABILDO 65"/>
    <s v="SAAVEDRA NESTOR"/>
    <s v="DNI"/>
    <n v="16305311"/>
    <s v="20163053110"/>
    <d v="1963-03-17T00:00:00"/>
    <m/>
    <m/>
    <m/>
    <m/>
    <s v="ASISTENCIA TÉCNICA"/>
    <s v="AT"/>
    <d v="2015-03-02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SACCO JULIETA"/>
    <s v="DNI"/>
    <n v="28863215"/>
    <s v="23288632154"/>
    <d v="1981-04-24T00:00:00"/>
    <m/>
    <m/>
    <m/>
    <m/>
    <s v="ASISTENCIA TÉCNICA"/>
    <s v="AT"/>
    <d v="2015-04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0"/>
    <x v="2"/>
    <m/>
    <s v="Asistente Técnico"/>
    <s v="ADMINISTRATIVA"/>
    <s v="CCK"/>
    <s v="CCK - Alem 351"/>
    <s v="SADIER EMILIO"/>
    <s v="DNI"/>
    <n v="25330208"/>
    <s v="23253302089"/>
    <d v="1976-05-10T00:00:00"/>
    <m/>
    <m/>
    <m/>
    <m/>
    <s v="ASISTENCIA TÉCNICA"/>
    <s v="AT"/>
    <d v="2014-02-10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9"/>
    <x v="2"/>
    <m/>
    <m/>
    <m/>
    <s v="TECNÓPOLIS"/>
    <m/>
    <s v="SAEZ MARCIAL  Ignacio"/>
    <s v="DNI"/>
    <n v="27217962"/>
    <n v="20272179620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0"/>
    <x v="6"/>
    <x v="11"/>
    <x v="2"/>
    <m/>
    <m/>
    <m/>
    <m/>
    <m/>
    <s v="SAHADE PABLO"/>
    <s v="DNI"/>
    <n v="24206132"/>
    <n v="20242061323"/>
    <m/>
    <m/>
    <m/>
    <m/>
    <m/>
    <m/>
    <s v="AT"/>
    <d v="2016-08-01T00:00:00"/>
    <m/>
    <d v="2016-10-30T00:00:00"/>
    <m/>
    <s v="UNTREF"/>
    <m/>
    <m/>
    <m/>
    <m/>
    <n v="0"/>
    <n v="1310"/>
  </r>
  <r>
    <s v="SFMyCP"/>
    <x v="1"/>
    <x v="0"/>
    <x v="5"/>
    <x v="2"/>
    <x v="2"/>
    <m/>
    <m/>
    <s v="ADMINISTRATIVO"/>
    <m/>
    <s v="CCK - Alem 351"/>
    <s v="SALAS JOSEFINA"/>
    <s v="DNI"/>
    <n v="37753501"/>
    <s v="23377535014"/>
    <d v="1993-06-22T00:00:00"/>
    <m/>
    <m/>
    <m/>
    <m/>
    <s v="ASISTENCIA TÉCNICA"/>
    <s v="AT"/>
    <d v="2014-11-01T00:00:00"/>
    <m/>
    <d v="2016-12-31T00:00:00"/>
    <m/>
    <s v="UNTREF"/>
    <m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SALAZAR  MAXIMILIANO"/>
    <s v="DNI"/>
    <n v="36761265"/>
    <s v="20367612658"/>
    <d v="1992-06-02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0"/>
    <x v="0"/>
    <m/>
    <s v="GESTION DE PROYECTOS"/>
    <s v="ANALISTA"/>
    <s v="PALPALÁ-JUJUY"/>
    <s v="PALPALÁ-JUJUY"/>
    <s v="SALAZAR JOSUE JOEL"/>
    <s v="DNI"/>
    <n v="32877206"/>
    <n v="20328772060"/>
    <d v="1987-09-10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10"/>
    <x v="2"/>
    <m/>
    <m/>
    <s v="ADMINISTRATIVA"/>
    <m/>
    <s v="CCK - Alem 351"/>
    <s v="SALGADO JUAN MANUEL"/>
    <s v="DNI"/>
    <n v="26047568"/>
    <s v="20260475682"/>
    <d v="1977-06-06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1"/>
    <x v="38"/>
    <x v="2"/>
    <m/>
    <m/>
    <s v="CADETE"/>
    <s v="CCK"/>
    <s v="CCK - Alem 351"/>
    <s v="SALINAS NESTOR"/>
    <s v="DNI"/>
    <n v="26246918"/>
    <s v="20262469183"/>
    <d v="1978-02-03T00:00:00"/>
    <m/>
    <m/>
    <m/>
    <m/>
    <s v="ASISTENCIA TÉCNICA"/>
    <s v="AT"/>
    <d v="2015-03-03T00:00:00"/>
    <m/>
    <d v="2016-12-31T00:00:00"/>
    <m/>
    <s v="UNTREF"/>
    <s v="UNSAM-MINPLAN"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SALOMONE GUILLERMO"/>
    <s v="DNI"/>
    <n v="12425437"/>
    <s v="20124254370"/>
    <d v="1958-06-01T00:00:00"/>
    <m/>
    <m/>
    <m/>
    <m/>
    <s v="ASISTENCIA TÉCNICA"/>
    <s v="AT"/>
    <d v="2013-01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26"/>
    <x v="2"/>
    <m/>
    <m/>
    <s v="OPERACIÓN/MONTAJE/MANTENIMIENTO"/>
    <s v="TECNÓPOLIS"/>
    <s v="TECNOPOLIS"/>
    <s v="SALVO ROMAN ROSS JONATHAN"/>
    <s v="DNI"/>
    <n v="34114414"/>
    <s v="20341144141"/>
    <d v="1988-11-07T00:00:00"/>
    <m/>
    <m/>
    <m/>
    <m/>
    <s v="ASISTENCIA TÉCNICA"/>
    <s v="AT"/>
    <d v="2013-04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15"/>
    <x v="10"/>
    <m/>
    <m/>
    <s v="VISITAS GUIADAS"/>
    <m/>
    <s v="CCK - Alem 351"/>
    <s v="SANABRIA GABRIELA"/>
    <s v="DNI"/>
    <n v="34511518"/>
    <n v="27345115183"/>
    <d v="1989-05-29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SANCHEZ ARIEL"/>
    <s v="DNI"/>
    <n v="38842536"/>
    <s v="23388425369"/>
    <d v="1993-02-02T00:00:00"/>
    <m/>
    <m/>
    <m/>
    <m/>
    <s v="ASISTENCIA TÉCNICA"/>
    <s v="AT"/>
    <d v="2015-08-17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SANCHEZ FABIAN"/>
    <s v="DNI"/>
    <n v="27263724"/>
    <s v="20272637246"/>
    <d v="1979-05-30T00:00:00"/>
    <m/>
    <m/>
    <m/>
    <m/>
    <s v="ASISTENCIA TÉCNICA"/>
    <s v="AT"/>
    <d v="2015-10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4"/>
    <x v="2"/>
    <m/>
    <s v="COCINA"/>
    <m/>
    <s v="TECNÓPOLIS"/>
    <m/>
    <s v="SANCHEZ Florencia Anabella"/>
    <s v="DNI"/>
    <n v="37200106"/>
    <n v="27372001068"/>
    <m/>
    <m/>
    <m/>
    <m/>
    <m/>
    <s v="LEY MARCO"/>
    <s v="LM"/>
    <d v="2013-07-0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5"/>
    <x v="12"/>
    <m/>
    <s v=""/>
    <s v="Auxiliar de Mantenimiento"/>
    <s v="CCK"/>
    <s v="CCK - Alem 351"/>
    <s v="SÁNCHEZ GABRIEL "/>
    <s v="DNI"/>
    <n v="23426675"/>
    <s v="20234266757"/>
    <d v="1973-08-22T00:00:00"/>
    <m/>
    <m/>
    <m/>
    <m/>
    <s v="ASISTENCIA TÉCNICA"/>
    <s v="AT"/>
    <d v="2015-05-15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45"/>
    <x v="2"/>
    <m/>
    <s v="PRIVADA"/>
    <s v="ASISTENTE"/>
    <m/>
    <s v="TECNOPOLIS"/>
    <s v="SANCHEZ LAMOTHE FRANCISCO"/>
    <s v="DNI"/>
    <n v="29303530"/>
    <n v="20293035300"/>
    <d v="1982-03-30T00:00:00"/>
    <m/>
    <m/>
    <m/>
    <m/>
    <s v="ASISTENCIA TÉCNICA"/>
    <s v="AT"/>
    <d v="2016-05-1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SANCHEZ LUCIA"/>
    <s v="DNI"/>
    <n v="38682779"/>
    <s v="27386827791"/>
    <d v="1984-11-24T00:00:00"/>
    <m/>
    <m/>
    <m/>
    <m/>
    <s v="ASISTENCIA TÉCNICA"/>
    <s v="AT"/>
    <d v="2015-10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"/>
    <x v="1"/>
    <m/>
    <s v="Diseñadora gráfica"/>
    <m/>
    <s v="CCK"/>
    <m/>
    <s v="SANCHEZ PAULA"/>
    <s v="DNI"/>
    <n v="21471551"/>
    <n v="27214715517"/>
    <m/>
    <m/>
    <m/>
    <m/>
    <m/>
    <s v="LEY MARCO"/>
    <s v="LM"/>
    <d v="2011-05-02T00:00:00"/>
    <d v="2016-12-31T00:00:00"/>
    <d v="2016-12-31T00:00:00"/>
    <s v="B1"/>
    <m/>
    <m/>
    <n v="1000"/>
    <n v="1070"/>
    <n v="1170"/>
    <n v="1310"/>
    <n v="1310"/>
  </r>
  <r>
    <s v="SFMyCP"/>
    <x v="1"/>
    <x v="0"/>
    <x v="5"/>
    <x v="16"/>
    <x v="16"/>
    <m/>
    <s v="RECURSOS HUMANOS"/>
    <m/>
    <s v="CABILDO 65"/>
    <m/>
    <s v="SANCHEZ PAYA CAROLA LUCIANA"/>
    <s v="DNI"/>
    <n v="26522544"/>
    <n v="27265225441"/>
    <m/>
    <m/>
    <m/>
    <m/>
    <m/>
    <s v="LEY MARCO"/>
    <s v="LM"/>
    <d v="2012-12-01T00:00:00"/>
    <d v="2016-12-31T00:00:00"/>
    <d v="2016-12-31T00:00:00"/>
    <s v="B0"/>
    <m/>
    <m/>
    <n v="1000"/>
    <m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SANCHEZ QUIJANO EMILIANO"/>
    <s v="DNI"/>
    <n v="30448923"/>
    <s v="20304489236"/>
    <d v="1983-08-08T00:00:00"/>
    <m/>
    <m/>
    <m/>
    <m/>
    <s v="ASISTENCIA TÉCNICA"/>
    <s v="AT"/>
    <d v="2011-08-01T00:00:00"/>
    <m/>
    <d v="2016-12-31T00:00:00"/>
    <m/>
    <s v="UNTREF"/>
    <m/>
    <n v="1000"/>
    <n v="1000"/>
    <n v="1170"/>
    <n v="1310"/>
    <n v="1310"/>
  </r>
  <r>
    <s v="SFMyCP"/>
    <x v="2"/>
    <x v="0"/>
    <x v="4"/>
    <x v="2"/>
    <x v="2"/>
    <m/>
    <m/>
    <s v="ADMINISTRATIVO"/>
    <m/>
    <s v="CCK - Alem 351"/>
    <s v="SANCHEZ SAÑUDO RICARDO"/>
    <s v="DNI"/>
    <n v="11045200"/>
    <m/>
    <d v="1954-03-30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1"/>
    <x v="0"/>
    <x v="2"/>
    <x v="2"/>
    <x v="2"/>
    <m/>
    <s v="PRIVADA"/>
    <s v="ADMINISTRATIVO"/>
    <m/>
    <s v="CCK - Alem 351"/>
    <s v="SANNMARTIN, ALEJANDRA"/>
    <s v="DNI"/>
    <n v="26397949"/>
    <s v="23263979494"/>
    <d v="1977-12-1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24"/>
    <x v="2"/>
    <m/>
    <m/>
    <s v="Administrativo"/>
    <m/>
    <s v="CCK - Alem 351"/>
    <s v="SANTINI GAMARRA MOISES "/>
    <s v="DNI"/>
    <n v="18889124"/>
    <n v="20188891242"/>
    <d v="1993-04-11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1"/>
    <x v="7"/>
    <x v="2"/>
    <x v="2"/>
    <m/>
    <s v="PRIVADA"/>
    <s v="ADMINISTRATIVO"/>
    <m/>
    <s v="CCK - Alem 351"/>
    <s v="SANTOS, LILIANA INES"/>
    <s v="DNI"/>
    <n v="11231408"/>
    <n v="27112314089"/>
    <d v="1954-04-2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5"/>
    <x v="24"/>
    <m/>
    <m/>
    <s v="ADMINISTRATIVO"/>
    <s v="CCK"/>
    <s v="CCK - Alem 351"/>
    <s v="SANZ FERNANDA "/>
    <s v="DNI"/>
    <n v="22278247"/>
    <s v="27222782479"/>
    <d v="1971-08-16T00:00:00"/>
    <m/>
    <m/>
    <m/>
    <m/>
    <s v="ASISTENCIA TÉCNICA"/>
    <s v="AT"/>
    <m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ADMINISTRACIÓN"/>
    <s v="ADMINISTRATIVO"/>
    <s v="CABILDO 65"/>
    <s v="CABILDO 65"/>
    <s v="SARAZOLA LEANDRO"/>
    <s v="DNI"/>
    <n v="33154729"/>
    <s v="20331547299"/>
    <d v="1986-11-18T00:00:00"/>
    <m/>
    <m/>
    <m/>
    <m/>
    <s v="ASISTENCIA TÉCNICA"/>
    <s v="AT"/>
    <d v="2014-06-01T00:00:00"/>
    <m/>
    <d v="2016-12-31T00:00:00"/>
    <m/>
    <s v="UNTREF"/>
    <s v="UNSAM- LADA"/>
    <n v="1000"/>
    <n v="1070"/>
    <n v="1170"/>
    <n v="1310"/>
    <n v="1310"/>
  </r>
  <r>
    <s v="SFMyCP"/>
    <x v="0"/>
    <x v="0"/>
    <x v="4"/>
    <x v="2"/>
    <x v="2"/>
    <s v="RENDICION DE CUENTAS"/>
    <s v="Analista"/>
    <m/>
    <s v="CCK"/>
    <m/>
    <s v="SASTRE PEDRO"/>
    <s v="DNI"/>
    <n v="36403671"/>
    <n v="20364036710"/>
    <m/>
    <m/>
    <m/>
    <m/>
    <m/>
    <s v="LEY MARCO"/>
    <s v="LM"/>
    <d v="2012-05-01T00:00:00"/>
    <d v="2016-12-31T00:00:00"/>
    <d v="2016-12-31T00:00:00"/>
    <s v="C1"/>
    <m/>
    <m/>
    <n v="1000"/>
    <m/>
    <n v="1170"/>
    <n v="1310"/>
    <n v="1310"/>
  </r>
  <r>
    <s v="SFMyCP"/>
    <x v="0"/>
    <x v="0"/>
    <x v="4"/>
    <x v="2"/>
    <x v="2"/>
    <m/>
    <s v="PRIVADA"/>
    <s v="ADMINISTRATIVO"/>
    <m/>
    <s v="CCK - Alem 351"/>
    <s v="SATRIANO JULIO CESAR"/>
    <s v="DNI"/>
    <n v="29246854"/>
    <n v="20292468548"/>
    <d v="1981-12-01T00:00:00"/>
    <m/>
    <m/>
    <m/>
    <m/>
    <s v="ASISTENCIA TÉCNICA"/>
    <s v="AT"/>
    <d v="2016-07-01T00:00:00"/>
    <m/>
    <d v="2016-12-31T00:00:00"/>
    <m/>
    <s v="UNTREF"/>
    <m/>
    <m/>
    <m/>
    <n v="1170"/>
    <n v="0"/>
    <n v="0"/>
  </r>
  <r>
    <s v="SFMyCP"/>
    <x v="1"/>
    <x v="0"/>
    <x v="2"/>
    <x v="2"/>
    <x v="2"/>
    <m/>
    <s v="PRIVADA"/>
    <s v="ADMINISTRATIVO"/>
    <m/>
    <s v="CCK - Alem 351"/>
    <s v="SATRIANO, ROBERTO"/>
    <s v="DNI"/>
    <n v="7823142"/>
    <s v="20078231425"/>
    <d v="1949-08-30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4"/>
    <x v="2"/>
    <m/>
    <m/>
    <s v="CONTROL DE STOCK/CONTROL DE COMBUSTIBLE"/>
    <s v="TECNÓPOLIS"/>
    <s v="TECNOPOLIS"/>
    <s v="SAURIT  ESTANISLAO ANDRES"/>
    <s v="DNI"/>
    <n v="25924310"/>
    <s v="20259243107"/>
    <d v="1977-08-03T00:00:00"/>
    <m/>
    <m/>
    <m/>
    <m/>
    <s v="ASISTENCIA TÉCNICA"/>
    <s v="AT"/>
    <d v="2013-06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5"/>
    <m/>
    <s v="Asistente Técnico"/>
    <s v="ADMINISTRATIVO"/>
    <s v="CCK"/>
    <s v="CCK - Alem 351"/>
    <s v="SAVIGNON LEILA"/>
    <s v="DNI"/>
    <n v="34492812"/>
    <s v="27344928121"/>
    <d v="1989-03-14T00:00:00"/>
    <m/>
    <m/>
    <m/>
    <m/>
    <s v="ASISTENCIA TÉCNICA"/>
    <s v="AT"/>
    <d v="2015-08-05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7"/>
    <x v="2"/>
    <x v="2"/>
    <m/>
    <s v="ASESORA"/>
    <m/>
    <s v="CCK"/>
    <m/>
    <s v="SCAGNOLARI MARIA LAURA"/>
    <s v="DNI"/>
    <n v="27144391"/>
    <n v="27271443914"/>
    <m/>
    <m/>
    <m/>
    <m/>
    <m/>
    <s v="LEY MARCO"/>
    <s v="LM"/>
    <d v="2011-01-01T00:00:00"/>
    <d v="2016-12-31T00:00:00"/>
    <d v="2016-12-31T00:00:00"/>
    <s v="A0"/>
    <m/>
    <m/>
    <n v="1000"/>
    <m/>
    <n v="1170"/>
    <n v="1310"/>
    <n v="1310"/>
  </r>
  <r>
    <s v="SFMyCP"/>
    <x v="1"/>
    <x v="0"/>
    <x v="5"/>
    <x v="16"/>
    <x v="14"/>
    <m/>
    <s v="Enfermera/o"/>
    <m/>
    <s v="CCK"/>
    <m/>
    <s v="SCARPINO ANTONIO MARCELO"/>
    <s v="DNI"/>
    <n v="14569996"/>
    <n v="20145699968"/>
    <m/>
    <m/>
    <m/>
    <m/>
    <m/>
    <s v="LEY MARCO"/>
    <s v="LM"/>
    <d v="2015-08-01T00:00:00"/>
    <d v="2016-03-31T00:00:00"/>
    <d v="2016-12-31T00:00:00"/>
    <s v="C0"/>
    <m/>
    <m/>
    <n v="1000"/>
    <m/>
    <n v="1170"/>
    <n v="1310"/>
    <n v="1310"/>
  </r>
  <r>
    <s v="SFMyCP"/>
    <x v="0"/>
    <x v="0"/>
    <x v="0"/>
    <x v="8"/>
    <x v="6"/>
    <s v="CCK"/>
    <s v="FOMENTO"/>
    <s v="ADMINISTRATIVO"/>
    <s v="CABILDO 65"/>
    <s v="CABILDO 65"/>
    <s v="SCHARGORODSKY LAURA"/>
    <s v="DNI"/>
    <n v="28325918"/>
    <s v="27283259183"/>
    <d v="1980-07-28T00:00:00"/>
    <m/>
    <m/>
    <m/>
    <m/>
    <s v="ASISTENCIA TÉCNICA"/>
    <s v="AT"/>
    <d v="2011-08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PRODUCCIÓN"/>
    <s v="PAÑOL"/>
    <s v="CABILDO 65"/>
    <s v="CABILDO 65"/>
    <s v="SCHENONE LEANDRO"/>
    <s v="DNI"/>
    <n v="23477469"/>
    <s v="20234774698"/>
    <d v="1974-05-24T00:00:00"/>
    <m/>
    <m/>
    <m/>
    <m/>
    <s v="ASISTENCIA TÉCNICA"/>
    <s v="AT"/>
    <d v="2014-09-08T00:00:00"/>
    <m/>
    <d v="2016-12-31T00:00:00"/>
    <m/>
    <s v="UNTREF"/>
    <s v="UNSAM- LADA"/>
    <n v="1000"/>
    <n v="1070"/>
    <n v="1170"/>
    <n v="1310"/>
    <n v="1310"/>
  </r>
  <r>
    <s v="SFMyCP"/>
    <x v="0"/>
    <x v="0"/>
    <x v="0"/>
    <x v="2"/>
    <x v="2"/>
    <m/>
    <s v="SECRETARIA"/>
    <s v="Secretaria"/>
    <s v="CCK"/>
    <s v="CCK - Alem 351"/>
    <s v="SCHIAVI ANA"/>
    <s v="DNI"/>
    <n v="39917444"/>
    <s v="27399174444"/>
    <d v="1996-11-21T00:00:00"/>
    <m/>
    <m/>
    <m/>
    <m/>
    <s v="ASISTENCIA TÉCNICA"/>
    <s v="AT"/>
    <d v="2015-09-02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10"/>
    <x v="2"/>
    <m/>
    <m/>
    <m/>
    <s v="TECNÓPOLIS"/>
    <m/>
    <s v="SCHUPPISSER Manuela"/>
    <s v="DNI"/>
    <n v="36686000"/>
    <n v="27366860008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0"/>
    <x v="2"/>
    <m/>
    <m/>
    <s v="ADMINISTRATIVA"/>
    <m/>
    <s v="CCK - Alem 351"/>
    <s v="SCHWARZ WERNER AMADEO"/>
    <s v="DNI"/>
    <n v="18761949"/>
    <s v="20187619492"/>
    <d v="1977-03-04T00:00:00"/>
    <m/>
    <m/>
    <m/>
    <m/>
    <s v="ASISTENCIA TÉCNICA"/>
    <s v="AT"/>
    <d v="2016-06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7"/>
    <s v="ESPACIOS FÍSICOS"/>
    <s v="REFERENTE"/>
    <s v="ADMINISTRATIVO"/>
    <s v="CCK"/>
    <s v="CCK - Alem 351"/>
    <s v="SEIF MAXIMILIANO"/>
    <s v="DNI"/>
    <n v="28361042"/>
    <s v="20283610420"/>
    <d v="1980-09-16T00:00:00"/>
    <m/>
    <m/>
    <m/>
    <m/>
    <s v="ASISTENCIA TÉCNICA"/>
    <s v="AT"/>
    <d v="2014-08-01T00:00:00"/>
    <m/>
    <d v="2016-12-31T00:00:00"/>
    <m/>
    <s v="UNTREF"/>
    <s v="UNSAM-MINPLAN"/>
    <n v="1000"/>
    <n v="1070"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SELZER MARIANA"/>
    <s v="DNI"/>
    <n v="25795303"/>
    <s v="27257953039"/>
    <d v="1977-02-12T00:00:00"/>
    <m/>
    <m/>
    <m/>
    <m/>
    <s v="ASISTENCIA TÉCNICA"/>
    <s v="AT"/>
    <d v="2010-10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38"/>
    <x v="2"/>
    <m/>
    <s v="Responsable"/>
    <s v="ADMINISTRATIVO"/>
    <s v="CCK"/>
    <s v="CCK - Alem 351"/>
    <s v="SEMERIA FEDERICO "/>
    <s v="DNI"/>
    <n v="23126670"/>
    <s v="20231266705"/>
    <d v="1973-02-01T00:00:00"/>
    <m/>
    <m/>
    <m/>
    <m/>
    <s v="ASISTENCIA TÉCNICA"/>
    <s v="AT"/>
    <d v="2015-04-01T00:00:00"/>
    <m/>
    <d v="2016-12-31T00:00:00"/>
    <m/>
    <s v="UNTREF"/>
    <s v="UNSAM-MINPLAN"/>
    <n v="1000"/>
    <n v="1070"/>
    <n v="1170"/>
    <n v="1310"/>
    <n v="1310"/>
  </r>
  <r>
    <s v="SFMyCP"/>
    <x v="0"/>
    <x v="1"/>
    <x v="1"/>
    <x v="13"/>
    <x v="2"/>
    <m/>
    <m/>
    <s v="ADMINISTRATIVO"/>
    <m/>
    <s v="CCK - Alem 351"/>
    <s v="SEMERIA JULIETA"/>
    <s v="DNI"/>
    <n v="33344752"/>
    <n v="27333447520"/>
    <d v="1987-09-07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7"/>
    <x v="2"/>
    <x v="2"/>
    <m/>
    <s v="PRIVADA"/>
    <s v="ADMINISTRATIVO"/>
    <m/>
    <s v="CCK - Alem 351"/>
    <s v="SENRA MARIA CELESTE"/>
    <s v="DNI"/>
    <n v="27084585"/>
    <n v="27270845857"/>
    <d v="1978-12-14T00:00:00"/>
    <m/>
    <m/>
    <m/>
    <m/>
    <s v="ASISTENCIA TÉCNICA"/>
    <s v="AT"/>
    <m/>
    <m/>
    <d v="2016-12-31T00:00:00"/>
    <m/>
    <s v="UNTREF"/>
    <m/>
    <n v="1000"/>
    <n v="1070"/>
    <n v="1170"/>
    <n v="1310"/>
    <n v="1310"/>
  </r>
  <r>
    <s v="SFMyCP"/>
    <x v="0"/>
    <x v="1"/>
    <x v="3"/>
    <x v="26"/>
    <x v="2"/>
    <m/>
    <m/>
    <m/>
    <s v="TECNÓPOLIS"/>
    <m/>
    <s v="SEQUEIRA Adrián Anibal"/>
    <s v="DNI"/>
    <n v="21930163"/>
    <n v="20219301635"/>
    <m/>
    <m/>
    <m/>
    <m/>
    <m/>
    <s v="LEY MARCO"/>
    <s v="LM"/>
    <d v="2013-05-01T00:00:00"/>
    <d v="2016-03-31T00:00:00"/>
    <d v="2016-12-31T00:00:00"/>
    <s v="C0"/>
    <m/>
    <m/>
    <n v="1000"/>
    <m/>
    <n v="1170"/>
    <n v="1310"/>
    <n v="1310"/>
  </r>
  <r>
    <s v="SFMyCP"/>
    <x v="1"/>
    <x v="0"/>
    <x v="5"/>
    <x v="29"/>
    <x v="2"/>
    <m/>
    <s v="Asistente Técnico"/>
    <m/>
    <s v="CCK"/>
    <m/>
    <s v="SICILIANO LAURA PATRICIA"/>
    <s v="DNI"/>
    <n v="22237165"/>
    <n v="27222371657"/>
    <m/>
    <m/>
    <m/>
    <m/>
    <m/>
    <s v="LEY MARCO"/>
    <s v="LM"/>
    <d v="2011-06-01T00:00:00"/>
    <d v="2016-12-31T00:00:00"/>
    <d v="2016-12-31T00:00:00"/>
    <s v="C1"/>
    <m/>
    <m/>
    <n v="1000"/>
    <m/>
    <n v="1170"/>
    <n v="1310"/>
    <n v="1310"/>
  </r>
  <r>
    <s v="SFMyCP"/>
    <x v="0"/>
    <x v="1"/>
    <x v="3"/>
    <x v="2"/>
    <x v="2"/>
    <m/>
    <s v="PRIVADA"/>
    <s v="ADMINISTRATIVO"/>
    <s v="TECNÓPOLIS"/>
    <s v="TECNOPOLIS"/>
    <s v="SIERRA GUSTAVO"/>
    <s v="DNI"/>
    <n v="31213986"/>
    <s v="20312139864"/>
    <d v="1984-08-31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SILBERGLEIT, SILVINA"/>
    <s v="DNI"/>
    <n v="28231814"/>
    <n v="27282318143"/>
    <d v="1980-06-1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3"/>
    <x v="2"/>
    <m/>
    <m/>
    <s v="ENCARGADO DE LIMPIEZA"/>
    <s v="TECNÓPOLIS"/>
    <s v="TECNOPOLIS"/>
    <s v="SILVA  IVAN LEANDRO"/>
    <s v="DNI"/>
    <n v="34616953"/>
    <s v="20346169533"/>
    <d v="1989-05-25T00:00:00"/>
    <m/>
    <m/>
    <m/>
    <m/>
    <s v="ASISTENCIA TÉCNICA"/>
    <s v="AT"/>
    <d v="2013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SILVA  JORGE YONATAN"/>
    <s v="DNI"/>
    <n v="40516549"/>
    <s v="20405165490"/>
    <d v="1990-01-15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0"/>
    <x v="2"/>
    <m/>
    <m/>
    <s v="MANTENIMIENTO DE ESPACIOS VERDES"/>
    <s v="TECNÓPOLIS"/>
    <s v="TECNOPOLIS"/>
    <s v="SILVA  RICARDO LUIS"/>
    <s v="DNI"/>
    <n v="24534584"/>
    <s v="20245345845"/>
    <d v="1975-06-30T00:00:00"/>
    <m/>
    <m/>
    <m/>
    <m/>
    <s v="ASISTENCIA TÉCNICA"/>
    <s v="AT"/>
    <d v="2013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"/>
    <x v="2"/>
    <m/>
    <m/>
    <s v="MANTENIMIENTO DE ESPACIOS VERDES"/>
    <m/>
    <s v="TECNOPOLIS"/>
    <s v="SILVA CRISTHIAN LUIS"/>
    <s v="DNI"/>
    <n v="40166060"/>
    <s v="20401660608"/>
    <d v="1997-04-03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CONTENIDOS DIGITALES ABIERTOS CDA"/>
    <s v="ADMINISTRATIVO"/>
    <s v="CABILDO 65"/>
    <s v="CABILDO 65"/>
    <s v="SILVA URTISA CARLOS"/>
    <s v="DNI"/>
    <n v="95147687"/>
    <s v="20951476871"/>
    <d v="1986-01-14T00:00:00"/>
    <m/>
    <m/>
    <m/>
    <m/>
    <s v="ASISTENCIA TÉCNICA"/>
    <s v="AT"/>
    <d v="2014-02-15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10"/>
    <m/>
    <m/>
    <s v="VISITAS GUIADAS"/>
    <m/>
    <s v="CCK - Alem 351"/>
    <s v="SILVENTE FACUNDO"/>
    <s v="DNI"/>
    <n v="34247889"/>
    <n v="20342578897"/>
    <d v="1988-12-21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1"/>
    <x v="7"/>
    <x v="2"/>
    <x v="2"/>
    <m/>
    <s v="PRIVADA"/>
    <s v="ADMINISTRATIVO"/>
    <m/>
    <s v="CCK - Alem 351"/>
    <s v="SIMONIAN JUAN MANUEL"/>
    <s v="DNI"/>
    <n v="32064205"/>
    <n v="20320642052"/>
    <d v="1985-12-17T00:00:00"/>
    <m/>
    <m/>
    <m/>
    <m/>
    <s v="ASISTENCIA TÉCNICA"/>
    <s v="AT"/>
    <d v="2016-06-01T00:00:00"/>
    <m/>
    <d v="2016-08-31T00:00:00"/>
    <m/>
    <s v="UNTREF"/>
    <m/>
    <m/>
    <n v="1070"/>
    <n v="1170"/>
    <n v="0"/>
    <m/>
  </r>
  <r>
    <s v="SFMyCP"/>
    <x v="0"/>
    <x v="1"/>
    <x v="1"/>
    <x v="2"/>
    <x v="2"/>
    <m/>
    <s v="ASISTENTE COORD SUR"/>
    <s v="ADMINISTRATIVO"/>
    <m/>
    <s v="CCK - Alem 351"/>
    <s v="SMOCOCICH ADRIANO DUILIO"/>
    <s v="DNI"/>
    <n v="12315305"/>
    <n v="20123153058"/>
    <d v="1958-05-16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1"/>
    <x v="0"/>
    <x v="5"/>
    <x v="25"/>
    <x v="2"/>
    <m/>
    <s v="Analista"/>
    <m/>
    <s v="CCK"/>
    <m/>
    <s v="SOBRINO LUCIANA YAMILA"/>
    <s v="DNI"/>
    <n v="29064222"/>
    <n v="27290642227"/>
    <m/>
    <m/>
    <m/>
    <m/>
    <m/>
    <s v="LEY MARCO"/>
    <s v="LM"/>
    <d v="2012-12-01T00:00:00"/>
    <d v="2016-12-31T00:00:00"/>
    <d v="2016-12-31T00:00:00"/>
    <s v="B1"/>
    <m/>
    <m/>
    <n v="1000"/>
    <m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SOIMER ISAAC "/>
    <s v="DNI"/>
    <n v="11721717"/>
    <s v="20117217176"/>
    <d v="1955-11-08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SOIMER NICOLAS"/>
    <s v="DNI"/>
    <n v="37992277"/>
    <s v="20379922776"/>
    <d v="1994-01-04T00:00:00"/>
    <m/>
    <m/>
    <m/>
    <m/>
    <s v="ASISTENCIA TÉCNICA"/>
    <s v="AT"/>
    <d v="2015-05-15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"/>
    <x v="1"/>
    <m/>
    <m/>
    <s v="ADMINISTRATIVO"/>
    <s v="CCK"/>
    <s v="CCK - Alem 351"/>
    <s v="SOLARZ, VALERIA"/>
    <s v="DNI"/>
    <n v="23123972"/>
    <s v="27231239729"/>
    <d v="1972-12-2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SOLIZ MIGUEL"/>
    <s v="DNI"/>
    <n v="22809362"/>
    <n v="23228093629"/>
    <d v="1972-10-30T00:00:00"/>
    <m/>
    <m/>
    <m/>
    <m/>
    <s v="ASISTENCIA TÉCNICA"/>
    <s v="AT"/>
    <d v="2011-09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4"/>
    <x v="2"/>
    <m/>
    <s v="COCINA"/>
    <s v="LIMPIEZA GENERAL DEL PARQUE"/>
    <s v="TECNÓPOLIS"/>
    <s v="TECNOPOLIS"/>
    <s v="SOLODUJIN DANIEL DE LOS SANTOS"/>
    <s v="DNI"/>
    <n v="38353774"/>
    <s v="20383537747"/>
    <d v="1994-11-01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3"/>
    <x v="2"/>
    <m/>
    <m/>
    <m/>
    <s v="TECNÓPOLIS"/>
    <m/>
    <s v="SOLODUJIN Noelia Edith"/>
    <s v="DNI"/>
    <n v="34263994"/>
    <n v="27342639947"/>
    <m/>
    <m/>
    <m/>
    <m/>
    <m/>
    <s v="LEY MARCO"/>
    <s v="LM"/>
    <d v="2011-12-01T00:00:00"/>
    <d v="2016-12-31T00:00:00"/>
    <d v="2016-12-31T00:00:00"/>
    <s v="D1"/>
    <m/>
    <m/>
    <n v="1000"/>
    <m/>
    <n v="1170"/>
    <n v="1310"/>
    <n v="1310"/>
  </r>
  <r>
    <s v="SFMyCP"/>
    <x v="1"/>
    <x v="0"/>
    <x v="5"/>
    <x v="29"/>
    <x v="2"/>
    <m/>
    <s v="Analista"/>
    <s v="ADMINISTRATIVO"/>
    <s v="CCK"/>
    <s v="CCK - Alem 351"/>
    <s v="GABIOUD SNÖBOHM AGUSTINA"/>
    <s v="DNI"/>
    <n v="34888306"/>
    <n v="27348883068"/>
    <d v="1989-11-12T00:00:00"/>
    <m/>
    <m/>
    <m/>
    <m/>
    <s v="ASISTENCIA TÉCNICA"/>
    <s v="AT"/>
    <d v="2016-08-01T00:00:00"/>
    <m/>
    <d v="2016-12-31T00:00:00"/>
    <m/>
    <s v="UNTREF"/>
    <m/>
    <m/>
    <m/>
    <m/>
    <n v="0"/>
    <n v="0"/>
  </r>
  <r>
    <s v="SFMyCP"/>
    <x v="0"/>
    <x v="0"/>
    <x v="8"/>
    <x v="1"/>
    <x v="2"/>
    <m/>
    <m/>
    <m/>
    <s v="CCK"/>
    <s v="CCK - Alem 351"/>
    <s v="SOSA  Lucas Tomas"/>
    <s v="DNI"/>
    <n v="31722364"/>
    <n v="20317223642"/>
    <m/>
    <m/>
    <m/>
    <m/>
    <m/>
    <s v="LEY MARCO"/>
    <s v="LM"/>
    <d v="2012-07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SOSA LUNA JUAN MARIO"/>
    <s v="DNI"/>
    <n v="30160785"/>
    <s v="20301607858"/>
    <d v="1983-05-19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44"/>
    <x v="2"/>
    <m/>
    <m/>
    <m/>
    <s v="TECNÓPOLIS"/>
    <m/>
    <s v="SOTELO David Antonio"/>
    <s v="DNI"/>
    <n v="20979830"/>
    <n v="20209798302"/>
    <m/>
    <m/>
    <m/>
    <m/>
    <m/>
    <s v="LEY MARCO"/>
    <s v="LM"/>
    <d v="2011-08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SOTELO YONATHAN DAVID"/>
    <s v="DNI"/>
    <n v="36179996"/>
    <s v="20361799969"/>
    <d v="1993-05-10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3"/>
    <s v="LOGISTICA OPERATIVA"/>
    <s v="Responsable"/>
    <s v="OPERATIVA Y LOGISTICA"/>
    <s v="CCK"/>
    <s v="CCK - Alem 351"/>
    <s v="SOTO JONATAN"/>
    <s v="DNI"/>
    <n v="32604554"/>
    <s v="20326045544"/>
    <d v="1986-08-19T00:00:00"/>
    <m/>
    <m/>
    <m/>
    <m/>
    <s v="ASISTENCIA TÉCNICA"/>
    <s v="AT"/>
    <d v="2015-04-18T00:00:00"/>
    <m/>
    <d v="2016-12-31T00:00:00"/>
    <m/>
    <s v="UNTREF"/>
    <s v="UNLAM -TDA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SOTOMAYOR ARIEL"/>
    <s v="DNI"/>
    <n v="28969270"/>
    <s v="20289692704"/>
    <d v="1981-12-13T00:00:00"/>
    <m/>
    <m/>
    <m/>
    <m/>
    <s v="ASISTENCIA TÉCNICA"/>
    <s v="AT"/>
    <d v="2015-03-02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5"/>
    <x v="7"/>
    <m/>
    <s v="Asistente Técnico Administrativo"/>
    <s v="ADMINISTRATIVO"/>
    <s v="CCK"/>
    <s v="CCK - Alem 351"/>
    <s v="SPEAKE RANDY"/>
    <s v="DNI"/>
    <n v="35897637"/>
    <n v="23358976379"/>
    <d v="1992-04-29T00:00:00"/>
    <m/>
    <m/>
    <m/>
    <m/>
    <s v="ASISTENCIA TÉCNICA"/>
    <s v="AT"/>
    <m/>
    <m/>
    <d v="2016-12-31T00:00:00"/>
    <m/>
    <s v="UNTREF"/>
    <s v="UNLAM -TDA"/>
    <n v="1000"/>
    <n v="1070"/>
    <n v="1170"/>
    <n v="1310"/>
    <n v="1310"/>
  </r>
  <r>
    <s v="SFMyCP"/>
    <x v="1"/>
    <x v="0"/>
    <x v="2"/>
    <x v="2"/>
    <x v="2"/>
    <m/>
    <s v="PRIVADA"/>
    <s v="ADMINISTRATIVO"/>
    <m/>
    <s v="CCK - Alem 351"/>
    <s v="SPOSITO, LUCAS"/>
    <s v="DNI"/>
    <n v="35161090"/>
    <s v="20351610906"/>
    <d v="1990-03-23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23"/>
    <x v="2"/>
    <m/>
    <s v="Tareas Generales"/>
    <s v="TAREAS EN GENERAL TALLER CARPINTERIA/HERRERÍA/TEXTIL"/>
    <s v="TECNÓPOLIS"/>
    <m/>
    <s v="SPROVIERO TAMARA VANINA"/>
    <s v="DNI"/>
    <n v="34154916"/>
    <n v="27341549162"/>
    <d v="1988-03-22T00:00:00"/>
    <m/>
    <m/>
    <m/>
    <m/>
    <s v="ASISTENCIA TÉCNICA"/>
    <s v="CO"/>
    <m/>
    <m/>
    <d v="2016-12-31T00:00:00"/>
    <m/>
    <s v="UNTREF"/>
    <s v="UNTREF"/>
    <n v="1000"/>
    <n v="1070"/>
    <n v="1170"/>
    <n v="1310"/>
    <n v="1310"/>
  </r>
  <r>
    <s v="SFMyCP"/>
    <x v="0"/>
    <x v="1"/>
    <x v="1"/>
    <x v="30"/>
    <x v="2"/>
    <m/>
    <s v="Asistente"/>
    <s v="Asistente"/>
    <m/>
    <s v="CCK - Alem 351"/>
    <s v="SUAREZ AGUSTINA"/>
    <s v="DNI"/>
    <n v="24270144"/>
    <s v="27242701440"/>
    <d v="1974-10-24T00:00:00"/>
    <m/>
    <m/>
    <m/>
    <m/>
    <s v="ASISTENCIA TÉCNICA"/>
    <s v="AT"/>
    <d v="2016-04-01T00:00:00"/>
    <m/>
    <d v="2016-12-31T00:00:00"/>
    <m/>
    <s v="UNTREF"/>
    <m/>
    <n v="1000"/>
    <n v="1070"/>
    <n v="1170"/>
    <n v="1310"/>
    <n v="1310"/>
  </r>
  <r>
    <s v="SFMyCP"/>
    <x v="1"/>
    <x v="0"/>
    <x v="5"/>
    <x v="16"/>
    <x v="11"/>
    <s v="AUTOMOTORES"/>
    <s v="CHOFER"/>
    <m/>
    <s v="CCK"/>
    <m/>
    <s v="SUAREZ JUAN CARLOS"/>
    <s v="DNI"/>
    <n v="26688463"/>
    <n v="20266884630"/>
    <m/>
    <m/>
    <m/>
    <m/>
    <m/>
    <s v="LEY MARCO"/>
    <s v="LM"/>
    <d v="2014-12-01T00:00:00"/>
    <d v="2016-03-31T00:00:00"/>
    <d v="2016-12-31T00:00:00"/>
    <s v="D0"/>
    <m/>
    <m/>
    <n v="1000"/>
    <m/>
    <n v="1170"/>
    <n v="1310"/>
    <n v="1310"/>
  </r>
  <r>
    <s v="SFMyCP"/>
    <x v="0"/>
    <x v="1"/>
    <x v="3"/>
    <x v="3"/>
    <x v="2"/>
    <m/>
    <m/>
    <m/>
    <s v="TECNÓPOLIS"/>
    <m/>
    <s v="SUAREZ Laura Beatriz"/>
    <s v="DNI"/>
    <n v="20715776"/>
    <n v="27207157762"/>
    <m/>
    <m/>
    <m/>
    <m/>
    <m/>
    <s v="LEY MARCO"/>
    <s v="LM"/>
    <d v="2012-10-3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3"/>
    <x v="2"/>
    <m/>
    <m/>
    <s v="LIMPIEZA GENERAL DEL PARQUE"/>
    <s v="TECNÓPOLIS"/>
    <s v="TECNOPOLIS"/>
    <s v="SUAREZ LUCAS ALEJANDRO"/>
    <s v="DNI"/>
    <n v="38354730"/>
    <s v="20383547300"/>
    <d v="1994-07-21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26"/>
    <x v="19"/>
    <m/>
    <m/>
    <s v="ADMINISTRATIVO"/>
    <m/>
    <s v="CCK - Alem 351"/>
    <s v="SUAREZ ROBERTO DANIEL"/>
    <s v="DNI"/>
    <n v="12908061"/>
    <n v="20129080613"/>
    <d v="1958-09-02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0"/>
    <x v="0"/>
    <x v="8"/>
    <x v="6"/>
    <m/>
    <s v="POSTPRODUCCIÓN"/>
    <s v="EDICION"/>
    <s v="CABILDO 65"/>
    <s v="CABILDO 65"/>
    <s v="SUAREZ RUBIO IGNACIO"/>
    <s v="DNI"/>
    <n v="31270453"/>
    <s v="20312704537"/>
    <d v="1984-10-29T00:00:00"/>
    <m/>
    <m/>
    <m/>
    <m/>
    <s v="ASISTENCIA TÉCNICA"/>
    <s v="AT"/>
    <d v="2015-04-01T00:00:00"/>
    <m/>
    <d v="2016-12-31T00:00:00"/>
    <m/>
    <s v="UNTREF"/>
    <m/>
    <n v="1000"/>
    <n v="1000"/>
    <n v="1170"/>
    <n v="1310"/>
    <n v="1310"/>
  </r>
  <r>
    <s v="SFMyCP"/>
    <x v="0"/>
    <x v="1"/>
    <x v="1"/>
    <x v="15"/>
    <x v="2"/>
    <m/>
    <s v="Analista"/>
    <m/>
    <s v="CCK"/>
    <m/>
    <s v="SUIFFET ANA CLARA"/>
    <s v="DNI"/>
    <n v="28013886"/>
    <n v="27280138865"/>
    <m/>
    <m/>
    <m/>
    <m/>
    <m/>
    <s v="LEY MARCO"/>
    <s v="LM"/>
    <d v="2009-03-01T00:00:00"/>
    <d v="2016-12-31T00:00:00"/>
    <d v="2016-12-31T00:00:00"/>
    <s v="B0"/>
    <m/>
    <m/>
    <n v="1000"/>
    <m/>
    <n v="1170"/>
    <n v="1310"/>
    <n v="1310"/>
  </r>
  <r>
    <s v="SFMyCP"/>
    <x v="0"/>
    <x v="1"/>
    <x v="7"/>
    <x v="2"/>
    <x v="2"/>
    <m/>
    <s v="PRIVADA"/>
    <s v="ADMINISTRATIVO"/>
    <m/>
    <s v="CCK - Alem 351"/>
    <s v="SUMMA RODRIGO EZEQUIEL"/>
    <s v="DNI"/>
    <n v="25989420"/>
    <n v="20259894205"/>
    <d v="1977-08-02T00:00:00"/>
    <m/>
    <m/>
    <m/>
    <m/>
    <s v="ASISTENCIA TÉCNICA"/>
    <s v="AT"/>
    <m/>
    <m/>
    <d v="2016-12-31T00:00:00"/>
    <m/>
    <s v="UNTREF"/>
    <m/>
    <m/>
    <m/>
    <n v="1170"/>
    <n v="0"/>
    <n v="0"/>
  </r>
  <r>
    <s v="SFMyCP"/>
    <x v="0"/>
    <x v="1"/>
    <x v="1"/>
    <x v="13"/>
    <x v="2"/>
    <m/>
    <m/>
    <m/>
    <s v="CCK"/>
    <s v="CCK - Alem 351"/>
    <s v="SZENKIERMAN,  Laura Gisela"/>
    <s v="DNI"/>
    <n v="28076813"/>
    <n v="27280768133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5"/>
    <x v="24"/>
    <m/>
    <m/>
    <m/>
    <m/>
    <m/>
    <s v="SZMULEWICZ DEMIAN"/>
    <s v="DNI"/>
    <n v="26352654"/>
    <n v="20263526547"/>
    <m/>
    <m/>
    <m/>
    <m/>
    <m/>
    <s v="LEY MARCO"/>
    <s v="LM"/>
    <d v="2008-02-01T00:00:00"/>
    <d v="2016-12-31T00:00:00"/>
    <d v="2016-12-31T00:00:00"/>
    <s v="B2"/>
    <m/>
    <s v="B2"/>
    <m/>
    <m/>
    <n v="1170"/>
    <n v="0"/>
    <n v="0"/>
  </r>
  <r>
    <s v="SFMyCP"/>
    <x v="0"/>
    <x v="0"/>
    <x v="0"/>
    <x v="8"/>
    <x v="6"/>
    <m/>
    <s v="PRODUCCIÓN"/>
    <s v="PRODUCTOR de EXTERIORES"/>
    <s v="CABILDO 65"/>
    <s v="CABILDO 65"/>
    <s v="TABAREZ VIDECKIS NICOLAS"/>
    <s v="DNI"/>
    <n v="27419365"/>
    <s v="20274193655"/>
    <d v="1979-07-23T00:00:00"/>
    <m/>
    <m/>
    <m/>
    <m/>
    <s v="ASISTENCIA TÉCNICA"/>
    <s v="AT"/>
    <d v="2012-05-01T00:00:00"/>
    <m/>
    <d v="2016-12-31T00:00:00"/>
    <m/>
    <s v="UNTREF"/>
    <m/>
    <n v="1000"/>
    <n v="1000"/>
    <n v="1170"/>
    <n v="1310"/>
    <n v="1310"/>
  </r>
  <r>
    <s v="SFMyCP"/>
    <x v="1"/>
    <x v="0"/>
    <x v="5"/>
    <x v="16"/>
    <x v="8"/>
    <m/>
    <s v="RECURSOS HUMANOS"/>
    <m/>
    <s v="CABILDO 65"/>
    <m/>
    <s v="TAGARELLI CARLA MARIA"/>
    <s v="DNI"/>
    <n v="22110046"/>
    <n v="27221100463"/>
    <m/>
    <m/>
    <m/>
    <m/>
    <m/>
    <s v="LEY MARCO"/>
    <s v="LM"/>
    <d v="2013-12-01T00:00:00"/>
    <d v="2016-03-31T00:00:00"/>
    <d v="2016-12-31T00:00:00"/>
    <s v="B0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TARDITTI, EDUARDO JORGE"/>
    <s v="DNI"/>
    <n v="6560219"/>
    <s v="23065602199"/>
    <d v="1947-07-07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16"/>
    <x v="16"/>
    <m/>
    <s v="Analista de RR.HH."/>
    <s v="ADMINISTRATIVO"/>
    <s v="CCK"/>
    <s v="CCK - Alem 351"/>
    <s v="TELLO LUCÍA"/>
    <s v="DNI"/>
    <n v="36637604"/>
    <s v="27366376041"/>
    <d v="1991-11-13T00:00:00"/>
    <m/>
    <m/>
    <m/>
    <m/>
    <s v="ASISTENCIA TÉCNICA"/>
    <s v="AT"/>
    <d v="2014-11-01T00:00:00"/>
    <m/>
    <d v="2016-12-31T00:00:00"/>
    <m/>
    <s v="UNTREF"/>
    <s v="UNLAM -TDA"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TENEGLIA JOSE"/>
    <s v="DNI"/>
    <n v="24007592"/>
    <s v="20240075920"/>
    <d v="1974-07-22T00:00:00"/>
    <m/>
    <m/>
    <m/>
    <m/>
    <s v="ASISTENCIA TÉCNICA"/>
    <s v="AT"/>
    <d v="2012-06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29"/>
    <x v="2"/>
    <m/>
    <s v="ADMINISTRACIÓN"/>
    <s v="ADMINISTRATIVO"/>
    <s v="CCK"/>
    <s v="CCK - Alem 351"/>
    <s v="TEVES NANCY FLORENCIA"/>
    <s v="DNI"/>
    <n v="32690517"/>
    <s v="27326905173"/>
    <d v="1986-09-30T00:00:00"/>
    <m/>
    <m/>
    <m/>
    <m/>
    <s v="ASISTENCIA TÉCNICA"/>
    <s v="AT"/>
    <d v="2013-03-01T00:00:00"/>
    <m/>
    <d v="2016-12-31T00:00:00"/>
    <m/>
    <s v="UNTREF"/>
    <s v="UNSAM- LADA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TEVEZ CAROLINA"/>
    <s v="DNI"/>
    <n v="32022652"/>
    <s v="27320226525"/>
    <d v="1986-01-30T00:00:00"/>
    <m/>
    <m/>
    <m/>
    <m/>
    <s v="ASISTENCIA TÉCNICA"/>
    <s v="AT"/>
    <d v="2015-04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7"/>
    <x v="2"/>
    <m/>
    <s v="ANALISTA"/>
    <s v="ADMINISTRATIVO"/>
    <m/>
    <s v="CCK - Alem 351"/>
    <s v="TOKUMORI MARIA KAMI"/>
    <s v="DNI"/>
    <n v="36990736"/>
    <n v="27369907366"/>
    <d v="1992-03-14T00:00:00"/>
    <m/>
    <m/>
    <m/>
    <m/>
    <s v="ASISTENCIA TÉCNICA"/>
    <s v="AT"/>
    <d v="2016-05-02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ACUA MAYOR"/>
    <s v="ADMINISTRATIVO"/>
    <s v="CABILDO 65"/>
    <s v="CABILDO 65"/>
    <s v="TOLCACHIER NICOLAS"/>
    <s v="DNI"/>
    <n v="24270526"/>
    <s v="20242705263"/>
    <d v="1974-10-18T00:00:00"/>
    <m/>
    <m/>
    <m/>
    <m/>
    <s v="ASISTENCIA TÉCNICA"/>
    <s v="AT"/>
    <d v="2009-11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6"/>
    <x v="2"/>
    <m/>
    <m/>
    <s v="MANTENIMIENTO GRAL DEL PARQUE"/>
    <s v="TECNÓPOLIS"/>
    <s v="TECNOPOLIS"/>
    <s v="TOLEDO CARLOS IVÁN"/>
    <s v="DNI"/>
    <n v="38928395"/>
    <s v="23389283959"/>
    <d v="1995-05-23T00:00:00"/>
    <m/>
    <m/>
    <m/>
    <m/>
    <s v="ASISTENCIA TÉCNICA"/>
    <s v="AT"/>
    <d v="2014-04-01T00:00:00"/>
    <m/>
    <d v="2016-12-31T00:00:00"/>
    <m/>
    <s v="UNTREF"/>
    <s v="UNTREF"/>
    <n v="1000"/>
    <n v="1070"/>
    <n v="1170"/>
    <n v="1310"/>
    <n v="1310"/>
  </r>
  <r>
    <s v="SFMyCP"/>
    <x v="0"/>
    <x v="1"/>
    <x v="1"/>
    <x v="5"/>
    <x v="7"/>
    <m/>
    <s v="Fotografa/o"/>
    <s v="ADMINISTRATIVO"/>
    <s v="CCK"/>
    <s v="CCK - Alem 351"/>
    <s v="TOLEDO WIDENSKY JULIETA"/>
    <s v="DNI"/>
    <n v="35897693"/>
    <s v="27358976935"/>
    <d v="1992-12-12T00:00:00"/>
    <m/>
    <m/>
    <m/>
    <m/>
    <s v="ASISTENCIA TÉCNICA"/>
    <s v="AT"/>
    <d v="2015-08-03T00:00:00"/>
    <m/>
    <d v="2016-12-31T00:00:00"/>
    <m/>
    <s v="UNTREF"/>
    <s v="UNLAM -TDA"/>
    <n v="1000"/>
    <n v="1070"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TORANZO AGUSTIN"/>
    <s v="DNI"/>
    <n v="29752031"/>
    <s v="20297520319"/>
    <d v="1982-09-04T00:00:00"/>
    <m/>
    <m/>
    <m/>
    <m/>
    <s v="ASISTENCIA TÉCNICA"/>
    <s v="AT"/>
    <d v="2012-08-01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19"/>
    <x v="2"/>
    <m/>
    <m/>
    <s v="CONTROL DE ACCESOS/DEPOSITOS DEL PREDIO TURNO NOCHE"/>
    <s v="TECNÓPOLIS"/>
    <s v="TECNOPOLIS"/>
    <s v="TORMANN LUCAS ALEJANDRO"/>
    <s v="DNI"/>
    <n v="39100326"/>
    <s v="20391003263"/>
    <d v="1995-06-11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4"/>
    <x v="2"/>
    <m/>
    <m/>
    <m/>
    <s v="TECNÓPOLIS"/>
    <m/>
    <s v="TORNESE Alejandro Federico"/>
    <s v="DNI"/>
    <n v="12462086"/>
    <n v="20124620865"/>
    <m/>
    <m/>
    <m/>
    <m/>
    <m/>
    <s v="LEY MARCO"/>
    <s v="LM"/>
    <d v="2012-04-01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22"/>
    <x v="2"/>
    <m/>
    <m/>
    <s v="MANTENIMIENTO"/>
    <s v="TECNÓPOLIS"/>
    <s v="TECNOPOLIS"/>
    <s v="TORRES  MAXIMILIANO JOSE"/>
    <s v="DNI"/>
    <n v="28635991"/>
    <s v="20286359915"/>
    <d v="1981-03-08T00:00:00"/>
    <m/>
    <m/>
    <m/>
    <m/>
    <s v="ASISTENCIA TÉCNICA"/>
    <s v="AT"/>
    <d v="2011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TORRES GUSTAVO"/>
    <s v="DNI"/>
    <n v="22006983"/>
    <s v="20220069835"/>
    <d v="1971-03-14T00:00:00"/>
    <m/>
    <m/>
    <m/>
    <m/>
    <s v="ASISTENCIA TÉCNICA"/>
    <s v="AT"/>
    <d v="2012-05-03T00:00:00"/>
    <m/>
    <d v="2016-12-31T00:00:00"/>
    <m/>
    <s v="UNTREF"/>
    <s v="UNSAM- LADA"/>
    <n v="1000"/>
    <n v="1000"/>
    <n v="1170"/>
    <n v="1310"/>
    <n v="1310"/>
  </r>
  <r>
    <s v="SFMyCP"/>
    <x v="0"/>
    <x v="1"/>
    <x v="3"/>
    <x v="19"/>
    <x v="2"/>
    <m/>
    <m/>
    <m/>
    <s v="TECNÓPOLIS"/>
    <m/>
    <s v="TORRES Jorge David"/>
    <s v="DNI"/>
    <n v="36662611"/>
    <n v="20366626116"/>
    <m/>
    <m/>
    <m/>
    <m/>
    <m/>
    <s v="LEY MARCO"/>
    <s v="LM"/>
    <d v="2013-07-01T00:00:00"/>
    <d v="2016-03-31T00:00:00"/>
    <d v="2016-12-31T00:00:00"/>
    <s v="C0"/>
    <m/>
    <m/>
    <n v="1000"/>
    <m/>
    <n v="1170"/>
    <n v="1310"/>
    <n v="1310"/>
  </r>
  <r>
    <s v="SFMyCP"/>
    <x v="1"/>
    <x v="0"/>
    <x v="2"/>
    <x v="2"/>
    <x v="2"/>
    <m/>
    <s v="PRIVADA"/>
    <s v="ADMINISTRATIVO"/>
    <m/>
    <s v="CCK - Alem 351"/>
    <s v="TORRETA, CLAUDIO"/>
    <s v="DNI"/>
    <n v="24291240"/>
    <n v="20242912404"/>
    <d v="1975-04-21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4"/>
    <x v="2"/>
    <m/>
    <m/>
    <s v="CARPINTERO"/>
    <s v="TECNÓPOLIS"/>
    <s v="TECNOPOLIS"/>
    <s v="TORRICO GUTIERREZ ANTONIO FRANCO"/>
    <s v="DNI"/>
    <n v="37141701"/>
    <s v="20371417010"/>
    <d v="1992-12-07T00:00:00"/>
    <m/>
    <m/>
    <m/>
    <m/>
    <s v="ASISTENCIA TÉCNICA"/>
    <s v="AT"/>
    <d v="2014-07-01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RODUCCIÓN"/>
    <m/>
    <m/>
    <m/>
    <s v="TOSCANI LUCAS SEBASTIAN"/>
    <s v="DNI"/>
    <n v="31576451"/>
    <n v="20315764514"/>
    <m/>
    <m/>
    <m/>
    <m/>
    <m/>
    <m/>
    <s v="LM"/>
    <d v="2013-12-01T00:00:00"/>
    <m/>
    <d v="2016-12-31T00:00:00"/>
    <s v="B0"/>
    <m/>
    <m/>
    <m/>
    <m/>
    <n v="1170"/>
    <n v="0"/>
    <n v="0"/>
  </r>
  <r>
    <s v="SFMyCP"/>
    <x v="1"/>
    <x v="0"/>
    <x v="5"/>
    <x v="16"/>
    <x v="11"/>
    <s v="AUTOMOTORES"/>
    <s v="CHOFER"/>
    <m/>
    <s v="CCK"/>
    <m/>
    <s v="TRAPANI ALEJANDRO"/>
    <s v="DNI"/>
    <n v="26787449"/>
    <n v="20267874493"/>
    <m/>
    <m/>
    <m/>
    <m/>
    <m/>
    <s v="LEY MARCO"/>
    <s v="LM"/>
    <d v="2014-12-0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5"/>
    <x v="3"/>
    <s v="LIMPIEZA (En comisión Tecnópolis)"/>
    <s v="Auxiliar"/>
    <s v="OPERATIVA Y LOGISTICA"/>
    <s v="CCK"/>
    <s v="CCK - Alem 351"/>
    <s v="TRESER CARLOS"/>
    <s v="DNI"/>
    <n v="34520527"/>
    <s v="20345205277"/>
    <d v="1989-01-25T00:00:00"/>
    <m/>
    <m/>
    <m/>
    <m/>
    <s v="ASISTENCIA TÉCNICA"/>
    <s v="AT"/>
    <d v="2015-10-10T00:00:00"/>
    <m/>
    <d v="2016-12-31T00:00:00"/>
    <m/>
    <s v="UNTREF"/>
    <s v="UNSAM-MINPLAN"/>
    <n v="1000"/>
    <n v="1070"/>
    <n v="1170"/>
    <n v="1310"/>
    <n v="1310"/>
  </r>
  <r>
    <s v="SFMyCP"/>
    <x v="0"/>
    <x v="0"/>
    <x v="0"/>
    <x v="8"/>
    <x v="6"/>
    <m/>
    <s v="PRENSA Y COMUNICACIÓN"/>
    <m/>
    <s v="CABILDO 65"/>
    <m/>
    <s v="TRICARICO MARCOS DAMIAN"/>
    <s v="DNI"/>
    <n v="17636422"/>
    <n v="20176364220"/>
    <m/>
    <m/>
    <m/>
    <m/>
    <m/>
    <s v="LEY MARCO"/>
    <s v="LM"/>
    <d v="2015-02-01T00:00:00"/>
    <d v="2016-03-31T00:00:00"/>
    <d v="2016-12-31T00:00:00"/>
    <s v="C2"/>
    <m/>
    <m/>
    <n v="1000"/>
    <m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TRONCOSO SAMANTA"/>
    <s v="DNI"/>
    <n v="33220920"/>
    <s v="27332209200"/>
    <d v="1987-09-04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25"/>
    <x v="2"/>
    <m/>
    <s v="Analista"/>
    <m/>
    <s v="CCK"/>
    <m/>
    <s v="TRYBULSKI CHRISTIAN"/>
    <s v="DNI"/>
    <n v="36828254"/>
    <n v="20368282546"/>
    <m/>
    <m/>
    <m/>
    <m/>
    <m/>
    <s v="LEY MARCO"/>
    <s v="LM"/>
    <d v="2011-11-15T00:00:00"/>
    <d v="2016-12-31T00:00:00"/>
    <d v="2016-12-31T00:00:00"/>
    <s v="C1"/>
    <m/>
    <m/>
    <n v="1000"/>
    <m/>
    <n v="1170"/>
    <n v="1310"/>
    <n v="1310"/>
  </r>
  <r>
    <s v="SFMyCP"/>
    <x v="2"/>
    <x v="0"/>
    <x v="4"/>
    <x v="2"/>
    <x v="2"/>
    <m/>
    <m/>
    <s v="ADMINISTRATIVO"/>
    <s v="CCK"/>
    <s v="CCK - Alem 351"/>
    <s v="TUZIEKIEVICZ GABRIELA"/>
    <s v="DNI"/>
    <n v="23044714"/>
    <s v="23230447144"/>
    <d v="1973-08-06T00:00:00"/>
    <m/>
    <m/>
    <m/>
    <m/>
    <s v="ASISTENCIA TÉCNICA"/>
    <s v="AT"/>
    <d v="2014-12-04T00:00:00"/>
    <m/>
    <d v="2016-12-31T00:00:00"/>
    <m/>
    <s v="UNTREF"/>
    <s v="UNLAM- TDA"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UASSOUF GURMAN GABRIELA"/>
    <s v="DNI"/>
    <n v="33626355"/>
    <s v="27336263552"/>
    <d v="1988-03-01T00:00:00"/>
    <m/>
    <m/>
    <m/>
    <m/>
    <s v="ASISTENCIA TÉCNICA"/>
    <s v="AT"/>
    <d v="2013-06-01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15"/>
    <x v="10"/>
    <m/>
    <m/>
    <s v="VISITAS GUIADAS"/>
    <m/>
    <s v="CCK - Alem 351"/>
    <s v="ULRICH INGRID"/>
    <s v="DNI"/>
    <n v="33021998"/>
    <n v="27330219985"/>
    <d v="1987-05-14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4"/>
    <m/>
    <s v="PRODUCCIÓN"/>
    <s v="PRODUCTOR de EXTERIORES"/>
    <s v="CABILDO 65"/>
    <s v="CABILDO 65"/>
    <s v="ULRICH SEBASTIAN"/>
    <s v="DNI"/>
    <n v="24515306"/>
    <s v="20245153067"/>
    <d v="1975-03-06T00:00:00"/>
    <m/>
    <m/>
    <m/>
    <m/>
    <s v="ASISTENCIA TÉCNICA"/>
    <s v="AT"/>
    <d v="2013-05-01T00:00:00"/>
    <m/>
    <d v="2016-12-31T00:00:00"/>
    <m/>
    <s v="UNTREF"/>
    <m/>
    <n v="1000"/>
    <n v="1070"/>
    <n v="1170"/>
    <n v="1310"/>
    <n v="1310"/>
  </r>
  <r>
    <s v="SFMyCP"/>
    <x v="0"/>
    <x v="1"/>
    <x v="1"/>
    <x v="5"/>
    <x v="17"/>
    <m/>
    <s v="Coordinador de Dto"/>
    <m/>
    <s v="CCK"/>
    <m/>
    <s v="UMPIERREZ MANUEL"/>
    <s v="DNI"/>
    <n v="92821036"/>
    <n v="20928210368"/>
    <m/>
    <m/>
    <m/>
    <m/>
    <m/>
    <s v="LEY MARCO"/>
    <s v="LM"/>
    <d v="2015-06-01T00:00:00"/>
    <d v="2016-03-31T00:00:00"/>
    <d v="2016-12-31T00:00:00"/>
    <s v="C1"/>
    <m/>
    <m/>
    <n v="1000"/>
    <m/>
    <n v="1170"/>
    <n v="1310"/>
    <n v="1310"/>
  </r>
  <r>
    <s v="SFMyCP"/>
    <x v="0"/>
    <x v="0"/>
    <x v="0"/>
    <x v="8"/>
    <x v="4"/>
    <m/>
    <s v="POSTPRODUCCIÓN"/>
    <s v="ADMINISTRATIVO"/>
    <s v="CABILDO 65"/>
    <s v="CABILDO 65"/>
    <s v="URTIAGA VICTOR"/>
    <s v="DNI"/>
    <n v="25201218"/>
    <s v="20252012185"/>
    <d v="1976-02-17T00:00:00"/>
    <m/>
    <m/>
    <m/>
    <m/>
    <s v="ASISTENCIA TÉCNICA"/>
    <s v="AT"/>
    <d v="2011-07-01T00:00:00"/>
    <m/>
    <d v="2016-12-31T00:00:00"/>
    <m/>
    <s v="UNTREF"/>
    <s v="UNSAM- LADA"/>
    <n v="1000"/>
    <n v="1000"/>
    <n v="1170"/>
    <n v="1310"/>
    <n v="1310"/>
  </r>
  <r>
    <s v="SFMyCP"/>
    <x v="0"/>
    <x v="0"/>
    <x v="6"/>
    <x v="11"/>
    <x v="2"/>
    <m/>
    <s v="DIRECTOR"/>
    <s v="ADMINISTRATIVO"/>
    <m/>
    <s v="CCK - Alem 351"/>
    <s v="URTIAGA, GABRIELA"/>
    <s v="DNI"/>
    <n v="25452505"/>
    <s v="27254525052"/>
    <d v="1976-07-2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38"/>
    <x v="2"/>
    <m/>
    <s v="ADMINISTRATIVO"/>
    <m/>
    <s v="TECNÓPOLIS"/>
    <m/>
    <s v="USTARES Matias Nicolas"/>
    <s v="DNI"/>
    <n v="36636933"/>
    <n v="20366369334"/>
    <m/>
    <m/>
    <m/>
    <m/>
    <m/>
    <s v="LEY MARCO"/>
    <s v="LM"/>
    <d v="2012-05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15"/>
    <x v="2"/>
    <m/>
    <s v="Analista"/>
    <m/>
    <s v="CCK"/>
    <m/>
    <s v="VALDOVINO CARMEN"/>
    <s v="DNI"/>
    <n v="23354383"/>
    <n v="27233543832"/>
    <m/>
    <m/>
    <m/>
    <m/>
    <m/>
    <s v="LEY MARCO"/>
    <s v="LM"/>
    <d v="2008-02-01T00:00:00"/>
    <d v="2016-12-31T00:00:00"/>
    <d v="2016-12-31T00:00:00"/>
    <s v="B2"/>
    <m/>
    <m/>
    <n v="1000"/>
    <m/>
    <n v="1170"/>
    <n v="1310"/>
    <n v="1310"/>
  </r>
  <r>
    <s v="SFMyCP"/>
    <x v="0"/>
    <x v="1"/>
    <x v="1"/>
    <x v="5"/>
    <x v="5"/>
    <m/>
    <s v="ASISTENTE"/>
    <s v="ADMINISTRATIVO"/>
    <s v="CCK"/>
    <s v="CCK - Alem 351"/>
    <s v="VALLADARES CANDELA"/>
    <s v="DNI"/>
    <n v="34000534"/>
    <s v="27340005347"/>
    <d v="1988-08-03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1"/>
    <x v="0"/>
    <x v="5"/>
    <x v="16"/>
    <x v="16"/>
    <m/>
    <m/>
    <s v="ADMINISTRATIVO"/>
    <m/>
    <s v="CCK - Alem 351"/>
    <s v="VALLONE ORNELLA PAULA"/>
    <s v="DNI"/>
    <n v="39056311"/>
    <s v="27390563111"/>
    <d v="1995-05-14T00:00:00"/>
    <m/>
    <m/>
    <m/>
    <m/>
    <s v="ASISTENCIA TÉCNICA"/>
    <s v="AT"/>
    <d v="2014-04-01T00:00:00"/>
    <m/>
    <d v="2016-12-31T00:00:00"/>
    <m/>
    <s v="UNTREF"/>
    <m/>
    <n v="1000"/>
    <n v="1070"/>
    <n v="1170"/>
    <n v="1310"/>
    <n v="1310"/>
  </r>
  <r>
    <s v="SFMyCP"/>
    <x v="0"/>
    <x v="1"/>
    <x v="3"/>
    <x v="4"/>
    <x v="2"/>
    <m/>
    <s v="COCINA"/>
    <m/>
    <s v="TECNÓPOLIS"/>
    <m/>
    <s v="VANVICHA Laura Andrea"/>
    <s v="DNI"/>
    <n v="27183180"/>
    <n v="27271831809"/>
    <m/>
    <m/>
    <m/>
    <m/>
    <m/>
    <s v="LEY MARCO"/>
    <s v="LM"/>
    <d v="2013-12-01T00:00:00"/>
    <d v="2016-03-31T00:00:00"/>
    <d v="2016-12-31T00:00:00"/>
    <s v="C1"/>
    <m/>
    <m/>
    <n v="1000"/>
    <m/>
    <n v="1170"/>
    <n v="1310"/>
    <n v="1310"/>
  </r>
  <r>
    <s v="SFMyCP"/>
    <x v="0"/>
    <x v="1"/>
    <x v="1"/>
    <x v="10"/>
    <x v="2"/>
    <m/>
    <m/>
    <s v="ADMINISTRATIVA"/>
    <m/>
    <s v="CCK - Alem 351"/>
    <s v="VARELA INES"/>
    <s v="DNI"/>
    <n v="31963237"/>
    <s v="27319632374"/>
    <d v="1985-11-28T00:00:00"/>
    <m/>
    <m/>
    <m/>
    <m/>
    <s v="ASISTENCIA TÉCNICA"/>
    <s v="AT"/>
    <d v="2016-05-01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m/>
    <s v="TÉCNICA Y TRANSMISIÓN"/>
    <s v="ADMINISTRATIVO"/>
    <s v="CABILDO 65"/>
    <s v="CABILDO 65"/>
    <s v="VARELA PABLO"/>
    <s v="DNI"/>
    <n v="31982264"/>
    <s v="20319822640"/>
    <d v="1986-03-03T00:00:00"/>
    <m/>
    <m/>
    <m/>
    <m/>
    <s v="ASISTENCIA TÉCNICA"/>
    <s v="AT"/>
    <d v="2013-12-12T00:00:00"/>
    <m/>
    <d v="2016-12-31T00:00:00"/>
    <m/>
    <s v="UNTREF"/>
    <s v="UNSAM- LADA"/>
    <n v="1000"/>
    <n v="1000"/>
    <n v="1170"/>
    <n v="1310"/>
    <n v="1310"/>
  </r>
  <r>
    <s v="SFMyCP"/>
    <x v="0"/>
    <x v="1"/>
    <x v="1"/>
    <x v="5"/>
    <x v="13"/>
    <s v="LIMPIEZA (En comisión Tecnópolis)"/>
    <s v="ASISTENTE"/>
    <s v="Asistente "/>
    <s v="CCK"/>
    <s v="CCK - Alem 351"/>
    <s v="VARGAS NANCY PATRICIA"/>
    <s v="DNI"/>
    <n v="34019229"/>
    <s v="27340192295"/>
    <d v="1988-10-19T00:00:00"/>
    <m/>
    <m/>
    <m/>
    <m/>
    <s v="ASISTENCIA TÉCNICA"/>
    <s v="AT"/>
    <d v="2015-06-10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16"/>
    <x v="16"/>
    <s v="COMUNICACIÓN"/>
    <s v="DISEÑO"/>
    <m/>
    <s v="CCK"/>
    <m/>
    <s v="VAZQUEZ JAVIER ALEJANDRO"/>
    <s v="DNI"/>
    <n v="28695587"/>
    <n v="20286955879"/>
    <m/>
    <m/>
    <m/>
    <m/>
    <m/>
    <s v="LEY MARCO"/>
    <s v="LM"/>
    <d v="2015-02-01T00:00:00"/>
    <d v="2016-03-31T00:00:00"/>
    <d v="2016-12-31T00:00:00"/>
    <s v="C4"/>
    <m/>
    <m/>
    <n v="1000"/>
    <m/>
    <n v="1170"/>
    <n v="1310"/>
    <n v="1310"/>
  </r>
  <r>
    <s v="SFMyCP"/>
    <x v="0"/>
    <x v="0"/>
    <x v="6"/>
    <x v="11"/>
    <x v="2"/>
    <m/>
    <m/>
    <m/>
    <m/>
    <m/>
    <s v="VAZQUEZ NIEVES"/>
    <s v="DNI"/>
    <n v="21796620"/>
    <n v="27217966200"/>
    <m/>
    <m/>
    <m/>
    <m/>
    <m/>
    <m/>
    <s v="AT"/>
    <d v="2016-08-01T00:00:00"/>
    <m/>
    <d v="2016-10-30T00:00:00"/>
    <m/>
    <s v="UNTREF"/>
    <m/>
    <m/>
    <m/>
    <m/>
    <n v="0"/>
    <n v="1310"/>
  </r>
  <r>
    <s v="SFMyCP"/>
    <x v="0"/>
    <x v="1"/>
    <x v="1"/>
    <x v="5"/>
    <x v="3"/>
    <s v="LIMPIEZA (En comisión Tecnópolis)"/>
    <s v="Auxiliar"/>
    <s v="OPERATIVA Y LOGISTICA"/>
    <s v="CCK"/>
    <s v="CCK - Alem 351"/>
    <s v="VEDOYA EMANUEL"/>
    <s v="DNI"/>
    <n v="37345492"/>
    <s v="20373454924"/>
    <d v="1993-03-23T00:00:00"/>
    <m/>
    <m/>
    <m/>
    <m/>
    <s v="ASISTENCIA TÉCNICA"/>
    <s v="AT"/>
    <d v="2015-06-10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CONTENIDOS DIGITALES ABIERTOS CDA"/>
    <s v="ADMINISTRATIVO"/>
    <s v="CABILDO 65"/>
    <s v="CABILDO 65"/>
    <s v="VEGA VICTOR"/>
    <s v="DNI"/>
    <n v="21094516"/>
    <s v="20210945165"/>
    <d v="1969-10-14T00:00:00"/>
    <m/>
    <m/>
    <m/>
    <m/>
    <s v="ASISTENCIA TÉCNICA"/>
    <s v="AT"/>
    <d v="2011-11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6"/>
    <x v="16"/>
    <m/>
    <m/>
    <m/>
    <m/>
    <m/>
    <s v="VEGEZZI NICOLAS HERNAN"/>
    <s v="DNI"/>
    <n v="29194068"/>
    <n v="20291940685"/>
    <m/>
    <m/>
    <m/>
    <m/>
    <m/>
    <m/>
    <s v="LM"/>
    <d v="2008-09-01T00:00:00"/>
    <m/>
    <d v="2016-12-31T00:00:00"/>
    <s v="C1"/>
    <m/>
    <m/>
    <n v="1000"/>
    <m/>
    <n v="1170"/>
    <n v="1310"/>
    <n v="1310"/>
  </r>
  <r>
    <s v="SFMyCP"/>
    <x v="0"/>
    <x v="0"/>
    <x v="0"/>
    <x v="0"/>
    <x v="0"/>
    <m/>
    <s v="ANIMACION"/>
    <s v="ANALISTA"/>
    <s v="PALPALÁ-JUJUY"/>
    <s v="PALPALÁ-JUJUY"/>
    <s v="VELASQUEZ JORGE RICARDO"/>
    <s v="DNI"/>
    <n v="25287172"/>
    <n v="20252871722"/>
    <d v="1976-08-26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1"/>
    <x v="5"/>
    <x v="13"/>
    <s v="CONTROL DE ACCESOS A"/>
    <s v="Asistente Técnico Administrativo"/>
    <s v="Asistente Técnico Administrativo"/>
    <s v="CCK"/>
    <s v="CCK - Alem 351"/>
    <s v="VELAZQUEZ EDUARDO"/>
    <s v="DNI"/>
    <n v="33426819"/>
    <s v="20334268196"/>
    <d v="1988-01-21T00:00:00"/>
    <m/>
    <m/>
    <m/>
    <m/>
    <s v="ASISTENCIA TÉCNICA"/>
    <s v="AT"/>
    <d v="2015-06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38"/>
    <x v="2"/>
    <m/>
    <s v="ADMINISTRATIVO"/>
    <m/>
    <s v="TECNÓPOLIS"/>
    <m/>
    <s v="VERA Mónica"/>
    <s v="DNI"/>
    <n v="26949557"/>
    <n v="27269495575"/>
    <m/>
    <m/>
    <m/>
    <m/>
    <m/>
    <s v="LEY MARCO"/>
    <s v="LM"/>
    <d v="2012-11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2"/>
    <x v="2"/>
    <m/>
    <s v="ASISTENTE COORD NORTE"/>
    <s v="ADMINISTRATIVO"/>
    <m/>
    <s v="CCK - Alem 351"/>
    <s v="VERCELLI CARLOS LUIS"/>
    <s v="DNI"/>
    <n v="8537726"/>
    <n v="20085377265"/>
    <d v="1951-03-07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3"/>
    <x v="2"/>
    <x v="2"/>
    <m/>
    <m/>
    <s v="PRODUCCION GRAL DE RECETAS, MANIPULACIÓN DE INGREDIENTES, DESPCACHO DE ALIMENTOS"/>
    <m/>
    <s v="TECNOPOLIS"/>
    <s v="VERON DIEGO HORACIO"/>
    <s v="DNI"/>
    <n v="35984271"/>
    <n v="20359842717"/>
    <d v="1988-10-06T00:00:00"/>
    <m/>
    <m/>
    <m/>
    <m/>
    <s v="ASISTENCIA TÉCNICA"/>
    <s v="AT"/>
    <m/>
    <m/>
    <d v="2016-12-31T00:00:00"/>
    <m/>
    <s v="UNTREF"/>
    <m/>
    <m/>
    <n v="1070"/>
    <n v="1170"/>
    <n v="0"/>
    <n v="0"/>
  </r>
  <r>
    <s v="SFMyCP"/>
    <x v="0"/>
    <x v="1"/>
    <x v="3"/>
    <x v="4"/>
    <x v="2"/>
    <m/>
    <s v="COCINA"/>
    <m/>
    <s v="TECNÓPOLIS"/>
    <m/>
    <s v="VERON María Encarnación"/>
    <s v="DNI"/>
    <n v="14231277"/>
    <n v="27142312773"/>
    <m/>
    <m/>
    <m/>
    <m/>
    <m/>
    <s v="LEY MARCO"/>
    <s v="LM"/>
    <d v="2012-02-01T00:00:00"/>
    <d v="2016-12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PRODUCCIÓN"/>
    <s v="PRODUCTOR de EXTERIORES"/>
    <s v="CABILDO 65"/>
    <s v="CABILDO 65"/>
    <s v="VICO FERNANDO"/>
    <s v="DNI"/>
    <n v="26348466"/>
    <s v="20263484666"/>
    <d v="1997-11-03T00:00:00"/>
    <m/>
    <m/>
    <m/>
    <m/>
    <s v="ASISTENCIA TÉCNICA"/>
    <s v="AT"/>
    <d v="2015-03-02T00:00:00"/>
    <m/>
    <d v="2016-12-31T00:00:00"/>
    <m/>
    <s v="UNTREF"/>
    <s v="UNSAM- LADA"/>
    <n v="1000"/>
    <n v="1000"/>
    <n v="1170"/>
    <n v="1310"/>
    <n v="1310"/>
  </r>
  <r>
    <s v="SFMyCP"/>
    <x v="1"/>
    <x v="0"/>
    <x v="2"/>
    <x v="2"/>
    <x v="2"/>
    <m/>
    <s v="PRIVADA"/>
    <s v="ADMINISTRATIVO"/>
    <m/>
    <s v="CCK - Alem 351"/>
    <s v="VIDELA, MARIA EVA"/>
    <s v="DNI"/>
    <n v="11262651"/>
    <s v="23112626514"/>
    <d v="1954-05-06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0"/>
    <x v="6"/>
    <x v="11"/>
    <x v="2"/>
    <m/>
    <m/>
    <s v="Orientador de Sala"/>
    <m/>
    <m/>
    <s v="VILLALBA AMPARO"/>
    <s v="DNI"/>
    <n v="36530606"/>
    <n v="27365306066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0"/>
    <x v="0"/>
    <x v="0"/>
    <x v="8"/>
    <x v="6"/>
    <m/>
    <s v="ACUA MAYOR"/>
    <s v="ADMINISTRATIVO"/>
    <s v="CABILDO 65"/>
    <s v="CABILDO 65"/>
    <s v="VILLALBA FERNANDO"/>
    <s v="DNI"/>
    <n v="20005465"/>
    <s v="20200054653"/>
    <d v="1962-01-21T00:00:00"/>
    <m/>
    <m/>
    <m/>
    <m/>
    <s v="ASISTENCIA TÉCNICA"/>
    <s v="AT"/>
    <d v="2012-05-07T00:00:00"/>
    <m/>
    <d v="2016-12-31T00:00:00"/>
    <m/>
    <s v="UNTREF"/>
    <s v="UNSAM- LADA"/>
    <n v="1000"/>
    <n v="1000"/>
    <n v="1170"/>
    <n v="1310"/>
    <n v="1310"/>
  </r>
  <r>
    <s v="SFMyCP"/>
    <x v="0"/>
    <x v="0"/>
    <x v="0"/>
    <x v="8"/>
    <x v="6"/>
    <m/>
    <s v="ADMINISTRACIÓN"/>
    <m/>
    <s v="CABILDO 65"/>
    <m/>
    <s v="VILLAR MARIA BELEN"/>
    <s v="DNI"/>
    <n v="36696469"/>
    <n v="27366964695"/>
    <m/>
    <m/>
    <m/>
    <m/>
    <m/>
    <s v="LEY MARCO"/>
    <s v="LM"/>
    <d v="2015-02-01T00:00:00"/>
    <d v="2016-03-31T00:00:00"/>
    <d v="2016-12-31T00:00:00"/>
    <s v="D0"/>
    <m/>
    <m/>
    <n v="1000"/>
    <m/>
    <n v="1170"/>
    <n v="1310"/>
    <n v="1310"/>
  </r>
  <r>
    <s v="SFMyCP"/>
    <x v="0"/>
    <x v="0"/>
    <x v="0"/>
    <x v="8"/>
    <x v="6"/>
    <m/>
    <s v="PROGRAMA POLOS AUDIOVISUALES TECNOLÓGICOS"/>
    <m/>
    <s v="CABILDO 65"/>
    <m/>
    <s v="VILLAR MARTA ALICIA"/>
    <s v="DNI"/>
    <n v="26881068"/>
    <n v="23268810684"/>
    <m/>
    <m/>
    <m/>
    <m/>
    <m/>
    <s v="LEY MARCO"/>
    <s v="LM"/>
    <d v="2014-09-01T00:00:00"/>
    <d v="2016-03-31T00:00:00"/>
    <d v="2016-12-31T00:00:00"/>
    <s v="C0"/>
    <m/>
    <m/>
    <n v="1000"/>
    <m/>
    <n v="1170"/>
    <n v="1310"/>
    <n v="1310"/>
  </r>
  <r>
    <s v="SFMyCP"/>
    <x v="0"/>
    <x v="0"/>
    <x v="6"/>
    <x v="11"/>
    <x v="2"/>
    <m/>
    <m/>
    <s v="Orientador de Sala"/>
    <m/>
    <m/>
    <s v="VILLAROEL CAROL"/>
    <s v="DNI"/>
    <n v="94763837"/>
    <n v="27947638373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0"/>
    <x v="1"/>
    <x v="3"/>
    <x v="46"/>
    <x v="2"/>
    <m/>
    <m/>
    <m/>
    <s v="TECNÓPOLIS"/>
    <m/>
    <s v="VILLAVERDE Claudia"/>
    <s v="DNI"/>
    <n v="12012195"/>
    <n v="27120121958"/>
    <m/>
    <m/>
    <m/>
    <m/>
    <m/>
    <s v="LEY MARCO"/>
    <s v="LM"/>
    <d v="2011-07-01T00:00:00"/>
    <d v="2016-12-31T00:00:00"/>
    <d v="2016-12-31T00:00:00"/>
    <s v="C0"/>
    <m/>
    <m/>
    <n v="1000"/>
    <m/>
    <n v="1170"/>
    <n v="1310"/>
    <n v="1310"/>
  </r>
  <r>
    <s v="SFMyCP"/>
    <x v="0"/>
    <x v="1"/>
    <x v="1"/>
    <x v="5"/>
    <x v="5"/>
    <m/>
    <m/>
    <s v="ADMINISTRATIVO"/>
    <m/>
    <s v="CCK - Alem 351"/>
    <s v="VILLAVERDE NADIA GISELA"/>
    <s v="DNI"/>
    <n v="31504616"/>
    <s v="27315046160"/>
    <d v="1985-03-31T00:00:00"/>
    <m/>
    <m/>
    <m/>
    <m/>
    <s v="ASISTENCIA TÉCNICA"/>
    <s v="AT"/>
    <d v="2015-05-01T00:00:00"/>
    <m/>
    <d v="2016-12-31T00:00:00"/>
    <m/>
    <s v="UNTREF"/>
    <m/>
    <n v="1000"/>
    <n v="1070"/>
    <n v="1170"/>
    <n v="1310"/>
    <n v="1310"/>
  </r>
  <r>
    <s v="SFMyCP"/>
    <x v="0"/>
    <x v="0"/>
    <x v="0"/>
    <x v="0"/>
    <x v="0"/>
    <m/>
    <s v="ANIMACION"/>
    <s v="ANALISTA"/>
    <s v="PALPALÁ-JUJUY"/>
    <s v="PALPALÁ-JUJUY"/>
    <s v="VILTE CRISTIAN GABRIEL"/>
    <s v="DNI"/>
    <n v="31961384"/>
    <n v="20319613847"/>
    <d v="1986-04-07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VILTE PABLO ALFREDO"/>
    <s v="DNI"/>
    <n v="27165852"/>
    <n v="20271658525"/>
    <d v="1979-02-13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17"/>
    <x v="2"/>
    <m/>
    <m/>
    <s v="Asistencia Juridica"/>
    <m/>
    <s v="CCK - Alem 351"/>
    <s v="VIÑA SEBASTIAN"/>
    <s v="DNI"/>
    <n v="27375597"/>
    <n v="20273755978"/>
    <d v="1979-09-06T00:00:00"/>
    <m/>
    <m/>
    <m/>
    <m/>
    <s v="ASISTENCIA TÉCNICA"/>
    <s v="AT"/>
    <d v="2016-07-01T00:00:00"/>
    <m/>
    <d v="2016-12-31T00:00:00"/>
    <m/>
    <s v="UNTREF"/>
    <m/>
    <s v=" ---"/>
    <s v=" ---"/>
    <n v="1170"/>
    <n v="1310"/>
    <n v="1310"/>
  </r>
  <r>
    <s v="SFMyCP"/>
    <x v="0"/>
    <x v="1"/>
    <x v="7"/>
    <x v="2"/>
    <x v="2"/>
    <m/>
    <s v="PRIVADA"/>
    <s v="ADMINISTRATIVO"/>
    <m/>
    <s v="CCK - Alem 351"/>
    <s v="VITALE, NICOLAS"/>
    <s v="DNI"/>
    <n v="25570101"/>
    <s v="20255701011"/>
    <d v="1976-08-15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1"/>
    <x v="0"/>
    <x v="5"/>
    <x v="47"/>
    <x v="2"/>
    <m/>
    <m/>
    <m/>
    <m/>
    <m/>
    <m/>
    <m/>
    <m/>
    <m/>
    <m/>
    <m/>
    <m/>
    <m/>
    <m/>
    <m/>
    <m/>
    <m/>
    <m/>
    <m/>
    <m/>
    <m/>
    <m/>
    <m/>
    <m/>
    <m/>
    <m/>
    <m/>
  </r>
  <r>
    <s v="SFMyCP"/>
    <x v="1"/>
    <x v="0"/>
    <x v="5"/>
    <x v="47"/>
    <x v="2"/>
    <m/>
    <m/>
    <m/>
    <m/>
    <m/>
    <m/>
    <m/>
    <m/>
    <m/>
    <m/>
    <m/>
    <m/>
    <m/>
    <m/>
    <m/>
    <m/>
    <m/>
    <m/>
    <m/>
    <m/>
    <m/>
    <m/>
    <m/>
    <m/>
    <m/>
    <m/>
    <m/>
  </r>
  <r>
    <s v="SFMyCP"/>
    <x v="1"/>
    <x v="0"/>
    <x v="5"/>
    <x v="47"/>
    <x v="2"/>
    <m/>
    <m/>
    <m/>
    <m/>
    <m/>
    <m/>
    <m/>
    <m/>
    <m/>
    <m/>
    <m/>
    <m/>
    <m/>
    <m/>
    <m/>
    <m/>
    <m/>
    <m/>
    <m/>
    <m/>
    <m/>
    <m/>
    <m/>
    <m/>
    <m/>
    <m/>
    <m/>
  </r>
  <r>
    <s v="SFMyCP"/>
    <x v="1"/>
    <x v="0"/>
    <x v="5"/>
    <x v="47"/>
    <x v="2"/>
    <m/>
    <m/>
    <m/>
    <m/>
    <m/>
    <m/>
    <m/>
    <m/>
    <m/>
    <m/>
    <m/>
    <m/>
    <m/>
    <m/>
    <m/>
    <m/>
    <m/>
    <m/>
    <m/>
    <m/>
    <m/>
    <m/>
    <m/>
    <m/>
    <m/>
    <m/>
    <m/>
  </r>
  <r>
    <s v="SFMyCP"/>
    <x v="1"/>
    <x v="0"/>
    <x v="5"/>
    <x v="47"/>
    <x v="2"/>
    <m/>
    <s v="ADMINISTRACIÓN"/>
    <m/>
    <m/>
    <m/>
    <s v="VITULLO FEDERICO"/>
    <s v="DNI"/>
    <n v="38995224"/>
    <n v="23389952249"/>
    <m/>
    <m/>
    <m/>
    <m/>
    <m/>
    <s v="LEY MARCO"/>
    <s v="LM"/>
    <d v="2015-05-01T00:00:00"/>
    <d v="2016-03-31T00:00:00"/>
    <d v="2016-12-31T00:00:00"/>
    <s v="D0"/>
    <m/>
    <m/>
    <n v="1000"/>
    <m/>
    <n v="1170"/>
    <n v="1310"/>
    <n v="1310"/>
  </r>
  <r>
    <s v="SFMyCP"/>
    <x v="1"/>
    <x v="0"/>
    <x v="5"/>
    <x v="25"/>
    <x v="2"/>
    <s v="STOCK"/>
    <s v="Analista"/>
    <s v="Analista"/>
    <s v="CCK"/>
    <s v="CCK - Alem 351"/>
    <s v="VOLA RODRIGO EZEQUIEL"/>
    <s v="DNI"/>
    <n v="37113846"/>
    <s v="20371138464"/>
    <d v="1992-09-11T00:00:00"/>
    <m/>
    <m/>
    <m/>
    <m/>
    <s v="ASISTENCIA TÉCNICA"/>
    <s v="AT"/>
    <d v="2014-10-14T00:00:00"/>
    <m/>
    <d v="2016-12-31T00:00:00"/>
    <m/>
    <s v="UNTREF"/>
    <s v="UNLAM- INFO"/>
    <n v="1000"/>
    <n v="1070"/>
    <n v="1170"/>
    <n v="1310"/>
    <n v="1310"/>
  </r>
  <r>
    <s v="SFMyCP"/>
    <x v="0"/>
    <x v="0"/>
    <x v="0"/>
    <x v="8"/>
    <x v="6"/>
    <m/>
    <s v="POSTPRODUCCIÓN"/>
    <s v="ADMINISTRATIVO"/>
    <s v="CABILDO 65"/>
    <s v="CABILDO 65"/>
    <s v="VRANJES WALTER"/>
    <s v="DNI"/>
    <n v="18359189"/>
    <s v="20183591895"/>
    <d v="1967-04-30T00:00:00"/>
    <m/>
    <m/>
    <m/>
    <m/>
    <s v="ASISTENCIA TÉCNICA"/>
    <s v="AT"/>
    <d v="2013-03-01T00:00:00"/>
    <m/>
    <d v="2016-12-31T00:00:00"/>
    <m/>
    <s v="UNTREF"/>
    <s v="UNSAM- LADA"/>
    <n v="1000"/>
    <n v="1000"/>
    <n v="1170"/>
    <n v="1310"/>
    <n v="1310"/>
  </r>
  <r>
    <s v="SFMyCP"/>
    <x v="1"/>
    <x v="0"/>
    <x v="5"/>
    <x v="16"/>
    <x v="16"/>
    <s v="COMUNICACIÓN"/>
    <m/>
    <m/>
    <m/>
    <m/>
    <s v="WAINERMAN LAURA"/>
    <s v="DNI"/>
    <n v="26312020"/>
    <n v="27263120200"/>
    <m/>
    <m/>
    <m/>
    <m/>
    <m/>
    <s v="LEY MARCO"/>
    <s v="LM"/>
    <d v="2008-08-04T00:00:00"/>
    <d v="2016-12-31T00:00:00"/>
    <d v="2016-12-31T00:00:00"/>
    <s v="B2"/>
    <m/>
    <m/>
    <n v="1000"/>
    <m/>
    <n v="1170"/>
    <n v="1310"/>
    <n v="1310"/>
  </r>
  <r>
    <s v="SFMyCP"/>
    <x v="0"/>
    <x v="0"/>
    <x v="0"/>
    <x v="48"/>
    <x v="26"/>
    <m/>
    <s v="FOTOGRAFÍA"/>
    <m/>
    <s v="ESMERALDA 255"/>
    <m/>
    <s v="WARSCHAVSKI MATIAS IGOR "/>
    <s v="DNI"/>
    <n v="25983164"/>
    <n v="20259831645"/>
    <m/>
    <m/>
    <m/>
    <m/>
    <m/>
    <s v="LEY MARCO"/>
    <s v="LM"/>
    <d v="2007-01-01T00:00:00"/>
    <d v="2016-12-31T00:00:00"/>
    <d v="2016-12-31T00:00:00"/>
    <s v="A2"/>
    <m/>
    <m/>
    <n v="1000"/>
    <m/>
    <n v="1170"/>
    <n v="1310"/>
    <n v="1310"/>
  </r>
  <r>
    <s v="SFMyCP"/>
    <x v="0"/>
    <x v="1"/>
    <x v="1"/>
    <x v="5"/>
    <x v="13"/>
    <m/>
    <s v="Asistente"/>
    <s v="Asistente "/>
    <s v="CCK"/>
    <s v="CCK - Alem 351"/>
    <s v="WEIDERT FERNANDO RAUL"/>
    <s v="DNI"/>
    <n v="30368270"/>
    <s v="20303682709"/>
    <d v="1983-06-19T00:00:00"/>
    <m/>
    <m/>
    <m/>
    <m/>
    <s v="ASISTENCIA TÉCNICA"/>
    <s v="AT"/>
    <d v="2015-08-01T00:00:00"/>
    <m/>
    <d v="2016-12-31T00:00:00"/>
    <m/>
    <s v="UNTREF"/>
    <s v="UNLAM- BICENTENARIO"/>
    <n v="1000"/>
    <n v="1070"/>
    <n v="1170"/>
    <n v="1310"/>
    <n v="1310"/>
  </r>
  <r>
    <s v="SFMyCP"/>
    <x v="0"/>
    <x v="1"/>
    <x v="3"/>
    <x v="49"/>
    <x v="2"/>
    <m/>
    <s v="CADETE"/>
    <s v="CADETE"/>
    <s v="TECNÓPOLIS"/>
    <s v="TECNOPOLIS"/>
    <s v="WILCHEN MARTIN"/>
    <s v="DNI"/>
    <n v="34265852"/>
    <s v="20342658521"/>
    <d v="1989-03-31T00:00:00"/>
    <m/>
    <m/>
    <m/>
    <m/>
    <s v="ASISTENCIA TÉCNICA"/>
    <s v="AT"/>
    <d v="2015-08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26"/>
    <x v="2"/>
    <m/>
    <m/>
    <m/>
    <s v="TECNÓPOLIS"/>
    <m/>
    <s v="WRIGHT Leonardo"/>
    <s v="DNI"/>
    <n v="30014231"/>
    <n v="20300142312"/>
    <m/>
    <m/>
    <m/>
    <m/>
    <m/>
    <s v="LEY MARCO"/>
    <s v="LM"/>
    <d v="2013-04-01T00:00:00"/>
    <d v="2016-03-31T00:00:00"/>
    <d v="2016-12-31T00:00:00"/>
    <s v="C0"/>
    <m/>
    <m/>
    <n v="1000"/>
    <m/>
    <n v="1170"/>
    <n v="1310"/>
    <n v="1310"/>
  </r>
  <r>
    <s v="SFMyCP"/>
    <x v="0"/>
    <x v="0"/>
    <x v="0"/>
    <x v="0"/>
    <x v="0"/>
    <m/>
    <s v="DISEÑO"/>
    <s v="ANALISTA"/>
    <s v="PALPALÁ-JUJUY"/>
    <s v="PALPALÁ-JUJUY"/>
    <s v="YEVARA MARCELO EDUARDO"/>
    <s v="DNI"/>
    <n v="27874288"/>
    <n v="20278742882"/>
    <d v="1980-04-30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0"/>
    <x v="2"/>
    <m/>
    <m/>
    <m/>
    <s v="TECNÓPOLIS"/>
    <m/>
    <s v="ZABALA Nair"/>
    <s v="DNI"/>
    <n v="27460740"/>
    <n v="27274607403"/>
    <m/>
    <m/>
    <m/>
    <m/>
    <m/>
    <s v="LEY MARCO"/>
    <s v="LM"/>
    <d v="2013-02-01T00:00:00"/>
    <d v="2016-03-31T00:00:00"/>
    <d v="2016-12-31T00:00:00"/>
    <s v="C0"/>
    <m/>
    <m/>
    <n v="1000"/>
    <m/>
    <n v="1170"/>
    <n v="1310"/>
    <n v="1310"/>
  </r>
  <r>
    <s v="SFMyCP"/>
    <x v="0"/>
    <x v="1"/>
    <x v="1"/>
    <x v="26"/>
    <x v="19"/>
    <m/>
    <m/>
    <s v="ADMINISTRATIVO"/>
    <m/>
    <s v="CCK - Alem 351"/>
    <s v="ZADRA ROLANDO JUAN"/>
    <s v="DNI"/>
    <n v="6084351"/>
    <n v="20060843512"/>
    <d v="1949-07-05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1"/>
    <x v="0"/>
    <x v="5"/>
    <x v="16"/>
    <x v="11"/>
    <m/>
    <s v="CHOFER"/>
    <s v="ADMINISTRATIVO"/>
    <s v="CCK"/>
    <s v="CCK - Alem 351"/>
    <s v="ZAFONTE  DIEGO"/>
    <s v="DNI"/>
    <n v="25875955"/>
    <s v="23258759559"/>
    <d v="1977-09-24T00:00:00"/>
    <m/>
    <m/>
    <m/>
    <m/>
    <s v="ASISTENCIA TÉCNICA"/>
    <s v="AT"/>
    <m/>
    <m/>
    <d v="2016-12-31T00:00:00"/>
    <m/>
    <s v="UNTREF"/>
    <s v="UNLAM- FUSION"/>
    <n v="1000"/>
    <n v="1070"/>
    <n v="1170"/>
    <n v="1310"/>
    <n v="1310"/>
  </r>
  <r>
    <s v="SFMyCP"/>
    <x v="0"/>
    <x v="0"/>
    <x v="0"/>
    <x v="2"/>
    <x v="2"/>
    <m/>
    <s v="PRIVADA"/>
    <s v="ADMINISTRATIVO"/>
    <m/>
    <s v="CCK - Alem 351"/>
    <s v="ZAMBLERA, MARIÁNGELES"/>
    <s v="DNI"/>
    <n v="29136569"/>
    <s v="27291365693"/>
    <d v="1981-11-02T00:00:00"/>
    <m/>
    <m/>
    <m/>
    <m/>
    <s v="ASISTENCIA TÉCNICA"/>
    <s v="AT"/>
    <d v="2016-01-01T00:00:00"/>
    <m/>
    <d v="2016-12-31T00:00:00"/>
    <m/>
    <s v="UNTREF"/>
    <s v="UNSAM"/>
    <n v="1000"/>
    <n v="1070"/>
    <n v="1170"/>
    <n v="1310"/>
    <n v="1310"/>
  </r>
  <r>
    <s v="SFMyCP"/>
    <x v="0"/>
    <x v="1"/>
    <x v="3"/>
    <x v="10"/>
    <x v="2"/>
    <m/>
    <m/>
    <s v="ADMINISTRATIVA"/>
    <s v="TECNÓPOLIS"/>
    <s v="TECNOPOLIS"/>
    <s v="ZAMBONINI  SANTIAGO MARIA"/>
    <s v="DNI"/>
    <n v="17686556"/>
    <s v="20176865564"/>
    <d v="1965-08-03T00:00:00"/>
    <m/>
    <m/>
    <m/>
    <m/>
    <s v="ASISTENCIA TÉCNICA"/>
    <s v="AT"/>
    <d v="2011-03-01T00:00:00"/>
    <m/>
    <d v="2016-12-31T00:00:00"/>
    <m/>
    <s v="UNTREF"/>
    <s v="UNTREF"/>
    <n v="1000"/>
    <n v="1070"/>
    <n v="1170"/>
    <n v="1310"/>
    <n v="1310"/>
  </r>
  <r>
    <s v="SFMyCP"/>
    <x v="0"/>
    <x v="1"/>
    <x v="3"/>
    <x v="14"/>
    <x v="2"/>
    <m/>
    <m/>
    <m/>
    <s v="TECNÓPOLIS"/>
    <m/>
    <s v="ZAMBONINI Mariano Andrés"/>
    <s v="DNI"/>
    <n v="17363262"/>
    <n v="20173632623"/>
    <m/>
    <m/>
    <m/>
    <m/>
    <m/>
    <s v="LEY MARCO"/>
    <s v="LM"/>
    <d v="2012-11-30T00:00:00"/>
    <d v="2016-12-31T00:00:00"/>
    <d v="2016-12-31T00:00:00"/>
    <s v="C0"/>
    <m/>
    <m/>
    <n v="1000"/>
    <m/>
    <n v="1170"/>
    <n v="1310"/>
    <n v="1310"/>
  </r>
  <r>
    <s v="SFMyCP"/>
    <x v="0"/>
    <x v="1"/>
    <x v="3"/>
    <x v="14"/>
    <x v="2"/>
    <m/>
    <m/>
    <m/>
    <s v="TECNÓPOLIS"/>
    <m/>
    <s v="ZAMBONINI Tomás Simón"/>
    <s v="DNI"/>
    <n v="34027734"/>
    <n v="20340277342"/>
    <m/>
    <m/>
    <m/>
    <m/>
    <m/>
    <s v="LEY MARCO"/>
    <s v="LM"/>
    <d v="2012-11-30T00:00:00"/>
    <d v="2016-12-31T00:00:00"/>
    <d v="2016-12-31T00:00:00"/>
    <s v="C0"/>
    <m/>
    <m/>
    <n v="1000"/>
    <m/>
    <n v="1170"/>
    <n v="1310"/>
    <n v="1310"/>
  </r>
  <r>
    <s v="SFMyCP"/>
    <x v="0"/>
    <x v="0"/>
    <x v="0"/>
    <x v="0"/>
    <x v="0"/>
    <m/>
    <s v="DESARROLLOS"/>
    <s v="ANALISTA"/>
    <s v="PALPALÁ-JUJUY"/>
    <s v="PALPALÁ-JUJUY"/>
    <s v="ZAMORA RAUL ALFREDO"/>
    <s v="DNI"/>
    <n v="34132540"/>
    <n v="20341325405"/>
    <d v="1989-08-11T00:00:00"/>
    <m/>
    <m/>
    <m/>
    <m/>
    <s v="ASISTENCIA TÉCNICA"/>
    <s v="AT"/>
    <d v="2015-09-01T00:00:00"/>
    <m/>
    <d v="2016-12-31T00:00:00"/>
    <m/>
    <s v="UNTREF"/>
    <s v="UNSAM"/>
    <n v="1000"/>
    <n v="1070"/>
    <n v="1170"/>
    <n v="1310"/>
    <n v="1310"/>
  </r>
  <r>
    <s v="SFMyCP"/>
    <x v="0"/>
    <x v="0"/>
    <x v="0"/>
    <x v="2"/>
    <x v="2"/>
    <s v="(IGUALDAD CULTURAL)"/>
    <m/>
    <m/>
    <s v="CCK"/>
    <m/>
    <s v="ZAPATA ALEJANDRA"/>
    <s v="DNI"/>
    <n v="27444628"/>
    <n v="27274446280"/>
    <m/>
    <m/>
    <m/>
    <m/>
    <m/>
    <s v="LEY MARCO"/>
    <s v="LM"/>
    <d v="2005-01-01T00:00:00"/>
    <d v="2016-12-31T00:00:00"/>
    <d v="2016-12-31T00:00:00"/>
    <s v="A3"/>
    <m/>
    <m/>
    <n v="1000"/>
    <m/>
    <n v="1170"/>
    <n v="1310"/>
    <n v="1310"/>
  </r>
  <r>
    <s v="SFMyCP"/>
    <x v="0"/>
    <x v="1"/>
    <x v="3"/>
    <x v="14"/>
    <x v="2"/>
    <m/>
    <m/>
    <s v="CARPINTERO"/>
    <s v="TECNÓPOLIS"/>
    <s v="TECNOPOLIS"/>
    <s v="ZARAGOZA LEONARDO JAVIER"/>
    <s v="DNI"/>
    <n v="24470829"/>
    <s v="20244708294"/>
    <d v="1975-05-23T00:00:00"/>
    <m/>
    <m/>
    <m/>
    <m/>
    <s v="ASISTENCIA TÉCNICA"/>
    <s v="AT"/>
    <d v="2014-08-01T00:00:00"/>
    <m/>
    <d v="2016-12-31T00:00:00"/>
    <m/>
    <s v="UNTREF"/>
    <s v="UNTREF"/>
    <n v="1000"/>
    <n v="1070"/>
    <n v="1170"/>
    <n v="1310"/>
    <n v="1310"/>
  </r>
  <r>
    <s v="SFMyCP"/>
    <x v="1"/>
    <x v="0"/>
    <x v="5"/>
    <x v="16"/>
    <x v="11"/>
    <m/>
    <s v="CHOFER"/>
    <s v="ADMINISTRATIVO"/>
    <s v="CCK"/>
    <s v="CCK - Alem 351"/>
    <s v="ZARATE HUGO  HUGO DANIEL"/>
    <s v="DNI"/>
    <n v="21556947"/>
    <s v="20215569471"/>
    <d v="1970-07-09T00:00:00"/>
    <m/>
    <m/>
    <m/>
    <m/>
    <s v="ASISTENCIA TÉCNICA"/>
    <s v="AT"/>
    <m/>
    <m/>
    <d v="2016-12-31T00:00:00"/>
    <m/>
    <s v="UNTREF"/>
    <s v="UNLAM- FUSION"/>
    <n v="1000"/>
    <n v="1070"/>
    <n v="1170"/>
    <n v="1310"/>
    <n v="1310"/>
  </r>
  <r>
    <s v="SFMyCP"/>
    <x v="0"/>
    <x v="0"/>
    <x v="6"/>
    <x v="11"/>
    <x v="2"/>
    <m/>
    <m/>
    <s v="Orientador de Sala"/>
    <m/>
    <m/>
    <s v="ZARCO DELGADO GIMENA"/>
    <s v="DNI"/>
    <n v="29142911"/>
    <n v="23291429114"/>
    <m/>
    <m/>
    <m/>
    <m/>
    <m/>
    <s v="ASISTENCIA TÉCNICA"/>
    <s v="AT"/>
    <d v="2016-07-01T00:00:00"/>
    <m/>
    <d v="2016-12-31T00:00:00"/>
    <m/>
    <m/>
    <m/>
    <m/>
    <m/>
    <n v="1170"/>
    <n v="0"/>
    <n v="1310"/>
  </r>
  <r>
    <s v="SFMyCP"/>
    <x v="0"/>
    <x v="1"/>
    <x v="1"/>
    <x v="10"/>
    <x v="2"/>
    <m/>
    <m/>
    <s v="ADMINISTRATIVA"/>
    <m/>
    <s v="CCK - Alem 351"/>
    <s v="ZAREMBA CLARA"/>
    <s v="DNI"/>
    <n v="26516975"/>
    <s v="27265169754"/>
    <d v="1978-03-24T00:00:00"/>
    <m/>
    <m/>
    <m/>
    <m/>
    <s v="ASISTENCIA TÉCNICA"/>
    <s v="AT"/>
    <d v="2016-06-01T00:00:00"/>
    <m/>
    <d v="2016-12-31T00:00:00"/>
    <m/>
    <s v="UNTREF"/>
    <m/>
    <m/>
    <n v="1070"/>
    <n v="1170"/>
    <n v="0"/>
    <n v="0"/>
  </r>
  <r>
    <s v="SFMyCP"/>
    <x v="0"/>
    <x v="1"/>
    <x v="1"/>
    <x v="5"/>
    <x v="13"/>
    <s v="LIMPIEZA (En comisión Tecnópolis)"/>
    <s v="Responsable"/>
    <s v="Responsable"/>
    <s v="CCK"/>
    <s v="CCK - Alem 351"/>
    <s v="ZEÑIUK GABRIEL"/>
    <s v="DNI"/>
    <n v="27067242"/>
    <s v="20270672427"/>
    <d v="1978-12-25T00:00:00"/>
    <m/>
    <m/>
    <m/>
    <m/>
    <s v="ASISTENCIA TÉCNICA"/>
    <s v="AT"/>
    <d v="2015-06-04T00:00:00"/>
    <m/>
    <d v="2016-12-31T00:00:00"/>
    <m/>
    <s v="UNTREF"/>
    <s v="UNTREF"/>
    <n v="1000"/>
    <n v="1070"/>
    <n v="1170"/>
    <n v="1310"/>
    <n v="1310"/>
  </r>
  <r>
    <s v="SFMyCP"/>
    <x v="0"/>
    <x v="0"/>
    <x v="0"/>
    <x v="8"/>
    <x v="6"/>
    <m/>
    <s v="POSTPRODUCCIÓN"/>
    <s v="EDICION"/>
    <s v="CABILDO 65"/>
    <s v="CABILDO 65"/>
    <s v="ZIRALDO DIEGO"/>
    <s v="DNI"/>
    <n v="31452373"/>
    <s v="20314523734"/>
    <d v="1985-03-01T00:00:00"/>
    <m/>
    <m/>
    <m/>
    <m/>
    <s v="ASISTENCIA TÉCNICA"/>
    <s v="AT"/>
    <d v="2011-09-01T00:00:00"/>
    <m/>
    <d v="2016-12-31T00:00:00"/>
    <m/>
    <s v="UNTREF"/>
    <m/>
    <n v="1000"/>
    <n v="1000"/>
    <n v="1170"/>
    <n v="1310"/>
    <n v="1310"/>
  </r>
  <r>
    <s v="SFMyCP"/>
    <x v="0"/>
    <x v="0"/>
    <x v="0"/>
    <x v="8"/>
    <x v="6"/>
    <m/>
    <s v="PANORAMA ARGENTINO"/>
    <m/>
    <s v="CABILDO 65"/>
    <m/>
    <s v="ZOTHNER CELIA LUCIANA"/>
    <s v="DNI"/>
    <n v="24229930"/>
    <n v="27242299308"/>
    <m/>
    <m/>
    <m/>
    <m/>
    <m/>
    <s v="LEY MARCO"/>
    <s v="LM"/>
    <d v="2012-12-01T00:00:00"/>
    <d v="2016-12-31T00:00:00"/>
    <d v="2016-12-31T00:00:00"/>
    <s v="B1"/>
    <m/>
    <m/>
    <n v="1000"/>
    <m/>
    <n v="1170"/>
    <n v="1310"/>
    <n v="1310"/>
  </r>
  <r>
    <s v="SFMyCP"/>
    <x v="0"/>
    <x v="1"/>
    <x v="1"/>
    <x v="15"/>
    <x v="10"/>
    <m/>
    <m/>
    <s v="VISITAS GUIADAS"/>
    <m/>
    <s v="CCK - Alem 351"/>
    <s v="ZULIANI MANUELA"/>
    <s v="DNI"/>
    <n v="38297347"/>
    <n v="27382973475"/>
    <d v="1994-05-11T00:00:00"/>
    <m/>
    <m/>
    <m/>
    <m/>
    <s v="ASISTENCIA TÉCNICA"/>
    <s v="AT"/>
    <d v="2016-05-15T00:00:00"/>
    <m/>
    <d v="2016-12-31T00:00:00"/>
    <m/>
    <s v="UNTREF"/>
    <m/>
    <n v="1000"/>
    <n v="1070"/>
    <n v="1170"/>
    <n v="1310"/>
    <n v="1310"/>
  </r>
  <r>
    <s v="SFMyCP"/>
    <x v="0"/>
    <x v="0"/>
    <x v="0"/>
    <x v="8"/>
    <x v="6"/>
    <s v="REFERENTE"/>
    <s v="Analista"/>
    <m/>
    <s v="CCK"/>
    <m/>
    <s v="ZUQUI  MARIANO"/>
    <s v="DNI"/>
    <n v="27273669"/>
    <n v="20272736694"/>
    <m/>
    <m/>
    <m/>
    <m/>
    <m/>
    <s v="LEY MARCO"/>
    <s v="LM"/>
    <d v="2010-10-01T00:00:00"/>
    <d v="2016-12-31T00:00:00"/>
    <d v="2016-12-31T00:00:00"/>
    <s v="A1"/>
    <m/>
    <m/>
    <n v="1000"/>
    <m/>
    <n v="1170"/>
    <n v="1310"/>
    <n v="13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3:K1134" firstHeaderRow="2" firstDataRow="2" firstDataCol="10"/>
  <pivotFields count="38">
    <pivotField axis="axisRow" compact="0" outline="0" showAll="0">
      <items count="3">
        <item x="0"/>
        <item m="1" x="1"/>
        <item t="default"/>
      </items>
    </pivotField>
    <pivotField axis="axisRow" compact="0" outline="0" showAll="0" defaultSubtotal="0">
      <items count="8">
        <item x="1"/>
        <item m="1" x="6"/>
        <item m="1" x="5"/>
        <item x="0"/>
        <item x="2"/>
        <item m="1" x="7"/>
        <item m="1" x="4"/>
        <item m="1" x="3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16">
        <item x="2"/>
        <item x="10"/>
        <item x="5"/>
        <item x="8"/>
        <item x="9"/>
        <item x="1"/>
        <item x="0"/>
        <item m="1" x="12"/>
        <item x="3"/>
        <item m="1" x="11"/>
        <item m="1" x="14"/>
        <item m="1" x="15"/>
        <item m="1" x="13"/>
        <item x="6"/>
        <item x="7"/>
        <item x="4"/>
      </items>
    </pivotField>
    <pivotField axis="axisRow" compact="0" outline="0" showAll="0" defaultSubtotal="0">
      <items count="55">
        <item m="1" x="51"/>
        <item x="34"/>
        <item x="37"/>
        <item x="39"/>
        <item x="49"/>
        <item x="13"/>
        <item x="19"/>
        <item x="33"/>
        <item x="9"/>
        <item x="23"/>
        <item x="2"/>
        <item x="12"/>
        <item x="14"/>
        <item x="47"/>
        <item x="30"/>
        <item x="1"/>
        <item x="48"/>
        <item x="38"/>
        <item x="24"/>
        <item x="5"/>
        <item m="1" x="54"/>
        <item x="43"/>
        <item x="4"/>
        <item x="26"/>
        <item x="16"/>
        <item x="32"/>
        <item x="3"/>
        <item x="44"/>
        <item x="28"/>
        <item x="36"/>
        <item x="42"/>
        <item x="15"/>
        <item x="22"/>
        <item x="46"/>
        <item x="41"/>
        <item x="6"/>
        <item x="29"/>
        <item x="21"/>
        <item x="0"/>
        <item x="18"/>
        <item x="35"/>
        <item x="25"/>
        <item m="1" x="52"/>
        <item x="20"/>
        <item x="40"/>
        <item x="17"/>
        <item x="7"/>
        <item x="10"/>
        <item x="11"/>
        <item x="27"/>
        <item x="8"/>
        <item m="1" x="53"/>
        <item x="45"/>
        <item x="31"/>
        <item m="1" x="50"/>
      </items>
    </pivotField>
    <pivotField axis="axisRow" compact="0" outline="0" showAll="0" defaultSubtotal="0">
      <items count="29">
        <item x="6"/>
        <item m="1" x="27"/>
        <item x="0"/>
        <item x="18"/>
        <item x="24"/>
        <item x="8"/>
        <item x="26"/>
        <item x="13"/>
        <item x="15"/>
        <item x="5"/>
        <item x="20"/>
        <item x="3"/>
        <item x="1"/>
        <item x="4"/>
        <item x="17"/>
        <item x="12"/>
        <item x="19"/>
        <item x="21"/>
        <item x="14"/>
        <item x="7"/>
        <item x="9"/>
        <item x="10"/>
        <item m="1" x="28"/>
        <item x="25"/>
        <item x="11"/>
        <item x="2"/>
        <item x="16"/>
        <item x="22"/>
        <item x="23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Row" compact="0" outline="0" showAll="0" defaultSubtotal="0">
      <items count="1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m="1" x="10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1043"/>
        <item x="44"/>
        <item x="45"/>
        <item x="46"/>
        <item x="47"/>
        <item x="48"/>
        <item m="1" x="1046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1114"/>
        <item m="1" x="1066"/>
        <item x="70"/>
        <item m="1" x="1016"/>
        <item x="71"/>
        <item x="72"/>
        <item x="73"/>
        <item x="74"/>
        <item x="75"/>
        <item m="1" x="1100"/>
        <item x="76"/>
        <item x="77"/>
        <item m="1" x="1057"/>
        <item x="78"/>
        <item x="79"/>
        <item m="1" x="1095"/>
        <item m="1" x="1069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m="1" x="1071"/>
        <item x="115"/>
        <item m="1" x="1035"/>
        <item x="116"/>
        <item x="117"/>
        <item x="118"/>
        <item x="119"/>
        <item x="120"/>
        <item x="121"/>
        <item x="122"/>
        <item x="123"/>
        <item m="1" x="1118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m="1" x="1040"/>
        <item x="151"/>
        <item x="152"/>
        <item x="153"/>
        <item x="154"/>
        <item x="156"/>
        <item x="157"/>
        <item x="158"/>
        <item m="1" x="1055"/>
        <item x="159"/>
        <item x="160"/>
        <item x="162"/>
        <item x="163"/>
        <item x="164"/>
        <item x="165"/>
        <item x="166"/>
        <item x="167"/>
        <item x="169"/>
        <item x="170"/>
        <item x="171"/>
        <item x="172"/>
        <item x="173"/>
        <item m="1" x="1026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m="1" x="1045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m="1" x="1084"/>
        <item x="209"/>
        <item x="210"/>
        <item x="211"/>
        <item x="212"/>
        <item x="213"/>
        <item x="214"/>
        <item m="1" x="1032"/>
        <item x="215"/>
        <item x="216"/>
        <item x="217"/>
        <item x="218"/>
        <item x="219"/>
        <item x="220"/>
        <item x="221"/>
        <item x="222"/>
        <item x="223"/>
        <item m="1" x="1036"/>
        <item m="1" x="1048"/>
        <item x="224"/>
        <item x="225"/>
        <item m="1" x="1113"/>
        <item x="226"/>
        <item x="227"/>
        <item x="228"/>
        <item x="229"/>
        <item x="230"/>
        <item x="231"/>
        <item x="232"/>
        <item m="1" x="1059"/>
        <item x="233"/>
        <item x="236"/>
        <item x="237"/>
        <item x="238"/>
        <item x="239"/>
        <item m="1" x="1044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m="1" x="1042"/>
        <item m="1" x="1093"/>
        <item x="264"/>
        <item x="265"/>
        <item x="266"/>
        <item x="267"/>
        <item x="268"/>
        <item x="269"/>
        <item x="270"/>
        <item x="271"/>
        <item x="272"/>
        <item m="1" x="1052"/>
        <item x="273"/>
        <item m="1" x="1101"/>
        <item x="274"/>
        <item x="275"/>
        <item x="276"/>
        <item x="277"/>
        <item m="1" x="1109"/>
        <item x="278"/>
        <item x="279"/>
        <item m="1" x="1082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m="1" x="1081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m="1" x="1078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m="1" x="1105"/>
        <item m="1" x="1028"/>
        <item x="327"/>
        <item x="328"/>
        <item x="329"/>
        <item x="330"/>
        <item x="332"/>
        <item x="333"/>
        <item x="334"/>
        <item x="335"/>
        <item m="1" x="1021"/>
        <item x="336"/>
        <item x="337"/>
        <item x="338"/>
        <item x="339"/>
        <item x="340"/>
        <item m="1" x="1041"/>
        <item x="342"/>
        <item x="343"/>
        <item x="344"/>
        <item x="345"/>
        <item m="1" x="1092"/>
        <item x="346"/>
        <item x="347"/>
        <item x="348"/>
        <item x="349"/>
        <item x="350"/>
        <item x="351"/>
        <item x="352"/>
        <item x="353"/>
        <item m="1" x="1107"/>
        <item m="1" x="1088"/>
        <item x="354"/>
        <item x="355"/>
        <item x="356"/>
        <item x="357"/>
        <item x="358"/>
        <item x="359"/>
        <item x="360"/>
        <item m="1" x="1030"/>
        <item x="361"/>
        <item x="363"/>
        <item x="364"/>
        <item m="1" x="1037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2"/>
        <item x="403"/>
        <item m="1" x="1108"/>
        <item m="1" x="1050"/>
        <item x="404"/>
        <item x="405"/>
        <item x="406"/>
        <item x="407"/>
        <item x="408"/>
        <item m="1" x="1065"/>
        <item m="1" x="1096"/>
        <item m="1" x="1015"/>
        <item x="409"/>
        <item x="410"/>
        <item m="1" x="1029"/>
        <item x="411"/>
        <item x="412"/>
        <item x="413"/>
        <item x="415"/>
        <item x="417"/>
        <item x="418"/>
        <item x="419"/>
        <item x="420"/>
        <item x="421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m="1" x="1068"/>
        <item x="440"/>
        <item x="441"/>
        <item x="442"/>
        <item x="443"/>
        <item m="1" x="1064"/>
        <item x="444"/>
        <item m="1" x="1116"/>
        <item x="445"/>
        <item x="446"/>
        <item x="447"/>
        <item x="448"/>
        <item x="449"/>
        <item x="450"/>
        <item x="451"/>
        <item x="452"/>
        <item m="1" x="1034"/>
        <item x="453"/>
        <item m="1" x="1117"/>
        <item x="456"/>
        <item m="1" x="1075"/>
        <item m="1" x="1085"/>
        <item x="457"/>
        <item x="458"/>
        <item x="459"/>
        <item x="460"/>
        <item m="1" x="1060"/>
        <item x="461"/>
        <item x="462"/>
        <item x="463"/>
        <item x="464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m="1" x="1067"/>
        <item x="479"/>
        <item x="480"/>
        <item x="481"/>
        <item x="482"/>
        <item x="483"/>
        <item x="484"/>
        <item x="485"/>
        <item x="486"/>
        <item m="1" x="1073"/>
        <item x="487"/>
        <item x="490"/>
        <item m="1" x="1076"/>
        <item x="491"/>
        <item x="492"/>
        <item x="493"/>
        <item x="494"/>
        <item x="495"/>
        <item x="496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2"/>
        <item x="523"/>
        <item x="524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m="1" x="1094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m="1" x="1038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m="1" x="1110"/>
        <item x="563"/>
        <item x="564"/>
        <item x="565"/>
        <item x="567"/>
        <item x="568"/>
        <item x="569"/>
        <item x="570"/>
        <item x="571"/>
        <item x="572"/>
        <item m="1" x="1091"/>
        <item x="573"/>
        <item x="574"/>
        <item x="575"/>
        <item x="577"/>
        <item x="578"/>
        <item m="1" x="1056"/>
        <item x="579"/>
        <item x="580"/>
        <item x="581"/>
        <item x="582"/>
        <item x="583"/>
        <item x="584"/>
        <item x="585"/>
        <item x="586"/>
        <item m="1" x="1018"/>
        <item m="1" x="1054"/>
        <item x="587"/>
        <item x="588"/>
        <item x="589"/>
        <item x="590"/>
        <item x="591"/>
        <item x="592"/>
        <item x="593"/>
        <item m="1" x="1058"/>
        <item x="594"/>
        <item x="595"/>
        <item x="596"/>
        <item x="597"/>
        <item x="598"/>
        <item m="1" x="1024"/>
        <item x="599"/>
        <item m="1" x="1089"/>
        <item x="600"/>
        <item x="601"/>
        <item x="602"/>
        <item x="603"/>
        <item x="604"/>
        <item x="605"/>
        <item x="606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1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m="1" x="1112"/>
        <item x="671"/>
        <item x="672"/>
        <item x="673"/>
        <item x="674"/>
        <item x="675"/>
        <item x="676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8"/>
        <item x="699"/>
        <item x="700"/>
        <item x="701"/>
        <item x="702"/>
        <item x="703"/>
        <item m="1" x="1090"/>
        <item x="704"/>
        <item x="705"/>
        <item x="706"/>
        <item x="707"/>
        <item x="708"/>
        <item m="1" x="1049"/>
        <item x="709"/>
        <item x="710"/>
        <item m="1" x="1051"/>
        <item x="711"/>
        <item x="712"/>
        <item x="713"/>
        <item x="714"/>
        <item x="715"/>
        <item x="716"/>
        <item x="717"/>
        <item m="1" x="1019"/>
        <item x="718"/>
        <item x="719"/>
        <item x="720"/>
        <item x="721"/>
        <item x="723"/>
        <item x="724"/>
        <item x="725"/>
        <item x="726"/>
        <item x="727"/>
        <item x="729"/>
        <item x="730"/>
        <item x="731"/>
        <item x="732"/>
        <item x="733"/>
        <item m="1" x="1020"/>
        <item x="735"/>
        <item x="736"/>
        <item m="1" x="1080"/>
        <item x="737"/>
        <item m="1" x="1104"/>
        <item x="738"/>
        <item x="739"/>
        <item x="740"/>
        <item x="741"/>
        <item x="742"/>
        <item x="743"/>
        <item x="744"/>
        <item x="745"/>
        <item x="746"/>
        <item x="748"/>
        <item x="749"/>
        <item m="1" x="1031"/>
        <item x="750"/>
        <item x="751"/>
        <item x="752"/>
        <item x="753"/>
        <item x="756"/>
        <item x="757"/>
        <item x="758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m="1" x="1103"/>
        <item x="777"/>
        <item x="778"/>
        <item x="779"/>
        <item x="780"/>
        <item x="781"/>
        <item x="782"/>
        <item x="783"/>
        <item x="784"/>
        <item x="785"/>
        <item x="786"/>
        <item m="1" x="1053"/>
        <item x="787"/>
        <item x="788"/>
        <item m="1" x="1033"/>
        <item m="1" x="1102"/>
        <item m="1" x="1039"/>
        <item x="790"/>
        <item x="793"/>
        <item x="794"/>
        <item x="795"/>
        <item x="796"/>
        <item m="1" x="1070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m="1" x="1111"/>
        <item x="810"/>
        <item x="811"/>
        <item x="813"/>
        <item m="1" x="1087"/>
        <item x="814"/>
        <item x="815"/>
        <item x="816"/>
        <item x="817"/>
        <item x="818"/>
        <item x="819"/>
        <item m="1" x="1062"/>
        <item m="1" x="1022"/>
        <item x="821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840"/>
        <item x="841"/>
        <item x="842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m="1" x="1063"/>
        <item x="863"/>
        <item x="864"/>
        <item x="865"/>
        <item x="866"/>
        <item x="867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m="1" x="1106"/>
        <item x="881"/>
        <item x="882"/>
        <item x="883"/>
        <item x="884"/>
        <item x="885"/>
        <item m="1" x="1083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m="1" x="1074"/>
        <item x="904"/>
        <item x="905"/>
        <item x="906"/>
        <item x="907"/>
        <item x="908"/>
        <item m="1" x="1115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m="1" x="1047"/>
        <item x="923"/>
        <item x="924"/>
        <item x="925"/>
        <item m="1" x="1099"/>
        <item x="926"/>
        <item x="927"/>
        <item x="928"/>
        <item x="929"/>
        <item x="930"/>
        <item x="931"/>
        <item m="1" x="1097"/>
        <item x="932"/>
        <item x="933"/>
        <item x="934"/>
        <item x="935"/>
        <item x="936"/>
        <item m="1" x="1079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m="1" x="1077"/>
        <item x="952"/>
        <item m="1" x="1061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5"/>
        <item x="966"/>
        <item x="967"/>
        <item x="968"/>
        <item x="969"/>
        <item x="970"/>
        <item x="971"/>
        <item x="972"/>
        <item x="973"/>
        <item x="974"/>
        <item m="1" x="1023"/>
        <item x="975"/>
        <item x="977"/>
        <item m="1" x="1027"/>
        <item x="978"/>
        <item x="979"/>
        <item x="981"/>
        <item x="982"/>
        <item x="983"/>
        <item x="984"/>
        <item x="985"/>
        <item x="986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9"/>
        <item x="1010"/>
        <item x="1011"/>
        <item x="1012"/>
        <item x="1013"/>
        <item x="1014"/>
        <item x="313"/>
        <item x="525"/>
        <item x="25"/>
        <item x="161"/>
        <item x="263"/>
        <item x="759"/>
        <item x="747"/>
        <item m="1" x="1098"/>
        <item x="414"/>
        <item x="416"/>
        <item x="422"/>
        <item x="454"/>
        <item x="836"/>
        <item x="50"/>
        <item x="576"/>
        <item x="722"/>
        <item x="697"/>
        <item x="789"/>
        <item x="791"/>
        <item x="792"/>
        <item x="797"/>
        <item x="812"/>
        <item x="820"/>
        <item x="823"/>
        <item x="822"/>
        <item x="886"/>
        <item x="521"/>
        <item x="93"/>
        <item x="125"/>
        <item x="155"/>
        <item x="168"/>
        <item x="331"/>
        <item x="401"/>
        <item x="455"/>
        <item x="497"/>
        <item x="622"/>
        <item x="868"/>
        <item x="987"/>
        <item x="728"/>
        <item x="734"/>
        <item x="488"/>
        <item x="21"/>
        <item x="92"/>
        <item x="566"/>
        <item x="390"/>
        <item x="755"/>
        <item x="843"/>
        <item x="964"/>
        <item x="754"/>
        <item m="1" x="1086"/>
        <item x="280"/>
        <item x="362"/>
        <item m="1" x="1072"/>
        <item x="489"/>
        <item x="609"/>
        <item x="620"/>
        <item m="1" x="1017"/>
        <item x="976"/>
        <item x="980"/>
        <item x="100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50"/>
        <item x="234"/>
        <item x="235"/>
        <item x="341"/>
        <item x="465"/>
        <item x="499"/>
        <item x="550"/>
        <item x="607"/>
        <item x="677"/>
        <item x="678"/>
        <item x="679"/>
        <item x="680"/>
        <item x="681"/>
        <item x="903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dataField="1" compact="0" outline="0" showAll="0">
      <items count="5">
        <item x="0"/>
        <item x="1"/>
        <item x="3"/>
        <item h="1" x="2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28">
        <item m="1" x="23"/>
        <item x="6"/>
        <item x="5"/>
        <item x="12"/>
        <item x="14"/>
        <item x="9"/>
        <item m="1" x="20"/>
        <item x="4"/>
        <item m="1" x="21"/>
        <item x="11"/>
        <item x="7"/>
        <item m="1" x="22"/>
        <item x="10"/>
        <item m="1" x="24"/>
        <item x="3"/>
        <item m="1" x="25"/>
        <item x="2"/>
        <item m="1" x="26"/>
        <item x="16"/>
        <item x="17"/>
        <item x="1"/>
        <item m="1" x="18"/>
        <item x="8"/>
        <item m="1" x="19"/>
        <item x="15"/>
        <item m="1" x="27"/>
        <item x="0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62">
        <item m="1" x="264"/>
        <item m="1" x="228"/>
        <item m="1" x="239"/>
        <item m="1" x="12"/>
        <item m="1" x="358"/>
        <item m="1" x="194"/>
        <item m="1" x="81"/>
        <item m="1" x="332"/>
        <item m="1" x="256"/>
        <item m="1" x="10"/>
        <item m="1" x="273"/>
        <item m="1" x="23"/>
        <item m="1" x="107"/>
        <item m="1" x="161"/>
        <item m="1" x="338"/>
        <item m="1" x="192"/>
        <item m="1" x="48"/>
        <item m="1" x="78"/>
        <item m="1" x="138"/>
        <item m="1" x="354"/>
        <item m="1" x="258"/>
        <item m="1" x="191"/>
        <item m="1" x="9"/>
        <item m="1" x="340"/>
        <item m="1" x="238"/>
        <item m="1" x="150"/>
        <item m="1" x="160"/>
        <item m="1" x="284"/>
        <item m="1" x="285"/>
        <item m="1" x="105"/>
        <item m="1" x="302"/>
        <item m="1" x="17"/>
        <item m="1" x="65"/>
        <item m="1" x="68"/>
        <item m="1" x="326"/>
        <item m="1" x="84"/>
        <item m="1" x="315"/>
        <item m="1" x="53"/>
        <item m="1" x="215"/>
        <item m="1" x="329"/>
        <item m="1" x="218"/>
        <item m="1" x="7"/>
        <item m="1" x="8"/>
        <item m="1" x="330"/>
        <item m="1" x="308"/>
        <item m="1" x="262"/>
        <item m="1" x="300"/>
        <item m="1" x="166"/>
        <item m="1" x="31"/>
        <item m="1" x="96"/>
        <item m="1" x="267"/>
        <item m="1" x="245"/>
        <item m="1" x="163"/>
        <item m="1" x="277"/>
        <item m="1" x="199"/>
        <item m="1" x="79"/>
        <item m="1" x="318"/>
        <item m="1" x="142"/>
        <item m="1" x="213"/>
        <item m="1" x="278"/>
        <item m="1" x="137"/>
        <item m="1" x="287"/>
        <item m="1" x="223"/>
        <item m="1" x="270"/>
        <item m="1" x="101"/>
        <item m="1" x="210"/>
        <item m="1" x="317"/>
        <item m="1" x="177"/>
        <item m="1" x="292"/>
        <item m="1" x="203"/>
        <item m="1" x="240"/>
        <item m="1" x="244"/>
        <item m="1" x="190"/>
        <item m="1" x="222"/>
        <item m="1" x="5"/>
        <item m="1" x="75"/>
        <item m="1" x="64"/>
        <item m="1" x="113"/>
        <item m="1" x="351"/>
        <item m="1" x="32"/>
        <item m="1" x="299"/>
        <item m="1" x="106"/>
        <item m="1" x="232"/>
        <item m="1" x="129"/>
        <item m="1" x="184"/>
        <item m="1" x="335"/>
        <item m="1" x="94"/>
        <item m="1" x="157"/>
        <item m="1" x="189"/>
        <item m="1" x="237"/>
        <item m="1" x="172"/>
        <item m="1" x="16"/>
        <item m="1" x="77"/>
        <item m="1" x="147"/>
        <item m="1" x="169"/>
        <item m="1" x="90"/>
        <item m="1" x="283"/>
        <item m="1" x="359"/>
        <item m="1" x="27"/>
        <item m="1" x="175"/>
        <item m="1" x="115"/>
        <item m="1" x="83"/>
        <item m="1" x="263"/>
        <item m="1" x="116"/>
        <item m="1" x="38"/>
        <item m="1" x="164"/>
        <item m="1" x="325"/>
        <item m="1" x="176"/>
        <item m="1" x="102"/>
        <item m="1" x="306"/>
        <item m="1" x="99"/>
        <item m="1" x="89"/>
        <item m="1" x="234"/>
        <item m="1" x="59"/>
        <item m="1" x="159"/>
        <item m="1" x="125"/>
        <item m="1" x="248"/>
        <item m="1" x="126"/>
        <item m="1" x="243"/>
        <item m="1" x="242"/>
        <item m="1" x="298"/>
        <item m="1" x="52"/>
        <item m="1" x="313"/>
        <item m="1" x="290"/>
        <item m="1" x="95"/>
        <item m="1" x="42"/>
        <item m="1" x="246"/>
        <item m="1" x="357"/>
        <item m="1" x="216"/>
        <item m="1" x="314"/>
        <item m="1" x="133"/>
        <item m="1" x="261"/>
        <item m="1" x="195"/>
        <item m="1" x="257"/>
        <item m="1" x="188"/>
        <item m="1" x="198"/>
        <item m="1" x="333"/>
        <item m="1" x="291"/>
        <item m="1" x="322"/>
        <item m="1" x="108"/>
        <item m="1" x="348"/>
        <item m="1" x="236"/>
        <item m="1" x="109"/>
        <item m="1" x="260"/>
        <item m="1" x="220"/>
        <item m="1" x="279"/>
        <item m="1" x="36"/>
        <item m="1" x="86"/>
        <item m="1" x="303"/>
        <item m="1" x="321"/>
        <item m="1" x="122"/>
        <item m="1" x="130"/>
        <item m="1" x="202"/>
        <item m="1" x="49"/>
        <item m="1" x="110"/>
        <item m="1" x="67"/>
        <item m="1" x="350"/>
        <item m="1" x="35"/>
        <item m="1" x="141"/>
        <item m="1" x="54"/>
        <item m="1" x="30"/>
        <item m="1" x="6"/>
        <item m="1" x="327"/>
        <item m="1" x="341"/>
        <item m="1" x="168"/>
        <item m="1" x="187"/>
        <item m="1" x="74"/>
        <item m="1" x="173"/>
        <item m="1" x="135"/>
        <item m="1" x="152"/>
        <item m="1" x="208"/>
        <item m="1" x="139"/>
        <item m="1" x="231"/>
        <item x="1"/>
        <item m="1" x="51"/>
        <item m="1" x="151"/>
        <item m="1" x="145"/>
        <item x="3"/>
        <item m="1" x="124"/>
        <item m="1" x="233"/>
        <item m="1" x="211"/>
        <item m="1" x="111"/>
        <item m="1" x="250"/>
        <item m="1" x="97"/>
        <item m="1" x="43"/>
        <item m="1" x="301"/>
        <item m="1" x="134"/>
        <item m="1" x="310"/>
        <item m="1" x="286"/>
        <item m="1" x="20"/>
        <item m="1" x="342"/>
        <item m="1" x="60"/>
        <item m="1" x="57"/>
        <item m="1" x="324"/>
        <item m="1" x="271"/>
        <item m="1" x="34"/>
        <item m="1" x="316"/>
        <item m="1" x="349"/>
        <item m="1" x="15"/>
        <item m="1" x="92"/>
        <item m="1" x="128"/>
        <item m="1" x="98"/>
        <item m="1" x="249"/>
        <item m="1" x="66"/>
        <item m="1" x="269"/>
        <item m="1" x="55"/>
        <item m="1" x="217"/>
        <item m="1" x="252"/>
        <item m="1" x="140"/>
        <item m="1" x="73"/>
        <item m="1" x="80"/>
        <item m="1" x="103"/>
        <item m="1" x="120"/>
        <item m="1" x="28"/>
        <item x="2"/>
        <item m="1" x="132"/>
        <item m="1" x="265"/>
        <item m="1" x="356"/>
        <item m="1" x="185"/>
        <item m="1" x="304"/>
        <item m="1" x="293"/>
        <item m="1" x="93"/>
        <item m="1" x="196"/>
        <item m="1" x="251"/>
        <item m="1" x="323"/>
        <item m="1" x="153"/>
        <item m="1" x="40"/>
        <item m="1" x="295"/>
        <item m="1" x="71"/>
        <item m="1" x="344"/>
        <item m="1" x="179"/>
        <item m="1" x="178"/>
        <item m="1" x="343"/>
        <item m="1" x="254"/>
        <item m="1" x="72"/>
        <item m="1" x="305"/>
        <item m="1" x="336"/>
        <item m="1" x="121"/>
        <item m="1" x="275"/>
        <item m="1" x="85"/>
        <item m="1" x="207"/>
        <item m="1" x="70"/>
        <item m="1" x="143"/>
        <item m="1" x="247"/>
        <item m="1" x="289"/>
        <item m="1" x="118"/>
        <item m="1" x="183"/>
        <item m="1" x="45"/>
        <item m="1" x="11"/>
        <item m="1" x="334"/>
        <item m="1" x="224"/>
        <item m="1" x="272"/>
        <item m="1" x="355"/>
        <item m="1" x="361"/>
        <item m="1" x="307"/>
        <item m="1" x="56"/>
        <item m="1" x="241"/>
        <item m="1" x="274"/>
        <item m="1" x="253"/>
        <item m="1" x="26"/>
        <item m="1" x="19"/>
        <item m="1" x="311"/>
        <item m="1" x="167"/>
        <item m="1" x="114"/>
        <item m="1" x="82"/>
        <item m="1" x="339"/>
        <item m="1" x="21"/>
        <item m="1" x="155"/>
        <item m="1" x="117"/>
        <item m="1" x="276"/>
        <item m="1" x="180"/>
        <item m="1" x="91"/>
        <item m="1" x="46"/>
        <item m="1" x="146"/>
        <item m="1" x="154"/>
        <item m="1" x="4"/>
        <item m="1" x="219"/>
        <item m="1" x="182"/>
        <item m="1" x="39"/>
        <item m="1" x="29"/>
        <item m="1" x="22"/>
        <item m="1" x="87"/>
        <item m="1" x="158"/>
        <item m="1" x="100"/>
        <item m="1" x="181"/>
        <item m="1" x="268"/>
        <item m="1" x="104"/>
        <item m="1" x="162"/>
        <item m="1" x="61"/>
        <item m="1" x="282"/>
        <item m="1" x="281"/>
        <item m="1" x="266"/>
        <item m="1" x="41"/>
        <item m="1" x="353"/>
        <item m="1" x="226"/>
        <item m="1" x="312"/>
        <item m="1" x="127"/>
        <item m="1" x="62"/>
        <item m="1" x="225"/>
        <item m="1" x="360"/>
        <item m="1" x="346"/>
        <item m="1" x="171"/>
        <item m="1" x="76"/>
        <item m="1" x="144"/>
        <item m="1" x="227"/>
        <item m="1" x="206"/>
        <item m="1" x="156"/>
        <item m="1" x="33"/>
        <item m="1" x="14"/>
        <item m="1" x="235"/>
        <item m="1" x="170"/>
        <item m="1" x="212"/>
        <item m="1" x="347"/>
        <item m="1" x="296"/>
        <item m="1" x="165"/>
        <item m="1" x="255"/>
        <item m="1" x="229"/>
        <item m="1" x="149"/>
        <item m="1" x="331"/>
        <item m="1" x="197"/>
        <item m="1" x="230"/>
        <item m="1" x="200"/>
        <item m="1" x="294"/>
        <item m="1" x="319"/>
        <item m="1" x="259"/>
        <item m="1" x="309"/>
        <item m="1" x="201"/>
        <item m="1" x="209"/>
        <item m="1" x="13"/>
        <item m="1" x="352"/>
        <item m="1" x="214"/>
        <item m="1" x="320"/>
        <item m="1" x="288"/>
        <item m="1" x="205"/>
        <item m="1" x="193"/>
        <item m="1" x="24"/>
        <item m="1" x="174"/>
        <item m="1" x="136"/>
        <item m="1" x="63"/>
        <item m="1" x="25"/>
        <item m="1" x="131"/>
        <item m="1" x="337"/>
        <item m="1" x="148"/>
        <item m="1" x="297"/>
        <item m="1" x="44"/>
        <item m="1" x="69"/>
        <item m="1" x="37"/>
        <item m="1" x="328"/>
        <item m="1" x="112"/>
        <item m="1" x="280"/>
        <item m="1" x="345"/>
        <item m="1" x="50"/>
        <item m="1" x="18"/>
        <item m="1" x="58"/>
        <item m="1" x="186"/>
        <item m="1" x="204"/>
        <item m="1" x="119"/>
        <item m="1" x="47"/>
        <item m="1" x="88"/>
        <item m="1" x="221"/>
        <item m="1" x="123"/>
        <item x="0"/>
      </items>
    </pivotField>
    <pivotField compact="0" outline="0" showAll="0"/>
  </pivotFields>
  <rowFields count="10">
    <field x="0"/>
    <field x="1"/>
    <field x="2"/>
    <field x="3"/>
    <field x="4"/>
    <field x="5"/>
    <field x="21"/>
    <field x="25"/>
    <field x="11"/>
    <field x="36"/>
  </rowFields>
  <rowItems count="1130">
    <i>
      <x/>
      <x/>
      <x/>
      <x/>
      <x v="10"/>
      <x v="25"/>
      <x/>
      <x v="26"/>
      <x v="2"/>
      <x v="361"/>
    </i>
    <i r="8">
      <x v="69"/>
      <x v="361"/>
    </i>
    <i r="8">
      <x v="75"/>
      <x v="361"/>
    </i>
    <i r="8">
      <x v="93"/>
      <x v="361"/>
    </i>
    <i r="8">
      <x v="219"/>
      <x v="361"/>
    </i>
    <i r="8">
      <x v="377"/>
      <x v="361"/>
    </i>
    <i r="8">
      <x v="390"/>
      <x v="361"/>
    </i>
    <i r="8">
      <x v="438"/>
      <x v="361"/>
    </i>
    <i r="8">
      <x v="444"/>
      <x v="361"/>
    </i>
    <i r="8">
      <x v="467"/>
      <x v="361"/>
    </i>
    <i r="8">
      <x v="471"/>
      <x v="361"/>
    </i>
    <i r="8">
      <x v="518"/>
      <x v="361"/>
    </i>
    <i r="8">
      <x v="524"/>
      <x v="361"/>
    </i>
    <i r="8">
      <x v="606"/>
      <x v="361"/>
    </i>
    <i r="8">
      <x v="704"/>
      <x v="361"/>
    </i>
    <i r="8">
      <x v="757"/>
      <x v="361"/>
    </i>
    <i r="8">
      <x v="779"/>
      <x v="361"/>
    </i>
    <i r="8">
      <x v="847"/>
      <x v="361"/>
    </i>
    <i r="8">
      <x v="851"/>
      <x v="361"/>
    </i>
    <i r="8">
      <x v="875"/>
      <x v="361"/>
    </i>
    <i r="8">
      <x v="882"/>
      <x v="361"/>
    </i>
    <i r="8">
      <x v="901"/>
      <x v="361"/>
    </i>
    <i r="8">
      <x v="926"/>
      <x v="361"/>
    </i>
    <i r="8">
      <x v="941"/>
      <x v="361"/>
    </i>
    <i r="8">
      <x v="959"/>
      <x v="361"/>
    </i>
    <i r="8">
      <x v="996"/>
      <x v="361"/>
    </i>
    <i r="8">
      <x v="1044"/>
      <x v="361"/>
    </i>
    <i r="8">
      <x v="1108"/>
      <x v="361"/>
    </i>
    <i t="default" r="6">
      <x/>
    </i>
    <i r="4">
      <x v="17"/>
      <x v="25"/>
      <x v="1"/>
      <x v="9"/>
      <x v="1037"/>
      <x v="361"/>
    </i>
    <i t="default" r="6">
      <x v="1"/>
    </i>
    <i r="3">
      <x v="1"/>
      <x v="10"/>
      <x v="25"/>
      <x/>
      <x v="26"/>
      <x v="402"/>
      <x v="361"/>
    </i>
    <i r="8">
      <x v="1113"/>
      <x v="361"/>
    </i>
    <i r="8">
      <x v="1114"/>
      <x v="361"/>
    </i>
    <i r="8">
      <x v="1115"/>
      <x v="173"/>
    </i>
    <i r="8">
      <x v="1116"/>
      <x v="361"/>
    </i>
    <i r="8">
      <x v="1117"/>
      <x v="361"/>
    </i>
    <i t="default" r="6">
      <x/>
    </i>
    <i r="3">
      <x v="2"/>
      <x v="2"/>
      <x v="25"/>
      <x/>
      <x v="26"/>
      <x v="256"/>
      <x v="361"/>
    </i>
    <i r="8">
      <x v="271"/>
      <x v="361"/>
    </i>
    <i r="8">
      <x v="446"/>
      <x v="361"/>
    </i>
    <i t="default" r="6">
      <x/>
    </i>
    <i r="4">
      <x v="10"/>
      <x v="25"/>
      <x/>
      <x v="26"/>
      <x v="174"/>
      <x v="361"/>
    </i>
    <i r="8">
      <x v="231"/>
      <x v="361"/>
    </i>
    <i r="8">
      <x v="857"/>
      <x v="361"/>
    </i>
    <i r="8">
      <x v="1036"/>
      <x v="361"/>
    </i>
    <i t="default" r="6">
      <x/>
    </i>
    <i r="6">
      <x v="1"/>
      <x v="20"/>
      <x v="55"/>
      <x v="361"/>
    </i>
    <i t="default" r="6">
      <x v="1"/>
    </i>
    <i r="4">
      <x v="13"/>
      <x v="25"/>
      <x v="1"/>
      <x v="20"/>
      <x v="1007"/>
      <x v="361"/>
    </i>
    <i t="default" r="6">
      <x v="1"/>
    </i>
    <i r="6">
      <x v="2"/>
      <x v="26"/>
      <x v="1070"/>
      <x v="173"/>
    </i>
    <i t="default" r="6">
      <x v="2"/>
    </i>
    <i r="4">
      <x v="14"/>
      <x v="25"/>
      <x/>
      <x v="26"/>
      <x v="146"/>
      <x v="361"/>
    </i>
    <i r="8">
      <x v="301"/>
      <x v="361"/>
    </i>
    <i r="8">
      <x v="370"/>
      <x v="361"/>
    </i>
    <i r="8">
      <x v="480"/>
      <x v="361"/>
    </i>
    <i r="8">
      <x v="486"/>
      <x v="361"/>
    </i>
    <i r="8">
      <x v="596"/>
      <x v="361"/>
    </i>
    <i r="8">
      <x v="599"/>
      <x v="361"/>
    </i>
    <i r="8">
      <x v="610"/>
      <x v="361"/>
    </i>
    <i r="8">
      <x v="646"/>
      <x v="361"/>
    </i>
    <i r="8">
      <x v="666"/>
      <x v="361"/>
    </i>
    <i r="8">
      <x v="680"/>
      <x v="361"/>
    </i>
    <i r="8">
      <x v="809"/>
      <x v="361"/>
    </i>
    <i r="8">
      <x v="945"/>
      <x v="361"/>
    </i>
    <i r="8">
      <x v="1118"/>
      <x v="173"/>
    </i>
    <i t="default" r="6">
      <x/>
    </i>
    <i r="6">
      <x v="1"/>
      <x v="4"/>
      <x v="491"/>
      <x v="361"/>
    </i>
    <i r="7">
      <x v="7"/>
      <x v="132"/>
      <x v="361"/>
    </i>
    <i r="8">
      <x v="645"/>
      <x v="361"/>
    </i>
    <i r="7">
      <x v="16"/>
      <x v="285"/>
      <x v="361"/>
    </i>
    <i r="8">
      <x v="415"/>
      <x v="361"/>
    </i>
    <i r="8">
      <x v="510"/>
      <x v="361"/>
    </i>
    <i r="8">
      <x v="899"/>
      <x v="361"/>
    </i>
    <i r="7">
      <x v="20"/>
      <x v="642"/>
      <x v="361"/>
    </i>
    <i t="default" r="6">
      <x v="1"/>
    </i>
    <i r="4">
      <x v="23"/>
      <x v="25"/>
      <x/>
      <x v="26"/>
      <x v="164"/>
      <x v="361"/>
    </i>
    <i r="8">
      <x v="176"/>
      <x v="361"/>
    </i>
    <i r="8">
      <x v="334"/>
      <x v="361"/>
    </i>
    <i r="8">
      <x v="411"/>
      <x v="361"/>
    </i>
    <i r="8">
      <x v="498"/>
      <x v="361"/>
    </i>
    <i r="8">
      <x v="605"/>
      <x v="361"/>
    </i>
    <i r="8">
      <x v="796"/>
      <x v="361"/>
    </i>
    <i r="8">
      <x v="830"/>
      <x v="361"/>
    </i>
    <i r="8">
      <x v="843"/>
      <x v="361"/>
    </i>
    <i r="8">
      <x v="1008"/>
      <x v="361"/>
    </i>
    <i t="default" r="6">
      <x/>
    </i>
    <i r="6">
      <x v="1"/>
      <x v="5"/>
      <x v="574"/>
      <x v="361"/>
    </i>
    <i r="7">
      <x v="7"/>
      <x v="152"/>
      <x v="361"/>
    </i>
    <i r="8">
      <x v="206"/>
      <x v="361"/>
    </i>
    <i r="8">
      <x v="910"/>
      <x v="361"/>
    </i>
    <i r="7">
      <x v="9"/>
      <x v="291"/>
      <x v="361"/>
    </i>
    <i r="7">
      <x v="14"/>
      <x v="72"/>
      <x v="361"/>
    </i>
    <i r="8">
      <x v="814"/>
      <x v="361"/>
    </i>
    <i r="7">
      <x v="16"/>
      <x v="966"/>
      <x v="361"/>
    </i>
    <i t="default" r="6">
      <x v="1"/>
    </i>
    <i r="4">
      <x v="39"/>
      <x v="25"/>
      <x/>
      <x v="26"/>
      <x v="35"/>
      <x v="361"/>
    </i>
    <i r="8">
      <x v="88"/>
      <x v="361"/>
    </i>
    <i r="8">
      <x v="318"/>
      <x v="361"/>
    </i>
    <i r="8">
      <x v="519"/>
      <x v="361"/>
    </i>
    <i r="8">
      <x v="1005"/>
      <x v="361"/>
    </i>
    <i t="default" r="6">
      <x/>
    </i>
    <i r="6">
      <x v="1"/>
      <x v="2"/>
      <x v="39"/>
      <x v="361"/>
    </i>
    <i r="7">
      <x v="5"/>
      <x v="395"/>
      <x v="361"/>
    </i>
    <i r="8">
      <x v="563"/>
      <x v="361"/>
    </i>
    <i r="7">
      <x v="7"/>
      <x v="137"/>
      <x v="361"/>
    </i>
    <i r="7">
      <x v="9"/>
      <x v="179"/>
      <x v="361"/>
    </i>
    <i t="default" r="6">
      <x v="1"/>
    </i>
    <i r="4">
      <x v="41"/>
      <x v="25"/>
      <x/>
      <x v="26"/>
      <x v="68"/>
      <x v="361"/>
    </i>
    <i r="8">
      <x v="97"/>
      <x v="361"/>
    </i>
    <i r="8">
      <x v="172"/>
      <x v="361"/>
    </i>
    <i r="8">
      <x v="718"/>
      <x v="361"/>
    </i>
    <i r="8">
      <x v="877"/>
      <x v="361"/>
    </i>
    <i t="default" r="6">
      <x/>
    </i>
    <i r="6">
      <x v="1"/>
      <x v="20"/>
      <x v="163"/>
      <x v="361"/>
    </i>
    <i r="8">
      <x v="502"/>
      <x v="361"/>
    </i>
    <i t="default" r="6">
      <x v="1"/>
    </i>
    <i r="4">
      <x v="45"/>
      <x v="8"/>
      <x/>
      <x v="26"/>
      <x v="127"/>
      <x v="361"/>
    </i>
    <i r="8">
      <x v="246"/>
      <x v="361"/>
    </i>
    <i r="8">
      <x v="682"/>
      <x v="361"/>
    </i>
    <i r="8">
      <x v="1048"/>
      <x v="361"/>
    </i>
    <i r="8">
      <x v="1109"/>
      <x v="173"/>
    </i>
    <i t="default" r="6">
      <x/>
    </i>
    <i r="6">
      <x v="1"/>
      <x v="5"/>
      <x v="543"/>
      <x v="361"/>
    </i>
    <i r="7">
      <x v="14"/>
      <x v="482"/>
      <x v="361"/>
    </i>
    <i r="8">
      <x v="499"/>
      <x v="361"/>
    </i>
    <i r="8">
      <x v="886"/>
      <x v="361"/>
    </i>
    <i r="7">
      <x v="16"/>
      <x v="154"/>
      <x v="361"/>
    </i>
    <i t="default" r="6">
      <x v="1"/>
    </i>
    <i r="5">
      <x v="14"/>
      <x/>
      <x v="26"/>
      <x v="205"/>
      <x v="361"/>
    </i>
    <i r="8">
      <x v="282"/>
      <x v="361"/>
    </i>
    <i r="8">
      <x v="373"/>
      <x v="361"/>
    </i>
    <i r="8">
      <x v="667"/>
      <x v="361"/>
    </i>
    <i r="8">
      <x v="943"/>
      <x v="361"/>
    </i>
    <i r="8">
      <x v="979"/>
      <x v="361"/>
    </i>
    <i t="default" r="6">
      <x/>
    </i>
    <i r="6">
      <x v="1"/>
      <x v="5"/>
      <x v="872"/>
      <x v="361"/>
    </i>
    <i r="7">
      <x v="7"/>
      <x v="629"/>
      <x v="173"/>
    </i>
    <i r="8">
      <x v="632"/>
      <x v="361"/>
    </i>
    <i r="7">
      <x v="9"/>
      <x v="1010"/>
      <x v="361"/>
    </i>
    <i r="7">
      <x v="12"/>
      <x v="169"/>
      <x v="361"/>
    </i>
    <i r="7">
      <x v="16"/>
      <x v="485"/>
      <x v="361"/>
    </i>
    <i r="8">
      <x v="490"/>
      <x v="361"/>
    </i>
    <i r="8">
      <x v="987"/>
      <x v="361"/>
    </i>
    <i r="7">
      <x v="19"/>
      <x v="984"/>
      <x v="361"/>
    </i>
    <i r="7">
      <x v="24"/>
      <x v="582"/>
      <x v="361"/>
    </i>
    <i t="default" r="6">
      <x v="1"/>
    </i>
    <i r="5">
      <x v="15"/>
      <x/>
      <x v="26"/>
      <x v="1018"/>
      <x v="361"/>
    </i>
    <i r="8">
      <x v="1026"/>
      <x v="361"/>
    </i>
    <i t="default" r="6">
      <x/>
    </i>
    <i r="6">
      <x v="1"/>
      <x v="14"/>
      <x v="962"/>
      <x v="361"/>
    </i>
    <i r="7">
      <x v="20"/>
      <x v="60"/>
      <x v="361"/>
    </i>
    <i r="8">
      <x v="238"/>
      <x v="361"/>
    </i>
    <i r="8">
      <x v="247"/>
      <x v="361"/>
    </i>
    <i r="8">
      <x v="316"/>
      <x v="214"/>
    </i>
    <i r="8">
      <x v="350"/>
      <x v="361"/>
    </i>
    <i r="8">
      <x v="489"/>
      <x v="361"/>
    </i>
    <i r="8">
      <x v="526"/>
      <x v="361"/>
    </i>
    <i r="8">
      <x v="530"/>
      <x v="361"/>
    </i>
    <i r="8">
      <x v="633"/>
      <x v="361"/>
    </i>
    <i r="8">
      <x v="649"/>
      <x v="361"/>
    </i>
    <i r="8">
      <x v="789"/>
      <x v="361"/>
    </i>
    <i r="8">
      <x v="808"/>
      <x v="361"/>
    </i>
    <i r="8">
      <x v="929"/>
      <x v="361"/>
    </i>
    <i t="default" r="6">
      <x v="1"/>
    </i>
    <i r="5">
      <x v="20"/>
      <x/>
      <x v="26"/>
      <x v="34"/>
      <x v="361"/>
    </i>
    <i t="default" r="6">
      <x/>
    </i>
    <i r="6">
      <x v="1"/>
      <x v="2"/>
      <x v="36"/>
      <x v="361"/>
    </i>
    <i r="7">
      <x v="5"/>
      <x v="940"/>
      <x v="361"/>
    </i>
    <i r="7">
      <x v="7"/>
      <x v="561"/>
      <x v="361"/>
    </i>
    <i t="default" r="6">
      <x v="1"/>
    </i>
    <i r="4">
      <x v="46"/>
      <x v="23"/>
      <x/>
      <x v="26"/>
      <x v="614"/>
      <x v="361"/>
    </i>
    <i t="default" r="6">
      <x/>
    </i>
    <i r="5">
      <x v="25"/>
      <x/>
      <x v="26"/>
      <x v="254"/>
      <x v="361"/>
    </i>
    <i r="8">
      <x v="277"/>
      <x v="361"/>
    </i>
    <i r="8">
      <x v="487"/>
      <x v="361"/>
    </i>
    <i r="8">
      <x v="542"/>
      <x v="361"/>
    </i>
    <i r="8">
      <x v="595"/>
      <x v="361"/>
    </i>
    <i r="8">
      <x v="644"/>
      <x v="361"/>
    </i>
    <i r="8">
      <x v="743"/>
      <x v="361"/>
    </i>
    <i r="8">
      <x v="802"/>
      <x v="361"/>
    </i>
    <i r="8">
      <x v="824"/>
      <x v="361"/>
    </i>
    <i r="8">
      <x v="947"/>
      <x v="361"/>
    </i>
    <i r="8">
      <x v="1059"/>
      <x v="361"/>
    </i>
    <i t="default" r="6">
      <x/>
    </i>
    <i r="6">
      <x v="1"/>
      <x v="1"/>
      <x v="255"/>
      <x v="361"/>
    </i>
    <i r="8">
      <x v="335"/>
      <x v="214"/>
    </i>
    <i r="8">
      <x v="823"/>
      <x v="361"/>
    </i>
    <i r="7">
      <x v="2"/>
      <x v="536"/>
      <x v="361"/>
    </i>
    <i r="7">
      <x v="5"/>
      <x v="461"/>
      <x v="361"/>
    </i>
    <i r="7">
      <x v="7"/>
      <x v="1049"/>
      <x v="361"/>
    </i>
    <i r="8">
      <x v="1057"/>
      <x v="173"/>
    </i>
    <i r="7">
      <x v="16"/>
      <x v="9"/>
      <x v="361"/>
    </i>
    <i r="8">
      <x v="1047"/>
      <x v="173"/>
    </i>
    <i t="default" r="6">
      <x v="1"/>
    </i>
    <i r="1">
      <x v="3"/>
      <x/>
      <x v="3"/>
      <x v="15"/>
      <x v="25"/>
      <x/>
      <x v="26"/>
      <x v="109"/>
      <x v="361"/>
    </i>
    <i r="8">
      <x v="155"/>
      <x v="361"/>
    </i>
    <i r="8">
      <x v="183"/>
      <x v="361"/>
    </i>
    <i r="8">
      <x v="304"/>
      <x v="361"/>
    </i>
    <i r="8">
      <x v="322"/>
      <x v="361"/>
    </i>
    <i r="8">
      <x v="391"/>
      <x v="361"/>
    </i>
    <i r="8">
      <x v="410"/>
      <x v="361"/>
    </i>
    <i r="8">
      <x v="433"/>
      <x v="361"/>
    </i>
    <i r="8">
      <x v="492"/>
      <x v="361"/>
    </i>
    <i r="8">
      <x v="528"/>
      <x v="361"/>
    </i>
    <i r="8">
      <x v="537"/>
      <x v="361"/>
    </i>
    <i r="8">
      <x v="695"/>
      <x v="361"/>
    </i>
    <i r="8">
      <x v="719"/>
      <x v="361"/>
    </i>
    <i r="8">
      <x v="737"/>
      <x v="361"/>
    </i>
    <i t="default" r="6">
      <x/>
    </i>
    <i r="6">
      <x v="1"/>
      <x v="5"/>
      <x v="352"/>
      <x v="361"/>
    </i>
    <i r="8">
      <x v="586"/>
      <x v="361"/>
    </i>
    <i r="7">
      <x v="14"/>
      <x v="315"/>
      <x v="361"/>
    </i>
    <i r="8">
      <x v="643"/>
      <x v="361"/>
    </i>
    <i r="8">
      <x v="793"/>
      <x v="361"/>
    </i>
    <i r="8">
      <x v="918"/>
      <x v="361"/>
    </i>
    <i t="default" r="6">
      <x v="1"/>
    </i>
    <i r="3">
      <x v="4"/>
      <x v="10"/>
      <x v="25"/>
      <x/>
      <x v="26"/>
      <x v="201"/>
      <x v="361"/>
    </i>
    <i r="8">
      <x v="313"/>
      <x v="361"/>
    </i>
    <i r="8">
      <x v="776"/>
      <x v="361"/>
    </i>
    <i t="default" r="6">
      <x/>
    </i>
    <i r="3">
      <x v="6"/>
      <x v="10"/>
      <x v="25"/>
      <x/>
      <x v="26"/>
      <x v="98"/>
      <x v="361"/>
    </i>
    <i r="8">
      <x v="453"/>
      <x v="361"/>
    </i>
    <i r="8">
      <x v="463"/>
      <x v="361"/>
    </i>
    <i r="8">
      <x v="544"/>
      <x v="361"/>
    </i>
    <i r="8">
      <x v="621"/>
      <x v="361"/>
    </i>
    <i r="8">
      <x v="715"/>
      <x v="361"/>
    </i>
    <i r="8">
      <x v="889"/>
      <x v="361"/>
    </i>
    <i r="8">
      <x v="1019"/>
      <x v="361"/>
    </i>
    <i t="default" r="6">
      <x/>
    </i>
    <i r="6">
      <x v="1"/>
      <x v="4"/>
      <x v="1024"/>
      <x v="361"/>
    </i>
    <i r="7">
      <x v="7"/>
      <x v="477"/>
      <x v="361"/>
    </i>
    <i t="default" r="6">
      <x v="1"/>
    </i>
    <i r="4">
      <x v="16"/>
      <x v="6"/>
      <x v="1"/>
      <x v="3"/>
      <x v="1011"/>
      <x v="361"/>
    </i>
    <i t="default" r="6">
      <x v="1"/>
    </i>
    <i r="4">
      <x v="21"/>
      <x v="25"/>
      <x v="1"/>
      <x v="14"/>
      <x v="479"/>
      <x v="361"/>
    </i>
    <i t="default" r="6">
      <x v="1"/>
    </i>
    <i r="4">
      <x v="38"/>
      <x v="2"/>
      <x/>
      <x v="26"/>
      <x/>
      <x v="361"/>
    </i>
    <i r="8">
      <x v="33"/>
      <x v="361"/>
    </i>
    <i r="8">
      <x v="52"/>
      <x v="361"/>
    </i>
    <i r="8">
      <x v="184"/>
      <x v="361"/>
    </i>
    <i r="8">
      <x v="196"/>
      <x v="361"/>
    </i>
    <i r="8">
      <x v="209"/>
      <x v="361"/>
    </i>
    <i r="8">
      <x v="243"/>
      <x v="361"/>
    </i>
    <i r="8">
      <x v="296"/>
      <x v="361"/>
    </i>
    <i r="8">
      <x v="298"/>
      <x v="361"/>
    </i>
    <i r="8">
      <x v="552"/>
      <x v="361"/>
    </i>
    <i r="8">
      <x v="553"/>
      <x v="361"/>
    </i>
    <i r="8">
      <x v="573"/>
      <x v="361"/>
    </i>
    <i r="8">
      <x v="628"/>
      <x v="361"/>
    </i>
    <i r="8">
      <x v="635"/>
      <x v="361"/>
    </i>
    <i r="8">
      <x v="640"/>
      <x v="361"/>
    </i>
    <i r="8">
      <x v="647"/>
      <x v="361"/>
    </i>
    <i r="8">
      <x v="679"/>
      <x v="361"/>
    </i>
    <i r="8">
      <x v="810"/>
      <x v="361"/>
    </i>
    <i r="8">
      <x v="859"/>
      <x v="361"/>
    </i>
    <i r="8">
      <x v="988"/>
      <x v="361"/>
    </i>
    <i r="8">
      <x v="1003"/>
      <x v="361"/>
    </i>
    <i r="8">
      <x v="1004"/>
      <x v="361"/>
    </i>
    <i r="8">
      <x v="1015"/>
      <x v="361"/>
    </i>
    <i r="8">
      <x v="1023"/>
      <x v="361"/>
    </i>
    <i t="default" r="6">
      <x/>
    </i>
    <i r="4">
      <x v="50"/>
      <x/>
      <x/>
      <x v="26"/>
      <x v="16"/>
      <x v="361"/>
    </i>
    <i r="8">
      <x v="18"/>
      <x v="361"/>
    </i>
    <i r="8">
      <x v="46"/>
      <x v="361"/>
    </i>
    <i r="8">
      <x v="47"/>
      <x v="361"/>
    </i>
    <i r="8">
      <x v="48"/>
      <x v="361"/>
    </i>
    <i r="8">
      <x v="50"/>
      <x v="361"/>
    </i>
    <i r="8">
      <x v="59"/>
      <x v="361"/>
    </i>
    <i r="8">
      <x v="84"/>
      <x v="361"/>
    </i>
    <i r="8">
      <x v="91"/>
      <x v="361"/>
    </i>
    <i r="8">
      <x v="100"/>
      <x v="361"/>
    </i>
    <i r="8">
      <x v="105"/>
      <x v="361"/>
    </i>
    <i r="8">
      <x v="115"/>
      <x v="361"/>
    </i>
    <i r="8">
      <x v="117"/>
      <x v="361"/>
    </i>
    <i r="8">
      <x v="121"/>
      <x v="361"/>
    </i>
    <i r="8">
      <x v="125"/>
      <x v="361"/>
    </i>
    <i r="8">
      <x v="126"/>
      <x v="361"/>
    </i>
    <i r="8">
      <x v="129"/>
      <x v="361"/>
    </i>
    <i r="8">
      <x v="136"/>
      <x v="361"/>
    </i>
    <i r="8">
      <x v="139"/>
      <x v="361"/>
    </i>
    <i r="8">
      <x v="140"/>
      <x v="361"/>
    </i>
    <i r="8">
      <x v="142"/>
      <x v="361"/>
    </i>
    <i r="8">
      <x v="147"/>
      <x v="361"/>
    </i>
    <i r="8">
      <x v="156"/>
      <x v="361"/>
    </i>
    <i r="8">
      <x v="161"/>
      <x v="361"/>
    </i>
    <i r="8">
      <x v="165"/>
      <x v="361"/>
    </i>
    <i r="8">
      <x v="187"/>
      <x v="361"/>
    </i>
    <i r="8">
      <x v="197"/>
      <x v="361"/>
    </i>
    <i r="8">
      <x v="199"/>
      <x v="361"/>
    </i>
    <i r="8">
      <x v="215"/>
      <x v="361"/>
    </i>
    <i r="8">
      <x v="218"/>
      <x v="361"/>
    </i>
    <i r="8">
      <x v="226"/>
      <x v="361"/>
    </i>
    <i r="8">
      <x v="234"/>
      <x v="361"/>
    </i>
    <i r="8">
      <x v="249"/>
      <x v="361"/>
    </i>
    <i r="8">
      <x v="252"/>
      <x v="361"/>
    </i>
    <i r="8">
      <x v="253"/>
      <x v="361"/>
    </i>
    <i r="8">
      <x v="272"/>
      <x v="361"/>
    </i>
    <i r="8">
      <x v="273"/>
      <x v="361"/>
    </i>
    <i r="8">
      <x v="283"/>
      <x v="361"/>
    </i>
    <i r="8">
      <x v="297"/>
      <x v="361"/>
    </i>
    <i r="8">
      <x v="300"/>
      <x v="361"/>
    </i>
    <i r="8">
      <x v="303"/>
      <x v="361"/>
    </i>
    <i r="8">
      <x v="308"/>
      <x v="361"/>
    </i>
    <i r="8">
      <x v="310"/>
      <x v="361"/>
    </i>
    <i r="8">
      <x v="317"/>
      <x v="361"/>
    </i>
    <i r="8">
      <x v="329"/>
      <x v="361"/>
    </i>
    <i r="8">
      <x v="331"/>
      <x v="361"/>
    </i>
    <i r="8">
      <x v="341"/>
      <x v="361"/>
    </i>
    <i r="8">
      <x v="346"/>
      <x v="361"/>
    </i>
    <i r="8">
      <x v="365"/>
      <x v="361"/>
    </i>
    <i r="8">
      <x v="380"/>
      <x v="361"/>
    </i>
    <i r="8">
      <x v="396"/>
      <x v="361"/>
    </i>
    <i r="8">
      <x v="401"/>
      <x v="361"/>
    </i>
    <i r="8">
      <x v="409"/>
      <x v="361"/>
    </i>
    <i r="8">
      <x v="417"/>
      <x v="361"/>
    </i>
    <i r="8">
      <x v="418"/>
      <x v="361"/>
    </i>
    <i r="8">
      <x v="426"/>
      <x v="361"/>
    </i>
    <i r="8">
      <x v="427"/>
      <x v="361"/>
    </i>
    <i r="8">
      <x v="441"/>
      <x v="361"/>
    </i>
    <i r="8">
      <x v="476"/>
      <x v="361"/>
    </i>
    <i r="8">
      <x v="503"/>
      <x v="361"/>
    </i>
    <i r="8">
      <x v="504"/>
      <x v="361"/>
    </i>
    <i r="8">
      <x v="507"/>
      <x v="361"/>
    </i>
    <i r="8">
      <x v="511"/>
      <x v="361"/>
    </i>
    <i r="8">
      <x v="516"/>
      <x v="361"/>
    </i>
    <i r="8">
      <x v="523"/>
      <x v="361"/>
    </i>
    <i r="8">
      <x v="527"/>
      <x v="361"/>
    </i>
    <i r="8">
      <x v="529"/>
      <x v="361"/>
    </i>
    <i r="8">
      <x v="538"/>
      <x v="361"/>
    </i>
    <i r="8">
      <x v="541"/>
      <x v="361"/>
    </i>
    <i r="8">
      <x v="546"/>
      <x v="361"/>
    </i>
    <i r="8">
      <x v="547"/>
      <x v="361"/>
    </i>
    <i r="8">
      <x v="548"/>
      <x v="361"/>
    </i>
    <i r="8">
      <x v="555"/>
      <x v="361"/>
    </i>
    <i r="8">
      <x v="564"/>
      <x v="361"/>
    </i>
    <i r="8">
      <x v="566"/>
      <x v="361"/>
    </i>
    <i r="8">
      <x v="567"/>
      <x v="361"/>
    </i>
    <i r="8">
      <x v="581"/>
      <x v="361"/>
    </i>
    <i r="8">
      <x v="583"/>
      <x v="361"/>
    </i>
    <i r="8">
      <x v="585"/>
      <x v="361"/>
    </i>
    <i r="8">
      <x v="592"/>
      <x v="361"/>
    </i>
    <i r="8">
      <x v="601"/>
      <x v="361"/>
    </i>
    <i r="8">
      <x v="613"/>
      <x v="361"/>
    </i>
    <i r="8">
      <x v="634"/>
      <x v="361"/>
    </i>
    <i r="8">
      <x v="641"/>
      <x v="361"/>
    </i>
    <i r="8">
      <x v="652"/>
      <x v="361"/>
    </i>
    <i r="8">
      <x v="653"/>
      <x v="361"/>
    </i>
    <i r="8">
      <x v="663"/>
      <x v="361"/>
    </i>
    <i r="8">
      <x v="675"/>
      <x v="361"/>
    </i>
    <i r="8">
      <x v="677"/>
      <x v="361"/>
    </i>
    <i r="8">
      <x v="696"/>
      <x v="361"/>
    </i>
    <i r="8">
      <x v="697"/>
      <x v="361"/>
    </i>
    <i r="8">
      <x v="698"/>
      <x v="361"/>
    </i>
    <i r="8">
      <x v="701"/>
      <x v="361"/>
    </i>
    <i r="8">
      <x v="712"/>
      <x v="361"/>
    </i>
    <i r="8">
      <x v="713"/>
      <x v="361"/>
    </i>
    <i r="8">
      <x v="717"/>
      <x v="361"/>
    </i>
    <i r="8">
      <x v="728"/>
      <x v="361"/>
    </i>
    <i r="8">
      <x v="738"/>
      <x v="361"/>
    </i>
    <i r="8">
      <x v="739"/>
      <x v="361"/>
    </i>
    <i r="8">
      <x v="742"/>
      <x v="361"/>
    </i>
    <i r="8">
      <x v="755"/>
      <x v="361"/>
    </i>
    <i r="8">
      <x v="773"/>
      <x v="361"/>
    </i>
    <i r="8">
      <x v="774"/>
      <x v="361"/>
    </i>
    <i r="8">
      <x v="775"/>
      <x v="361"/>
    </i>
    <i r="8">
      <x v="791"/>
      <x v="361"/>
    </i>
    <i r="8">
      <x v="807"/>
      <x v="361"/>
    </i>
    <i r="8">
      <x v="813"/>
      <x v="361"/>
    </i>
    <i r="8">
      <x v="826"/>
      <x v="361"/>
    </i>
    <i r="8">
      <x v="833"/>
      <x v="361"/>
    </i>
    <i r="8">
      <x v="834"/>
      <x v="361"/>
    </i>
    <i r="8">
      <x v="841"/>
      <x v="361"/>
    </i>
    <i r="8">
      <x v="853"/>
      <x v="361"/>
    </i>
    <i r="8">
      <x v="854"/>
      <x v="361"/>
    </i>
    <i r="8">
      <x v="862"/>
      <x v="361"/>
    </i>
    <i r="8">
      <x v="866"/>
      <x v="361"/>
    </i>
    <i r="8">
      <x v="870"/>
      <x v="361"/>
    </i>
    <i r="8">
      <x v="873"/>
      <x v="361"/>
    </i>
    <i r="8">
      <x v="880"/>
      <x v="361"/>
    </i>
    <i r="8">
      <x v="887"/>
      <x v="361"/>
    </i>
    <i r="8">
      <x v="888"/>
      <x v="361"/>
    </i>
    <i r="8">
      <x v="893"/>
      <x v="361"/>
    </i>
    <i r="8">
      <x v="906"/>
      <x v="361"/>
    </i>
    <i r="8">
      <x v="911"/>
      <x v="361"/>
    </i>
    <i r="8">
      <x v="912"/>
      <x v="361"/>
    </i>
    <i r="8">
      <x v="914"/>
      <x v="361"/>
    </i>
    <i r="8">
      <x v="924"/>
      <x v="361"/>
    </i>
    <i r="8">
      <x v="933"/>
      <x v="361"/>
    </i>
    <i r="8">
      <x v="939"/>
      <x v="361"/>
    </i>
    <i r="8">
      <x v="944"/>
      <x v="361"/>
    </i>
    <i r="8">
      <x v="946"/>
      <x v="361"/>
    </i>
    <i r="8">
      <x v="948"/>
      <x v="361"/>
    </i>
    <i r="8">
      <x v="952"/>
      <x v="361"/>
    </i>
    <i r="8">
      <x v="965"/>
      <x v="361"/>
    </i>
    <i r="8">
      <x v="968"/>
      <x v="361"/>
    </i>
    <i r="8">
      <x v="982"/>
      <x v="361"/>
    </i>
    <i r="8">
      <x v="986"/>
      <x v="361"/>
    </i>
    <i r="8">
      <x v="994"/>
      <x v="361"/>
    </i>
    <i r="8">
      <x v="997"/>
      <x v="361"/>
    </i>
    <i r="8">
      <x v="1009"/>
      <x v="361"/>
    </i>
    <i r="8">
      <x v="1029"/>
      <x v="361"/>
    </i>
    <i t="default" r="6">
      <x/>
    </i>
    <i r="6">
      <x v="1"/>
      <x v="1"/>
      <x v="112"/>
      <x v="361"/>
    </i>
    <i r="7">
      <x v="2"/>
      <x v="593"/>
      <x v="361"/>
    </i>
    <i r="8">
      <x v="607"/>
      <x v="361"/>
    </i>
    <i r="8">
      <x v="1032"/>
      <x v="361"/>
    </i>
    <i r="7">
      <x v="5"/>
      <x v="306"/>
      <x v="361"/>
    </i>
    <i r="8">
      <x v="763"/>
      <x v="361"/>
    </i>
    <i r="8">
      <x v="838"/>
      <x v="361"/>
    </i>
    <i r="8">
      <x v="961"/>
      <x v="361"/>
    </i>
    <i r="7">
      <x v="7"/>
      <x v="26"/>
      <x v="361"/>
    </i>
    <i r="8">
      <x v="102"/>
      <x v="361"/>
    </i>
    <i r="8">
      <x v="103"/>
      <x v="361"/>
    </i>
    <i r="8">
      <x v="244"/>
      <x v="361"/>
    </i>
    <i r="8">
      <x v="403"/>
      <x v="361"/>
    </i>
    <i r="8">
      <x v="407"/>
      <x v="361"/>
    </i>
    <i r="8">
      <x v="637"/>
      <x v="361"/>
    </i>
    <i r="8">
      <x v="768"/>
      <x v="361"/>
    </i>
    <i r="8">
      <x v="781"/>
      <x v="361"/>
    </i>
    <i r="8">
      <x v="1030"/>
      <x v="361"/>
    </i>
    <i r="7">
      <x v="14"/>
      <x v="782"/>
      <x v="361"/>
    </i>
    <i r="8">
      <x v="1000"/>
      <x v="361"/>
    </i>
    <i r="7">
      <x v="16"/>
      <x v="217"/>
      <x v="361"/>
    </i>
    <i r="8">
      <x v="351"/>
      <x v="361"/>
    </i>
    <i r="8">
      <x v="517"/>
      <x v="361"/>
    </i>
    <i r="8">
      <x v="535"/>
      <x v="361"/>
    </i>
    <i r="7">
      <x v="18"/>
      <x v="617"/>
      <x v="361"/>
    </i>
    <i r="8">
      <x v="964"/>
      <x v="361"/>
    </i>
    <i r="7">
      <x v="20"/>
      <x v="17"/>
      <x v="361"/>
    </i>
    <i r="8">
      <x v="357"/>
      <x v="361"/>
    </i>
    <i r="8">
      <x v="999"/>
      <x v="361"/>
    </i>
    <i r="7">
      <x v="22"/>
      <x v="572"/>
      <x v="361"/>
    </i>
    <i t="default" r="6">
      <x v="1"/>
    </i>
    <i r="5">
      <x v="13"/>
      <x/>
      <x v="26"/>
      <x v="10"/>
      <x v="361"/>
    </i>
    <i r="8">
      <x v="23"/>
      <x v="361"/>
    </i>
    <i r="8">
      <x v="57"/>
      <x v="361"/>
    </i>
    <i r="8">
      <x v="150"/>
      <x v="361"/>
    </i>
    <i r="8">
      <x v="180"/>
      <x v="361"/>
    </i>
    <i r="8">
      <x v="189"/>
      <x v="361"/>
    </i>
    <i r="8">
      <x v="227"/>
      <x v="361"/>
    </i>
    <i r="8">
      <x v="339"/>
      <x v="361"/>
    </i>
    <i r="8">
      <x v="356"/>
      <x v="361"/>
    </i>
    <i r="8">
      <x v="379"/>
      <x v="361"/>
    </i>
    <i r="8">
      <x v="494"/>
      <x v="361"/>
    </i>
    <i r="8">
      <x v="562"/>
      <x v="361"/>
    </i>
    <i r="8">
      <x v="575"/>
      <x v="361"/>
    </i>
    <i r="8">
      <x v="631"/>
      <x v="361"/>
    </i>
    <i r="8">
      <x v="662"/>
      <x v="361"/>
    </i>
    <i r="8">
      <x v="684"/>
      <x v="361"/>
    </i>
    <i r="8">
      <x v="705"/>
      <x v="361"/>
    </i>
    <i r="8">
      <x v="770"/>
      <x v="361"/>
    </i>
    <i r="8">
      <x v="777"/>
      <x v="361"/>
    </i>
    <i r="8">
      <x v="811"/>
      <x v="361"/>
    </i>
    <i r="8">
      <x v="848"/>
      <x v="361"/>
    </i>
    <i r="8">
      <x v="865"/>
      <x v="361"/>
    </i>
    <i r="8">
      <x v="957"/>
      <x v="361"/>
    </i>
    <i r="8">
      <x v="970"/>
      <x v="361"/>
    </i>
    <i r="8">
      <x v="974"/>
      <x v="361"/>
    </i>
    <i t="default" r="6">
      <x/>
    </i>
    <i r="3">
      <x v="13"/>
      <x v="11"/>
      <x v="25"/>
      <x/>
      <x v="26"/>
      <x v="259"/>
      <x v="361"/>
    </i>
    <i r="8">
      <x v="261"/>
      <x v="361"/>
    </i>
    <i r="8">
      <x v="323"/>
      <x v="361"/>
    </i>
    <i r="8">
      <x v="497"/>
      <x v="361"/>
    </i>
    <i r="8">
      <x v="975"/>
      <x v="361"/>
    </i>
    <i r="8">
      <x v="1045"/>
      <x v="361"/>
    </i>
    <i r="8">
      <x v="1046"/>
      <x v="361"/>
    </i>
    <i r="8">
      <x v="1074"/>
      <x v="361"/>
    </i>
    <i r="8">
      <x v="1075"/>
      <x v="361"/>
    </i>
    <i r="8">
      <x v="1076"/>
      <x v="361"/>
    </i>
    <i r="8">
      <x v="1077"/>
      <x v="173"/>
    </i>
    <i r="8">
      <x v="1078"/>
      <x v="361"/>
    </i>
    <i r="8">
      <x v="1079"/>
      <x v="173"/>
    </i>
    <i r="8">
      <x v="1080"/>
      <x v="173"/>
    </i>
    <i r="8">
      <x v="1081"/>
      <x v="361"/>
    </i>
    <i r="8">
      <x v="1084"/>
      <x v="361"/>
    </i>
    <i r="8">
      <x v="1086"/>
      <x v="361"/>
    </i>
    <i r="8">
      <x v="1087"/>
      <x v="361"/>
    </i>
    <i r="8">
      <x v="1088"/>
      <x v="361"/>
    </i>
    <i r="8">
      <x v="1090"/>
      <x v="361"/>
    </i>
    <i r="8">
      <x v="1091"/>
      <x v="361"/>
    </i>
    <i r="8">
      <x v="1092"/>
      <x v="361"/>
    </i>
    <i r="8">
      <x v="1093"/>
      <x v="173"/>
    </i>
    <i r="8">
      <x v="1094"/>
      <x v="173"/>
    </i>
    <i r="8">
      <x v="1095"/>
      <x v="173"/>
    </i>
    <i r="8">
      <x v="1096"/>
      <x v="173"/>
    </i>
    <i r="8">
      <x v="1097"/>
      <x v="173"/>
    </i>
    <i r="8">
      <x v="1098"/>
      <x v="173"/>
    </i>
    <i r="8">
      <x v="1099"/>
      <x v="173"/>
    </i>
    <i r="8">
      <x v="1100"/>
      <x v="173"/>
    </i>
    <i r="8">
      <x v="1101"/>
      <x v="173"/>
    </i>
    <i r="8">
      <x v="1102"/>
      <x v="173"/>
    </i>
    <i r="8">
      <x v="1103"/>
      <x v="173"/>
    </i>
    <i r="8">
      <x v="1104"/>
      <x v="173"/>
    </i>
    <i t="default" r="6">
      <x/>
    </i>
    <i r="6">
      <x v="1"/>
      <x v="3"/>
      <x v="378"/>
      <x v="361"/>
    </i>
    <i t="default" r="6">
      <x v="1"/>
    </i>
    <i r="3">
      <x v="15"/>
      <x v="10"/>
      <x v="25"/>
      <x/>
      <x v="26"/>
      <x v="7"/>
      <x v="361"/>
    </i>
    <i r="8">
      <x v="66"/>
      <x v="361"/>
    </i>
    <i r="8">
      <x v="160"/>
      <x v="361"/>
    </i>
    <i r="8">
      <x v="534"/>
      <x v="361"/>
    </i>
    <i r="8">
      <x v="540"/>
      <x v="361"/>
    </i>
    <i r="8">
      <x v="619"/>
      <x v="361"/>
    </i>
    <i r="8">
      <x v="656"/>
      <x v="361"/>
    </i>
    <i r="8">
      <x v="661"/>
      <x v="361"/>
    </i>
    <i r="8">
      <x v="760"/>
      <x v="361"/>
    </i>
    <i r="8">
      <x v="766"/>
      <x v="361"/>
    </i>
    <i r="8">
      <x v="835"/>
      <x v="361"/>
    </i>
    <i r="8">
      <x v="839"/>
      <x v="361"/>
    </i>
    <i r="8">
      <x v="840"/>
      <x v="361"/>
    </i>
    <i r="8">
      <x v="1034"/>
      <x v="361"/>
    </i>
    <i r="8">
      <x v="1063"/>
      <x v="361"/>
    </i>
    <i r="8">
      <x v="1064"/>
      <x v="361"/>
    </i>
    <i r="8">
      <x v="1069"/>
      <x v="361"/>
    </i>
    <i r="8">
      <x v="1071"/>
      <x v="361"/>
    </i>
    <i t="default" r="6">
      <x/>
    </i>
    <i r="6">
      <x v="1"/>
      <x v="5"/>
      <x v="202"/>
      <x v="361"/>
    </i>
    <i r="7">
      <x v="16"/>
      <x v="881"/>
      <x v="361"/>
    </i>
    <i t="default" r="6">
      <x v="1"/>
    </i>
    <i r="6">
      <x v="2"/>
      <x v="26"/>
      <x v="591"/>
      <x v="177"/>
    </i>
    <i t="default" r="6">
      <x v="2"/>
    </i>
    <i r="4">
      <x v="48"/>
      <x v="19"/>
      <x/>
      <x v="26"/>
      <x v="19"/>
      <x v="361"/>
    </i>
    <i r="8">
      <x v="545"/>
      <x v="361"/>
    </i>
    <i t="default" r="6">
      <x/>
    </i>
    <i r="5">
      <x v="25"/>
      <x/>
      <x v="26"/>
      <x v="734"/>
      <x v="361"/>
    </i>
    <i r="8">
      <x v="816"/>
      <x v="361"/>
    </i>
    <i t="default" r="6">
      <x/>
    </i>
    <i r="2">
      <x v="1"/>
      <x v="1"/>
      <x v="10"/>
      <x v="25"/>
      <x/>
      <x v="26"/>
      <x v="1110"/>
      <x v="173"/>
    </i>
    <i t="default" r="6">
      <x/>
    </i>
    <i r="3">
      <x v="5"/>
      <x v="1"/>
      <x v="25"/>
      <x/>
      <x v="26"/>
      <x v="230"/>
      <x v="361"/>
    </i>
    <i r="8">
      <x v="400"/>
      <x v="361"/>
    </i>
    <i t="default" r="6">
      <x/>
    </i>
    <i r="4">
      <x v="3"/>
      <x v="25"/>
      <x/>
      <x v="26"/>
      <x v="320"/>
      <x v="361"/>
    </i>
    <i r="8">
      <x v="326"/>
      <x v="361"/>
    </i>
    <i r="8">
      <x v="597"/>
      <x v="361"/>
    </i>
    <i r="8">
      <x v="630"/>
      <x v="361"/>
    </i>
    <i r="8">
      <x v="861"/>
      <x v="361"/>
    </i>
    <i r="8">
      <x v="895"/>
      <x v="361"/>
    </i>
    <i t="default" r="6">
      <x/>
    </i>
    <i r="6">
      <x v="1"/>
      <x v="7"/>
      <x v="820"/>
      <x v="361"/>
    </i>
    <i r="7">
      <x v="20"/>
      <x v="292"/>
      <x v="361"/>
    </i>
    <i t="default" r="6">
      <x v="1"/>
    </i>
    <i r="4">
      <x v="10"/>
      <x v="25"/>
      <x/>
      <x v="26"/>
      <x v="358"/>
      <x v="361"/>
    </i>
    <i r="8">
      <x v="398"/>
      <x v="361"/>
    </i>
    <i r="8">
      <x v="559"/>
      <x v="361"/>
    </i>
    <i r="8">
      <x v="678"/>
      <x v="361"/>
    </i>
    <i r="8">
      <x v="692"/>
      <x v="361"/>
    </i>
    <i r="8">
      <x v="800"/>
      <x v="361"/>
    </i>
    <i r="8">
      <x v="909"/>
      <x v="361"/>
    </i>
    <i r="8">
      <x v="991"/>
      <x v="361"/>
    </i>
    <i t="default" r="6">
      <x/>
    </i>
    <i r="4">
      <x v="12"/>
      <x v="25"/>
      <x/>
      <x v="26"/>
      <x v="22"/>
      <x v="361"/>
    </i>
    <i r="8">
      <x v="28"/>
      <x v="361"/>
    </i>
    <i r="8">
      <x v="405"/>
      <x v="361"/>
    </i>
    <i r="8">
      <x v="693"/>
      <x v="361"/>
    </i>
    <i r="8">
      <x v="761"/>
      <x v="361"/>
    </i>
    <i r="8">
      <x v="896"/>
      <x v="361"/>
    </i>
    <i t="default" r="6">
      <x/>
    </i>
    <i r="6">
      <x v="1"/>
      <x v="14"/>
      <x v="27"/>
      <x v="361"/>
    </i>
    <i r="8">
      <x v="92"/>
      <x v="361"/>
    </i>
    <i r="8">
      <x v="181"/>
      <x v="361"/>
    </i>
    <i r="8">
      <x v="198"/>
      <x v="361"/>
    </i>
    <i r="8">
      <x v="242"/>
      <x v="361"/>
    </i>
    <i r="8">
      <x v="560"/>
      <x v="361"/>
    </i>
    <i r="8">
      <x v="936"/>
      <x v="361"/>
    </i>
    <i r="7">
      <x v="20"/>
      <x v="200"/>
      <x v="361"/>
    </i>
    <i t="default" r="6">
      <x v="1"/>
    </i>
    <i r="4">
      <x v="15"/>
      <x v="12"/>
      <x/>
      <x v="26"/>
      <x v="1"/>
      <x v="361"/>
    </i>
    <i r="8">
      <x v="188"/>
      <x v="361"/>
    </i>
    <i r="8">
      <x v="240"/>
      <x v="361"/>
    </i>
    <i r="8">
      <x v="432"/>
      <x v="361"/>
    </i>
    <i r="8">
      <x v="506"/>
      <x v="361"/>
    </i>
    <i r="8">
      <x v="532"/>
      <x v="361"/>
    </i>
    <i r="8">
      <x v="785"/>
      <x v="361"/>
    </i>
    <i r="8">
      <x v="913"/>
      <x v="361"/>
    </i>
    <i r="8">
      <x v="1105"/>
      <x v="361"/>
    </i>
    <i t="default" r="6">
      <x/>
    </i>
    <i r="6">
      <x v="1"/>
      <x v="7"/>
      <x v="871"/>
      <x v="361"/>
    </i>
    <i t="default" r="6">
      <x v="1"/>
    </i>
    <i r="5">
      <x v="25"/>
      <x v="1"/>
      <x v="5"/>
      <x v="522"/>
      <x v="361"/>
    </i>
    <i t="default" r="6">
      <x v="1"/>
    </i>
    <i r="4">
      <x v="19"/>
      <x v="3"/>
      <x/>
      <x v="26"/>
      <x v="626"/>
      <x v="361"/>
    </i>
    <i t="default" r="6">
      <x/>
    </i>
    <i r="6">
      <x v="1"/>
      <x v="16"/>
      <x v="170"/>
      <x v="361"/>
    </i>
    <i r="8">
      <x v="972"/>
      <x v="361"/>
    </i>
    <i t="default" r="6">
      <x v="1"/>
    </i>
    <i r="5">
      <x v="4"/>
      <x/>
      <x v="26"/>
      <x v="598"/>
      <x v="361"/>
    </i>
    <i r="8">
      <x v="815"/>
      <x v="361"/>
    </i>
    <i r="8">
      <x v="879"/>
      <x v="361"/>
    </i>
    <i t="default" r="6">
      <x/>
    </i>
    <i r="6">
      <x v="1"/>
      <x v="9"/>
      <x v="937"/>
      <x v="361"/>
    </i>
    <i t="default" r="6">
      <x v="1"/>
    </i>
    <i r="5">
      <x v="5"/>
      <x/>
      <x v="26"/>
      <x v="30"/>
      <x v="361"/>
    </i>
    <i r="8">
      <x v="602"/>
      <x v="361"/>
    </i>
    <i r="8">
      <x v="660"/>
      <x v="361"/>
    </i>
    <i r="8">
      <x v="772"/>
      <x v="361"/>
    </i>
    <i r="8">
      <x v="892"/>
      <x v="361"/>
    </i>
    <i r="8">
      <x v="925"/>
      <x v="361"/>
    </i>
    <i r="8">
      <x v="951"/>
      <x v="361"/>
    </i>
    <i t="default" r="6">
      <x/>
    </i>
    <i r="6">
      <x v="1"/>
      <x v="16"/>
      <x v="107"/>
      <x v="361"/>
    </i>
    <i t="default" r="6">
      <x v="1"/>
    </i>
    <i r="5">
      <x v="7"/>
      <x/>
      <x v="26"/>
      <x v="64"/>
      <x v="361"/>
    </i>
    <i r="8">
      <x v="194"/>
      <x v="361"/>
    </i>
    <i r="8">
      <x v="374"/>
      <x v="361"/>
    </i>
    <i r="8">
      <x v="434"/>
      <x v="361"/>
    </i>
    <i r="8">
      <x v="488"/>
      <x v="361"/>
    </i>
    <i r="8">
      <x v="533"/>
      <x v="361"/>
    </i>
    <i r="8">
      <x v="868"/>
      <x v="361"/>
    </i>
    <i t="default" r="6">
      <x/>
    </i>
    <i r="5">
      <x v="9"/>
      <x/>
      <x v="26"/>
      <x v="14"/>
      <x v="361"/>
    </i>
    <i r="8">
      <x v="590"/>
      <x v="361"/>
    </i>
    <i r="8">
      <x v="884"/>
      <x v="361"/>
    </i>
    <i r="8">
      <x v="978"/>
      <x v="361"/>
    </i>
    <i r="8">
      <x v="1002"/>
      <x v="361"/>
    </i>
    <i t="default" r="6">
      <x/>
    </i>
    <i r="6">
      <x v="1"/>
      <x v="10"/>
      <x v="568"/>
      <x v="361"/>
    </i>
    <i t="default" r="6">
      <x v="1"/>
    </i>
    <i r="5">
      <x v="11"/>
      <x/>
      <x v="26"/>
      <x v="5"/>
      <x v="361"/>
    </i>
    <i r="8">
      <x v="62"/>
      <x v="361"/>
    </i>
    <i r="8">
      <x v="214"/>
      <x v="361"/>
    </i>
    <i r="8">
      <x v="443"/>
      <x v="361"/>
    </i>
    <i r="8">
      <x v="448"/>
      <x v="361"/>
    </i>
    <i r="8">
      <x v="589"/>
      <x v="361"/>
    </i>
    <i r="8">
      <x v="615"/>
      <x v="361"/>
    </i>
    <i r="8">
      <x v="639"/>
      <x v="361"/>
    </i>
    <i r="8">
      <x v="922"/>
      <x v="361"/>
    </i>
    <i r="8">
      <x v="963"/>
      <x v="361"/>
    </i>
    <i r="8">
      <x v="985"/>
      <x v="361"/>
    </i>
    <i t="default" r="6">
      <x/>
    </i>
    <i r="5">
      <x v="16"/>
      <x/>
      <x v="26"/>
      <x v="171"/>
      <x v="361"/>
    </i>
    <i r="8">
      <x v="710"/>
      <x v="361"/>
    </i>
    <i r="8">
      <x v="822"/>
      <x v="361"/>
    </i>
    <i r="8">
      <x v="842"/>
      <x v="361"/>
    </i>
    <i t="default" r="6">
      <x/>
    </i>
    <i r="5">
      <x v="17"/>
      <x/>
      <x v="26"/>
      <x v="220"/>
      <x v="361"/>
    </i>
    <i r="8">
      <x v="570"/>
      <x v="361"/>
    </i>
    <i t="default" r="6">
      <x/>
    </i>
    <i r="6">
      <x v="1"/>
      <x v="14"/>
      <x v="756"/>
      <x v="361"/>
    </i>
    <i t="default" r="6">
      <x v="1"/>
    </i>
    <i r="5">
      <x v="18"/>
      <x/>
      <x v="26"/>
      <x v="113"/>
      <x v="361"/>
    </i>
    <i r="8">
      <x v="149"/>
      <x v="361"/>
    </i>
    <i r="8">
      <x v="185"/>
      <x v="361"/>
    </i>
    <i r="8">
      <x v="192"/>
      <x v="361"/>
    </i>
    <i r="8">
      <x v="258"/>
      <x v="361"/>
    </i>
    <i r="8">
      <x v="279"/>
      <x v="361"/>
    </i>
    <i r="8">
      <x v="289"/>
      <x v="361"/>
    </i>
    <i r="8">
      <x v="372"/>
      <x v="361"/>
    </i>
    <i r="8">
      <x v="381"/>
      <x v="361"/>
    </i>
    <i r="8">
      <x v="382"/>
      <x v="361"/>
    </i>
    <i r="8">
      <x v="388"/>
      <x v="361"/>
    </i>
    <i r="8">
      <x v="429"/>
      <x v="361"/>
    </i>
    <i r="8">
      <x v="454"/>
      <x v="361"/>
    </i>
    <i r="8">
      <x v="481"/>
      <x v="361"/>
    </i>
    <i r="8">
      <x v="554"/>
      <x v="361"/>
    </i>
    <i r="8">
      <x v="655"/>
      <x v="361"/>
    </i>
    <i r="8">
      <x v="721"/>
      <x v="361"/>
    </i>
    <i r="8">
      <x v="731"/>
      <x v="361"/>
    </i>
    <i r="8">
      <x v="983"/>
      <x v="361"/>
    </i>
    <i r="8">
      <x v="989"/>
      <x v="361"/>
    </i>
    <i r="8">
      <x v="1012"/>
      <x v="361"/>
    </i>
    <i r="8">
      <x v="1028"/>
      <x v="361"/>
    </i>
    <i t="default" r="6">
      <x/>
    </i>
    <i r="6">
      <x v="1"/>
      <x v="16"/>
      <x v="1061"/>
      <x v="361"/>
    </i>
    <i t="default" r="6">
      <x v="1"/>
    </i>
    <i r="5">
      <x v="20"/>
      <x v="1"/>
      <x v="20"/>
      <x v="795"/>
      <x v="361"/>
    </i>
    <i t="default" r="6">
      <x v="1"/>
    </i>
    <i r="5">
      <x v="25"/>
      <x/>
      <x v="26"/>
      <x v="325"/>
      <x v="361"/>
    </i>
    <i r="8">
      <x v="416"/>
      <x v="361"/>
    </i>
    <i r="8">
      <x v="465"/>
      <x v="361"/>
    </i>
    <i t="default" r="6">
      <x/>
    </i>
    <i r="5">
      <x v="26"/>
      <x v="1"/>
      <x v="10"/>
      <x v="1068"/>
      <x v="361"/>
    </i>
    <i r="7">
      <x v="16"/>
      <x v="1062"/>
      <x v="361"/>
    </i>
    <i t="default" r="6">
      <x v="1"/>
    </i>
    <i r="5">
      <x v="28"/>
      <x v="1"/>
      <x v="14"/>
      <x v="1066"/>
      <x v="173"/>
    </i>
    <i r="7">
      <x v="16"/>
      <x v="1067"/>
      <x v="361"/>
    </i>
    <i t="default" r="6">
      <x v="1"/>
    </i>
    <i r="4">
      <x v="24"/>
      <x v="10"/>
      <x/>
      <x v="26"/>
      <x v="424"/>
      <x v="361"/>
    </i>
    <i t="default" r="6">
      <x/>
    </i>
    <i r="5">
      <x v="21"/>
      <x/>
      <x v="26"/>
      <x v="40"/>
      <x v="361"/>
    </i>
    <i r="8">
      <x v="787"/>
      <x v="361"/>
    </i>
    <i t="default" r="6">
      <x/>
    </i>
    <i r="5">
      <x v="24"/>
      <x/>
      <x v="26"/>
      <x v="56"/>
      <x v="361"/>
    </i>
    <i r="8">
      <x v="106"/>
      <x v="361"/>
    </i>
    <i r="8">
      <x v="208"/>
      <x v="361"/>
    </i>
    <i r="8">
      <x v="229"/>
      <x v="361"/>
    </i>
    <i r="8">
      <x v="236"/>
      <x v="361"/>
    </i>
    <i r="8">
      <x v="330"/>
      <x v="361"/>
    </i>
    <i r="8">
      <x v="355"/>
      <x v="361"/>
    </i>
    <i r="8">
      <x v="404"/>
      <x v="361"/>
    </i>
    <i r="8">
      <x v="436"/>
      <x v="361"/>
    </i>
    <i r="8">
      <x v="500"/>
      <x v="361"/>
    </i>
    <i r="8">
      <x v="515"/>
      <x v="361"/>
    </i>
    <i r="8">
      <x v="520"/>
      <x v="361"/>
    </i>
    <i r="8">
      <x v="521"/>
      <x v="361"/>
    </i>
    <i r="8">
      <x v="611"/>
      <x v="361"/>
    </i>
    <i r="8">
      <x v="636"/>
      <x v="361"/>
    </i>
    <i r="8">
      <x v="676"/>
      <x v="361"/>
    </i>
    <i r="8">
      <x v="750"/>
      <x v="361"/>
    </i>
    <i r="8">
      <x v="778"/>
      <x v="361"/>
    </i>
    <i r="8">
      <x v="818"/>
      <x v="361"/>
    </i>
    <i r="8">
      <x v="819"/>
      <x v="361"/>
    </i>
    <i r="8">
      <x v="831"/>
      <x v="361"/>
    </i>
    <i r="8">
      <x v="864"/>
      <x v="361"/>
    </i>
    <i r="8">
      <x v="907"/>
      <x v="361"/>
    </i>
    <i r="8">
      <x v="969"/>
      <x v="361"/>
    </i>
    <i r="8">
      <x v="1031"/>
      <x v="361"/>
    </i>
    <i t="default" r="6">
      <x/>
    </i>
    <i r="5">
      <x v="25"/>
      <x/>
      <x v="26"/>
      <x v="32"/>
      <x v="361"/>
    </i>
    <i r="8">
      <x v="94"/>
      <x v="361"/>
    </i>
    <i r="8">
      <x v="128"/>
      <x v="361"/>
    </i>
    <i r="8">
      <x v="207"/>
      <x v="361"/>
    </i>
    <i r="8">
      <x v="287"/>
      <x v="361"/>
    </i>
    <i r="8">
      <x v="439"/>
      <x v="361"/>
    </i>
    <i r="8">
      <x v="525"/>
      <x v="361"/>
    </i>
    <i r="8">
      <x v="703"/>
      <x v="361"/>
    </i>
    <i r="8">
      <x v="709"/>
      <x v="361"/>
    </i>
    <i t="default" r="6">
      <x/>
    </i>
    <i r="6">
      <x v="1"/>
      <x v="2"/>
      <x v="624"/>
      <x v="361"/>
    </i>
    <i r="7">
      <x v="5"/>
      <x v="133"/>
      <x v="214"/>
    </i>
    <i r="8">
      <x v="934"/>
      <x v="361"/>
    </i>
    <i r="7">
      <x v="9"/>
      <x v="767"/>
      <x v="361"/>
    </i>
    <i r="8">
      <x v="977"/>
      <x v="361"/>
    </i>
    <i r="7">
      <x v="10"/>
      <x v="736"/>
      <x v="361"/>
    </i>
    <i r="7">
      <x v="14"/>
      <x v="158"/>
      <x v="361"/>
    </i>
    <i r="8">
      <x v="299"/>
      <x v="361"/>
    </i>
    <i r="8">
      <x v="512"/>
      <x v="361"/>
    </i>
    <i r="7">
      <x v="16"/>
      <x v="104"/>
      <x v="361"/>
    </i>
    <i r="7">
      <x v="18"/>
      <x v="792"/>
      <x v="361"/>
    </i>
    <i t="default" r="6">
      <x v="1"/>
    </i>
    <i r="4">
      <x v="47"/>
      <x v="21"/>
      <x/>
      <x v="26"/>
      <x v="267"/>
      <x v="361"/>
    </i>
    <i r="8">
      <x v="447"/>
      <x v="361"/>
    </i>
    <i t="default" r="6">
      <x/>
    </i>
    <i r="6">
      <x v="1"/>
      <x v="7"/>
      <x v="687"/>
      <x v="361"/>
    </i>
    <i r="7">
      <x v="10"/>
      <x v="462"/>
      <x v="361"/>
    </i>
    <i t="default" r="6">
      <x v="1"/>
    </i>
    <i r="5">
      <x v="25"/>
      <x/>
      <x v="26"/>
      <x v="15"/>
      <x v="361"/>
    </i>
    <i r="8">
      <x v="31"/>
      <x v="361"/>
    </i>
    <i r="8">
      <x v="44"/>
      <x v="361"/>
    </i>
    <i r="8">
      <x v="83"/>
      <x v="361"/>
    </i>
    <i r="8">
      <x v="99"/>
      <x v="361"/>
    </i>
    <i r="8">
      <x v="159"/>
      <x v="361"/>
    </i>
    <i r="8">
      <x v="223"/>
      <x v="361"/>
    </i>
    <i r="8">
      <x v="280"/>
      <x v="361"/>
    </i>
    <i r="8">
      <x v="290"/>
      <x v="361"/>
    </i>
    <i r="8">
      <x v="293"/>
      <x v="361"/>
    </i>
    <i r="8">
      <x v="302"/>
      <x v="361"/>
    </i>
    <i r="8">
      <x v="343"/>
      <x v="361"/>
    </i>
    <i r="8">
      <x v="347"/>
      <x v="361"/>
    </i>
    <i r="8">
      <x v="354"/>
      <x v="361"/>
    </i>
    <i r="8">
      <x v="361"/>
      <x v="361"/>
    </i>
    <i r="8">
      <x v="366"/>
      <x v="361"/>
    </i>
    <i r="8">
      <x v="385"/>
      <x v="361"/>
    </i>
    <i r="8">
      <x v="397"/>
      <x v="361"/>
    </i>
    <i r="8">
      <x v="445"/>
      <x v="361"/>
    </i>
    <i r="8">
      <x v="464"/>
      <x v="361"/>
    </i>
    <i r="8">
      <x v="576"/>
      <x v="361"/>
    </i>
    <i r="8">
      <x v="623"/>
      <x v="361"/>
    </i>
    <i r="8">
      <x v="638"/>
      <x v="361"/>
    </i>
    <i r="8">
      <x v="694"/>
      <x v="361"/>
    </i>
    <i r="8">
      <x v="821"/>
      <x v="361"/>
    </i>
    <i r="8">
      <x v="840"/>
      <x v="361"/>
    </i>
    <i r="8">
      <x v="855"/>
      <x v="361"/>
    </i>
    <i r="8">
      <x v="860"/>
      <x v="361"/>
    </i>
    <i r="8">
      <x v="891"/>
      <x v="361"/>
    </i>
    <i r="8">
      <x v="981"/>
      <x v="361"/>
    </i>
    <i r="8">
      <x v="1027"/>
      <x v="361"/>
    </i>
    <i t="default" r="6">
      <x/>
    </i>
    <i r="6">
      <x v="1"/>
      <x v="1"/>
      <x v="45"/>
      <x v="361"/>
    </i>
    <i r="8">
      <x v="262"/>
      <x v="361"/>
    </i>
    <i r="7">
      <x v="14"/>
      <x v="89"/>
      <x v="361"/>
    </i>
    <i r="7">
      <x v="16"/>
      <x v="25"/>
      <x v="361"/>
    </i>
    <i t="default" r="6">
      <x v="1"/>
    </i>
    <i r="4">
      <x v="49"/>
      <x v="10"/>
      <x/>
      <x v="26"/>
      <x v="177"/>
      <x v="361"/>
    </i>
    <i r="8">
      <x v="932"/>
      <x v="361"/>
    </i>
    <i r="8">
      <x v="1017"/>
      <x v="361"/>
    </i>
    <i t="default" r="6">
      <x/>
    </i>
    <i r="5">
      <x v="25"/>
      <x/>
      <x v="26"/>
      <x v="162"/>
      <x v="361"/>
    </i>
    <i r="8">
      <x v="191"/>
      <x v="361"/>
    </i>
    <i r="8">
      <x v="364"/>
      <x v="361"/>
    </i>
    <i r="8">
      <x v="514"/>
      <x v="361"/>
    </i>
    <i r="8">
      <x v="674"/>
      <x v="361"/>
    </i>
    <i t="default" r="6">
      <x/>
    </i>
    <i r="4">
      <x v="53"/>
      <x v="25"/>
      <x/>
      <x v="26"/>
      <x v="166"/>
      <x v="361"/>
    </i>
    <i r="8">
      <x v="338"/>
      <x v="361"/>
    </i>
    <i r="8">
      <x v="928"/>
      <x v="361"/>
    </i>
    <i r="8">
      <x v="1033"/>
      <x v="361"/>
    </i>
    <i r="8">
      <x v="1065"/>
      <x v="361"/>
    </i>
    <i t="default" r="6">
      <x/>
    </i>
    <i r="6">
      <x v="1"/>
      <x v="7"/>
      <x v="845"/>
      <x v="361"/>
    </i>
    <i t="default" r="6">
      <x v="1"/>
    </i>
    <i r="6">
      <x v="2"/>
      <x v="26"/>
      <x v="495"/>
      <x v="177"/>
    </i>
    <i r="8">
      <x v="691"/>
      <x v="177"/>
    </i>
    <i t="default" r="6">
      <x v="2"/>
    </i>
    <i r="3">
      <x v="8"/>
      <x v="3"/>
      <x v="25"/>
      <x v="1"/>
      <x v="7"/>
      <x v="475"/>
      <x v="361"/>
    </i>
    <i r="7">
      <x v="14"/>
      <x v="976"/>
      <x v="361"/>
    </i>
    <i r="8">
      <x v="990"/>
      <x v="361"/>
    </i>
    <i r="7">
      <x v="16"/>
      <x v="474"/>
      <x v="361"/>
    </i>
    <i r="7">
      <x v="22"/>
      <x v="803"/>
      <x v="361"/>
    </i>
    <i t="default" r="6">
      <x v="1"/>
    </i>
    <i r="4">
      <x v="4"/>
      <x v="25"/>
      <x/>
      <x v="26"/>
      <x v="1013"/>
      <x v="361"/>
    </i>
    <i t="default" r="6">
      <x/>
    </i>
    <i r="4">
      <x v="5"/>
      <x v="25"/>
      <x v="1"/>
      <x v="5"/>
      <x v="844"/>
      <x v="361"/>
    </i>
    <i r="7">
      <x v="14"/>
      <x v="21"/>
      <x v="361"/>
    </i>
    <i r="8">
      <x v="509"/>
      <x v="361"/>
    </i>
    <i t="default" r="6">
      <x v="1"/>
    </i>
    <i r="4">
      <x v="6"/>
      <x v="25"/>
      <x/>
      <x v="26"/>
      <x v="37"/>
      <x v="361"/>
    </i>
    <i r="8">
      <x v="266"/>
      <x v="361"/>
    </i>
    <i t="default" r="6">
      <x/>
    </i>
    <i r="6">
      <x v="1"/>
      <x v="10"/>
      <x v="65"/>
      <x v="361"/>
    </i>
    <i t="default" r="6">
      <x v="1"/>
    </i>
    <i r="4">
      <x v="7"/>
      <x v="25"/>
      <x v="1"/>
      <x v="16"/>
      <x v="228"/>
      <x v="361"/>
    </i>
    <i r="8">
      <x v="458"/>
      <x v="361"/>
    </i>
    <i t="default" r="6">
      <x v="1"/>
    </i>
    <i r="4">
      <x v="8"/>
      <x v="25"/>
      <x/>
      <x v="26"/>
      <x v="735"/>
      <x v="361"/>
    </i>
    <i t="default" r="6">
      <x/>
    </i>
    <i r="6">
      <x v="1"/>
      <x v="14"/>
      <x v="11"/>
      <x v="361"/>
    </i>
    <i r="8">
      <x v="12"/>
      <x v="361"/>
    </i>
    <i r="8">
      <x v="455"/>
      <x v="361"/>
    </i>
    <i r="8">
      <x v="579"/>
      <x v="361"/>
    </i>
    <i r="7">
      <x v="16"/>
      <x v="29"/>
      <x v="361"/>
    </i>
    <i r="8">
      <x v="190"/>
      <x v="361"/>
    </i>
    <i r="7">
      <x v="20"/>
      <x v="784"/>
      <x v="361"/>
    </i>
    <i t="default" r="6">
      <x v="1"/>
    </i>
    <i r="4">
      <x v="9"/>
      <x v="25"/>
      <x/>
      <x v="26"/>
      <x v="76"/>
      <x v="361"/>
    </i>
    <i r="8">
      <x v="141"/>
      <x v="361"/>
    </i>
    <i r="8">
      <x v="577"/>
      <x v="361"/>
    </i>
    <i r="8">
      <x v="956"/>
      <x v="361"/>
    </i>
    <i t="default" r="6">
      <x/>
    </i>
    <i r="6">
      <x v="1"/>
      <x v="12"/>
      <x v="216"/>
      <x v="361"/>
    </i>
    <i r="8">
      <x v="294"/>
      <x v="361"/>
    </i>
    <i r="7">
      <x v="14"/>
      <x v="53"/>
      <x v="361"/>
    </i>
    <i r="8">
      <x v="143"/>
      <x v="361"/>
    </i>
    <i r="8">
      <x v="419"/>
      <x v="361"/>
    </i>
    <i r="8">
      <x v="539"/>
      <x v="361"/>
    </i>
    <i r="8">
      <x v="726"/>
      <x v="361"/>
    </i>
    <i t="default" r="6">
      <x v="1"/>
    </i>
    <i r="4">
      <x v="10"/>
      <x v="25"/>
      <x/>
      <x v="26"/>
      <x v="90"/>
      <x v="361"/>
    </i>
    <i r="8">
      <x v="186"/>
      <x v="361"/>
    </i>
    <i r="8">
      <x v="224"/>
      <x v="361"/>
    </i>
    <i r="8">
      <x v="232"/>
      <x v="361"/>
    </i>
    <i r="8">
      <x v="248"/>
      <x v="361"/>
    </i>
    <i r="8">
      <x v="268"/>
      <x v="361"/>
    </i>
    <i r="8">
      <x v="307"/>
      <x v="361"/>
    </i>
    <i r="8">
      <x v="328"/>
      <x v="361"/>
    </i>
    <i r="8">
      <x v="437"/>
      <x v="361"/>
    </i>
    <i r="8">
      <x v="549"/>
      <x v="361"/>
    </i>
    <i r="8">
      <x v="569"/>
      <x v="361"/>
    </i>
    <i r="8">
      <x v="608"/>
      <x v="361"/>
    </i>
    <i r="8">
      <x v="627"/>
      <x v="361"/>
    </i>
    <i r="8">
      <x v="648"/>
      <x v="361"/>
    </i>
    <i r="8">
      <x v="672"/>
      <x v="361"/>
    </i>
    <i r="8">
      <x v="720"/>
      <x v="361"/>
    </i>
    <i r="8">
      <x v="769"/>
      <x v="361"/>
    </i>
    <i r="8">
      <x v="794"/>
      <x v="361"/>
    </i>
    <i r="8">
      <x v="905"/>
      <x v="361"/>
    </i>
    <i r="8">
      <x v="992"/>
      <x v="361"/>
    </i>
    <i r="8">
      <x v="1050"/>
      <x v="361"/>
    </i>
    <i r="8">
      <x v="1058"/>
      <x v="361"/>
    </i>
    <i r="8">
      <x v="1106"/>
      <x v="361"/>
    </i>
    <i r="8">
      <x v="1107"/>
      <x v="361"/>
    </i>
    <i t="default" r="6">
      <x/>
    </i>
    <i r="4">
      <x v="15"/>
      <x v="25"/>
      <x v="1"/>
      <x v="14"/>
      <x v="797"/>
      <x v="361"/>
    </i>
    <i t="default" r="6">
      <x v="1"/>
    </i>
    <i r="4">
      <x v="22"/>
      <x v="25"/>
      <x/>
      <x v="26"/>
      <x v="4"/>
      <x v="361"/>
    </i>
    <i r="8">
      <x v="13"/>
      <x v="361"/>
    </i>
    <i r="8">
      <x v="42"/>
      <x v="361"/>
    </i>
    <i r="8">
      <x v="67"/>
      <x v="361"/>
    </i>
    <i r="8">
      <x v="193"/>
      <x v="361"/>
    </i>
    <i r="8">
      <x v="311"/>
      <x v="361"/>
    </i>
    <i r="8">
      <x v="609"/>
      <x v="361"/>
    </i>
    <i r="8">
      <x v="702"/>
      <x v="361"/>
    </i>
    <i r="8">
      <x v="724"/>
      <x v="361"/>
    </i>
    <i r="8">
      <x v="746"/>
      <x v="361"/>
    </i>
    <i r="8">
      <x v="915"/>
      <x v="361"/>
    </i>
    <i r="8">
      <x v="1112"/>
      <x v="361"/>
    </i>
    <i t="default" r="6">
      <x/>
    </i>
    <i r="6">
      <x v="1"/>
      <x v="14"/>
      <x v="867"/>
      <x v="361"/>
    </i>
    <i r="7">
      <x v="16"/>
      <x v="101"/>
      <x v="361"/>
    </i>
    <i r="8">
      <x v="980"/>
      <x v="361"/>
    </i>
    <i r="7">
      <x v="20"/>
      <x v="993"/>
      <x v="361"/>
    </i>
    <i t="default" r="6">
      <x v="1"/>
    </i>
    <i r="4">
      <x v="25"/>
      <x v="25"/>
      <x/>
      <x v="26"/>
      <x v="173"/>
      <x v="361"/>
    </i>
    <i r="8">
      <x v="250"/>
      <x v="361"/>
    </i>
    <i r="8">
      <x v="295"/>
      <x v="361"/>
    </i>
    <i r="8">
      <x v="799"/>
      <x v="361"/>
    </i>
    <i t="default" r="6">
      <x/>
    </i>
    <i r="4">
      <x v="26"/>
      <x v="25"/>
      <x/>
      <x v="26"/>
      <x v="20"/>
      <x v="361"/>
    </i>
    <i r="8">
      <x v="63"/>
      <x v="361"/>
    </i>
    <i r="8">
      <x v="96"/>
      <x v="361"/>
    </i>
    <i r="8">
      <x v="138"/>
      <x v="361"/>
    </i>
    <i r="8">
      <x v="148"/>
      <x v="361"/>
    </i>
    <i r="8">
      <x v="151"/>
      <x v="361"/>
    </i>
    <i r="8">
      <x v="175"/>
      <x v="361"/>
    </i>
    <i r="8">
      <x v="195"/>
      <x v="361"/>
    </i>
    <i r="8">
      <x v="270"/>
      <x v="361"/>
    </i>
    <i r="8">
      <x v="286"/>
      <x v="361"/>
    </i>
    <i r="8">
      <x v="344"/>
      <x v="361"/>
    </i>
    <i r="8">
      <x v="349"/>
      <x v="361"/>
    </i>
    <i r="8">
      <x v="387"/>
      <x v="361"/>
    </i>
    <i r="8">
      <x v="406"/>
      <x v="361"/>
    </i>
    <i r="8">
      <x v="671"/>
      <x v="361"/>
    </i>
    <i r="8">
      <x v="681"/>
      <x v="361"/>
    </i>
    <i r="8">
      <x v="689"/>
      <x v="361"/>
    </i>
    <i r="8">
      <x v="690"/>
      <x v="361"/>
    </i>
    <i r="8">
      <x v="707"/>
      <x v="361"/>
    </i>
    <i r="8">
      <x v="741"/>
      <x v="361"/>
    </i>
    <i r="8">
      <x v="849"/>
      <x v="361"/>
    </i>
    <i r="8">
      <x v="850"/>
      <x v="361"/>
    </i>
    <i r="8">
      <x v="902"/>
      <x v="361"/>
    </i>
    <i r="8">
      <x v="931"/>
      <x v="361"/>
    </i>
    <i r="8">
      <x v="1072"/>
      <x v="361"/>
    </i>
    <i t="default" r="6">
      <x/>
    </i>
    <i r="6">
      <x v="1"/>
      <x v="14"/>
      <x v="237"/>
      <x v="361"/>
    </i>
    <i r="8">
      <x v="930"/>
      <x v="361"/>
    </i>
    <i r="7">
      <x v="20"/>
      <x v="3"/>
      <x v="361"/>
    </i>
    <i r="8">
      <x v="6"/>
      <x v="361"/>
    </i>
    <i r="8">
      <x v="440"/>
      <x v="361"/>
    </i>
    <i r="8">
      <x v="442"/>
      <x v="361"/>
    </i>
    <i r="8">
      <x v="711"/>
      <x v="361"/>
    </i>
    <i r="8">
      <x v="758"/>
      <x v="361"/>
    </i>
    <i r="7">
      <x v="22"/>
      <x v="428"/>
      <x v="361"/>
    </i>
    <i r="8">
      <x v="916"/>
      <x v="361"/>
    </i>
    <i r="7">
      <x v="27"/>
      <x v="431"/>
      <x v="361"/>
    </i>
    <i r="8">
      <x v="483"/>
      <x v="361"/>
    </i>
    <i t="default" r="6">
      <x v="1"/>
    </i>
    <i r="4">
      <x v="27"/>
      <x v="25"/>
      <x v="1"/>
      <x v="14"/>
      <x v="571"/>
      <x v="361"/>
    </i>
    <i r="8">
      <x v="659"/>
      <x v="361"/>
    </i>
    <i r="8">
      <x v="747"/>
      <x v="361"/>
    </i>
    <i r="8">
      <x v="920"/>
      <x v="361"/>
    </i>
    <i r="7">
      <x v="27"/>
      <x v="827"/>
      <x v="361"/>
    </i>
    <i t="default" r="6">
      <x v="1"/>
    </i>
    <i r="4">
      <x v="28"/>
      <x v="25"/>
      <x v="1"/>
      <x v="14"/>
      <x v="81"/>
      <x v="361"/>
    </i>
    <i r="8">
      <x v="685"/>
      <x v="361"/>
    </i>
    <i t="default" r="6">
      <x v="1"/>
    </i>
    <i r="4">
      <x v="29"/>
      <x v="25"/>
      <x v="1"/>
      <x v="20"/>
      <x v="251"/>
      <x v="361"/>
    </i>
    <i t="default" r="6">
      <x v="1"/>
    </i>
    <i r="4">
      <x v="30"/>
      <x v="25"/>
      <x v="1"/>
      <x v="14"/>
      <x v="450"/>
      <x v="361"/>
    </i>
    <i r="7">
      <x v="22"/>
      <x v="686"/>
      <x v="361"/>
    </i>
    <i t="default" r="6">
      <x v="1"/>
    </i>
    <i r="4">
      <x v="31"/>
      <x v="25"/>
      <x/>
      <x v="26"/>
      <x v="61"/>
      <x v="361"/>
    </i>
    <i r="8">
      <x v="95"/>
      <x v="361"/>
    </i>
    <i r="8">
      <x v="123"/>
      <x v="361"/>
    </i>
    <i r="8">
      <x v="203"/>
      <x v="361"/>
    </i>
    <i r="8">
      <x v="278"/>
      <x v="361"/>
    </i>
    <i r="8">
      <x v="587"/>
      <x v="361"/>
    </i>
    <i r="8">
      <x v="651"/>
      <x v="361"/>
    </i>
    <i r="8">
      <x v="729"/>
      <x v="361"/>
    </i>
    <i r="8">
      <x v="730"/>
      <x v="361"/>
    </i>
    <i r="8">
      <x v="762"/>
      <x v="361"/>
    </i>
    <i r="8">
      <x v="788"/>
      <x v="361"/>
    </i>
    <i r="8">
      <x v="817"/>
      <x v="361"/>
    </i>
    <i r="8">
      <x v="883"/>
      <x v="361"/>
    </i>
    <i r="8">
      <x v="960"/>
      <x v="361"/>
    </i>
    <i r="8">
      <x v="1025"/>
      <x v="361"/>
    </i>
    <i r="8">
      <x v="1035"/>
      <x v="361"/>
    </i>
    <i r="8">
      <x v="1055"/>
      <x v="361"/>
    </i>
    <i t="default" r="6">
      <x/>
    </i>
    <i r="6">
      <x v="1"/>
      <x v="14"/>
      <x v="312"/>
      <x v="361"/>
    </i>
    <i r="8">
      <x v="376"/>
      <x v="361"/>
    </i>
    <i r="8">
      <x v="460"/>
      <x v="361"/>
    </i>
    <i r="8">
      <x v="616"/>
      <x v="361"/>
    </i>
    <i r="8">
      <x v="954"/>
      <x v="361"/>
    </i>
    <i r="8">
      <x v="1021"/>
      <x v="361"/>
    </i>
    <i r="8">
      <x v="1022"/>
      <x v="361"/>
    </i>
    <i r="7">
      <x v="20"/>
      <x v="584"/>
      <x v="361"/>
    </i>
    <i r="8">
      <x v="745"/>
      <x v="361"/>
    </i>
    <i r="7">
      <x v="22"/>
      <x v="744"/>
      <x v="361"/>
    </i>
    <i r="7">
      <x v="27"/>
      <x v="408"/>
      <x v="361"/>
    </i>
    <i r="8">
      <x v="668"/>
      <x v="361"/>
    </i>
    <i t="default" r="6">
      <x v="1"/>
    </i>
    <i r="4">
      <x v="32"/>
      <x v="25"/>
      <x v="1"/>
      <x v="20"/>
      <x v="51"/>
      <x v="361"/>
    </i>
    <i r="7">
      <x v="22"/>
      <x v="600"/>
      <x v="361"/>
    </i>
    <i t="default" r="6">
      <x v="1"/>
    </i>
    <i r="4">
      <x v="33"/>
      <x v="25"/>
      <x v="1"/>
      <x v="14"/>
      <x v="1001"/>
      <x v="361"/>
    </i>
    <i t="default" r="6">
      <x v="1"/>
    </i>
    <i r="4">
      <x v="34"/>
      <x v="27"/>
      <x/>
      <x v="26"/>
      <x v="386"/>
      <x v="361"/>
    </i>
    <i t="default" r="6">
      <x/>
    </i>
    <i r="4">
      <x v="35"/>
      <x v="25"/>
      <x/>
      <x v="26"/>
      <x v="8"/>
      <x v="361"/>
    </i>
    <i r="8">
      <x v="78"/>
      <x v="361"/>
    </i>
    <i r="8">
      <x v="130"/>
      <x v="361"/>
    </i>
    <i r="8">
      <x v="131"/>
      <x v="361"/>
    </i>
    <i r="8">
      <x v="309"/>
      <x v="361"/>
    </i>
    <i r="8">
      <x v="337"/>
      <x v="361"/>
    </i>
    <i r="8">
      <x v="359"/>
      <x v="361"/>
    </i>
    <i r="8">
      <x v="389"/>
      <x v="361"/>
    </i>
    <i r="8">
      <x v="430"/>
      <x v="361"/>
    </i>
    <i r="8">
      <x v="451"/>
      <x v="361"/>
    </i>
    <i r="8">
      <x v="466"/>
      <x v="361"/>
    </i>
    <i r="8">
      <x v="469"/>
      <x v="361"/>
    </i>
    <i r="8">
      <x v="493"/>
      <x v="361"/>
    </i>
    <i r="8">
      <x v="657"/>
      <x v="361"/>
    </i>
    <i r="8">
      <x v="670"/>
      <x v="361"/>
    </i>
    <i r="8">
      <x v="749"/>
      <x v="361"/>
    </i>
    <i r="8">
      <x v="764"/>
      <x v="361"/>
    </i>
    <i r="8">
      <x v="846"/>
      <x v="361"/>
    </i>
    <i r="8">
      <x v="858"/>
      <x v="361"/>
    </i>
    <i r="8">
      <x v="903"/>
      <x v="361"/>
    </i>
    <i r="8">
      <x v="919"/>
      <x v="361"/>
    </i>
    <i r="8">
      <x v="921"/>
      <x v="361"/>
    </i>
    <i r="8">
      <x v="950"/>
      <x v="361"/>
    </i>
    <i r="8">
      <x v="1042"/>
      <x v="361"/>
    </i>
    <i r="8">
      <x v="1053"/>
      <x v="361"/>
    </i>
    <i r="8">
      <x v="1056"/>
      <x v="361"/>
    </i>
    <i t="default" r="6">
      <x/>
    </i>
    <i r="6">
      <x v="1"/>
      <x v="14"/>
      <x v="134"/>
      <x v="361"/>
    </i>
    <i r="8">
      <x v="336"/>
      <x v="361"/>
    </i>
    <i r="8">
      <x v="360"/>
      <x v="361"/>
    </i>
    <i r="8">
      <x v="384"/>
      <x v="361"/>
    </i>
    <i r="7">
      <x v="20"/>
      <x v="556"/>
      <x v="361"/>
    </i>
    <i r="7">
      <x v="22"/>
      <x v="368"/>
      <x v="361"/>
    </i>
    <i r="8">
      <x v="394"/>
      <x v="361"/>
    </i>
    <i t="default" r="6">
      <x v="1"/>
    </i>
    <i r="4">
      <x v="36"/>
      <x v="25"/>
      <x/>
      <x v="26"/>
      <x v="124"/>
      <x v="361"/>
    </i>
    <i t="default" r="6">
      <x/>
    </i>
    <i r="6">
      <x v="1"/>
      <x v="20"/>
      <x v="210"/>
      <x v="361"/>
    </i>
    <i t="default" r="6">
      <x v="1"/>
    </i>
    <i r="4">
      <x v="37"/>
      <x v="25"/>
      <x/>
      <x v="26"/>
      <x v="41"/>
      <x v="361"/>
    </i>
    <i r="8">
      <x v="135"/>
      <x v="361"/>
    </i>
    <i r="8">
      <x v="625"/>
      <x v="361"/>
    </i>
    <i r="8">
      <x v="904"/>
      <x v="361"/>
    </i>
    <i r="8">
      <x v="1052"/>
      <x v="361"/>
    </i>
    <i t="default" r="6">
      <x/>
    </i>
    <i r="6">
      <x v="1"/>
      <x v="14"/>
      <x v="780"/>
      <x v="361"/>
    </i>
    <i r="8">
      <x v="798"/>
      <x v="361"/>
    </i>
    <i t="default" r="6">
      <x v="1"/>
    </i>
    <i r="4">
      <x v="40"/>
      <x v="25"/>
      <x v="1"/>
      <x v="14"/>
      <x v="241"/>
      <x v="361"/>
    </i>
    <i r="8">
      <x v="314"/>
      <x v="361"/>
    </i>
    <i t="default" r="6">
      <x v="1"/>
    </i>
    <i r="4">
      <x v="43"/>
      <x v="25"/>
      <x/>
      <x v="26"/>
      <x v="513"/>
      <x v="361"/>
    </i>
    <i r="8">
      <x v="669"/>
      <x v="361"/>
    </i>
    <i r="8">
      <x v="953"/>
      <x v="361"/>
    </i>
    <i t="default" r="6">
      <x/>
    </i>
    <i r="6">
      <x v="1"/>
      <x v="14"/>
      <x v="38"/>
      <x v="361"/>
    </i>
    <i r="8">
      <x v="58"/>
      <x v="361"/>
    </i>
    <i r="8">
      <x v="213"/>
      <x v="361"/>
    </i>
    <i r="8">
      <x v="369"/>
      <x v="361"/>
    </i>
    <i r="8">
      <x v="484"/>
      <x v="361"/>
    </i>
    <i r="8">
      <x v="783"/>
      <x v="361"/>
    </i>
    <i r="8">
      <x v="856"/>
      <x v="361"/>
    </i>
    <i r="8">
      <x v="958"/>
      <x v="361"/>
    </i>
    <i r="7">
      <x v="20"/>
      <x v="111"/>
      <x v="361"/>
    </i>
    <i r="8">
      <x v="245"/>
      <x v="361"/>
    </i>
    <i r="8">
      <x v="786"/>
      <x v="361"/>
    </i>
    <i r="7">
      <x v="22"/>
      <x v="74"/>
      <x v="361"/>
    </i>
    <i r="8">
      <x v="257"/>
      <x v="361"/>
    </i>
    <i r="8">
      <x v="260"/>
      <x v="361"/>
    </i>
    <i r="8">
      <x v="412"/>
      <x v="361"/>
    </i>
    <i r="8">
      <x v="449"/>
      <x v="361"/>
    </i>
    <i r="8">
      <x v="650"/>
      <x v="361"/>
    </i>
    <i t="default" r="6">
      <x v="1"/>
    </i>
    <i r="4">
      <x v="44"/>
      <x v="25"/>
      <x v="1"/>
      <x v="16"/>
      <x v="345"/>
      <x v="361"/>
    </i>
    <i t="default" r="6">
      <x v="1"/>
    </i>
    <i r="4">
      <x v="47"/>
      <x v="25"/>
      <x/>
      <x v="26"/>
      <x v="1020"/>
      <x v="361"/>
    </i>
    <i t="default" r="6">
      <x/>
    </i>
    <i r="6">
      <x v="1"/>
      <x v="14"/>
      <x v="340"/>
      <x v="361"/>
    </i>
    <i r="8">
      <x v="531"/>
      <x v="361"/>
    </i>
    <i r="8">
      <x v="754"/>
      <x v="361"/>
    </i>
    <i r="8">
      <x v="759"/>
      <x v="361"/>
    </i>
    <i r="8">
      <x v="890"/>
      <x v="361"/>
    </i>
    <i r="8">
      <x v="1016"/>
      <x v="361"/>
    </i>
    <i r="7">
      <x v="16"/>
      <x v="288"/>
      <x v="361"/>
    </i>
    <i r="8">
      <x v="723"/>
      <x v="361"/>
    </i>
    <i t="default" r="6">
      <x v="1"/>
    </i>
    <i r="4">
      <x v="49"/>
      <x v="25"/>
      <x/>
      <x v="26"/>
      <x v="114"/>
      <x v="361"/>
    </i>
    <i r="8">
      <x v="168"/>
      <x v="361"/>
    </i>
    <i r="8">
      <x v="212"/>
      <x v="361"/>
    </i>
    <i r="8">
      <x v="235"/>
      <x v="361"/>
    </i>
    <i r="8">
      <x v="269"/>
      <x v="361"/>
    </i>
    <i r="8">
      <x v="863"/>
      <x v="361"/>
    </i>
    <i t="default" r="6">
      <x/>
    </i>
    <i r="6">
      <x v="1"/>
      <x v="14"/>
      <x v="77"/>
      <x v="361"/>
    </i>
    <i r="8">
      <x v="120"/>
      <x v="361"/>
    </i>
    <i r="8">
      <x v="393"/>
      <x v="361"/>
    </i>
    <i r="8">
      <x v="435"/>
      <x v="361"/>
    </i>
    <i r="8">
      <x v="665"/>
      <x v="361"/>
    </i>
    <i r="8">
      <x v="832"/>
      <x v="361"/>
    </i>
    <i r="8">
      <x v="898"/>
      <x v="361"/>
    </i>
    <i r="8">
      <x v="1014"/>
      <x v="361"/>
    </i>
    <i r="7">
      <x v="16"/>
      <x v="321"/>
      <x v="361"/>
    </i>
    <i r="7">
      <x v="20"/>
      <x v="324"/>
      <x v="361"/>
    </i>
    <i t="default" r="6">
      <x v="1"/>
    </i>
    <i r="4">
      <x v="52"/>
      <x v="25"/>
      <x/>
      <x v="26"/>
      <x v="869"/>
      <x v="361"/>
    </i>
    <i t="default" r="6">
      <x/>
    </i>
    <i r="3">
      <x v="14"/>
      <x v="10"/>
      <x v="25"/>
      <x/>
      <x v="26"/>
      <x v="87"/>
      <x v="361"/>
    </i>
    <i r="8">
      <x v="116"/>
      <x v="361"/>
    </i>
    <i r="8">
      <x v="118"/>
      <x v="361"/>
    </i>
    <i r="8">
      <x v="122"/>
      <x v="361"/>
    </i>
    <i r="8">
      <x v="178"/>
      <x v="361"/>
    </i>
    <i r="8">
      <x v="265"/>
      <x v="361"/>
    </i>
    <i r="8">
      <x v="383"/>
      <x v="361"/>
    </i>
    <i r="8">
      <x v="456"/>
      <x v="361"/>
    </i>
    <i r="8">
      <x v="550"/>
      <x v="361"/>
    </i>
    <i r="8">
      <x v="580"/>
      <x v="361"/>
    </i>
    <i r="8">
      <x v="622"/>
      <x v="361"/>
    </i>
    <i r="8">
      <x v="654"/>
      <x v="361"/>
    </i>
    <i r="8">
      <x v="664"/>
      <x v="361"/>
    </i>
    <i r="8">
      <x v="699"/>
      <x v="361"/>
    </i>
    <i r="8">
      <x v="700"/>
      <x v="361"/>
    </i>
    <i r="8">
      <x v="706"/>
      <x v="361"/>
    </i>
    <i r="8">
      <x v="708"/>
      <x v="361"/>
    </i>
    <i r="8">
      <x v="714"/>
      <x v="361"/>
    </i>
    <i r="8">
      <x v="771"/>
      <x v="361"/>
    </i>
    <i r="8">
      <x v="878"/>
      <x v="361"/>
    </i>
    <i r="8">
      <x v="897"/>
      <x v="361"/>
    </i>
    <i r="8">
      <x v="908"/>
      <x v="361"/>
    </i>
    <i r="8">
      <x v="935"/>
      <x v="361"/>
    </i>
    <i r="8">
      <x v="1006"/>
      <x v="361"/>
    </i>
    <i r="8">
      <x v="1038"/>
      <x v="361"/>
    </i>
    <i r="8">
      <x v="1039"/>
      <x v="361"/>
    </i>
    <i r="8">
      <x v="1073"/>
      <x v="361"/>
    </i>
    <i r="8">
      <x v="1083"/>
      <x v="361"/>
    </i>
    <i t="default" r="6">
      <x/>
    </i>
    <i r="6">
      <x v="1"/>
      <x v="1"/>
      <x v="885"/>
      <x v="361"/>
    </i>
    <i r="7">
      <x v="7"/>
      <x v="740"/>
      <x v="361"/>
    </i>
    <i r="7">
      <x v="16"/>
      <x v="392"/>
      <x v="361"/>
    </i>
    <i t="default" r="6">
      <x v="1"/>
    </i>
    <i r="1">
      <x v="4"/>
      <x/>
      <x v="15"/>
      <x v="10"/>
      <x v="25"/>
      <x/>
      <x v="26"/>
      <x v="399"/>
      <x v="361"/>
    </i>
    <i r="8">
      <x v="673"/>
      <x v="361"/>
    </i>
    <i r="8">
      <x v="732"/>
      <x v="361"/>
    </i>
    <i r="8">
      <x v="752"/>
      <x v="361"/>
    </i>
    <i r="8">
      <x v="852"/>
      <x v="361"/>
    </i>
    <i r="8">
      <x v="874"/>
      <x v="361"/>
    </i>
    <i r="8">
      <x v="967"/>
      <x v="361"/>
    </i>
    <i t="default" r="6">
      <x/>
    </i>
    <i r="6">
      <x v="1"/>
      <x v="2"/>
      <x v="157"/>
      <x v="361"/>
    </i>
    <i t="default" r="6">
      <x v="1"/>
    </i>
    <i t="default">
      <x/>
    </i>
    <i t="grand">
      <x/>
    </i>
  </rowItems>
  <colItems count="1">
    <i/>
  </colItems>
  <dataFields count="1">
    <dataField name="Cuenta de TIPO" fld="21" subtotal="count" baseField="0" baseItem="0"/>
  </dataFields>
  <formats count="2725">
    <format dxfId="2733">
      <pivotArea dataOnly="0" labelOnly="1" outline="0" fieldPosition="0">
        <references count="1">
          <reference field="0" count="0" defaultSubtotal="1"/>
        </references>
      </pivotArea>
    </format>
    <format dxfId="2732">
      <pivotArea dataOnly="0" labelOnly="1" grandRow="1" outline="0" fieldPosition="0"/>
    </format>
    <format dxfId="273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73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2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72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3"/>
          </reference>
        </references>
      </pivotArea>
    </format>
    <format dxfId="272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2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2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3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2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3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72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3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6"/>
          </reference>
        </references>
      </pivotArea>
    </format>
    <format dxfId="272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4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72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4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2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4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2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4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1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4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3"/>
          </reference>
        </references>
      </pivotArea>
    </format>
    <format dxfId="271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5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71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5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71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6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3"/>
          </reference>
        </references>
      </pivotArea>
    </format>
    <format dxfId="271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71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71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71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71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8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71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8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8"/>
          </reference>
        </references>
      </pivotArea>
    </format>
    <format dxfId="270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8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2"/>
          </reference>
        </references>
      </pivotArea>
    </format>
    <format dxfId="270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8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70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9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70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9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70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9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70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9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70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9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8"/>
          </reference>
        </references>
      </pivotArea>
    </format>
    <format dxfId="270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7"/>
          </reference>
          <reference field="11" count="1" selected="0">
            <x v="264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70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11" count="1" selected="0">
            <x v="2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70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11" count="1" selected="0">
            <x v="2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9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11" count="1" selected="0">
            <x v="4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9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11" count="1" selected="0">
            <x v="1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4"/>
          </reference>
        </references>
      </pivotArea>
    </format>
    <format dxfId="269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11" count="1" selected="0">
            <x v="2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69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11" count="1" selected="0">
            <x v="8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"/>
          </reference>
        </references>
      </pivotArea>
    </format>
    <format dxfId="269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11" count="1" selected="0">
            <x v="55"/>
          </reference>
          <reference field="21" count="1" selected="0">
            <x v="2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9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1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2"/>
          </reference>
        </references>
      </pivotArea>
    </format>
    <format dxfId="269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3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69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3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269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4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69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5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68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5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6"/>
          </reference>
        </references>
      </pivotArea>
    </format>
    <format dxfId="268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6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268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6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0"/>
          </reference>
        </references>
      </pivotArea>
    </format>
    <format dxfId="268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6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68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6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68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8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268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9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68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9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68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491"/>
          </reference>
          <reference field="21" count="1" selected="0">
            <x v="1"/>
          </reference>
          <reference field="25" count="1" selected="0">
            <x v="4"/>
          </reference>
          <reference field="36" count="1">
            <x v="173"/>
          </reference>
        </references>
      </pivotArea>
    </format>
    <format dxfId="268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13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7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645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7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28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7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41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7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510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7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899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7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64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7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1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7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1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67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3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67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4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6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4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6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6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66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7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66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8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66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8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6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10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66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574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66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15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6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206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6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91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5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291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65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7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65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814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65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11" count="1" selected="0">
            <x v="966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5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5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5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3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0"/>
          </reference>
        </references>
      </pivotArea>
    </format>
    <format dxfId="265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5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5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10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7"/>
          </reference>
        </references>
      </pivotArea>
    </format>
    <format dxfId="265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39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64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395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64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56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64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13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4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11" count="1" selected="0">
            <x v="179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64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4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8"/>
          </reference>
        </references>
      </pivotArea>
    </format>
    <format dxfId="264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1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264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4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64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7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64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8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2"/>
          </reference>
        </references>
      </pivotArea>
    </format>
    <format dxfId="263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163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3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11" count="1" selected="0">
            <x v="50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3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3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1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"/>
          </reference>
        </references>
      </pivotArea>
    </format>
    <format dxfId="263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2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3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2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263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2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63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3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3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"/>
          </reference>
        </references>
      </pivotArea>
    </format>
    <format dxfId="263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2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262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62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2"/>
          </reference>
        </references>
      </pivotArea>
    </format>
    <format dxfId="262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10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62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10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62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36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62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54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62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87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62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40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62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56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1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3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61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1010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61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169"/>
          </reference>
          <reference field="21" count="1" selected="0">
            <x v="1"/>
          </reference>
          <reference field="25" count="1" selected="0">
            <x v="12"/>
          </reference>
          <reference field="36" count="1">
            <x v="173"/>
          </reference>
        </references>
      </pivotArea>
    </format>
    <format dxfId="261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48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61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49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61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886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61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6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61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154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1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392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1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48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0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490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0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8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60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84"/>
          </reference>
          <reference field="21" count="1" selected="0">
            <x v="1"/>
          </reference>
          <reference field="25" count="1" selected="0">
            <x v="19"/>
          </reference>
          <reference field="36" count="1">
            <x v="173"/>
          </reference>
        </references>
      </pivotArea>
    </format>
    <format dxfId="260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0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0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238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0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24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0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316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0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350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0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48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60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526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530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33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4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78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808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92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59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582"/>
          </reference>
          <reference field="21" count="1" selected="0">
            <x v="1"/>
          </reference>
          <reference field="25" count="1" selected="0">
            <x v="24"/>
          </reference>
          <reference field="36" count="1">
            <x v="173"/>
          </reference>
        </references>
      </pivotArea>
    </format>
    <format dxfId="259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11" count="1" selected="0">
            <x v="629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9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2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6"/>
          </reference>
        </references>
      </pivotArea>
    </format>
    <format dxfId="259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2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"/>
          </reference>
        </references>
      </pivotArea>
    </format>
    <format dxfId="258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4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58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5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8"/>
          </reference>
        </references>
      </pivotArea>
    </format>
    <format dxfId="258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5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58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5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58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6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58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6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2"/>
          </reference>
        </references>
      </pivotArea>
    </format>
    <format dxfId="258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7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2"/>
          </reference>
        </references>
      </pivotArea>
    </format>
    <format dxfId="258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8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8"/>
          </reference>
        </references>
      </pivotArea>
    </format>
    <format dxfId="258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8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5"/>
          </reference>
        </references>
      </pivotArea>
    </format>
    <format dxfId="258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9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57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25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57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33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57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823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57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536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57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461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57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11" count="1" selected="0">
            <x v="9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5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51"/>
          </reference>
          <reference field="11" count="1" selected="0">
            <x v="881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5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5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5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3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5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5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5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25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4"/>
          </reference>
        </references>
      </pivotArea>
    </format>
    <format dxfId="25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"/>
          </reference>
        </references>
      </pivotArea>
    </format>
    <format dxfId="25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25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9"/>
          </reference>
        </references>
      </pivotArea>
    </format>
    <format dxfId="25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5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591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5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2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5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2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5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3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5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4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5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9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5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11" count="1" selected="0">
            <x v="378"/>
          </reference>
          <reference field="21" count="1" selected="0">
            <x v="1"/>
          </reference>
          <reference field="25" count="1" selected="0">
            <x v="3"/>
          </reference>
          <reference field="36" count="1">
            <x v="173"/>
          </reference>
        </references>
      </pivotArea>
    </format>
    <format dxfId="25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8"/>
          </reference>
        </references>
      </pivotArea>
    </format>
    <format dxfId="25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1"/>
          </reference>
        </references>
      </pivotArea>
    </format>
    <format dxfId="25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2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2"/>
          </reference>
        </references>
      </pivotArea>
    </format>
    <format dxfId="25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2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0"/>
          </reference>
        </references>
      </pivotArea>
    </format>
    <format dxfId="25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2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3"/>
          </reference>
        </references>
      </pivotArea>
    </format>
    <format dxfId="25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4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6"/>
          </reference>
        </references>
      </pivotArea>
    </format>
    <format dxfId="25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5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2"/>
          </reference>
        </references>
      </pivotArea>
    </format>
    <format dxfId="25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6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7"/>
          </reference>
        </references>
      </pivotArea>
    </format>
    <format dxfId="25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6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0"/>
          </reference>
        </references>
      </pivotArea>
    </format>
    <format dxfId="25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7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5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8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5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9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1"/>
          </reference>
        </references>
      </pivotArea>
    </format>
    <format dxfId="25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9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5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11" count="1" selected="0">
            <x v="9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7"/>
          </reference>
        </references>
      </pivotArea>
    </format>
    <format dxfId="25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1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5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1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25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1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25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3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5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3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9"/>
          </reference>
        </references>
      </pivotArea>
    </format>
    <format dxfId="25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3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25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4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25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4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4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5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5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5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5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6"/>
          </reference>
        </references>
      </pivotArea>
    </format>
    <format dxfId="25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6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5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7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"/>
          </reference>
        </references>
      </pivotArea>
    </format>
    <format dxfId="25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7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5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352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25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586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25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31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5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64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5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79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5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11" count="1" selected="0">
            <x v="91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5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11" count="1" selected="0">
            <x v="2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5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11" count="1" selected="0">
            <x v="3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5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11" count="1" selected="0">
            <x v="7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5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0"/>
          </reference>
        </references>
      </pivotArea>
    </format>
    <format dxfId="25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1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"/>
          </reference>
        </references>
      </pivotArea>
    </format>
    <format dxfId="25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4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25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4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25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5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8"/>
          </reference>
        </references>
      </pivotArea>
    </format>
    <format dxfId="25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6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25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7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5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8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5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10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25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496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35"/>
          </reference>
        </references>
      </pivotArea>
    </format>
    <format dxfId="25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20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5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11" count="1" selected="0">
            <x v="47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5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5"/>
          </reference>
          <reference field="11" count="1" selected="0">
            <x v="35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5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6"/>
          </reference>
          <reference field="11" count="1" selected="0">
            <x v="1011"/>
          </reference>
          <reference field="21" count="1" selected="0">
            <x v="1"/>
          </reference>
          <reference field="25" count="1" selected="0">
            <x v="3"/>
          </reference>
          <reference field="36" count="1">
            <x v="173"/>
          </reference>
        </references>
      </pivotArea>
    </format>
    <format dxfId="25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0"/>
          </reference>
          <reference field="11" count="1" selected="0">
            <x v="1024"/>
          </reference>
          <reference field="21" count="1" selected="0">
            <x v="1"/>
          </reference>
          <reference field="25" count="1" selected="0">
            <x v="4"/>
          </reference>
          <reference field="36" count="1">
            <x v="173"/>
          </reference>
        </references>
      </pivotArea>
    </format>
    <format dxfId="24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1"/>
          </reference>
          <reference field="11" count="1" selected="0">
            <x v="47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4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24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1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4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1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2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2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2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2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4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5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5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5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6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6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6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6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6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24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8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8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5"/>
          </reference>
        </references>
      </pivotArea>
    </format>
    <format dxfId="24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9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10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24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10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24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10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4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11" count="1" selected="0">
            <x v="10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24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3"/>
          </reference>
        </references>
      </pivotArea>
    </format>
    <format dxfId="24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24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4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4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24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24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5"/>
          </reference>
        </references>
      </pivotArea>
    </format>
    <format dxfId="24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24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24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24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8"/>
          </reference>
        </references>
      </pivotArea>
    </format>
    <format dxfId="24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4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24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0"/>
          </reference>
        </references>
      </pivotArea>
    </format>
    <format dxfId="24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4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24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24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7"/>
          </reference>
        </references>
      </pivotArea>
    </format>
    <format dxfId="24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24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4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24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4"/>
          </reference>
        </references>
      </pivotArea>
    </format>
    <format dxfId="24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6"/>
          </reference>
        </references>
      </pivotArea>
    </format>
    <format dxfId="24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3"/>
          </reference>
        </references>
      </pivotArea>
    </format>
    <format dxfId="24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2"/>
          </reference>
        </references>
      </pivotArea>
    </format>
    <format dxfId="24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4"/>
          </reference>
        </references>
      </pivotArea>
    </format>
    <format dxfId="24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2"/>
          </reference>
        </references>
      </pivotArea>
    </format>
    <format dxfId="24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1"/>
          </reference>
        </references>
      </pivotArea>
    </format>
    <format dxfId="24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24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7"/>
          </reference>
        </references>
      </pivotArea>
    </format>
    <format dxfId="24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24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24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24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24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4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24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24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24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4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24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4"/>
          </reference>
        </references>
      </pivotArea>
    </format>
    <format dxfId="24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4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4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1"/>
          </reference>
        </references>
      </pivotArea>
    </format>
    <format dxfId="24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24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24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24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4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4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24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24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4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24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"/>
          </reference>
        </references>
      </pivotArea>
    </format>
    <format dxfId="24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4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3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3"/>
          </reference>
        </references>
      </pivotArea>
    </format>
    <format dxfId="23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0"/>
          </reference>
        </references>
      </pivotArea>
    </format>
    <format dxfId="23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23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23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3"/>
          </reference>
        </references>
      </pivotArea>
    </format>
    <format dxfId="23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3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1"/>
          </reference>
        </references>
      </pivotArea>
    </format>
    <format dxfId="23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3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23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23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5"/>
          </reference>
        </references>
      </pivotArea>
    </format>
    <format dxfId="23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2"/>
          </reference>
        </references>
      </pivotArea>
    </format>
    <format dxfId="23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6"/>
          </reference>
        </references>
      </pivotArea>
    </format>
    <format dxfId="23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3"/>
          </reference>
        </references>
      </pivotArea>
    </format>
    <format dxfId="23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3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23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"/>
          </reference>
        </references>
      </pivotArea>
    </format>
    <format dxfId="23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3"/>
          </reference>
        </references>
      </pivotArea>
    </format>
    <format dxfId="23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0"/>
          </reference>
        </references>
      </pivotArea>
    </format>
    <format dxfId="23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3"/>
          </reference>
        </references>
      </pivotArea>
    </format>
    <format dxfId="23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3"/>
          </reference>
        </references>
      </pivotArea>
    </format>
    <format dxfId="23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5"/>
          </reference>
        </references>
      </pivotArea>
    </format>
    <format dxfId="23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8"/>
          </reference>
        </references>
      </pivotArea>
    </format>
    <format dxfId="23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6"/>
          </reference>
        </references>
      </pivotArea>
    </format>
    <format dxfId="23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1"/>
          </reference>
        </references>
      </pivotArea>
    </format>
    <format dxfId="23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23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3"/>
          </reference>
        </references>
      </pivotArea>
    </format>
    <format dxfId="23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23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4"/>
          </reference>
        </references>
      </pivotArea>
    </format>
    <format dxfId="23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2"/>
          </reference>
        </references>
      </pivotArea>
    </format>
    <format dxfId="23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23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3"/>
          </reference>
        </references>
      </pivotArea>
    </format>
    <format dxfId="23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1"/>
          </reference>
        </references>
      </pivotArea>
    </format>
    <format dxfId="23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23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3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23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3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9"/>
          </reference>
        </references>
      </pivotArea>
    </format>
    <format dxfId="23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7"/>
          </reference>
        </references>
      </pivotArea>
    </format>
    <format dxfId="23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1"/>
          </reference>
        </references>
      </pivotArea>
    </format>
    <format dxfId="23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23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23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8"/>
          </reference>
        </references>
      </pivotArea>
    </format>
    <format dxfId="23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23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23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9"/>
          </reference>
        </references>
      </pivotArea>
    </format>
    <format dxfId="23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3"/>
          </reference>
        </references>
      </pivotArea>
    </format>
    <format dxfId="23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23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23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7"/>
          </reference>
        </references>
      </pivotArea>
    </format>
    <format dxfId="23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9"/>
          </reference>
        </references>
      </pivotArea>
    </format>
    <format dxfId="23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1"/>
          </reference>
        </references>
      </pivotArea>
    </format>
    <format dxfId="23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23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1"/>
          </reference>
        </references>
      </pivotArea>
    </format>
    <format dxfId="23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23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23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12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3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93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3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07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3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32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3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06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3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6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3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838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3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61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3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6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3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3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44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03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40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3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68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8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3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78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2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000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2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21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2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51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2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1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2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3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2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617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173"/>
          </reference>
        </references>
      </pivotArea>
    </format>
    <format dxfId="22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64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173"/>
          </reference>
        </references>
      </pivotArea>
    </format>
    <format dxfId="22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1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2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35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2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99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2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11" count="1" selected="0">
            <x v="572"/>
          </reference>
          <reference field="21" count="1" selected="0">
            <x v="1"/>
          </reference>
          <reference field="25" count="1" selected="0">
            <x v="22"/>
          </reference>
          <reference field="36" count="1">
            <x v="173"/>
          </reference>
        </references>
      </pivotArea>
    </format>
    <format dxfId="22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2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2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3"/>
          </reference>
        </references>
      </pivotArea>
    </format>
    <format dxfId="22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2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5"/>
          </reference>
        </references>
      </pivotArea>
    </format>
    <format dxfId="22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2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1"/>
          </reference>
        </references>
      </pivotArea>
    </format>
    <format dxfId="22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3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4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0"/>
          </reference>
        </references>
      </pivotArea>
    </format>
    <format dxfId="22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5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5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2"/>
          </reference>
        </references>
      </pivotArea>
    </format>
    <format dxfId="22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9"/>
          </reference>
        </references>
      </pivotArea>
    </format>
    <format dxfId="22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"/>
          </reference>
        </references>
      </pivotArea>
    </format>
    <format dxfId="22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22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22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0"/>
          </reference>
        </references>
      </pivotArea>
    </format>
    <format dxfId="22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2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9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22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9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22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0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4"/>
          </reference>
        </references>
      </pivotArea>
    </format>
    <format dxfId="22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8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2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4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11" count="1" selected="0">
            <x v="1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11" count="1" selected="0">
            <x v="9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2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11" count="1" selected="0">
            <x v="495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2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11" count="1" selected="0">
            <x v="691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2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"/>
          </reference>
          <reference field="11" count="1" selected="0">
            <x v="2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2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"/>
          </reference>
          <reference field="11" count="1" selected="0">
            <x v="4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2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3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3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5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6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2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8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8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2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11" count="1" selected="0">
            <x v="82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22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1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1"/>
          </reference>
        </references>
      </pivotArea>
    </format>
    <format dxfId="22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3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9"/>
          </reference>
        </references>
      </pivotArea>
    </format>
    <format dxfId="22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3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2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3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22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3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22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3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22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4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9"/>
          </reference>
        </references>
      </pivotArea>
    </format>
    <format dxfId="22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4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6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6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6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2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6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2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7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8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22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8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5"/>
          </reference>
        </references>
      </pivotArea>
    </format>
    <format dxfId="22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8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9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2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9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2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9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2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10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2"/>
          </reference>
        </references>
      </pivotArea>
    </format>
    <format dxfId="22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52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2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845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2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11" count="1" selected="0">
            <x v="8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2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9"/>
          </reference>
        </references>
      </pivotArea>
    </format>
    <format dxfId="22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8"/>
          </reference>
        </references>
      </pivotArea>
    </format>
    <format dxfId="22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4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22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6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2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7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5"/>
          </reference>
        </references>
      </pivotArea>
    </format>
    <format dxfId="22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200"/>
          </reference>
          <reference field="21" count="1" selected="0">
            <x v="1"/>
          </reference>
          <reference field="25" count="1" selected="0">
            <x v="0"/>
          </reference>
          <reference field="36" count="1">
            <x v="173"/>
          </reference>
        </references>
      </pivotArea>
    </format>
    <format dxfId="22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2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2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9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2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18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2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1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2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24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2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5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2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11" count="1" selected="0">
            <x v="93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1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7"/>
          </reference>
        </references>
      </pivotArea>
    </format>
    <format dxfId="21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1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0"/>
          </reference>
        </references>
      </pivotArea>
    </format>
    <format dxfId="21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2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1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4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1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5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5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1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7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1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9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1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11" count="1" selected="0">
            <x v="87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07"/>
          </reference>
        </references>
      </pivotArea>
    </format>
    <format dxfId="21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1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2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2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2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2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21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2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2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21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"/>
          </reference>
        </references>
      </pivotArea>
    </format>
    <format dxfId="21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3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4"/>
          </reference>
        </references>
      </pivotArea>
    </format>
    <format dxfId="21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8"/>
          </reference>
        </references>
      </pivotArea>
    </format>
    <format dxfId="21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4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0"/>
          </reference>
        </references>
      </pivotArea>
    </format>
    <format dxfId="21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7"/>
          </reference>
        </references>
      </pivotArea>
    </format>
    <format dxfId="21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21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1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1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21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6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21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"/>
          </reference>
        </references>
      </pivotArea>
    </format>
    <format dxfId="21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1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1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21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4"/>
          </reference>
        </references>
      </pivotArea>
    </format>
    <format dxfId="21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0"/>
          </reference>
        </references>
      </pivotArea>
    </format>
    <format dxfId="21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21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8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8"/>
          </reference>
        </references>
      </pivotArea>
    </format>
    <format dxfId="21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1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1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0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"/>
          </reference>
        </references>
      </pivotArea>
    </format>
    <format dxfId="21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0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1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0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1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3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1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68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173"/>
          </reference>
        </references>
      </pivotArea>
    </format>
    <format dxfId="21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51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1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56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1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0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1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795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1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170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1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11" count="1" selected="0">
            <x v="972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1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21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1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1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1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1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1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1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1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1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1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3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4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4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4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20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4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2"/>
          </reference>
        </references>
      </pivotArea>
    </format>
    <format dxfId="20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0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5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6"/>
          </reference>
        </references>
      </pivotArea>
    </format>
    <format dxfId="20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6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6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6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0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20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20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8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8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8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8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9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9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20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10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20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624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0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13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0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934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20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6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0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97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20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36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173"/>
          </reference>
        </references>
      </pivotArea>
    </format>
    <format dxfId="20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158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0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9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20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104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0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792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173"/>
          </reference>
        </references>
      </pivotArea>
    </format>
    <format dxfId="20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11" count="1" selected="0">
            <x v="29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0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20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0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1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0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3"/>
          </reference>
        </references>
      </pivotArea>
    </format>
    <format dxfId="20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20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5"/>
          </reference>
        </references>
      </pivotArea>
    </format>
    <format dxfId="20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0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3"/>
          </reference>
        </references>
      </pivotArea>
    </format>
    <format dxfId="20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3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0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20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0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20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5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6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6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8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8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8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0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8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8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9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20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9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10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0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0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62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20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68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20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2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20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11" count="1" selected="0">
            <x v="462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20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11" count="1" selected="0">
            <x v="1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20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11" count="1" selected="0">
            <x v="1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6"/>
          </reference>
        </references>
      </pivotArea>
    </format>
    <format dxfId="20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11" count="1" selected="0">
            <x v="475"/>
          </reference>
          <reference field="21" count="1" selected="0">
            <x v="1"/>
          </reference>
          <reference field="25" count="1" selected="0">
            <x v="8"/>
          </reference>
          <reference field="36" count="1">
            <x v="173"/>
          </reference>
        </references>
      </pivotArea>
    </format>
    <format dxfId="20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11" count="1" selected="0">
            <x v="97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11" count="1" selected="0">
            <x v="99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11" count="1" selected="0">
            <x v="474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20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11" count="1" selected="0">
            <x v="803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20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"/>
          </reference>
          <reference field="11" count="1" selected="0">
            <x v="10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0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11" count="1" selected="0">
            <x v="844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20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11" count="1" selected="0">
            <x v="2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11" count="1" selected="0">
            <x v="50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11" count="1" selected="0">
            <x v="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0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11" count="1" selected="0">
            <x v="2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20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11" count="1" selected="0">
            <x v="65"/>
          </reference>
          <reference field="21" count="1" selected="0">
            <x v="1"/>
          </reference>
          <reference field="25" count="1" selected="0">
            <x v="11"/>
          </reference>
          <reference field="36" count="1">
            <x v="173"/>
          </reference>
        </references>
      </pivotArea>
    </format>
    <format dxfId="20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7"/>
          </reference>
          <reference field="11" count="1" selected="0">
            <x v="228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20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7"/>
          </reference>
          <reference field="11" count="1" selected="0">
            <x v="458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20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7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6"/>
          </reference>
        </references>
      </pivotArea>
    </format>
    <format dxfId="20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1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1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45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57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0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29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20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190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20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11" count="1" selected="0">
            <x v="784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20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2"/>
          </reference>
        </references>
      </pivotArea>
    </format>
    <format dxfId="19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1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5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0"/>
          </reference>
        </references>
      </pivotArea>
    </format>
    <format dxfId="19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9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216"/>
          </reference>
          <reference field="21" count="1" selected="0">
            <x v="1"/>
          </reference>
          <reference field="25" count="1" selected="0">
            <x v="13"/>
          </reference>
          <reference field="36" count="1">
            <x v="173"/>
          </reference>
        </references>
      </pivotArea>
    </format>
    <format dxfId="19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294"/>
          </reference>
          <reference field="21" count="1" selected="0">
            <x v="1"/>
          </reference>
          <reference field="25" count="1" selected="0">
            <x v="13"/>
          </reference>
          <reference field="36" count="1">
            <x v="173"/>
          </reference>
        </references>
      </pivotArea>
    </format>
    <format dxfId="19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5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14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41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53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11" count="1" selected="0">
            <x v="72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1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2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9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2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7"/>
          </reference>
        </references>
      </pivotArea>
    </format>
    <format dxfId="19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2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0"/>
          </reference>
        </references>
      </pivotArea>
    </format>
    <format dxfId="19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2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9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3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9"/>
          </reference>
        </references>
      </pivotArea>
    </format>
    <format dxfId="19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3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9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4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4"/>
          </reference>
        </references>
      </pivotArea>
    </format>
    <format dxfId="19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5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2"/>
          </reference>
        </references>
      </pivotArea>
    </format>
    <format dxfId="19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5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9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6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7"/>
          </reference>
        </references>
      </pivotArea>
    </format>
    <format dxfId="19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6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6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5"/>
          </reference>
        </references>
      </pivotArea>
    </format>
    <format dxfId="19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6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4"/>
          </reference>
        </references>
      </pivotArea>
    </format>
    <format dxfId="19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6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6"/>
          </reference>
        </references>
      </pivotArea>
    </format>
    <format dxfId="19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7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19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7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7"/>
          </reference>
        </references>
      </pivotArea>
    </format>
    <format dxfId="19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7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9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8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9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9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9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9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11" count="1" selected="0">
            <x v="9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11" count="1" selected="0">
            <x v="79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11" count="1" selected="0">
            <x v="204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9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1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2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3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19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3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4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4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4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5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5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19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5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19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5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6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19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6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7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8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19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8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8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11" count="1" selected="0">
            <x v="9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19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1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4"/>
          </reference>
        </references>
      </pivotArea>
    </format>
    <format dxfId="19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3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6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9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7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19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7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9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478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19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86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9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101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9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980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9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11" count="1" selected="0">
            <x v="993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9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11" count="1" selected="0">
            <x v="1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11" count="1" selected="0">
            <x v="2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11" count="1" selected="0">
            <x v="2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11" count="1" selected="0">
            <x v="7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19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0"/>
          </reference>
        </references>
      </pivotArea>
    </format>
    <format dxfId="19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1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19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1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3"/>
          </reference>
        </references>
      </pivotArea>
    </format>
    <format dxfId="19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1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1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1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2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2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3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3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3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0"/>
          </reference>
        </references>
      </pivotArea>
    </format>
    <format dxfId="19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4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6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6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19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6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6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7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7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7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3"/>
          </reference>
        </references>
      </pivotArea>
    </format>
    <format dxfId="19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8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8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9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19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9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9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23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93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3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6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440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442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71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758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428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8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916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8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431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18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11" count="1" selected="0">
            <x v="483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18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11" count="1" selected="0">
            <x v="57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11" count="1" selected="0">
            <x v="65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11" count="1" selected="0">
            <x v="74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11" count="1" selected="0">
            <x v="92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11" count="1" selected="0">
            <x v="827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18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8"/>
          </reference>
          <reference field="11" count="1" selected="0">
            <x v="8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8"/>
          </reference>
          <reference field="11" count="1" selected="0">
            <x v="68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9"/>
          </reference>
          <reference field="11" count="1" selected="0">
            <x v="25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11" count="1" selected="0">
            <x v="45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11" count="1" selected="0">
            <x v="686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8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1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2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2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5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6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2"/>
          </reference>
        </references>
      </pivotArea>
    </format>
    <format dxfId="18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8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8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8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9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10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31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37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4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58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61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94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95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102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102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584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45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744"/>
          </reference>
          <reference field="21" count="1" selected="0">
            <x v="1"/>
          </reference>
          <reference field="25" count="1" selected="0">
            <x v="22"/>
          </reference>
          <reference field="36" count="1">
            <x v="173"/>
          </reference>
        </references>
      </pivotArea>
    </format>
    <format dxfId="18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408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18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11" count="1" selected="0">
            <x v="668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18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11" count="1" selected="0">
            <x v="5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11" count="1" selected="0">
            <x v="600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8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11" count="1" selected="0">
            <x v="100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4"/>
          </reference>
          <reference field="11" count="1" selected="0">
            <x v="3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"/>
          </reference>
        </references>
      </pivotArea>
    </format>
    <format dxfId="18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1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1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2"/>
          </reference>
        </references>
      </pivotArea>
    </format>
    <format dxfId="18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4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4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4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4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4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4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6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6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7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7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8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8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8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8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9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9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9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9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13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3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8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556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68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8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11" count="1" selected="0">
            <x v="394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8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11" count="1" selected="0">
            <x v="1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11" count="1" selected="0">
            <x v="210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8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1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3"/>
          </reference>
        </references>
      </pivotArea>
    </format>
    <format dxfId="18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6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8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9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8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78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11" count="1" selected="0">
            <x v="7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0"/>
          </reference>
          <reference field="11" count="1" selected="0">
            <x v="24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8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0"/>
          </reference>
          <reference field="11" count="1" selected="0">
            <x v="31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5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7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6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7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9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7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3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5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21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36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48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78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85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95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786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7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11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7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245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7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74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7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257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7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260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7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412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7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449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7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11" count="1" selected="0">
            <x v="650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17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4"/>
          </reference>
          <reference field="11" count="1" selected="0">
            <x v="345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7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10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17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16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34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53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75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75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89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101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263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7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288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7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11" count="1" selected="0">
            <x v="723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7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1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2"/>
          </reference>
        </references>
      </pivotArea>
    </format>
    <format dxfId="17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1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5"/>
          </reference>
        </references>
      </pivotArea>
    </format>
    <format dxfId="17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2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5"/>
          </reference>
        </references>
      </pivotArea>
    </format>
    <format dxfId="17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2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6"/>
          </reference>
        </references>
      </pivotArea>
    </format>
    <format dxfId="17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2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7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3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2"/>
          </reference>
        </references>
      </pivotArea>
    </format>
    <format dxfId="17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5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7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8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1"/>
          </reference>
        </references>
      </pivotArea>
    </format>
    <format dxfId="17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7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12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39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43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66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83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8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101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7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321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17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11" count="1" selected="0">
            <x v="324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1749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3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1748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6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1747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"/>
          </reference>
        </references>
      </pivotArea>
    </format>
    <format dxfId="1746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7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1745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"/>
          </reference>
        </references>
      </pivotArea>
    </format>
    <format dxfId="1744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8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"/>
          </reference>
        </references>
      </pivotArea>
    </format>
    <format dxfId="1743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9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1"/>
          </reference>
        </references>
      </pivotArea>
    </format>
    <format dxfId="1742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11" count="1" selected="0">
            <x v="157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1741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11" count="1" selected="0">
            <x v="1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4"/>
          </reference>
        </references>
      </pivotArea>
    </format>
    <format dxfId="1740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11" count="1" selected="0">
            <x v="4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8"/>
          </reference>
        </references>
      </pivotArea>
    </format>
    <format dxfId="1739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11" count="1" selected="0">
            <x v="5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4"/>
          </reference>
        </references>
      </pivotArea>
    </format>
    <format dxfId="1738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11" count="1" selected="0">
            <x v="9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8"/>
          </reference>
        </references>
      </pivotArea>
    </format>
    <format dxfId="1737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11" count="1" selected="0">
            <x v="274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1736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11" count="1" selected="0">
            <x v="100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73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173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7"/>
          </reference>
          <reference field="11" count="1" selected="0">
            <x v="264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1733">
      <pivotArea dataOnly="0" outline="0" fieldPosition="0">
        <references count="1">
          <reference field="36" count="1">
            <x v="173"/>
          </reference>
        </references>
      </pivotArea>
    </format>
    <format dxfId="1732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31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30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9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21" count="1" selected="0">
            <x v="1"/>
          </reference>
          <reference field="25" count="1">
            <x v="26"/>
          </reference>
        </references>
      </pivotArea>
    </format>
    <format dxfId="1728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7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6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20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19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18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17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0"/>
          </reference>
        </references>
      </pivotArea>
    </format>
    <format dxfId="1716">
      <pivotArea dataOnly="0" labelOnly="1" outline="0" fieldPosition="0">
        <references count="4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71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1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1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1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21" count="1" selected="0">
            <x v="1"/>
          </reference>
          <reference field="25" count="1">
            <x v="26"/>
          </reference>
        </references>
      </pivotArea>
    </format>
    <format dxfId="171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21" count="1" selected="0">
            <x v="1"/>
          </reference>
          <reference field="25" count="1">
            <x v="26"/>
          </reference>
        </references>
      </pivotArea>
    </format>
    <format dxfId="171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0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08">
      <pivotArea dataOnly="0" labelOnly="1" outline="0" fieldPosition="0">
        <references count="7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07">
      <pivotArea dataOnly="0" labelOnly="1" outline="0" fieldPosition="0">
        <references count="7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06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0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704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1703">
      <pivotArea dataOnly="0" labelOnly="1" outline="0" fieldPosition="0">
        <references count="2">
          <reference field="0" count="0" selected="0"/>
          <reference field="1" count="1">
            <x v="0"/>
          </reference>
        </references>
      </pivotArea>
    </format>
    <format dxfId="1702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1701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700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>
            <x v="10"/>
          </reference>
        </references>
      </pivotArea>
    </format>
    <format dxfId="1699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10"/>
          </reference>
        </references>
      </pivotArea>
    </format>
    <format dxfId="1698">
      <pivotArea dataOnly="0" labelOnly="1" outline="0" fieldPosition="0">
        <references count="4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697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>
            <x v="10"/>
          </reference>
        </references>
      </pivotArea>
    </format>
    <format dxfId="1696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>
            <x v="10"/>
          </reference>
        </references>
      </pivotArea>
    </format>
    <format dxfId="1695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1">
            <x v="0"/>
          </reference>
        </references>
      </pivotArea>
    </format>
    <format dxfId="1694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693">
      <pivotArea dataOnly="0" labelOnly="1" outline="0" fieldPosition="0">
        <references count="5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10"/>
          </reference>
        </references>
      </pivotArea>
    </format>
    <format dxfId="169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691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21" count="1">
            <x v="2"/>
          </reference>
        </references>
      </pivotArea>
    </format>
    <format dxfId="169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68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68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11" count="1" selected="0">
            <x v="7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8"/>
          </reference>
        </references>
      </pivotArea>
    </format>
    <format dxfId="168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11" count="1" selected="0">
            <x v="4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686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>
            <x v="25"/>
          </reference>
        </references>
      </pivotArea>
    </format>
    <format dxfId="1685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>
            <x v="25"/>
          </reference>
        </references>
      </pivotArea>
    </format>
    <format dxfId="1684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>
            <x v="25"/>
          </reference>
        </references>
      </pivotArea>
    </format>
    <format dxfId="1683">
      <pivotArea field="4" type="button" dataOnly="0" labelOnly="1" outline="0" axis="axisRow" fieldPosition="4"/>
    </format>
    <format dxfId="1682">
      <pivotArea field="3" type="button" dataOnly="0" labelOnly="1" outline="0" axis="axisRow" fieldPosition="3"/>
    </format>
    <format dxfId="1681">
      <pivotArea field="5" type="button" dataOnly="0" labelOnly="1" outline="0" axis="axisRow" fieldPosition="5"/>
    </format>
    <format dxfId="1680">
      <pivotArea dataOnly="0" labelOnly="1" outline="0" offset="IV6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>
            <x v="25"/>
          </reference>
        </references>
      </pivotArea>
    </format>
    <format dxfId="1679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>
            <x v="25"/>
          </reference>
        </references>
      </pivotArea>
    </format>
    <format dxfId="1678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0"/>
          </reference>
          <reference field="5" count="1">
            <x v="25"/>
          </reference>
        </references>
      </pivotArea>
    </format>
    <format dxfId="1677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>
            <x v="25"/>
          </reference>
        </references>
      </pivotArea>
    </format>
    <format dxfId="1676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>
            <x v="25"/>
          </reference>
        </references>
      </pivotArea>
    </format>
    <format dxfId="1675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>
            <x v="25"/>
          </reference>
        </references>
      </pivotArea>
    </format>
    <format dxfId="1674">
      <pivotArea field="0" type="button" dataOnly="0" labelOnly="1" outline="0" axis="axisRow" fieldPosition="0"/>
    </format>
    <format dxfId="1673">
      <pivotArea field="1" type="button" dataOnly="0" labelOnly="1" outline="0" axis="axisRow" fieldPosition="1"/>
    </format>
    <format dxfId="1672">
      <pivotArea field="2" type="button" dataOnly="0" labelOnly="1" outline="0" axis="axisRow" fieldPosition="2"/>
    </format>
    <format dxfId="1671">
      <pivotArea field="3" type="button" dataOnly="0" labelOnly="1" outline="0" axis="axisRow" fieldPosition="3"/>
    </format>
    <format dxfId="1670">
      <pivotArea field="4" type="button" dataOnly="0" labelOnly="1" outline="0" axis="axisRow" fieldPosition="4"/>
    </format>
    <format dxfId="1669">
      <pivotArea field="5" type="button" dataOnly="0" labelOnly="1" outline="0" axis="axisRow" fieldPosition="5"/>
    </format>
    <format dxfId="1668">
      <pivotArea field="21" type="button" dataOnly="0" labelOnly="1" outline="0" axis="axisRow" fieldPosition="6"/>
    </format>
    <format dxfId="1667">
      <pivotArea field="25" type="button" dataOnly="0" labelOnly="1" outline="0" axis="axisRow" fieldPosition="7"/>
    </format>
    <format dxfId="1666">
      <pivotArea field="11" type="button" dataOnly="0" labelOnly="1" outline="0" axis="axisRow" fieldPosition="8"/>
    </format>
    <format dxfId="1665">
      <pivotArea field="36" type="button" dataOnly="0" labelOnly="1" outline="0" axis="axisRow" fieldPosition="9"/>
    </format>
    <format dxfId="1664">
      <pivotArea dataOnly="0" labelOnly="1" outline="0" fieldPosition="0">
        <references count="1">
          <reference field="0" count="0"/>
        </references>
      </pivotArea>
    </format>
    <format dxfId="1663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662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0"/>
        </references>
      </pivotArea>
    </format>
    <format dxfId="1661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1">
            <x v="0"/>
          </reference>
        </references>
      </pivotArea>
    </format>
    <format dxfId="1660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3">
            <x v="0"/>
            <x v="1"/>
            <x v="2"/>
          </reference>
        </references>
      </pivotArea>
    </format>
    <format dxfId="1659">
      <pivotArea dataOnly="0" labelOnly="1" outline="0" fieldPosition="0">
        <references count="4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5">
            <x v="0"/>
            <x v="1"/>
            <x v="3"/>
            <x v="4"/>
            <x v="6"/>
          </reference>
        </references>
      </pivotArea>
    </format>
    <format dxfId="1658">
      <pivotArea dataOnly="0" labelOnly="1" outline="0" fieldPosition="0">
        <references count="4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3">
            <x v="1"/>
            <x v="5"/>
            <x v="8"/>
          </reference>
        </references>
      </pivotArea>
    </format>
    <format dxfId="1657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656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1655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1654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8">
            <x v="2"/>
            <x v="10"/>
            <x v="14"/>
            <x v="23"/>
            <x v="39"/>
            <x v="41"/>
            <x v="45"/>
            <x v="46"/>
          </reference>
        </references>
      </pivotArea>
    </format>
    <format dxfId="1653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0"/>
          </reference>
          <reference field="4" count="1">
            <x v="51"/>
          </reference>
        </references>
      </pivotArea>
    </format>
    <format dxfId="1652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3">
            <x v="10"/>
            <x v="11"/>
            <x v="48"/>
          </reference>
        </references>
      </pivotArea>
    </format>
    <format dxfId="1651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>
            <x v="15"/>
          </reference>
        </references>
      </pivotArea>
    </format>
    <format dxfId="1650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7">
            <x v="10"/>
            <x v="15"/>
            <x v="16"/>
            <x v="20"/>
            <x v="21"/>
            <x v="38"/>
            <x v="50"/>
          </reference>
        </references>
      </pivotArea>
    </format>
    <format dxfId="1649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>
            <x v="10"/>
          </reference>
        </references>
      </pivotArea>
    </format>
    <format dxfId="1648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0">
            <x v="0"/>
            <x v="1"/>
            <x v="3"/>
            <x v="10"/>
            <x v="12"/>
            <x v="15"/>
            <x v="19"/>
            <x v="24"/>
            <x v="47"/>
            <x v="49"/>
          </reference>
        </references>
      </pivotArea>
    </format>
    <format dxfId="1647">
      <pivotArea dataOnly="0" labelOnly="1" outline="0" fieldPosition="0">
        <references count="5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29">
            <x v="3"/>
            <x v="4"/>
            <x v="5"/>
            <x v="6"/>
            <x v="7"/>
            <x v="8"/>
            <x v="9"/>
            <x v="10"/>
            <x v="15"/>
            <x v="18"/>
            <x v="22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40"/>
            <x v="43"/>
            <x v="44"/>
            <x v="47"/>
            <x v="49"/>
          </reference>
        </references>
      </pivotArea>
    </format>
    <format dxfId="1646">
      <pivotArea dataOnly="0" labelOnly="1" outline="0" fieldPosition="0">
        <references count="5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10"/>
          </reference>
        </references>
      </pivotArea>
    </format>
    <format dxfId="1645">
      <pivotArea dataOnly="0" labelOnly="1" outline="0" fieldPosition="0">
        <references count="5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13"/>
          </reference>
        </references>
      </pivotArea>
    </format>
    <format dxfId="1644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>
            <x v="25"/>
          </reference>
        </references>
      </pivotArea>
    </format>
    <format dxfId="1643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4">
            <x v="8"/>
            <x v="14"/>
            <x v="15"/>
            <x v="20"/>
          </reference>
        </references>
      </pivotArea>
    </format>
    <format dxfId="1642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2">
            <x v="23"/>
            <x v="25"/>
          </reference>
        </references>
      </pivotArea>
    </format>
    <format dxfId="1641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2">
            <x v="19"/>
            <x v="25"/>
          </reference>
        </references>
      </pivotArea>
    </format>
    <format dxfId="1640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6"/>
          </reference>
          <reference field="5" count="1">
            <x v="6"/>
          </reference>
        </references>
      </pivotArea>
    </format>
    <format dxfId="1639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0"/>
          </reference>
          <reference field="5" count="1">
            <x v="25"/>
          </reference>
        </references>
      </pivotArea>
    </format>
    <format dxfId="1638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>
            <x v="2"/>
          </reference>
        </references>
      </pivotArea>
    </format>
    <format dxfId="1637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2">
            <x v="0"/>
            <x v="13"/>
          </reference>
        </references>
      </pivotArea>
    </format>
    <format dxfId="1636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>
            <x v="25"/>
          </reference>
        </references>
      </pivotArea>
    </format>
    <format dxfId="1635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>
            <x v="12"/>
          </reference>
        </references>
      </pivotArea>
    </format>
    <format dxfId="1634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1">
            <x v="3"/>
            <x v="4"/>
            <x v="5"/>
            <x v="7"/>
            <x v="9"/>
            <x v="11"/>
            <x v="16"/>
            <x v="17"/>
            <x v="18"/>
            <x v="20"/>
            <x v="25"/>
          </reference>
        </references>
      </pivotArea>
    </format>
    <format dxfId="1633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4">
            <x v="10"/>
            <x v="21"/>
            <x v="24"/>
            <x v="25"/>
          </reference>
        </references>
      </pivotArea>
    </format>
    <format dxfId="1632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2">
            <x v="21"/>
            <x v="25"/>
          </reference>
        </references>
      </pivotArea>
    </format>
    <format dxfId="1631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21" count="1">
            <x v="0"/>
          </reference>
        </references>
      </pivotArea>
    </format>
    <format dxfId="1630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7"/>
          </reference>
          <reference field="5" count="1" selected="0">
            <x v="25"/>
          </reference>
          <reference field="21" count="1">
            <x v="1"/>
          </reference>
        </references>
      </pivotArea>
    </format>
    <format dxfId="1629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28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27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26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25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24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21" count="2">
            <x v="0"/>
            <x v="1"/>
          </reference>
        </references>
      </pivotArea>
    </format>
    <format dxfId="1623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21" count="2">
            <x v="0"/>
            <x v="1"/>
          </reference>
        </references>
      </pivotArea>
    </format>
    <format dxfId="1622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21" count="2">
            <x v="0"/>
            <x v="1"/>
          </reference>
        </references>
      </pivotArea>
    </format>
    <format dxfId="1621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21" count="2">
            <x v="0"/>
            <x v="1"/>
          </reference>
        </references>
      </pivotArea>
    </format>
    <format dxfId="1620">
      <pivotArea dataOnly="0" labelOnly="1" outline="0" fieldPosition="0">
        <references count="7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3"/>
          </reference>
          <reference field="21" count="2">
            <x v="0"/>
            <x v="1"/>
          </reference>
        </references>
      </pivotArea>
    </format>
    <format dxfId="161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21" count="2">
            <x v="0"/>
            <x v="2"/>
          </reference>
        </references>
      </pivotArea>
    </format>
    <format dxfId="1618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17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21" count="2">
            <x v="0"/>
            <x v="1"/>
          </reference>
        </references>
      </pivotArea>
    </format>
    <format dxfId="1616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1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21" count="2">
            <x v="0"/>
            <x v="1"/>
          </reference>
        </references>
      </pivotArea>
    </format>
    <format dxfId="161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21" count="2">
            <x v="0"/>
            <x v="1"/>
          </reference>
        </references>
      </pivotArea>
    </format>
    <format dxfId="161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21" count="2">
            <x v="0"/>
            <x v="2"/>
          </reference>
        </references>
      </pivotArea>
    </format>
    <format dxfId="161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1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1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0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21" count="2">
            <x v="0"/>
            <x v="1"/>
          </reference>
        </references>
      </pivotArea>
    </format>
    <format dxfId="1608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21" count="2">
            <x v="0"/>
            <x v="1"/>
          </reference>
        </references>
      </pivotArea>
    </format>
    <format dxfId="1607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21" count="2">
            <x v="0"/>
            <x v="1"/>
          </reference>
        </references>
      </pivotArea>
    </format>
    <format dxfId="1606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21" count="2">
            <x v="0"/>
            <x v="1"/>
          </reference>
        </references>
      </pivotArea>
    </format>
    <format dxfId="160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21" count="2">
            <x v="0"/>
            <x v="1"/>
          </reference>
        </references>
      </pivotArea>
    </format>
    <format dxfId="160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21" count="2">
            <x v="0"/>
            <x v="1"/>
          </reference>
        </references>
      </pivotArea>
    </format>
    <format dxfId="160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21" count="1">
            <x v="0"/>
          </reference>
        </references>
      </pivotArea>
    </format>
    <format dxfId="160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0"/>
          </reference>
          <reference field="21" count="1">
            <x v="1"/>
          </reference>
        </references>
      </pivotArea>
    </format>
    <format dxfId="160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60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21" count="2">
            <x v="0"/>
            <x v="1"/>
          </reference>
        </references>
      </pivotArea>
    </format>
    <format dxfId="159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98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5" count="1" selected="0">
            <x v="25"/>
          </reference>
          <reference field="21" count="1">
            <x v="0"/>
          </reference>
        </references>
      </pivotArea>
    </format>
    <format dxfId="1597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21" count="1">
            <x v="1"/>
          </reference>
        </references>
      </pivotArea>
    </format>
    <format dxfId="1596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"/>
          </reference>
          <reference field="5" count="1" selected="0">
            <x v="25"/>
          </reference>
          <reference field="21" count="1">
            <x v="0"/>
          </reference>
        </references>
      </pivotArea>
    </format>
    <format dxfId="159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21" count="1">
            <x v="1"/>
          </reference>
        </references>
      </pivotArea>
    </format>
    <format dxfId="159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9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9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9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21" count="1">
            <x v="0"/>
          </reference>
        </references>
      </pivotArea>
    </format>
    <format dxfId="159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5" count="1" selected="0">
            <x v="25"/>
          </reference>
          <reference field="21" count="1">
            <x v="1"/>
          </reference>
        </references>
      </pivotArea>
    </format>
    <format dxfId="158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8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7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6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4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80">
      <pivotArea dataOnly="0" labelOnly="1" outline="0" fieldPosition="0">
        <references count="7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79">
      <pivotArea dataOnly="0" labelOnly="1" outline="0" fieldPosition="0">
        <references count="7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1578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77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7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9"/>
          </reference>
        </references>
      </pivotArea>
    </format>
    <format dxfId="1576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75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20"/>
          </reference>
        </references>
      </pivotArea>
    </format>
    <format dxfId="1574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73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4"/>
            <x v="7"/>
            <x v="16"/>
            <x v="20"/>
          </reference>
        </references>
      </pivotArea>
    </format>
    <format dxfId="1572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71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21" count="1" selected="0">
            <x v="1"/>
          </reference>
          <reference field="25" count="5">
            <x v="5"/>
            <x v="7"/>
            <x v="9"/>
            <x v="14"/>
            <x v="16"/>
          </reference>
        </references>
      </pivotArea>
    </format>
    <format dxfId="1570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69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2"/>
            <x v="5"/>
            <x v="7"/>
            <x v="9"/>
          </reference>
        </references>
      </pivotArea>
    </format>
    <format dxfId="1568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67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20"/>
          </reference>
        </references>
      </pivotArea>
    </format>
    <format dxfId="1566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65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21" count="1" selected="0">
            <x v="1"/>
          </reference>
          <reference field="25" count="3">
            <x v="5"/>
            <x v="14"/>
            <x v="16"/>
          </reference>
        </references>
      </pivotArea>
    </format>
    <format dxfId="1564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63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21" count="1" selected="0">
            <x v="1"/>
          </reference>
          <reference field="25" count="7">
            <x v="7"/>
            <x v="9"/>
            <x v="12"/>
            <x v="16"/>
            <x v="19"/>
            <x v="24"/>
            <x v="26"/>
          </reference>
        </references>
      </pivotArea>
    </format>
    <format dxfId="1562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21" count="1" selected="0">
            <x v="1"/>
          </reference>
          <reference field="25" count="2">
            <x v="14"/>
            <x v="20"/>
          </reference>
        </references>
      </pivotArea>
    </format>
    <format dxfId="1561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60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21" count="1" selected="0">
            <x v="1"/>
          </reference>
          <reference field="25" count="3">
            <x v="2"/>
            <x v="5"/>
            <x v="7"/>
          </reference>
        </references>
      </pivotArea>
    </format>
    <format dxfId="1559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3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58">
      <pivotArea dataOnly="0" labelOnly="1" outline="0" fieldPosition="0">
        <references count="8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1"/>
            <x v="2"/>
            <x v="5"/>
            <x v="16"/>
          </reference>
        </references>
      </pivotArea>
    </format>
    <format dxfId="155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5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3"/>
          </reference>
        </references>
      </pivotArea>
    </format>
    <format dxfId="155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5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6"/>
            <x v="15"/>
          </reference>
        </references>
      </pivotArea>
    </format>
    <format dxfId="155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5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1"/>
          </reference>
          <reference field="25" count="3">
            <x v="1"/>
            <x v="5"/>
            <x v="7"/>
          </reference>
        </references>
      </pivotArea>
    </format>
    <format dxfId="155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5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5"/>
          </reference>
        </references>
      </pivotArea>
    </format>
    <format dxfId="155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6"/>
          </reference>
          <reference field="5" count="1" selected="0">
            <x v="6"/>
          </reference>
          <reference field="21" count="1" selected="0">
            <x v="1"/>
          </reference>
          <reference field="25" count="1">
            <x v="3"/>
          </reference>
        </references>
      </pivotArea>
    </format>
    <format dxfId="154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0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4"/>
          </reference>
        </references>
      </pivotArea>
    </format>
    <format dxfId="154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1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4"/>
          </reference>
        </references>
      </pivotArea>
    </format>
    <format dxfId="154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4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21" count="1" selected="0">
            <x v="1"/>
          </reference>
          <reference field="25" count="9">
            <x v="1"/>
            <x v="2"/>
            <x v="5"/>
            <x v="7"/>
            <x v="14"/>
            <x v="16"/>
            <x v="18"/>
            <x v="20"/>
            <x v="22"/>
          </reference>
        </references>
      </pivotArea>
    </format>
    <format dxfId="154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4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"/>
            <x v="7"/>
          </reference>
        </references>
      </pivotArea>
    </format>
    <format dxfId="154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4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7"/>
          </reference>
        </references>
      </pivotArea>
    </format>
    <format dxfId="154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4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1"/>
          </reference>
          <reference field="25" count="3">
            <x v="5"/>
            <x v="7"/>
            <x v="14"/>
          </reference>
        </references>
      </pivotArea>
    </format>
    <format dxfId="153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3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0"/>
            <x v="15"/>
          </reference>
        </references>
      </pivotArea>
    </format>
    <format dxfId="153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3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21" count="1" selected="0">
            <x v="1"/>
          </reference>
          <reference field="25" count="1">
            <x v="7"/>
          </reference>
        </references>
      </pivotArea>
    </format>
    <format dxfId="153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3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21" count="1" selected="0">
            <x v="1"/>
          </reference>
          <reference field="25" count="1">
            <x v="9"/>
          </reference>
        </references>
      </pivotArea>
    </format>
    <format dxfId="153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3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21" count="1" selected="0">
            <x v="1"/>
          </reference>
          <reference field="25" count="2">
            <x v="14"/>
            <x v="16"/>
          </reference>
        </references>
      </pivotArea>
    </format>
    <format dxfId="153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3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21" count="1" selected="0">
            <x v="1"/>
          </reference>
          <reference field="25" count="1">
            <x v="10"/>
          </reference>
        </references>
      </pivotArea>
    </format>
    <format dxfId="152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2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21" count="1" selected="0">
            <x v="1"/>
          </reference>
          <reference field="25" count="1">
            <x v="14"/>
          </reference>
        </references>
      </pivotArea>
    </format>
    <format dxfId="152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2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0"/>
          </reference>
          <reference field="21" count="1" selected="0">
            <x v="1"/>
          </reference>
          <reference field="25" count="1">
            <x v="20"/>
          </reference>
        </references>
      </pivotArea>
    </format>
    <format dxfId="152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2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21" count="1" selected="0">
            <x v="1"/>
          </reference>
          <reference field="25" count="8">
            <x v="2"/>
            <x v="5"/>
            <x v="9"/>
            <x v="10"/>
            <x v="14"/>
            <x v="16"/>
            <x v="18"/>
            <x v="20"/>
          </reference>
        </references>
      </pivotArea>
    </format>
    <format dxfId="152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2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21" count="1" selected="0">
            <x v="1"/>
          </reference>
          <reference field="25" count="2">
            <x v="7"/>
            <x v="26"/>
          </reference>
        </references>
      </pivotArea>
    </format>
    <format dxfId="152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"/>
            <x v="16"/>
          </reference>
        </references>
      </pivotArea>
    </format>
    <format dxfId="152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1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8"/>
            <x v="15"/>
            <x v="17"/>
            <x v="23"/>
          </reference>
        </references>
      </pivotArea>
    </format>
    <format dxfId="151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1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6"/>
            <x v="15"/>
          </reference>
        </references>
      </pivotArea>
    </format>
    <format dxfId="151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1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1"/>
          </reference>
        </references>
      </pivotArea>
    </format>
    <format dxfId="151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7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7"/>
          </reference>
        </references>
      </pivotArea>
    </format>
    <format dxfId="151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1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21" count="1" selected="0">
            <x v="1"/>
          </reference>
          <reference field="25" count="3">
            <x v="15"/>
            <x v="17"/>
            <x v="21"/>
          </reference>
        </references>
      </pivotArea>
    </format>
    <format dxfId="151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1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3"/>
            <x v="15"/>
          </reference>
        </references>
      </pivotArea>
    </format>
    <format dxfId="150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0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5"/>
            <x v="17"/>
          </reference>
        </references>
      </pivotArea>
    </format>
    <format dxfId="150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0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6"/>
            <x v="15"/>
            <x v="17"/>
            <x v="21"/>
          </reference>
        </references>
      </pivotArea>
    </format>
    <format dxfId="150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50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15"/>
            <x v="21"/>
            <x v="23"/>
            <x v="25"/>
          </reference>
        </references>
      </pivotArea>
    </format>
    <format dxfId="150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5"/>
            <x v="25"/>
          </reference>
        </references>
      </pivotArea>
    </format>
    <format dxfId="150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8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5"/>
          </reference>
        </references>
      </pivotArea>
    </format>
    <format dxfId="150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9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21"/>
          </reference>
        </references>
      </pivotArea>
    </format>
    <format dxfId="150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5"/>
            <x v="23"/>
          </reference>
        </references>
      </pivotArea>
    </format>
    <format dxfId="149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9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15"/>
            <x v="21"/>
            <x v="22"/>
            <x v="25"/>
          </reference>
        </references>
      </pivotArea>
    </format>
    <format dxfId="149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21"/>
            <x v="23"/>
          </reference>
        </references>
      </pivotArea>
    </format>
    <format dxfId="149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5"/>
          </reference>
        </references>
      </pivotArea>
    </format>
    <format dxfId="149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4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9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21" count="1" selected="0">
            <x v="1"/>
          </reference>
          <reference field="25" count="3">
            <x v="15"/>
            <x v="21"/>
            <x v="23"/>
          </reference>
        </references>
      </pivotArea>
    </format>
    <format dxfId="149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9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21"/>
          </reference>
        </references>
      </pivotArea>
    </format>
    <format dxfId="149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9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5"/>
          </reference>
        </references>
      </pivotArea>
    </format>
    <format dxfId="148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8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21" count="1" selected="0">
            <x v="1"/>
          </reference>
          <reference field="25" count="4">
            <x v="15"/>
            <x v="20"/>
            <x v="21"/>
            <x v="23"/>
          </reference>
        </references>
      </pivotArea>
    </format>
    <format dxfId="148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4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17"/>
          </reference>
        </references>
      </pivotArea>
    </format>
    <format dxfId="148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8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15"/>
            <x v="17"/>
          </reference>
        </references>
      </pivotArea>
    </format>
    <format dxfId="148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8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21" count="1" selected="0">
            <x v="1"/>
          </reference>
          <reference field="25" count="3">
            <x v="15"/>
            <x v="17"/>
            <x v="21"/>
          </reference>
        </references>
      </pivotArea>
    </format>
    <format dxfId="1482">
      <pivotArea dataOnly="0" labelOnly="1" outline="0" fieldPosition="0">
        <references count="8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81">
      <pivotArea dataOnly="0" labelOnly="1" outline="0" fieldPosition="0">
        <references count="8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2"/>
          </reference>
        </references>
      </pivotArea>
    </format>
    <format dxfId="1480">
      <pivotArea dataOnly="0" labelOnly="1" outline="0" fieldPosition="0">
        <references count="8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1479">
      <pivotArea dataOnly="0" labelOnly="1" outline="0" fieldPosition="0">
        <references count="8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20"/>
          </reference>
        </references>
      </pivotArea>
    </format>
    <format dxfId="147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29">
            <x v="2"/>
            <x v="69"/>
            <x v="75"/>
            <x v="93"/>
            <x v="219"/>
            <x v="348"/>
            <x v="377"/>
            <x v="390"/>
            <x v="438"/>
            <x v="444"/>
            <x v="467"/>
            <x v="470"/>
            <x v="471"/>
            <x v="518"/>
            <x v="524"/>
            <x v="606"/>
            <x v="704"/>
            <x v="757"/>
            <x v="765"/>
            <x v="779"/>
            <x v="847"/>
            <x v="851"/>
            <x v="875"/>
            <x v="882"/>
            <x v="901"/>
            <x v="926"/>
            <x v="941"/>
            <x v="959"/>
            <x v="99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7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7"/>
          </reference>
          <reference field="5" count="1" selected="0">
            <x v="25"/>
          </reference>
          <reference field="11" count="1">
            <x v="264"/>
          </reference>
          <reference field="21" count="1" selected="0">
            <x v="1"/>
          </reference>
          <reference field="25" count="1" selected="0">
            <x v="9"/>
          </reference>
        </references>
      </pivotArea>
    </format>
    <format dxfId="147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25"/>
          </reference>
          <reference field="11" count="3">
            <x v="256"/>
            <x v="271"/>
            <x v="44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7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11" count="3">
            <x v="174"/>
            <x v="231"/>
            <x v="85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7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55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47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4">
            <x v="146"/>
            <x v="301"/>
            <x v="370"/>
            <x v="480"/>
            <x v="486"/>
            <x v="596"/>
            <x v="599"/>
            <x v="610"/>
            <x v="646"/>
            <x v="666"/>
            <x v="680"/>
            <x v="809"/>
            <x v="917"/>
            <x v="94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7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>
            <x v="491"/>
          </reference>
          <reference field="21" count="1" selected="0">
            <x v="1"/>
          </reference>
          <reference field="25" count="1" selected="0">
            <x v="4"/>
          </reference>
        </references>
      </pivotArea>
    </format>
    <format dxfId="147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2">
            <x v="132"/>
            <x v="645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7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4">
            <x v="285"/>
            <x v="415"/>
            <x v="510"/>
            <x v="899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6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>
            <x v="642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46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0">
            <x v="164"/>
            <x v="176"/>
            <x v="334"/>
            <x v="411"/>
            <x v="498"/>
            <x v="605"/>
            <x v="796"/>
            <x v="830"/>
            <x v="843"/>
            <x v="1008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6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>
            <x v="574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6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3">
            <x v="152"/>
            <x v="206"/>
            <x v="910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6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>
            <x v="291"/>
          </reference>
          <reference field="21" count="1" selected="0">
            <x v="1"/>
          </reference>
          <reference field="25" count="1" selected="0">
            <x v="9"/>
          </reference>
        </references>
      </pivotArea>
    </format>
    <format dxfId="146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2">
            <x v="72"/>
            <x v="814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46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>
            <x v="966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6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5">
            <x v="35"/>
            <x v="88"/>
            <x v="318"/>
            <x v="519"/>
            <x v="100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6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>
            <x v="39"/>
          </reference>
          <reference field="21" count="1" selected="0">
            <x v="1"/>
          </reference>
          <reference field="25" count="1" selected="0">
            <x v="2"/>
          </reference>
        </references>
      </pivotArea>
    </format>
    <format dxfId="146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2">
            <x v="395"/>
            <x v="563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5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>
            <x v="137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5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>
            <x v="179"/>
          </reference>
          <reference field="21" count="1" selected="0">
            <x v="1"/>
          </reference>
          <reference field="25" count="1" selected="0">
            <x v="9"/>
          </reference>
        </references>
      </pivotArea>
    </format>
    <format dxfId="145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6">
            <x v="68"/>
            <x v="97"/>
            <x v="172"/>
            <x v="402"/>
            <x v="718"/>
            <x v="87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5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2">
            <x v="163"/>
            <x v="502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45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4">
            <x v="127"/>
            <x v="246"/>
            <x v="618"/>
            <x v="682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5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>
            <x v="543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5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3">
            <x v="482"/>
            <x v="499"/>
            <x v="886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45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>
            <x v="154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5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6">
            <x v="205"/>
            <x v="282"/>
            <x v="373"/>
            <x v="667"/>
            <x v="943"/>
            <x v="979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5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>
            <x v="632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4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>
            <x v="1010"/>
          </reference>
          <reference field="21" count="1" selected="0">
            <x v="1"/>
          </reference>
          <reference field="25" count="1" selected="0">
            <x v="9"/>
          </reference>
        </references>
      </pivotArea>
    </format>
    <format dxfId="144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>
            <x v="169"/>
          </reference>
          <reference field="21" count="1" selected="0">
            <x v="1"/>
          </reference>
          <reference field="25" count="1" selected="0">
            <x v="12"/>
          </reference>
        </references>
      </pivotArea>
    </format>
    <format dxfId="144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4">
            <x v="392"/>
            <x v="485"/>
            <x v="490"/>
            <x v="987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4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>
            <x v="984"/>
          </reference>
          <reference field="21" count="1" selected="0">
            <x v="1"/>
          </reference>
          <reference field="25" count="1" selected="0">
            <x v="19"/>
          </reference>
        </references>
      </pivotArea>
    </format>
    <format dxfId="144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>
            <x v="582"/>
          </reference>
          <reference field="21" count="1" selected="0">
            <x v="1"/>
          </reference>
          <reference field="25" count="1" selected="0">
            <x v="24"/>
          </reference>
        </references>
      </pivotArea>
    </format>
    <format dxfId="144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>
            <x v="629"/>
          </reference>
          <reference field="21" count="1" selected="0">
            <x v="1"/>
          </reference>
          <reference field="25" count="1" selected="0">
            <x v="26"/>
          </reference>
        </references>
      </pivotArea>
    </format>
    <format dxfId="144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2">
            <x v="1018"/>
            <x v="102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4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>
            <x v="962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44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3">
            <x v="60"/>
            <x v="238"/>
            <x v="247"/>
            <x v="316"/>
            <x v="350"/>
            <x v="489"/>
            <x v="526"/>
            <x v="530"/>
            <x v="633"/>
            <x v="649"/>
            <x v="789"/>
            <x v="808"/>
            <x v="929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440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>
            <x v="3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39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>
            <x v="36"/>
          </reference>
          <reference field="21" count="1" selected="0">
            <x v="1"/>
          </reference>
          <reference field="25" count="1" selected="0">
            <x v="2"/>
          </reference>
        </references>
      </pivotArea>
    </format>
    <format dxfId="1438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2">
            <x v="872"/>
            <x v="940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37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>
            <x v="561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36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3"/>
          </reference>
          <reference field="11" count="1">
            <x v="61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35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1">
            <x v="254"/>
            <x v="277"/>
            <x v="487"/>
            <x v="542"/>
            <x v="551"/>
            <x v="595"/>
            <x v="644"/>
            <x v="743"/>
            <x v="802"/>
            <x v="824"/>
            <x v="94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34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3">
            <x v="255"/>
            <x v="335"/>
            <x v="823"/>
          </reference>
          <reference field="21" count="1" selected="0">
            <x v="1"/>
          </reference>
          <reference field="25" count="1" selected="0">
            <x v="1"/>
          </reference>
        </references>
      </pivotArea>
    </format>
    <format dxfId="1433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>
            <x v="536"/>
          </reference>
          <reference field="21" count="1" selected="0">
            <x v="1"/>
          </reference>
          <reference field="25" count="1" selected="0">
            <x v="2"/>
          </reference>
        </references>
      </pivotArea>
    </format>
    <format dxfId="1432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>
            <x v="461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31">
      <pivotArea dataOnly="0" labelOnly="1" outline="0" fieldPosition="0">
        <references count="9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>
            <x v="9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51"/>
          </reference>
          <reference field="5" count="1" selected="0">
            <x v="25"/>
          </reference>
          <reference field="11" count="1">
            <x v="881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2">
            <x v="7"/>
            <x v="66"/>
            <x v="534"/>
            <x v="540"/>
            <x v="619"/>
            <x v="656"/>
            <x v="661"/>
            <x v="760"/>
            <x v="766"/>
            <x v="835"/>
            <x v="840"/>
            <x v="103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591"/>
          </reference>
          <reference field="21" count="1" selected="0">
            <x v="2"/>
          </reference>
          <reference field="25" count="1" selected="0">
            <x v="26"/>
          </reference>
        </references>
      </pivotArea>
    </format>
    <format dxfId="14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6">
            <x v="86"/>
            <x v="259"/>
            <x v="261"/>
            <x v="323"/>
            <x v="497"/>
            <x v="97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>
            <x v="378"/>
          </reference>
          <reference field="21" count="1" selected="0">
            <x v="1"/>
          </reference>
          <reference field="25" count="1" selected="0">
            <x v="3"/>
          </reference>
        </references>
      </pivotArea>
    </format>
    <format dxfId="14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9">
            <x v="19"/>
            <x v="24"/>
            <x v="233"/>
            <x v="281"/>
            <x v="414"/>
            <x v="545"/>
            <x v="603"/>
            <x v="612"/>
            <x v="97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25"/>
          </reference>
          <reference field="11" count="5">
            <x v="225"/>
            <x v="734"/>
            <x v="816"/>
            <x v="938"/>
            <x v="971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4">
            <x v="109"/>
            <x v="155"/>
            <x v="183"/>
            <x v="304"/>
            <x v="322"/>
            <x v="391"/>
            <x v="410"/>
            <x v="433"/>
            <x v="492"/>
            <x v="528"/>
            <x v="537"/>
            <x v="695"/>
            <x v="719"/>
            <x v="73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2">
            <x v="352"/>
            <x v="586"/>
          </reference>
          <reference field="21" count="1" selected="0">
            <x v="1"/>
          </reference>
          <reference field="25" count="1" selected="0">
            <x v="6"/>
          </reference>
        </references>
      </pivotArea>
    </format>
    <format dxfId="14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4">
            <x v="315"/>
            <x v="643"/>
            <x v="793"/>
            <x v="918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4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5" count="1" selected="0">
            <x v="25"/>
          </reference>
          <reference field="11" count="3">
            <x v="201"/>
            <x v="313"/>
            <x v="77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9">
            <x v="98"/>
            <x v="160"/>
            <x v="453"/>
            <x v="463"/>
            <x v="544"/>
            <x v="621"/>
            <x v="715"/>
            <x v="889"/>
            <x v="1019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496"/>
          </reference>
          <reference field="21" count="1" selected="0">
            <x v="1"/>
          </reference>
          <reference field="25" count="1" selected="0">
            <x v="1"/>
          </reference>
        </references>
      </pivotArea>
    </format>
    <format dxfId="14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202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477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5"/>
          </reference>
          <reference field="5" count="1" selected="0">
            <x v="25"/>
          </reference>
          <reference field="11" count="1">
            <x v="353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6"/>
          </reference>
          <reference field="5" count="1" selected="0">
            <x v="6"/>
          </reference>
          <reference field="11" count="1">
            <x v="1011"/>
          </reference>
          <reference field="21" count="1" selected="0">
            <x v="1"/>
          </reference>
          <reference field="25" count="1" selected="0">
            <x v="3"/>
          </reference>
        </references>
      </pivotArea>
    </format>
    <format dxfId="14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0"/>
          </reference>
          <reference field="5" count="1" selected="0">
            <x v="25"/>
          </reference>
          <reference field="11" count="1">
            <x v="1024"/>
          </reference>
          <reference field="21" count="1" selected="0">
            <x v="1"/>
          </reference>
          <reference field="25" count="1" selected="0">
            <x v="4"/>
          </reference>
        </references>
      </pivotArea>
    </format>
    <format dxfId="14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1"/>
          </reference>
          <reference field="5" count="1" selected="0">
            <x v="25"/>
          </reference>
          <reference field="11" count="1">
            <x v="479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4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24">
            <x v="0"/>
            <x v="33"/>
            <x v="52"/>
            <x v="184"/>
            <x v="196"/>
            <x v="209"/>
            <x v="243"/>
            <x v="296"/>
            <x v="298"/>
            <x v="552"/>
            <x v="553"/>
            <x v="573"/>
            <x v="628"/>
            <x v="635"/>
            <x v="640"/>
            <x v="647"/>
            <x v="679"/>
            <x v="810"/>
            <x v="859"/>
            <x v="988"/>
            <x v="1003"/>
            <x v="1004"/>
            <x v="1015"/>
            <x v="102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50">
            <x v="16"/>
            <x v="18"/>
            <x v="46"/>
            <x v="47"/>
            <x v="48"/>
            <x v="50"/>
            <x v="59"/>
            <x v="84"/>
            <x v="91"/>
            <x v="100"/>
            <x v="105"/>
            <x v="115"/>
            <x v="117"/>
            <x v="121"/>
            <x v="125"/>
            <x v="126"/>
            <x v="129"/>
            <x v="136"/>
            <x v="139"/>
            <x v="140"/>
            <x v="142"/>
            <x v="147"/>
            <x v="156"/>
            <x v="161"/>
            <x v="165"/>
            <x v="187"/>
            <x v="197"/>
            <x v="199"/>
            <x v="215"/>
            <x v="218"/>
            <x v="226"/>
            <x v="234"/>
            <x v="249"/>
            <x v="252"/>
            <x v="253"/>
            <x v="272"/>
            <x v="273"/>
            <x v="283"/>
            <x v="297"/>
            <x v="300"/>
            <x v="303"/>
            <x v="308"/>
            <x v="310"/>
            <x v="317"/>
            <x v="329"/>
            <x v="331"/>
            <x v="341"/>
            <x v="346"/>
            <x v="365"/>
            <x v="380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50">
            <x v="396"/>
            <x v="401"/>
            <x v="409"/>
            <x v="417"/>
            <x v="418"/>
            <x v="426"/>
            <x v="427"/>
            <x v="441"/>
            <x v="476"/>
            <x v="503"/>
            <x v="504"/>
            <x v="507"/>
            <x v="511"/>
            <x v="516"/>
            <x v="523"/>
            <x v="527"/>
            <x v="529"/>
            <x v="538"/>
            <x v="541"/>
            <x v="546"/>
            <x v="547"/>
            <x v="548"/>
            <x v="555"/>
            <x v="564"/>
            <x v="566"/>
            <x v="567"/>
            <x v="581"/>
            <x v="583"/>
            <x v="585"/>
            <x v="592"/>
            <x v="601"/>
            <x v="613"/>
            <x v="634"/>
            <x v="641"/>
            <x v="652"/>
            <x v="653"/>
            <x v="663"/>
            <x v="675"/>
            <x v="677"/>
            <x v="696"/>
            <x v="697"/>
            <x v="698"/>
            <x v="701"/>
            <x v="712"/>
            <x v="713"/>
            <x v="717"/>
            <x v="728"/>
            <x v="738"/>
            <x v="739"/>
            <x v="742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40">
            <x v="755"/>
            <x v="773"/>
            <x v="774"/>
            <x v="775"/>
            <x v="791"/>
            <x v="807"/>
            <x v="813"/>
            <x v="826"/>
            <x v="833"/>
            <x v="834"/>
            <x v="841"/>
            <x v="853"/>
            <x v="854"/>
            <x v="862"/>
            <x v="866"/>
            <x v="870"/>
            <x v="873"/>
            <x v="880"/>
            <x v="887"/>
            <x v="888"/>
            <x v="893"/>
            <x v="906"/>
            <x v="911"/>
            <x v="912"/>
            <x v="914"/>
            <x v="924"/>
            <x v="933"/>
            <x v="939"/>
            <x v="944"/>
            <x v="946"/>
            <x v="948"/>
            <x v="952"/>
            <x v="965"/>
            <x v="968"/>
            <x v="982"/>
            <x v="986"/>
            <x v="994"/>
            <x v="997"/>
            <x v="1009"/>
            <x v="1029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4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>
            <x v="112"/>
          </reference>
          <reference field="21" count="1" selected="0">
            <x v="1"/>
          </reference>
          <reference field="25" count="1" selected="0">
            <x v="1"/>
          </reference>
        </references>
      </pivotArea>
    </format>
    <format dxfId="14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3">
            <x v="593"/>
            <x v="607"/>
            <x v="1032"/>
          </reference>
          <reference field="21" count="1" selected="0">
            <x v="1"/>
          </reference>
          <reference field="25" count="1" selected="0">
            <x v="2"/>
          </reference>
        </references>
      </pivotArea>
    </format>
    <format dxfId="14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4">
            <x v="306"/>
            <x v="763"/>
            <x v="838"/>
            <x v="961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4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0">
            <x v="26"/>
            <x v="102"/>
            <x v="103"/>
            <x v="244"/>
            <x v="403"/>
            <x v="407"/>
            <x v="637"/>
            <x v="768"/>
            <x v="781"/>
            <x v="1030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4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2">
            <x v="782"/>
            <x v="1000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4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4">
            <x v="217"/>
            <x v="351"/>
            <x v="517"/>
            <x v="535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4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2">
            <x v="617"/>
            <x v="964"/>
          </reference>
          <reference field="21" count="1" selected="0">
            <x v="1"/>
          </reference>
          <reference field="25" count="1" selected="0">
            <x v="18"/>
          </reference>
        </references>
      </pivotArea>
    </format>
    <format dxfId="14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3">
            <x v="17"/>
            <x v="357"/>
            <x v="999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3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>
            <x v="572"/>
          </reference>
          <reference field="21" count="1" selected="0">
            <x v="1"/>
          </reference>
          <reference field="25" count="1" selected="0">
            <x v="22"/>
          </reference>
        </references>
      </pivotArea>
    </format>
    <format dxfId="13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25">
            <x v="10"/>
            <x v="23"/>
            <x v="57"/>
            <x v="150"/>
            <x v="180"/>
            <x v="189"/>
            <x v="227"/>
            <x v="339"/>
            <x v="356"/>
            <x v="379"/>
            <x v="494"/>
            <x v="562"/>
            <x v="575"/>
            <x v="631"/>
            <x v="662"/>
            <x v="684"/>
            <x v="705"/>
            <x v="770"/>
            <x v="777"/>
            <x v="811"/>
            <x v="848"/>
            <x v="865"/>
            <x v="957"/>
            <x v="970"/>
            <x v="97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28">
            <x v="87"/>
            <x v="116"/>
            <x v="118"/>
            <x v="122"/>
            <x v="128"/>
            <x v="178"/>
            <x v="265"/>
            <x v="284"/>
            <x v="383"/>
            <x v="456"/>
            <x v="550"/>
            <x v="580"/>
            <x v="622"/>
            <x v="654"/>
            <x v="664"/>
            <x v="699"/>
            <x v="700"/>
            <x v="706"/>
            <x v="708"/>
            <x v="714"/>
            <x v="771"/>
            <x v="794"/>
            <x v="839"/>
            <x v="878"/>
            <x v="897"/>
            <x v="908"/>
            <x v="935"/>
            <x v="100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885"/>
          </reference>
          <reference field="21" count="1" selected="0">
            <x v="1"/>
          </reference>
          <reference field="25" count="1" selected="0">
            <x v="1"/>
          </reference>
        </references>
      </pivotArea>
    </format>
    <format dxfId="13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740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3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3">
            <x v="166"/>
            <x v="928"/>
            <x v="103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2">
            <x v="495"/>
            <x v="691"/>
          </reference>
          <reference field="21" count="1" selected="0">
            <x v="2"/>
          </reference>
          <reference field="25" count="1" selected="0">
            <x v="26"/>
          </reference>
        </references>
      </pivotArea>
    </format>
    <format dxfId="13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"/>
          </reference>
          <reference field="5" count="1" selected="0">
            <x v="25"/>
          </reference>
          <reference field="11" count="2">
            <x v="230"/>
            <x v="400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6">
            <x v="320"/>
            <x v="326"/>
            <x v="597"/>
            <x v="630"/>
            <x v="861"/>
            <x v="89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>
            <x v="820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3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21">
            <x v="82"/>
            <x v="177"/>
            <x v="338"/>
            <x v="355"/>
            <x v="358"/>
            <x v="385"/>
            <x v="398"/>
            <x v="413"/>
            <x v="459"/>
            <x v="638"/>
            <x v="674"/>
            <x v="678"/>
            <x v="692"/>
            <x v="703"/>
            <x v="800"/>
            <x v="876"/>
            <x v="896"/>
            <x v="909"/>
            <x v="932"/>
            <x v="991"/>
            <x v="101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522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3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845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3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89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3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5">
            <x v="22"/>
            <x v="28"/>
            <x v="405"/>
            <x v="693"/>
            <x v="761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>
            <x v="200"/>
          </reference>
          <reference field="21" count="1" selected="0">
            <x v="1"/>
          </reference>
          <reference field="25" count="1" selected="0">
            <x v="0"/>
          </reference>
        </references>
      </pivotArea>
    </format>
    <format dxfId="13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7">
            <x v="27"/>
            <x v="92"/>
            <x v="181"/>
            <x v="198"/>
            <x v="242"/>
            <x v="560"/>
            <x v="936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8">
            <x v="1"/>
            <x v="188"/>
            <x v="240"/>
            <x v="432"/>
            <x v="506"/>
            <x v="532"/>
            <x v="785"/>
            <x v="91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>
            <x v="871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3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11" count="1">
            <x v="62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11" count="2">
            <x v="170"/>
            <x v="972"/>
          </reference>
          <reference field="21" count="1" selected="0">
            <x v="1"/>
          </reference>
          <reference field="25" count="1" selected="0">
            <x v="26"/>
          </reference>
        </references>
      </pivotArea>
    </format>
    <format dxfId="13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11" count="3">
            <x v="598"/>
            <x v="815"/>
            <x v="879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11" count="1">
            <x v="937"/>
          </reference>
          <reference field="21" count="1" selected="0">
            <x v="1"/>
          </reference>
          <reference field="25" count="1" selected="0">
            <x v="9"/>
          </reference>
        </references>
      </pivotArea>
    </format>
    <format dxfId="13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8">
            <x v="30"/>
            <x v="153"/>
            <x v="602"/>
            <x v="660"/>
            <x v="772"/>
            <x v="892"/>
            <x v="925"/>
            <x v="951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7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>
            <x v="512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37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>
            <x v="107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37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7">
            <x v="64"/>
            <x v="194"/>
            <x v="374"/>
            <x v="434"/>
            <x v="488"/>
            <x v="533"/>
            <x v="868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7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7">
            <x v="14"/>
            <x v="590"/>
            <x v="724"/>
            <x v="869"/>
            <x v="884"/>
            <x v="978"/>
            <x v="1002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7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>
            <x v="568"/>
          </reference>
          <reference field="21" count="1" selected="0">
            <x v="1"/>
          </reference>
          <reference field="25" count="1" selected="0">
            <x v="10"/>
          </reference>
        </references>
      </pivotArea>
    </format>
    <format dxfId="137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1">
            <x v="5"/>
            <x v="62"/>
            <x v="214"/>
            <x v="443"/>
            <x v="448"/>
            <x v="589"/>
            <x v="615"/>
            <x v="639"/>
            <x v="922"/>
            <x v="963"/>
            <x v="98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6"/>
          </reference>
          <reference field="11" count="4">
            <x v="171"/>
            <x v="710"/>
            <x v="822"/>
            <x v="842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11" count="3">
            <x v="211"/>
            <x v="220"/>
            <x v="570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11" count="1">
            <x v="756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36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23">
            <x v="113"/>
            <x v="149"/>
            <x v="185"/>
            <x v="192"/>
            <x v="258"/>
            <x v="279"/>
            <x v="289"/>
            <x v="372"/>
            <x v="381"/>
            <x v="382"/>
            <x v="388"/>
            <x v="429"/>
            <x v="454"/>
            <x v="481"/>
            <x v="554"/>
            <x v="655"/>
            <x v="721"/>
            <x v="731"/>
            <x v="753"/>
            <x v="983"/>
            <x v="989"/>
            <x v="1012"/>
            <x v="1028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0"/>
          </reference>
          <reference field="11" count="1">
            <x v="795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36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5"/>
          </reference>
          <reference field="11" count="3">
            <x v="325"/>
            <x v="416"/>
            <x v="46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10"/>
          </reference>
          <reference field="11" count="1">
            <x v="42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1"/>
          </reference>
          <reference field="11" count="2">
            <x v="40"/>
            <x v="78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25">
            <x v="56"/>
            <x v="106"/>
            <x v="145"/>
            <x v="208"/>
            <x v="229"/>
            <x v="236"/>
            <x v="330"/>
            <x v="404"/>
            <x v="436"/>
            <x v="500"/>
            <x v="515"/>
            <x v="520"/>
            <x v="521"/>
            <x v="611"/>
            <x v="636"/>
            <x v="676"/>
            <x v="750"/>
            <x v="778"/>
            <x v="818"/>
            <x v="819"/>
            <x v="831"/>
            <x v="864"/>
            <x v="907"/>
            <x v="969"/>
            <x v="1031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6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9">
            <x v="32"/>
            <x v="94"/>
            <x v="207"/>
            <x v="222"/>
            <x v="287"/>
            <x v="439"/>
            <x v="525"/>
            <x v="559"/>
            <x v="709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5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>
            <x v="624"/>
          </reference>
          <reference field="21" count="1" selected="0">
            <x v="1"/>
          </reference>
          <reference field="25" count="1" selected="0">
            <x v="2"/>
          </reference>
        </references>
      </pivotArea>
    </format>
    <format dxfId="135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2">
            <x v="133"/>
            <x v="934"/>
          </reference>
          <reference field="21" count="1" selected="0">
            <x v="1"/>
          </reference>
          <reference field="25" count="1" selected="0">
            <x v="5"/>
          </reference>
        </references>
      </pivotArea>
    </format>
    <format dxfId="135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2">
            <x v="767"/>
            <x v="977"/>
          </reference>
          <reference field="21" count="1" selected="0">
            <x v="1"/>
          </reference>
          <reference field="25" count="1" selected="0">
            <x v="9"/>
          </reference>
        </references>
      </pivotArea>
    </format>
    <format dxfId="135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>
            <x v="736"/>
          </reference>
          <reference field="21" count="1" selected="0">
            <x v="1"/>
          </reference>
          <reference field="25" count="1" selected="0">
            <x v="10"/>
          </reference>
        </references>
      </pivotArea>
    </format>
    <format dxfId="135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2">
            <x v="158"/>
            <x v="299"/>
          </reference>
          <reference field="21" count="1" selected="0">
            <x v="1"/>
          </reference>
          <reference field="25" count="1" selected="0">
            <x v="14"/>
          </reference>
        </references>
      </pivotArea>
    </format>
    <format dxfId="135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>
            <x v="104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35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>
            <x v="792"/>
          </reference>
          <reference field="21" count="1" selected="0">
            <x v="1"/>
          </reference>
          <reference field="25" count="1" selected="0">
            <x v="18"/>
          </reference>
        </references>
      </pivotArea>
    </format>
    <format dxfId="135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>
            <x v="292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35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2">
            <x v="267"/>
            <x v="44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5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1">
            <x v="687"/>
          </reference>
          <reference field="21" count="1" selected="0">
            <x v="1"/>
          </reference>
          <reference field="25" count="1" selected="0">
            <x v="7"/>
          </reference>
        </references>
      </pivotArea>
    </format>
    <format dxfId="134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1">
            <x v="462"/>
          </reference>
          <reference field="21" count="1" selected="0">
            <x v="1"/>
          </reference>
          <reference field="25" count="1" selected="0">
            <x v="26"/>
          </reference>
        </references>
      </pivotArea>
    </format>
    <format dxfId="134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32">
            <x v="15"/>
            <x v="31"/>
            <x v="44"/>
            <x v="71"/>
            <x v="83"/>
            <x v="99"/>
            <x v="159"/>
            <x v="223"/>
            <x v="280"/>
            <x v="290"/>
            <x v="293"/>
            <x v="302"/>
            <x v="343"/>
            <x v="347"/>
            <x v="354"/>
            <x v="361"/>
            <x v="366"/>
            <x v="397"/>
            <x v="445"/>
            <x v="464"/>
            <x v="473"/>
            <x v="576"/>
            <x v="623"/>
            <x v="694"/>
            <x v="821"/>
            <x v="840"/>
            <x v="855"/>
            <x v="860"/>
            <x v="891"/>
            <x v="942"/>
            <x v="981"/>
            <x v="102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4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2">
            <x v="45"/>
            <x v="262"/>
          </reference>
          <reference field="21" count="1" selected="0">
            <x v="1"/>
          </reference>
          <reference field="25" count="1" selected="0">
            <x v="1"/>
          </reference>
        </references>
      </pivotArea>
    </format>
    <format dxfId="134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>
            <x v="25"/>
          </reference>
          <reference field="21" count="1" selected="0">
            <x v="1"/>
          </reference>
          <reference field="25" count="1" selected="0">
            <x v="16"/>
          </reference>
        </references>
      </pivotArea>
    </format>
    <format dxfId="134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5" count="1" selected="0">
            <x v="25"/>
          </reference>
          <reference field="11" count="2">
            <x v="162"/>
            <x v="191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4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>
            <x v="475"/>
          </reference>
          <reference field="21" count="1" selected="0">
            <x v="1"/>
          </reference>
          <reference field="25" count="1" selected="0">
            <x v="8"/>
          </reference>
        </references>
      </pivotArea>
    </format>
    <format dxfId="134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2">
            <x v="976"/>
            <x v="990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4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>
            <x v="474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34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>
            <x v="803"/>
          </reference>
          <reference field="21" count="1" selected="0">
            <x v="1"/>
          </reference>
          <reference field="25" count="1" selected="0">
            <x v="23"/>
          </reference>
        </references>
      </pivotArea>
    </format>
    <format dxfId="134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"/>
          </reference>
          <reference field="5" count="1" selected="0">
            <x v="25"/>
          </reference>
          <reference field="11" count="1">
            <x v="101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3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11" count="1">
            <x v="844"/>
          </reference>
          <reference field="21" count="1" selected="0">
            <x v="1"/>
          </reference>
          <reference field="25" count="1" selected="0">
            <x v="6"/>
          </reference>
        </references>
      </pivotArea>
    </format>
    <format dxfId="133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11" count="2">
            <x v="21"/>
            <x v="509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3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11" count="2">
            <x v="37"/>
            <x v="26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3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11" count="1">
            <x v="65"/>
          </reference>
          <reference field="21" count="1" selected="0">
            <x v="1"/>
          </reference>
          <reference field="25" count="1" selected="0">
            <x v="11"/>
          </reference>
        </references>
      </pivotArea>
    </format>
    <format dxfId="133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7"/>
          </reference>
          <reference field="5" count="1" selected="0">
            <x v="25"/>
          </reference>
          <reference field="11" count="2">
            <x v="228"/>
            <x v="458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33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>
            <x v="73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3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4">
            <x v="11"/>
            <x v="12"/>
            <x v="455"/>
            <x v="579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3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2">
            <x v="29"/>
            <x v="190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33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>
            <x v="784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33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4">
            <x v="76"/>
            <x v="141"/>
            <x v="577"/>
            <x v="95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2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2">
            <x v="216"/>
            <x v="294"/>
          </reference>
          <reference field="21" count="1" selected="0">
            <x v="1"/>
          </reference>
          <reference field="25" count="1" selected="0">
            <x v="13"/>
          </reference>
        </references>
      </pivotArea>
    </format>
    <format dxfId="132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5">
            <x v="53"/>
            <x v="143"/>
            <x v="419"/>
            <x v="539"/>
            <x v="726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2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23">
            <x v="90"/>
            <x v="186"/>
            <x v="224"/>
            <x v="232"/>
            <x v="248"/>
            <x v="268"/>
            <x v="307"/>
            <x v="328"/>
            <x v="437"/>
            <x v="549"/>
            <x v="569"/>
            <x v="604"/>
            <x v="608"/>
            <x v="627"/>
            <x v="648"/>
            <x v="672"/>
            <x v="720"/>
            <x v="733"/>
            <x v="769"/>
            <x v="804"/>
            <x v="900"/>
            <x v="905"/>
            <x v="992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2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5" count="1" selected="0">
            <x v="25"/>
          </reference>
          <reference field="11" count="1">
            <x v="797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2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5" count="1" selected="0">
            <x v="25"/>
          </reference>
          <reference field="11" count="1">
            <x v="204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32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20">
            <x v="54"/>
            <x v="80"/>
            <x v="144"/>
            <x v="275"/>
            <x v="327"/>
            <x v="367"/>
            <x v="420"/>
            <x v="422"/>
            <x v="423"/>
            <x v="501"/>
            <x v="557"/>
            <x v="558"/>
            <x v="565"/>
            <x v="658"/>
            <x v="683"/>
            <x v="727"/>
            <x v="805"/>
            <x v="825"/>
            <x v="828"/>
            <x v="92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2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0">
            <x v="4"/>
            <x v="13"/>
            <x v="42"/>
            <x v="67"/>
            <x v="193"/>
            <x v="311"/>
            <x v="609"/>
            <x v="702"/>
            <x v="746"/>
            <x v="91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2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>
            <x v="478"/>
          </reference>
          <reference field="21" count="1" selected="0">
            <x v="1"/>
          </reference>
          <reference field="25" count="1" selected="0">
            <x v="6"/>
          </reference>
        </references>
      </pivotArea>
    </format>
    <format dxfId="132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>
            <x v="867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2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2">
            <x v="101"/>
            <x v="980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31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>
            <x v="993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31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11" count="4">
            <x v="173"/>
            <x v="250"/>
            <x v="295"/>
            <x v="799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1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25">
            <x v="20"/>
            <x v="63"/>
            <x v="96"/>
            <x v="138"/>
            <x v="148"/>
            <x v="151"/>
            <x v="175"/>
            <x v="195"/>
            <x v="270"/>
            <x v="286"/>
            <x v="344"/>
            <x v="349"/>
            <x v="387"/>
            <x v="406"/>
            <x v="671"/>
            <x v="681"/>
            <x v="689"/>
            <x v="690"/>
            <x v="707"/>
            <x v="741"/>
            <x v="748"/>
            <x v="849"/>
            <x v="850"/>
            <x v="902"/>
            <x v="931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1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2">
            <x v="237"/>
            <x v="930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1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6">
            <x v="3"/>
            <x v="6"/>
            <x v="440"/>
            <x v="442"/>
            <x v="711"/>
            <x v="758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31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2">
            <x v="428"/>
            <x v="916"/>
          </reference>
          <reference field="21" count="1" selected="0">
            <x v="1"/>
          </reference>
          <reference field="25" count="1" selected="0">
            <x v="23"/>
          </reference>
        </references>
      </pivotArea>
    </format>
    <format dxfId="131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2">
            <x v="431"/>
            <x v="483"/>
          </reference>
          <reference field="21" count="1" selected="0">
            <x v="1"/>
          </reference>
          <reference field="25" count="1" selected="0">
            <x v="25"/>
          </reference>
        </references>
      </pivotArea>
    </format>
    <format dxfId="131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4">
            <x v="571"/>
            <x v="659"/>
            <x v="747"/>
            <x v="920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1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1">
            <x v="827"/>
          </reference>
          <reference field="21" count="1" selected="0">
            <x v="1"/>
          </reference>
          <reference field="25" count="1" selected="0">
            <x v="25"/>
          </reference>
        </references>
      </pivotArea>
    </format>
    <format dxfId="131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8"/>
          </reference>
          <reference field="5" count="1" selected="0">
            <x v="25"/>
          </reference>
          <reference field="11" count="2">
            <x v="81"/>
            <x v="685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0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9"/>
          </reference>
          <reference field="5" count="1" selected="0">
            <x v="25"/>
          </reference>
          <reference field="11" count="1">
            <x v="251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30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5" count="1" selected="0">
            <x v="25"/>
          </reference>
          <reference field="11" count="1">
            <x v="450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0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5" count="1" selected="0">
            <x v="25"/>
          </reference>
          <reference field="11" count="1">
            <x v="686"/>
          </reference>
          <reference field="21" count="1" selected="0">
            <x v="1"/>
          </reference>
          <reference field="25" count="1" selected="0">
            <x v="23"/>
          </reference>
        </references>
      </pivotArea>
    </format>
    <format dxfId="130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7">
            <x v="61"/>
            <x v="95"/>
            <x v="123"/>
            <x v="203"/>
            <x v="278"/>
            <x v="587"/>
            <x v="651"/>
            <x v="729"/>
            <x v="730"/>
            <x v="762"/>
            <x v="788"/>
            <x v="817"/>
            <x v="836"/>
            <x v="883"/>
            <x v="960"/>
            <x v="1025"/>
            <x v="103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30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0">
            <x v="79"/>
            <x v="312"/>
            <x v="376"/>
            <x v="460"/>
            <x v="588"/>
            <x v="616"/>
            <x v="949"/>
            <x v="954"/>
            <x v="1021"/>
            <x v="1022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30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2">
            <x v="584"/>
            <x v="745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30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>
            <x v="744"/>
          </reference>
          <reference field="21" count="1" selected="0">
            <x v="1"/>
          </reference>
          <reference field="25" count="1" selected="0">
            <x v="22"/>
          </reference>
        </references>
      </pivotArea>
    </format>
    <format dxfId="130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2">
            <x v="408"/>
            <x v="668"/>
          </reference>
          <reference field="21" count="1" selected="0">
            <x v="1"/>
          </reference>
          <reference field="25" count="1" selected="0">
            <x v="25"/>
          </reference>
        </references>
      </pivotArea>
    </format>
    <format dxfId="130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5" count="1" selected="0">
            <x v="25"/>
          </reference>
          <reference field="11" count="1">
            <x v="51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30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5" count="1" selected="0">
            <x v="25"/>
          </reference>
          <reference field="11" count="1">
            <x v="600"/>
          </reference>
          <reference field="21" count="1" selected="0">
            <x v="1"/>
          </reference>
          <reference field="25" count="1" selected="0">
            <x v="23"/>
          </reference>
        </references>
      </pivotArea>
    </format>
    <format dxfId="129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5" count="1" selected="0">
            <x v="25"/>
          </reference>
          <reference field="11" count="1">
            <x v="1001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9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4"/>
          </reference>
          <reference field="5" count="1" selected="0">
            <x v="25"/>
          </reference>
          <reference field="11" count="1">
            <x v="386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9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26">
            <x v="8"/>
            <x v="78"/>
            <x v="130"/>
            <x v="131"/>
            <x v="309"/>
            <x v="337"/>
            <x v="359"/>
            <x v="389"/>
            <x v="421"/>
            <x v="430"/>
            <x v="451"/>
            <x v="466"/>
            <x v="469"/>
            <x v="493"/>
            <x v="657"/>
            <x v="670"/>
            <x v="749"/>
            <x v="764"/>
            <x v="812"/>
            <x v="837"/>
            <x v="846"/>
            <x v="858"/>
            <x v="903"/>
            <x v="919"/>
            <x v="921"/>
            <x v="950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9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4">
            <x v="134"/>
            <x v="336"/>
            <x v="360"/>
            <x v="384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9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>
            <x v="556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29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2">
            <x v="368"/>
            <x v="394"/>
          </reference>
          <reference field="21" count="1" selected="0">
            <x v="1"/>
          </reference>
          <reference field="25" count="1" selected="0">
            <x v="23"/>
          </reference>
        </references>
      </pivotArea>
    </format>
    <format dxfId="129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11" count="1">
            <x v="12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9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11" count="1">
            <x v="210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29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5">
            <x v="41"/>
            <x v="135"/>
            <x v="625"/>
            <x v="806"/>
            <x v="904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9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2">
            <x v="780"/>
            <x v="798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8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0"/>
          </reference>
          <reference field="5" count="1" selected="0">
            <x v="25"/>
          </reference>
          <reference field="11" count="2">
            <x v="241"/>
            <x v="314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8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3">
            <x v="513"/>
            <x v="669"/>
            <x v="95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8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8">
            <x v="38"/>
            <x v="58"/>
            <x v="213"/>
            <x v="369"/>
            <x v="484"/>
            <x v="783"/>
            <x v="856"/>
            <x v="958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8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>
            <x v="786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285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2">
            <x v="111"/>
            <x v="245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284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6">
            <x v="74"/>
            <x v="257"/>
            <x v="260"/>
            <x v="412"/>
            <x v="449"/>
            <x v="650"/>
          </reference>
          <reference field="21" count="1" selected="0">
            <x v="1"/>
          </reference>
          <reference field="25" count="1" selected="0">
            <x v="23"/>
          </reference>
        </references>
      </pivotArea>
    </format>
    <format dxfId="1283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4"/>
          </reference>
          <reference field="5" count="1" selected="0">
            <x v="25"/>
          </reference>
          <reference field="11" count="1">
            <x v="345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282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>
            <x v="1020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81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7">
            <x v="167"/>
            <x v="340"/>
            <x v="531"/>
            <x v="754"/>
            <x v="759"/>
            <x v="890"/>
            <x v="1016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80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3">
            <x v="263"/>
            <x v="288"/>
            <x v="723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279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8">
            <x v="114"/>
            <x v="168"/>
            <x v="212"/>
            <x v="235"/>
            <x v="269"/>
            <x v="364"/>
            <x v="514"/>
            <x v="863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78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8">
            <x v="77"/>
            <x v="120"/>
            <x v="393"/>
            <x v="435"/>
            <x v="665"/>
            <x v="832"/>
            <x v="898"/>
            <x v="1014"/>
          </reference>
          <reference field="21" count="1" selected="0">
            <x v="1"/>
          </reference>
          <reference field="25" count="1" selected="0">
            <x v="15"/>
          </reference>
        </references>
      </pivotArea>
    </format>
    <format dxfId="1277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>
            <x v="321"/>
          </reference>
          <reference field="21" count="1" selected="0">
            <x v="1"/>
          </reference>
          <reference field="25" count="1" selected="0">
            <x v="17"/>
          </reference>
        </references>
      </pivotArea>
    </format>
    <format dxfId="1276">
      <pivotArea dataOnly="0" labelOnly="1" outline="0" fieldPosition="0">
        <references count="9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>
            <x v="324"/>
          </reference>
          <reference field="21" count="1" selected="0">
            <x v="1"/>
          </reference>
          <reference field="25" count="1" selected="0">
            <x v="21"/>
          </reference>
        </references>
      </pivotArea>
    </format>
    <format dxfId="1275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7">
            <x v="399"/>
            <x v="673"/>
            <x v="732"/>
            <x v="752"/>
            <x v="852"/>
            <x v="874"/>
            <x v="967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74">
      <pivotArea dataOnly="0" labelOnly="1" outline="0" fieldPosition="0">
        <references count="9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>
            <x v="157"/>
          </reference>
          <reference field="21" count="1" selected="0">
            <x v="1"/>
          </reference>
          <reference field="25" count="1" selected="0">
            <x v="2"/>
          </reference>
        </references>
      </pivotArea>
    </format>
    <format dxfId="1273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4">
            <x v="182"/>
            <x v="472"/>
            <x v="578"/>
            <x v="995"/>
          </reference>
          <reference field="21" count="1" selected="0">
            <x v="0"/>
          </reference>
          <reference field="25" count="1" selected="0">
            <x v="26"/>
          </reference>
        </references>
      </pivotArea>
    </format>
    <format dxfId="1272">
      <pivotArea dataOnly="0" labelOnly="1" outline="0" fieldPosition="0">
        <references count="9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1">
            <x v="1007"/>
          </reference>
          <reference field="21" count="1" selected="0">
            <x v="1"/>
          </reference>
          <reference field="25" count="1" selected="0">
            <x v="20"/>
          </reference>
        </references>
      </pivotArea>
    </format>
    <format dxfId="127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127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6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26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3"/>
          </reference>
        </references>
      </pivotArea>
    </format>
    <format dxfId="126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6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6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126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6"/>
          </reference>
        </references>
      </pivotArea>
    </format>
    <format dxfId="126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126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6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6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5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3"/>
          </reference>
        </references>
      </pivotArea>
    </format>
    <format dxfId="125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25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25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3"/>
          </reference>
        </references>
      </pivotArea>
    </format>
    <format dxfId="125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125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8"/>
          </reference>
        </references>
      </pivotArea>
    </format>
    <format dxfId="125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25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25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25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8"/>
          </reference>
        </references>
      </pivotArea>
    </format>
    <format dxfId="124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2"/>
          </reference>
        </references>
      </pivotArea>
    </format>
    <format dxfId="124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24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124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4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24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124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8"/>
          </reference>
        </references>
      </pivotArea>
    </format>
    <format dxfId="124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7"/>
          </reference>
          <reference field="5" count="1" selected="0">
            <x v="25"/>
          </reference>
          <reference field="11" count="1" selected="0">
            <x v="264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124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25"/>
          </reference>
          <reference field="11" count="1" selected="0">
            <x v="2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4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25"/>
          </reference>
          <reference field="11" count="1" selected="0">
            <x v="2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3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  <reference field="5" count="1" selected="0">
            <x v="25"/>
          </reference>
          <reference field="11" count="1" selected="0">
            <x v="4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3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4"/>
          </reference>
        </references>
      </pivotArea>
    </format>
    <format dxfId="123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23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"/>
          </reference>
        </references>
      </pivotArea>
    </format>
    <format dxfId="123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5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23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1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2"/>
          </reference>
        </references>
      </pivotArea>
    </format>
    <format dxfId="123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3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23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3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123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4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3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4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22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5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22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5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6"/>
          </reference>
        </references>
      </pivotArea>
    </format>
    <format dxfId="122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6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122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6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0"/>
          </reference>
        </references>
      </pivotArea>
    </format>
    <format dxfId="122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6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22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6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122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8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122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9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22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9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2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491"/>
          </reference>
          <reference field="21" count="1" selected="0">
            <x v="1"/>
          </reference>
          <reference field="25" count="1" selected="0">
            <x v="4"/>
          </reference>
          <reference field="36" count="1">
            <x v="173"/>
          </reference>
        </references>
      </pivotArea>
    </format>
    <format dxfId="121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13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21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645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21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28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21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41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21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510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21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899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21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14"/>
          </reference>
          <reference field="5" count="1" selected="0">
            <x v="25"/>
          </reference>
          <reference field="11" count="1" selected="0">
            <x v="64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21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1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1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1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21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3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20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4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0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4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0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6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20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7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20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8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20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8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20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10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20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574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20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15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20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206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19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91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19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291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119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7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9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814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9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3"/>
          </reference>
          <reference field="5" count="1" selected="0">
            <x v="25"/>
          </reference>
          <reference field="11" count="1" selected="0">
            <x v="966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9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9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9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3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0"/>
          </reference>
        </references>
      </pivotArea>
    </format>
    <format dxfId="119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5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9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10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7"/>
          </reference>
        </references>
      </pivotArea>
    </format>
    <format dxfId="118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39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118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395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18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56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18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13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18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39"/>
          </reference>
          <reference field="5" count="1" selected="0">
            <x v="25"/>
          </reference>
          <reference field="11" count="1" selected="0">
            <x v="179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118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8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8"/>
          </reference>
        </references>
      </pivotArea>
    </format>
    <format dxfId="118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1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118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4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18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7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17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8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2"/>
          </reference>
        </references>
      </pivotArea>
    </format>
    <format dxfId="117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163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7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1"/>
          </reference>
          <reference field="5" count="1" selected="0">
            <x v="25"/>
          </reference>
          <reference field="11" count="1" selected="0">
            <x v="50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7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1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"/>
          </reference>
        </references>
      </pivotArea>
    </format>
    <format dxfId="117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2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117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6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"/>
          </reference>
        </references>
      </pivotArea>
    </format>
    <format dxfId="117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6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117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54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17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48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7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49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6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886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6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8"/>
          </reference>
          <reference field="11" count="1" selected="0">
            <x v="154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6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2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6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2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16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3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6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6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6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9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6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9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2"/>
          </reference>
        </references>
      </pivotArea>
    </format>
    <format dxfId="116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63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16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1010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115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169"/>
          </reference>
          <reference field="21" count="1" selected="0">
            <x v="1"/>
          </reference>
          <reference field="25" count="1" selected="0">
            <x v="12"/>
          </reference>
          <reference field="36" count="1">
            <x v="173"/>
          </reference>
        </references>
      </pivotArea>
    </format>
    <format dxfId="115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392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5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48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5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490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5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98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5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984"/>
          </reference>
          <reference field="21" count="1" selected="0">
            <x v="1"/>
          </reference>
          <reference field="25" count="1" selected="0">
            <x v="19"/>
          </reference>
          <reference field="36" count="1">
            <x v="173"/>
          </reference>
        </references>
      </pivotArea>
    </format>
    <format dxfId="115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582"/>
          </reference>
          <reference field="21" count="1" selected="0">
            <x v="1"/>
          </reference>
          <reference field="25" count="1" selected="0">
            <x v="24"/>
          </reference>
          <reference field="36" count="1">
            <x v="173"/>
          </reference>
        </references>
      </pivotArea>
    </format>
    <format dxfId="115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4"/>
          </reference>
          <reference field="11" count="1" selected="0">
            <x v="629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115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10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115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10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114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96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4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60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238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24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316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350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48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526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530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4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633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3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64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3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78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3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808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3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15"/>
          </reference>
          <reference field="11" count="1" selected="0">
            <x v="92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113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 selected="0">
            <x v="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3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 selected="0">
            <x v="36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113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 selected="0">
            <x v="87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13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 selected="0">
            <x v="940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13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5"/>
          </reference>
          <reference field="5" count="1" selected="0">
            <x v="20"/>
          </reference>
          <reference field="11" count="1" selected="0">
            <x v="56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13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3"/>
          </reference>
          <reference field="11" count="1" selected="0">
            <x v="6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2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2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6"/>
          </reference>
        </references>
      </pivotArea>
    </format>
    <format dxfId="112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2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"/>
          </reference>
        </references>
      </pivotArea>
    </format>
    <format dxfId="112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4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2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5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8"/>
          </reference>
        </references>
      </pivotArea>
    </format>
    <format dxfId="112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5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112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5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2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6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2"/>
          </reference>
        </references>
      </pivotArea>
    </format>
    <format dxfId="1122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7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2"/>
          </reference>
        </references>
      </pivotArea>
    </format>
    <format dxfId="1121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8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8"/>
          </reference>
        </references>
      </pivotArea>
    </format>
    <format dxfId="1120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8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5"/>
          </reference>
        </references>
      </pivotArea>
    </format>
    <format dxfId="1119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9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118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25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1117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33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1116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823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1115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536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1114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461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113">
      <pivotArea dataOnly="0" labelOnly="1" outline="0" fieldPosition="0">
        <references count="10">
          <reference field="0" count="0" selected="0"/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46"/>
          </reference>
          <reference field="5" count="1" selected="0">
            <x v="25"/>
          </reference>
          <reference field="11" count="1" selected="0">
            <x v="9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51"/>
          </reference>
          <reference field="5" count="1" selected="0">
            <x v="25"/>
          </reference>
          <reference field="11" count="1" selected="0">
            <x v="881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11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11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1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1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11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4"/>
          </reference>
        </references>
      </pivotArea>
    </format>
    <format dxfId="11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"/>
          </reference>
        </references>
      </pivotArea>
    </format>
    <format dxfId="11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11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9"/>
          </reference>
        </references>
      </pivotArea>
    </format>
    <format dxfId="11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1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9"/>
          </reference>
        </references>
      </pivotArea>
    </format>
    <format dxfId="11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0"/>
          </reference>
        </references>
      </pivotArea>
    </format>
    <format dxfId="11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0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10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91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7"/>
          </reference>
        </references>
      </pivotArea>
    </format>
    <format dxfId="10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0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2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0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2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0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3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0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4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0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9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10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1"/>
          </reference>
          <reference field="5" count="1" selected="0">
            <x v="25"/>
          </reference>
          <reference field="11" count="1" selected="0">
            <x v="378"/>
          </reference>
          <reference field="21" count="1" selected="0">
            <x v="1"/>
          </reference>
          <reference field="25" count="1" selected="0">
            <x v="3"/>
          </reference>
          <reference field="36" count="1">
            <x v="173"/>
          </reference>
        </references>
      </pivotArea>
    </format>
    <format dxfId="10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8"/>
          </reference>
        </references>
      </pivotArea>
    </format>
    <format dxfId="10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1"/>
          </reference>
        </references>
      </pivotArea>
    </format>
    <format dxfId="10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2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0"/>
          </reference>
        </references>
      </pivotArea>
    </format>
    <format dxfId="10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2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3"/>
          </reference>
        </references>
      </pivotArea>
    </format>
    <format dxfId="10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4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6"/>
          </reference>
        </references>
      </pivotArea>
    </format>
    <format dxfId="10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5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2"/>
          </reference>
        </references>
      </pivotArea>
    </format>
    <format dxfId="10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6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7"/>
          </reference>
        </references>
      </pivotArea>
    </format>
    <format dxfId="10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6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0"/>
          </reference>
        </references>
      </pivotArea>
    </format>
    <format dxfId="10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19"/>
          </reference>
          <reference field="11" count="1" selected="0">
            <x v="9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7"/>
          </reference>
        </references>
      </pivotArea>
    </format>
    <format dxfId="10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25"/>
          </reference>
          <reference field="11" count="1" selected="0">
            <x v="2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2"/>
          </reference>
        </references>
      </pivotArea>
    </format>
    <format dxfId="10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25"/>
          </reference>
          <reference field="11" count="1" selected="0">
            <x v="7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0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25"/>
          </reference>
          <reference field="11" count="1" selected="0">
            <x v="8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0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25"/>
          </reference>
          <reference field="11" count="1" selected="0">
            <x v="9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1"/>
          </reference>
        </references>
      </pivotArea>
    </format>
    <format dxfId="10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8"/>
          </reference>
          <reference field="5" count="1" selected="0">
            <x v="25"/>
          </reference>
          <reference field="11" count="1" selected="0">
            <x v="9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0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1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0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1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10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1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10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3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0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3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9"/>
          </reference>
        </references>
      </pivotArea>
    </format>
    <format dxfId="10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3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10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4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10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4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5"/>
          </reference>
        </references>
      </pivotArea>
    </format>
    <format dxfId="10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4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6"/>
          </reference>
        </references>
      </pivotArea>
    </format>
    <format dxfId="10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5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0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5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6"/>
          </reference>
        </references>
      </pivotArea>
    </format>
    <format dxfId="10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6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10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7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"/>
          </reference>
        </references>
      </pivotArea>
    </format>
    <format dxfId="10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7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10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352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10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586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10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31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0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64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0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79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0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91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10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0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0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0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0"/>
          </reference>
        </references>
      </pivotArea>
    </format>
    <format dxfId="10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"/>
          </reference>
        </references>
      </pivotArea>
    </format>
    <format dxfId="10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10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10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8"/>
          </reference>
        </references>
      </pivotArea>
    </format>
    <format dxfId="10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10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10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0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0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10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96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35"/>
          </reference>
        </references>
      </pivotArea>
    </format>
    <format dxfId="10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0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0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7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10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35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10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16"/>
          </reference>
          <reference field="5" count="1" selected="0">
            <x v="6"/>
          </reference>
          <reference field="11" count="1" selected="0">
            <x v="1011"/>
          </reference>
          <reference field="21" count="1" selected="0">
            <x v="1"/>
          </reference>
          <reference field="25" count="1" selected="0">
            <x v="3"/>
          </reference>
          <reference field="36" count="1">
            <x v="173"/>
          </reference>
        </references>
      </pivotArea>
    </format>
    <format dxfId="10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0"/>
          </reference>
          <reference field="5" count="1" selected="0">
            <x v="25"/>
          </reference>
          <reference field="11" count="1" selected="0">
            <x v="1024"/>
          </reference>
          <reference field="21" count="1" selected="0">
            <x v="1"/>
          </reference>
          <reference field="25" count="1" selected="0">
            <x v="4"/>
          </reference>
          <reference field="36" count="1">
            <x v="173"/>
          </reference>
        </references>
      </pivotArea>
    </format>
    <format dxfId="10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1"/>
          </reference>
          <reference field="5" count="1" selected="0">
            <x v="25"/>
          </reference>
          <reference field="11" count="1" selected="0">
            <x v="47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0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10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1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0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1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2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2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2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2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0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5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5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5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6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6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6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6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6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10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8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8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5"/>
          </reference>
        </references>
      </pivotArea>
    </format>
    <format dxfId="10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9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10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"/>
          </reference>
        </references>
      </pivotArea>
    </format>
    <format dxfId="10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10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7"/>
          </reference>
        </references>
      </pivotArea>
    </format>
    <format dxfId="10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10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8"/>
          </reference>
          <reference field="5" count="1" selected="0">
            <x v="2"/>
          </reference>
          <reference field="11" count="1" selected="0">
            <x v="10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8"/>
          </reference>
        </references>
      </pivotArea>
    </format>
    <format dxfId="10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10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10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10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10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10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10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5"/>
          </reference>
        </references>
      </pivotArea>
    </format>
    <format dxfId="10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10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10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10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8"/>
          </reference>
        </references>
      </pivotArea>
    </format>
    <format dxfId="10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10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10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0"/>
          </reference>
        </references>
      </pivotArea>
    </format>
    <format dxfId="10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9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9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9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7"/>
          </reference>
        </references>
      </pivotArea>
    </format>
    <format dxfId="9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9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9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4"/>
          </reference>
        </references>
      </pivotArea>
    </format>
    <format dxfId="9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3"/>
          </reference>
        </references>
      </pivotArea>
    </format>
    <format dxfId="9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4"/>
          </reference>
        </references>
      </pivotArea>
    </format>
    <format dxfId="9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2"/>
          </reference>
        </references>
      </pivotArea>
    </format>
    <format dxfId="9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1"/>
          </reference>
        </references>
      </pivotArea>
    </format>
    <format dxfId="9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9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7"/>
          </reference>
        </references>
      </pivotArea>
    </format>
    <format dxfId="9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9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9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9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9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9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9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9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9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9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4"/>
          </reference>
        </references>
      </pivotArea>
    </format>
    <format dxfId="9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9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1"/>
          </reference>
        </references>
      </pivotArea>
    </format>
    <format dxfId="9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9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9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8"/>
          </reference>
        </references>
      </pivotArea>
    </format>
    <format dxfId="9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9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9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9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"/>
          </reference>
        </references>
      </pivotArea>
    </format>
    <format dxfId="9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9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9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3"/>
          </reference>
        </references>
      </pivotArea>
    </format>
    <format dxfId="9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0"/>
          </reference>
        </references>
      </pivotArea>
    </format>
    <format dxfId="9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9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9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9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9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9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9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3"/>
          </reference>
        </references>
      </pivotArea>
    </format>
    <format dxfId="9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9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1"/>
          </reference>
        </references>
      </pivotArea>
    </format>
    <format dxfId="9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9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9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9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2"/>
          </reference>
        </references>
      </pivotArea>
    </format>
    <format dxfId="9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6"/>
          </reference>
        </references>
      </pivotArea>
    </format>
    <format dxfId="9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3"/>
          </reference>
        </references>
      </pivotArea>
    </format>
    <format dxfId="9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9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9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"/>
          </reference>
        </references>
      </pivotArea>
    </format>
    <format dxfId="9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0"/>
          </reference>
        </references>
      </pivotArea>
    </format>
    <format dxfId="9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9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3"/>
          </reference>
        </references>
      </pivotArea>
    </format>
    <format dxfId="9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3"/>
          </reference>
        </references>
      </pivotArea>
    </format>
    <format dxfId="9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5"/>
          </reference>
        </references>
      </pivotArea>
    </format>
    <format dxfId="9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8"/>
          </reference>
        </references>
      </pivotArea>
    </format>
    <format dxfId="9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9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1"/>
          </reference>
        </references>
      </pivotArea>
    </format>
    <format dxfId="9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5"/>
          </reference>
        </references>
      </pivotArea>
    </format>
    <format dxfId="9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9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3"/>
          </reference>
        </references>
      </pivotArea>
    </format>
    <format dxfId="9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9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9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4"/>
          </reference>
        </references>
      </pivotArea>
    </format>
    <format dxfId="9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2"/>
          </reference>
        </references>
      </pivotArea>
    </format>
    <format dxfId="9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9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9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9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1"/>
          </reference>
        </references>
      </pivotArea>
    </format>
    <format dxfId="9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8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8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1"/>
          </reference>
        </references>
      </pivotArea>
    </format>
    <format dxfId="8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8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8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8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9"/>
          </reference>
        </references>
      </pivotArea>
    </format>
    <format dxfId="8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7"/>
          </reference>
        </references>
      </pivotArea>
    </format>
    <format dxfId="8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1"/>
          </reference>
        </references>
      </pivotArea>
    </format>
    <format dxfId="8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8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0"/>
          </reference>
        </references>
      </pivotArea>
    </format>
    <format dxfId="8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8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8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8"/>
          </reference>
        </references>
      </pivotArea>
    </format>
    <format dxfId="8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8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9"/>
          </reference>
        </references>
      </pivotArea>
    </format>
    <format dxfId="8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3"/>
          </reference>
        </references>
      </pivotArea>
    </format>
    <format dxfId="8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8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6"/>
          </reference>
        </references>
      </pivotArea>
    </format>
    <format dxfId="8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9"/>
          </reference>
        </references>
      </pivotArea>
    </format>
    <format dxfId="8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1"/>
          </reference>
        </references>
      </pivotArea>
    </format>
    <format dxfId="8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7"/>
          </reference>
        </references>
      </pivotArea>
    </format>
    <format dxfId="8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1"/>
          </reference>
        </references>
      </pivotArea>
    </format>
    <format dxfId="8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8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8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12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8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93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8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07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8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32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8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06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8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6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8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838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8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61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8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6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2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3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44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03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40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3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68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8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3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8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78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8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000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8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21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8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51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8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1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8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3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8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617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173"/>
          </reference>
        </references>
      </pivotArea>
    </format>
    <format dxfId="8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64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173"/>
          </reference>
        </references>
      </pivotArea>
    </format>
    <format dxfId="8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1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8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35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8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999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8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0"/>
          </reference>
          <reference field="11" count="1" selected="0">
            <x v="572"/>
          </reference>
          <reference field="21" count="1" selected="0">
            <x v="1"/>
          </reference>
          <reference field="25" count="1" selected="0">
            <x v="22"/>
          </reference>
          <reference field="36" count="1">
            <x v="173"/>
          </reference>
        </references>
      </pivotArea>
    </format>
    <format dxfId="8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3"/>
          </reference>
        </references>
      </pivotArea>
    </format>
    <format dxfId="8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9"/>
          </reference>
        </references>
      </pivotArea>
    </format>
    <format dxfId="8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8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1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1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6"/>
          </reference>
        </references>
      </pivotArea>
    </format>
    <format dxfId="8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1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2"/>
          </reference>
        </references>
      </pivotArea>
    </format>
    <format dxfId="8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2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8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3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3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4"/>
          </reference>
        </references>
      </pivotArea>
    </format>
    <format dxfId="8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3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4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8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5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5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8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6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6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5"/>
          </reference>
        </references>
      </pivotArea>
    </format>
    <format dxfId="8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6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8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7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3"/>
          </reference>
        </references>
      </pivotArea>
    </format>
    <format dxfId="8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7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6"/>
          </reference>
        </references>
      </pivotArea>
    </format>
    <format dxfId="8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7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3"/>
          </reference>
        </references>
      </pivotArea>
    </format>
    <format dxfId="8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8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7"/>
          </reference>
        </references>
      </pivotArea>
    </format>
    <format dxfId="8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8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3"/>
          </reference>
        </references>
      </pivotArea>
    </format>
    <format dxfId="8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8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1"/>
          </reference>
        </references>
      </pivotArea>
    </format>
    <format dxfId="8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9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9"/>
          </reference>
        </references>
      </pivotArea>
    </format>
    <format dxfId="8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9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7"/>
          </reference>
        </references>
      </pivotArea>
    </format>
    <format dxfId="8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50"/>
          </reference>
          <reference field="5" count="1" selected="0">
            <x v="13"/>
          </reference>
          <reference field="11" count="1" selected="0">
            <x v="9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9"/>
          </reference>
        </references>
      </pivotArea>
    </format>
    <format dxfId="8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4"/>
          </reference>
        </references>
      </pivotArea>
    </format>
    <format dxfId="8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9"/>
          </reference>
        </references>
      </pivotArea>
    </format>
    <format dxfId="8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8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3"/>
          </reference>
        </references>
      </pivotArea>
    </format>
    <format dxfId="8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8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8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5"/>
          </reference>
        </references>
      </pivotArea>
    </format>
    <format dxfId="8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1"/>
          </reference>
        </references>
      </pivotArea>
    </format>
    <format dxfId="8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8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0"/>
          </reference>
        </references>
      </pivotArea>
    </format>
    <format dxfId="8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8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8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2"/>
          </reference>
        </references>
      </pivotArea>
    </format>
    <format dxfId="8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9"/>
          </reference>
        </references>
      </pivotArea>
    </format>
    <format dxfId="8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8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8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8"/>
          </reference>
        </references>
      </pivotArea>
    </format>
    <format dxfId="8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8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8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7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0"/>
          </reference>
        </references>
      </pivotArea>
    </format>
    <format dxfId="7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7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7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7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0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4"/>
          </reference>
        </references>
      </pivotArea>
    </format>
    <format dxfId="7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8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7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4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7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1" selected="0">
            <x v="1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1" selected="0">
            <x v="9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1" selected="0">
            <x v="10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7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1" selected="0">
            <x v="495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7"/>
          </reference>
        </references>
      </pivotArea>
    </format>
    <format dxfId="7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0"/>
          </reference>
          <reference field="5" count="1" selected="0">
            <x v="25"/>
          </reference>
          <reference field="11" count="1" selected="0">
            <x v="691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7"/>
          </reference>
        </references>
      </pivotArea>
    </format>
    <format dxfId="7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"/>
          </reference>
          <reference field="5" count="1" selected="0">
            <x v="25"/>
          </reference>
          <reference field="11" count="1" selected="0">
            <x v="2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7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"/>
          </reference>
          <reference field="5" count="1" selected="0">
            <x v="25"/>
          </reference>
          <reference field="11" count="1" selected="0">
            <x v="4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3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3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5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6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7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2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7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7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1"/>
          </reference>
        </references>
      </pivotArea>
    </format>
    <format dxfId="7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9"/>
          </reference>
        </references>
      </pivotArea>
    </format>
    <format dxfId="7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7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7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7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7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9"/>
          </reference>
        </references>
      </pivotArea>
    </format>
    <format dxfId="7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7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7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7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5"/>
          </reference>
        </references>
      </pivotArea>
    </format>
    <format dxfId="7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7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7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0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2"/>
          </reference>
        </references>
      </pivotArea>
    </format>
    <format dxfId="7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2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7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45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7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7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9"/>
          </reference>
        </references>
      </pivotArea>
    </format>
    <format dxfId="7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8"/>
          </reference>
        </references>
      </pivotArea>
    </format>
    <format dxfId="7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4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7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6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7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5"/>
          </reference>
        </references>
      </pivotArea>
    </format>
    <format dxfId="7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00"/>
          </reference>
          <reference field="21" count="1" selected="0">
            <x v="1"/>
          </reference>
          <reference field="25" count="1" selected="0">
            <x v="0"/>
          </reference>
          <reference field="36" count="1">
            <x v="173"/>
          </reference>
        </references>
      </pivotArea>
    </format>
    <format dxfId="7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9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18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1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4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5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93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7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7"/>
          </reference>
        </references>
      </pivotArea>
    </format>
    <format dxfId="7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1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0"/>
          </reference>
        </references>
      </pivotArea>
    </format>
    <format dxfId="7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2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4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5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5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7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9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7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87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07"/>
          </reference>
        </references>
      </pivotArea>
    </format>
    <format dxfId="7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11" count="1" selected="0">
            <x v="6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7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11" count="1" selected="0">
            <x v="170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7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3"/>
          </reference>
          <reference field="11" count="1" selected="0">
            <x v="972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7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11" count="1" selected="0">
            <x v="5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7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11" count="1" selected="0">
            <x v="8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7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11" count="1" selected="0">
            <x v="8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7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4"/>
          </reference>
          <reference field="11" count="1" selected="0">
            <x v="93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7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1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6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6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7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7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8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8"/>
          </reference>
        </references>
      </pivotArea>
    </format>
    <format dxfId="7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9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9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51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7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5"/>
          </reference>
          <reference field="11" count="1" selected="0">
            <x v="10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7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1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3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4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4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7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5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0"/>
          </reference>
        </references>
      </pivotArea>
    </format>
    <format dxfId="7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7"/>
          </reference>
          <reference field="11" count="1" selected="0">
            <x v="8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4"/>
          </reference>
        </references>
      </pivotArea>
    </format>
    <format dxfId="7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7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5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7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7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7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8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0"/>
          </reference>
        </references>
      </pivotArea>
    </format>
    <format dxfId="7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8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7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9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10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"/>
          </reference>
        </references>
      </pivotArea>
    </format>
    <format dxfId="6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9"/>
          </reference>
          <reference field="11" count="1" selected="0">
            <x v="568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173"/>
          </reference>
        </references>
      </pivotArea>
    </format>
    <format dxfId="6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2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4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6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4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5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6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6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9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6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9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9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1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6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7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8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6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8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2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6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2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6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5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7"/>
          </reference>
        </references>
      </pivotArea>
    </format>
    <format dxfId="6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756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6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2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6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2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2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"/>
          </reference>
        </references>
      </pivotArea>
    </format>
    <format dxfId="6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6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6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4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4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4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5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6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6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7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"/>
          </reference>
        </references>
      </pivotArea>
    </format>
    <format dxfId="6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7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7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6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9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9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0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6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0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6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0"/>
          </reference>
          <reference field="11" count="1" selected="0">
            <x v="795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6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5"/>
          </reference>
          <reference field="11" count="1" selected="0">
            <x v="3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6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5"/>
          </reference>
          <reference field="11" count="1" selected="0">
            <x v="4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4"/>
          </reference>
        </references>
      </pivotArea>
    </format>
    <format dxfId="6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25"/>
          </reference>
          <reference field="11" count="1" selected="0">
            <x v="4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8"/>
          </reference>
        </references>
      </pivotArea>
    </format>
    <format dxfId="6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10"/>
          </reference>
          <reference field="11" count="1" selected="0">
            <x v="4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6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1"/>
          </reference>
          <reference field="11" count="1" selected="0">
            <x v="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6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1"/>
          </reference>
          <reference field="11" count="1" selected="0">
            <x v="7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6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1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1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2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2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2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3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4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4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6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6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6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6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7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7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6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9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9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6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10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6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6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6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6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6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6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4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2"/>
          </reference>
        </references>
      </pivotArea>
    </format>
    <format dxfId="6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5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6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5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6"/>
          </reference>
        </references>
      </pivotArea>
    </format>
    <format dxfId="6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6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624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6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13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6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934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173"/>
          </reference>
        </references>
      </pivotArea>
    </format>
    <format dxfId="6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6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6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97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173"/>
          </reference>
        </references>
      </pivotArea>
    </format>
    <format dxfId="6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36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173"/>
          </reference>
        </references>
      </pivotArea>
    </format>
    <format dxfId="6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158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6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9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6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104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6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92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173"/>
          </reference>
        </references>
      </pivotArea>
    </format>
    <format dxfId="6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9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6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2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6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4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6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68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73"/>
          </reference>
        </references>
      </pivotArea>
    </format>
    <format dxfId="6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462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173"/>
          </reference>
        </references>
      </pivotArea>
    </format>
    <format dxfId="5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5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4"/>
          </reference>
        </references>
      </pivotArea>
    </format>
    <format dxfId="5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5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3"/>
          </reference>
        </references>
      </pivotArea>
    </format>
    <format dxfId="5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5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5"/>
          </reference>
        </references>
      </pivotArea>
    </format>
    <format dxfId="5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5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3"/>
          </reference>
        </references>
      </pivotArea>
    </format>
    <format dxfId="5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5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5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5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5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6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6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9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8"/>
          </reference>
        </references>
      </pivotArea>
    </format>
    <format dxfId="5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9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0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5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62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173"/>
          </reference>
        </references>
      </pivotArea>
    </format>
    <format dxfId="5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73"/>
          </reference>
        </references>
      </pivotArea>
    </format>
    <format dxfId="5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5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6"/>
          </reference>
        </references>
      </pivotArea>
    </format>
    <format dxfId="5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475"/>
          </reference>
          <reference field="21" count="1" selected="0">
            <x v="1"/>
          </reference>
          <reference field="25" count="1" selected="0">
            <x v="8"/>
          </reference>
          <reference field="36" count="1">
            <x v="173"/>
          </reference>
        </references>
      </pivotArea>
    </format>
    <format dxfId="5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97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99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474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5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03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5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"/>
          </reference>
          <reference field="5" count="1" selected="0">
            <x v="25"/>
          </reference>
          <reference field="11" count="1" selected="0">
            <x v="10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11" count="1" selected="0">
            <x v="844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5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11" count="1" selected="0">
            <x v="2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"/>
          </reference>
          <reference field="5" count="1" selected="0">
            <x v="25"/>
          </reference>
          <reference field="11" count="1" selected="0">
            <x v="50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11" count="1" selected="0">
            <x v="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11" count="1" selected="0">
            <x v="2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25"/>
          </reference>
          <reference field="11" count="1" selected="0">
            <x v="65"/>
          </reference>
          <reference field="21" count="1" selected="0">
            <x v="1"/>
          </reference>
          <reference field="25" count="1" selected="0">
            <x v="11"/>
          </reference>
          <reference field="36" count="1">
            <x v="173"/>
          </reference>
        </references>
      </pivotArea>
    </format>
    <format dxfId="5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7"/>
          </reference>
          <reference field="5" count="1" selected="0">
            <x v="25"/>
          </reference>
          <reference field="11" count="1" selected="0">
            <x v="228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5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7"/>
          </reference>
          <reference field="5" count="1" selected="0">
            <x v="25"/>
          </reference>
          <reference field="11" count="1" selected="0">
            <x v="458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5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7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6"/>
          </reference>
        </references>
      </pivotArea>
    </format>
    <format dxfId="5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1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1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45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57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29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5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190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5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8"/>
          </reference>
          <reference field="5" count="1" selected="0">
            <x v="25"/>
          </reference>
          <reference field="11" count="1" selected="0">
            <x v="784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5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2"/>
          </reference>
        </references>
      </pivotArea>
    </format>
    <format dxfId="5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1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5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0"/>
          </reference>
        </references>
      </pivotArea>
    </format>
    <format dxfId="5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9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216"/>
          </reference>
          <reference field="21" count="1" selected="0">
            <x v="1"/>
          </reference>
          <reference field="25" count="1" selected="0">
            <x v="13"/>
          </reference>
          <reference field="36" count="1">
            <x v="173"/>
          </reference>
        </references>
      </pivotArea>
    </format>
    <format dxfId="5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294"/>
          </reference>
          <reference field="21" count="1" selected="0">
            <x v="1"/>
          </reference>
          <reference field="25" count="1" selected="0">
            <x v="13"/>
          </reference>
          <reference field="36" count="1">
            <x v="173"/>
          </reference>
        </references>
      </pivotArea>
    </format>
    <format dxfId="5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5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14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41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53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 selected="0">
            <x v="25"/>
          </reference>
          <reference field="11" count="1" selected="0">
            <x v="72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5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7"/>
          </reference>
        </references>
      </pivotArea>
    </format>
    <format dxfId="5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0"/>
          </reference>
        </references>
      </pivotArea>
    </format>
    <format dxfId="5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2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9"/>
          </reference>
        </references>
      </pivotArea>
    </format>
    <format dxfId="5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5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4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4"/>
          </reference>
        </references>
      </pivotArea>
    </format>
    <format dxfId="5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2"/>
          </reference>
        </references>
      </pivotArea>
    </format>
    <format dxfId="5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5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7"/>
          </reference>
        </references>
      </pivotArea>
    </format>
    <format dxfId="5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5"/>
          </reference>
        </references>
      </pivotArea>
    </format>
    <format dxfId="5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4"/>
          </reference>
        </references>
      </pivotArea>
    </format>
    <format dxfId="5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6"/>
          </reference>
        </references>
      </pivotArea>
    </format>
    <format dxfId="5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5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7"/>
          </reference>
        </references>
      </pivotArea>
    </format>
    <format dxfId="5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5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5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5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5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79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5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204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5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5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5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1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5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2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5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3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4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3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4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4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4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50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5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4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5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4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5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6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4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6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7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8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"/>
          </reference>
        </references>
      </pivotArea>
    </format>
    <format dxfId="4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8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8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18"/>
          </reference>
          <reference field="5" count="1" selected="0">
            <x v="25"/>
          </reference>
          <reference field="11" count="1" selected="0">
            <x v="9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0"/>
          </reference>
        </references>
      </pivotArea>
    </format>
    <format dxfId="4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1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4"/>
          </reference>
        </references>
      </pivotArea>
    </format>
    <format dxfId="4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3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6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4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7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4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7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9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478"/>
          </reference>
          <reference field="21" count="1" selected="0">
            <x v="1"/>
          </reference>
          <reference field="25" count="1" selected="0">
            <x v="6"/>
          </reference>
          <reference field="36" count="1">
            <x v="173"/>
          </reference>
        </references>
      </pivotArea>
    </format>
    <format dxfId="4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86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101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4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980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4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2"/>
          </reference>
          <reference field="5" count="1" selected="0">
            <x v="25"/>
          </reference>
          <reference field="11" count="1" selected="0">
            <x v="993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11" count="1" selected="0">
            <x v="1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11" count="1" selected="0">
            <x v="2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11" count="1" selected="0">
            <x v="2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5"/>
          </reference>
          <reference field="5" count="1" selected="0">
            <x v="25"/>
          </reference>
          <reference field="11" count="1" selected="0">
            <x v="7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4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0"/>
          </reference>
        </references>
      </pivotArea>
    </format>
    <format dxfId="4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1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4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1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3"/>
          </reference>
        </references>
      </pivotArea>
    </format>
    <format dxfId="4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1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17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1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2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2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3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3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3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0"/>
          </reference>
        </references>
      </pivotArea>
    </format>
    <format dxfId="4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4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6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6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4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6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6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7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7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7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3"/>
          </reference>
        </references>
      </pivotArea>
    </format>
    <format dxfId="4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8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8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9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4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9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23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93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3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6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440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442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71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758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428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4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916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4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431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4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6"/>
          </reference>
          <reference field="5" count="1" selected="0">
            <x v="25"/>
          </reference>
          <reference field="11" count="1" selected="0">
            <x v="483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4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1" selected="0">
            <x v="57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1" selected="0">
            <x v="65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1" selected="0">
            <x v="74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1" selected="0">
            <x v="92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7"/>
          </reference>
          <reference field="5" count="1" selected="0">
            <x v="25"/>
          </reference>
          <reference field="11" count="1" selected="0">
            <x v="827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4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8"/>
          </reference>
          <reference field="5" count="1" selected="0">
            <x v="25"/>
          </reference>
          <reference field="11" count="1" selected="0">
            <x v="8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8"/>
          </reference>
          <reference field="5" count="1" selected="0">
            <x v="25"/>
          </reference>
          <reference field="11" count="1" selected="0">
            <x v="68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29"/>
          </reference>
          <reference field="5" count="1" selected="0">
            <x v="25"/>
          </reference>
          <reference field="11" count="1" selected="0">
            <x v="25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4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5" count="1" selected="0">
            <x v="25"/>
          </reference>
          <reference field="11" count="1" selected="0">
            <x v="45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0"/>
          </reference>
          <reference field="5" count="1" selected="0">
            <x v="25"/>
          </reference>
          <reference field="11" count="1" selected="0">
            <x v="686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4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1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2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2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5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6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2"/>
          </reference>
        </references>
      </pivotArea>
    </format>
    <format dxfId="4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8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8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8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9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10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4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10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6"/>
          </reference>
        </references>
      </pivotArea>
    </format>
    <format dxfId="4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4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31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37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4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58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61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94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95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102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102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584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45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744"/>
          </reference>
          <reference field="21" count="1" selected="0">
            <x v="1"/>
          </reference>
          <reference field="25" count="1" selected="0">
            <x v="22"/>
          </reference>
          <reference field="36" count="1">
            <x v="173"/>
          </reference>
        </references>
      </pivotArea>
    </format>
    <format dxfId="3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408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3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1"/>
          </reference>
          <reference field="5" count="1" selected="0">
            <x v="25"/>
          </reference>
          <reference field="11" count="1" selected="0">
            <x v="668"/>
          </reference>
          <reference field="21" count="1" selected="0">
            <x v="1"/>
          </reference>
          <reference field="25" count="1" selected="0">
            <x v="25"/>
          </reference>
          <reference field="36" count="1">
            <x v="173"/>
          </reference>
        </references>
      </pivotArea>
    </format>
    <format dxfId="3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5" count="1" selected="0">
            <x v="25"/>
          </reference>
          <reference field="11" count="1" selected="0">
            <x v="5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2"/>
          </reference>
          <reference field="5" count="1" selected="0">
            <x v="25"/>
          </reference>
          <reference field="11" count="1" selected="0">
            <x v="600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5" count="1" selected="0">
            <x v="25"/>
          </reference>
          <reference field="11" count="1" selected="0">
            <x v="100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4"/>
          </reference>
          <reference field="5" count="1" selected="0">
            <x v="25"/>
          </reference>
          <reference field="11" count="1" selected="0">
            <x v="38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"/>
          </reference>
        </references>
      </pivotArea>
    </format>
    <format dxfId="3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1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1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2"/>
          </reference>
        </references>
      </pivotArea>
    </format>
    <format dxfId="3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4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4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4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4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4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4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65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6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7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7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8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83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84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8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9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9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9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9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13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3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8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556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68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5"/>
          </reference>
          <reference field="5" count="1" selected="0">
            <x v="25"/>
          </reference>
          <reference field="11" count="1" selected="0">
            <x v="394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11" count="1" selected="0">
            <x v="1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6"/>
          </reference>
          <reference field="5" count="1" selected="0">
            <x v="25"/>
          </reference>
          <reference field="11" count="1" selected="0">
            <x v="210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4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1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3"/>
          </reference>
        </references>
      </pivotArea>
    </format>
    <format dxfId="3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6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8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9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78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7"/>
          </reference>
          <reference field="5" count="1" selected="0">
            <x v="25"/>
          </reference>
          <reference field="11" count="1" selected="0">
            <x v="7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0"/>
          </reference>
          <reference field="5" count="1" selected="0">
            <x v="25"/>
          </reference>
          <reference field="11" count="1" selected="0">
            <x v="24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0"/>
          </reference>
          <reference field="5" count="1" selected="0">
            <x v="25"/>
          </reference>
          <reference field="11" count="1" selected="0">
            <x v="31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5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6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9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3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3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5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21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36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48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78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85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95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786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3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111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245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3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74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257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260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412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449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3"/>
          </reference>
          <reference field="5" count="1" selected="0">
            <x v="25"/>
          </reference>
          <reference field="11" count="1" selected="0">
            <x v="650"/>
          </reference>
          <reference field="21" count="1" selected="0">
            <x v="1"/>
          </reference>
          <reference field="25" count="1" selected="0">
            <x v="23"/>
          </reference>
          <reference field="36" count="1">
            <x v="173"/>
          </reference>
        </references>
      </pivotArea>
    </format>
    <format dxfId="3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4"/>
          </reference>
          <reference field="5" count="1" selected="0">
            <x v="25"/>
          </reference>
          <reference field="11" count="1" selected="0">
            <x v="345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3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0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3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6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4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53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75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759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9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01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3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63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3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88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3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723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3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2"/>
          </reference>
        </references>
      </pivotArea>
    </format>
    <format dxfId="3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5"/>
          </reference>
        </references>
      </pivotArea>
    </format>
    <format dxfId="3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2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5"/>
          </reference>
        </references>
      </pivotArea>
    </format>
    <format dxfId="3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23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6"/>
          </reference>
        </references>
      </pivotArea>
    </format>
    <format dxfId="3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2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3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3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2"/>
          </reference>
        </references>
      </pivotArea>
    </format>
    <format dxfId="3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5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8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1"/>
          </reference>
        </references>
      </pivotArea>
    </format>
    <format dxfId="2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7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2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393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43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665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83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8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014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173"/>
          </reference>
        </references>
      </pivotArea>
    </format>
    <format dxfId="2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321"/>
          </reference>
          <reference field="21" count="1" selected="0">
            <x v="1"/>
          </reference>
          <reference field="25" count="1" selected="0">
            <x v="17"/>
          </reference>
          <reference field="36" count="1">
            <x v="173"/>
          </reference>
        </references>
      </pivotArea>
    </format>
    <format dxfId="2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324"/>
          </reference>
          <reference field="21" count="1" selected="0">
            <x v="1"/>
          </reference>
          <reference field="25" count="1" selected="0">
            <x v="21"/>
          </reference>
          <reference field="36" count="1">
            <x v="173"/>
          </reference>
        </references>
      </pivotArea>
    </format>
    <format dxfId="288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87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7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4"/>
          </reference>
        </references>
      </pivotArea>
    </format>
    <format dxfId="286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"/>
          </reference>
        </references>
      </pivotArea>
    </format>
    <format dxfId="285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7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84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5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"/>
          </reference>
        </references>
      </pivotArea>
    </format>
    <format dxfId="283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"/>
          </reference>
        </references>
      </pivotArea>
    </format>
    <format dxfId="282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1"/>
          </reference>
        </references>
      </pivotArea>
    </format>
    <format dxfId="281">
      <pivotArea dataOnly="0" labelOnly="1" outline="0" fieldPosition="0">
        <references count="10">
          <reference field="0" count="0" selected="0"/>
          <reference field="1" count="1" selected="0">
            <x v="4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157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173"/>
          </reference>
        </references>
      </pivotArea>
    </format>
    <format dxfId="280">
      <pivotArea dataOnly="0" labelOnly="1" outline="0" fieldPosition="0">
        <references count="10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1" selected="0">
            <x v="1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4"/>
          </reference>
        </references>
      </pivotArea>
    </format>
    <format dxfId="279">
      <pivotArea dataOnly="0" labelOnly="1" outline="0" fieldPosition="0">
        <references count="10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1" selected="0">
            <x v="4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8"/>
          </reference>
        </references>
      </pivotArea>
    </format>
    <format dxfId="278">
      <pivotArea dataOnly="0" labelOnly="1" outline="0" fieldPosition="0">
        <references count="10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1" selected="0">
            <x v="5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4"/>
          </reference>
        </references>
      </pivotArea>
    </format>
    <format dxfId="277">
      <pivotArea dataOnly="0" labelOnly="1" outline="0" fieldPosition="0">
        <references count="10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1" selected="0">
            <x v="9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8"/>
          </reference>
        </references>
      </pivotArea>
    </format>
    <format dxfId="276">
      <pivotArea dataOnly="0" labelOnly="1" outline="0" fieldPosition="0">
        <references count="10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13"/>
          </reference>
          <reference field="5" count="1" selected="0">
            <x v="25"/>
          </reference>
          <reference field="11" count="1" selected="0">
            <x v="1007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173"/>
          </reference>
        </references>
      </pivotArea>
    </format>
    <format dxfId="275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0"/>
          </reference>
          <reference field="5" count="1">
            <x v="25"/>
          </reference>
        </references>
      </pivotArea>
    </format>
    <format dxfId="274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>
            <x v="12"/>
          </reference>
        </references>
      </pivotArea>
    </format>
    <format dxfId="273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1">
            <x v="3"/>
            <x v="4"/>
            <x v="5"/>
            <x v="7"/>
            <x v="9"/>
            <x v="11"/>
            <x v="16"/>
            <x v="17"/>
            <x v="18"/>
            <x v="20"/>
            <x v="25"/>
          </reference>
        </references>
      </pivotArea>
    </format>
    <format dxfId="272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2">
            <x v="10"/>
            <x v="21"/>
          </reference>
        </references>
      </pivotArea>
    </format>
    <format dxfId="271">
      <pivotArea dataOnly="0" labelOnly="1" outline="0" offset="IV1:IV17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>
            <x v="24"/>
          </reference>
        </references>
      </pivotArea>
    </format>
    <format dxfId="27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21" count="1">
            <x v="1"/>
          </reference>
        </references>
      </pivotArea>
    </format>
    <format dxfId="269">
      <pivotArea dataOnly="0" labelOnly="1" outline="0" offset="IV5:IV256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0"/>
          </reference>
          <reference field="5" count="1">
            <x v="25"/>
          </reference>
        </references>
      </pivotArea>
    </format>
    <format dxfId="268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>
            <x v="12"/>
          </reference>
        </references>
      </pivotArea>
    </format>
    <format dxfId="267">
      <pivotArea dataOnly="0" labelOnly="1" outline="0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0">
            <x v="3"/>
            <x v="4"/>
            <x v="5"/>
            <x v="7"/>
            <x v="9"/>
            <x v="11"/>
            <x v="16"/>
            <x v="17"/>
            <x v="18"/>
            <x v="20"/>
          </reference>
        </references>
      </pivotArea>
    </format>
    <format dxfId="266">
      <pivotArea dataOnly="0" labelOnly="1" outline="0" offset="IV1" fieldPosition="0">
        <references count="6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>
            <x v="25"/>
          </reference>
        </references>
      </pivotArea>
    </format>
    <format dxfId="265">
      <pivotArea dataOnly="0" labelOnly="1" outline="0" offset="IV256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0"/>
          </reference>
          <reference field="5" count="1" selected="0">
            <x v="25"/>
          </reference>
          <reference field="21" count="1">
            <x v="2"/>
          </reference>
        </references>
      </pivotArea>
    </format>
    <format dxfId="26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263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262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21" count="2">
            <x v="0"/>
            <x v="1"/>
          </reference>
        </references>
      </pivotArea>
    </format>
    <format dxfId="261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21" count="2">
            <x v="0"/>
            <x v="1"/>
          </reference>
        </references>
      </pivotArea>
    </format>
    <format dxfId="260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3"/>
          </reference>
          <reference field="21" count="2">
            <x v="0"/>
            <x v="1"/>
          </reference>
        </references>
      </pivotArea>
    </format>
    <format dxfId="259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4"/>
          </reference>
          <reference field="21" count="2">
            <x v="0"/>
            <x v="1"/>
          </reference>
        </references>
      </pivotArea>
    </format>
    <format dxfId="258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21" count="2">
            <x v="0"/>
            <x v="1"/>
          </reference>
        </references>
      </pivotArea>
    </format>
    <format dxfId="257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21" count="2">
            <x v="0"/>
            <x v="1"/>
          </reference>
        </references>
      </pivotArea>
    </format>
    <format dxfId="256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21" count="2">
            <x v="0"/>
            <x v="1"/>
          </reference>
        </references>
      </pivotArea>
    </format>
    <format dxfId="255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21" count="1">
            <x v="0"/>
          </reference>
        </references>
      </pivotArea>
    </format>
    <format dxfId="254">
      <pivotArea dataOnly="0" labelOnly="1" outline="0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0"/>
          </reference>
          <reference field="21" count="1">
            <x v="1"/>
          </reference>
        </references>
      </pivotArea>
    </format>
    <format dxfId="253">
      <pivotArea dataOnly="0" labelOnly="1" outline="0" offset="IV1" fieldPosition="0">
        <references count="7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5"/>
          </reference>
          <reference field="21" count="1">
            <x v="0"/>
          </reference>
        </references>
      </pivotArea>
    </format>
    <format dxfId="252">
      <pivotArea dataOnly="0" labelOnly="1" outline="0" offset="IV5:IV256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5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21" count="1" selected="0">
            <x v="1"/>
          </reference>
          <reference field="25" count="1">
            <x v="7"/>
          </reference>
        </references>
      </pivotArea>
    </format>
    <format dxfId="25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4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21" count="1" selected="0">
            <x v="1"/>
          </reference>
          <reference field="25" count="3">
            <x v="5"/>
            <x v="7"/>
            <x v="14"/>
          </reference>
        </references>
      </pivotArea>
    </format>
    <format dxfId="24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4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21" count="1" selected="0">
            <x v="1"/>
          </reference>
          <reference field="25" count="2">
            <x v="0"/>
            <x v="15"/>
          </reference>
        </references>
      </pivotArea>
    </format>
    <format dxfId="24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4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21" count="1" selected="0">
            <x v="1"/>
          </reference>
          <reference field="25" count="1">
            <x v="7"/>
          </reference>
        </references>
      </pivotArea>
    </format>
    <format dxfId="244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3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43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4"/>
          </reference>
          <reference field="21" count="1" selected="0">
            <x v="1"/>
          </reference>
          <reference field="25" count="1">
            <x v="9"/>
          </reference>
        </references>
      </pivotArea>
    </format>
    <format dxfId="242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41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21" count="1" selected="0">
            <x v="1"/>
          </reference>
          <reference field="25" count="2">
            <x v="14"/>
            <x v="16"/>
          </reference>
        </references>
      </pivotArea>
    </format>
    <format dxfId="240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39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21" count="1" selected="0">
            <x v="1"/>
          </reference>
          <reference field="25" count="1">
            <x v="10"/>
          </reference>
        </references>
      </pivotArea>
    </format>
    <format dxfId="238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37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7"/>
          </reference>
          <reference field="21" count="1" selected="0">
            <x v="1"/>
          </reference>
          <reference field="25" count="1">
            <x v="14"/>
          </reference>
        </references>
      </pivotArea>
    </format>
    <format dxfId="236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35">
      <pivotArea dataOnly="0" labelOnly="1" outline="0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0"/>
          </reference>
          <reference field="21" count="1" selected="0">
            <x v="1"/>
          </reference>
          <reference field="25" count="1">
            <x v="20"/>
          </reference>
        </references>
      </pivotArea>
    </format>
    <format dxfId="234">
      <pivotArea dataOnly="0" labelOnly="1" outline="0" offset="IV1" fieldPosition="0">
        <references count="8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5"/>
          </reference>
          <reference field="21" count="1" selected="0">
            <x v="0"/>
          </reference>
          <reference field="25" count="1">
            <x v="26"/>
          </reference>
        </references>
      </pivotArea>
    </format>
    <format dxfId="2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0"/>
          </reference>
          <reference field="5" count="1" selected="0">
            <x v="25"/>
          </reference>
          <reference field="11" count="1" selected="0">
            <x v="495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7"/>
          </reference>
        </references>
      </pivotArea>
    </format>
    <format dxfId="2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0"/>
          </reference>
          <reference field="5" count="1" selected="0">
            <x v="25"/>
          </reference>
          <reference field="11" count="1" selected="0">
            <x v="691"/>
          </reference>
          <reference field="21" count="1" selected="0">
            <x v="2"/>
          </reference>
          <reference field="25" count="1" selected="0">
            <x v="26"/>
          </reference>
          <reference field="36" count="1">
            <x v="177"/>
          </reference>
        </references>
      </pivotArea>
    </format>
    <format dxfId="2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"/>
          </reference>
          <reference field="5" count="1" selected="0">
            <x v="25"/>
          </reference>
          <reference field="11" count="1" selected="0">
            <x v="2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5"/>
          </reference>
        </references>
      </pivotArea>
    </format>
    <format dxfId="2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"/>
          </reference>
          <reference field="5" count="1" selected="0">
            <x v="25"/>
          </reference>
          <reference field="11" count="1" selected="0">
            <x v="4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3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3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5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2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6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2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9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2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3"/>
          </reference>
          <reference field="5" count="1" selected="0">
            <x v="25"/>
          </reference>
          <reference field="11" count="1" selected="0">
            <x v="820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99"/>
          </reference>
        </references>
      </pivotArea>
    </format>
    <format dxfId="2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2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3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2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6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8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2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0"/>
          </reference>
          <reference field="5" count="1" selected="0">
            <x v="25"/>
          </reference>
          <reference field="11" count="1" selected="0">
            <x v="9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4"/>
          </reference>
        </references>
      </pivotArea>
    </format>
    <format dxfId="2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9"/>
          </reference>
        </references>
      </pivotArea>
    </format>
    <format dxfId="2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8"/>
          </reference>
        </references>
      </pivotArea>
    </format>
    <format dxfId="2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40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2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6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7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5"/>
          </reference>
        </references>
      </pivotArea>
    </format>
    <format dxfId="2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89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2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00"/>
          </reference>
          <reference field="21" count="1" selected="0">
            <x v="1"/>
          </reference>
          <reference field="25" count="1" selected="0">
            <x v="0"/>
          </reference>
          <reference field="36" count="1">
            <x v="237"/>
          </reference>
        </references>
      </pivotArea>
    </format>
    <format dxfId="2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7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00"/>
          </reference>
        </references>
      </pivotArea>
    </format>
    <format dxfId="2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9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00"/>
          </reference>
        </references>
      </pivotArea>
    </format>
    <format dxfId="2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181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35"/>
          </reference>
        </references>
      </pivotArea>
    </format>
    <format dxfId="2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198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00"/>
          </reference>
        </references>
      </pivotArea>
    </format>
    <format dxfId="2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242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00"/>
          </reference>
        </references>
      </pivotArea>
    </format>
    <format dxfId="2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560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00"/>
          </reference>
        </references>
      </pivotArea>
    </format>
    <format dxfId="2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2"/>
          </reference>
          <reference field="5" count="1" selected="0">
            <x v="25"/>
          </reference>
          <reference field="11" count="1" selected="0">
            <x v="936"/>
          </reference>
          <reference field="21" count="1" selected="0">
            <x v="1"/>
          </reference>
          <reference field="25" count="1" selected="0">
            <x v="15"/>
          </reference>
          <reference field="36" count="1">
            <x v="200"/>
          </reference>
        </references>
      </pivotArea>
    </format>
    <format dxfId="2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7"/>
          </reference>
        </references>
      </pivotArea>
    </format>
    <format dxfId="2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1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0"/>
          </reference>
        </references>
      </pivotArea>
    </format>
    <format dxfId="1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2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4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5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5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7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9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1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12"/>
          </reference>
          <reference field="11" count="1" selected="0">
            <x v="871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199"/>
          </reference>
        </references>
      </pivotArea>
    </format>
    <format dxfId="1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5"/>
          </reference>
          <reference field="5" count="1" selected="0">
            <x v="25"/>
          </reference>
          <reference field="11" count="1" selected="0">
            <x v="522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253"/>
          </reference>
        </references>
      </pivotArea>
    </format>
    <format dxfId="1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3"/>
          </reference>
          <reference field="11" count="1" selected="0">
            <x v="62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3"/>
          </reference>
          <reference field="11" count="1" selected="0">
            <x v="170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233"/>
          </reference>
        </references>
      </pivotArea>
    </format>
    <format dxfId="1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3"/>
          </reference>
          <reference field="11" count="1" selected="0">
            <x v="972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233"/>
          </reference>
        </references>
      </pivotArea>
    </format>
    <format dxfId="1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4"/>
          </reference>
          <reference field="11" count="1" selected="0">
            <x v="59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4"/>
          </reference>
          <reference field="11" count="1" selected="0">
            <x v="8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4"/>
          </reference>
          <reference field="11" count="1" selected="0">
            <x v="8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4"/>
          </reference>
          <reference field="11" count="1" selected="0">
            <x v="93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249"/>
          </reference>
        </references>
      </pivotArea>
    </format>
    <format dxfId="1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1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6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6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1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7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8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8"/>
          </reference>
        </references>
      </pivotArea>
    </format>
    <format dxfId="1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9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95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512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290"/>
          </reference>
        </references>
      </pivotArea>
    </format>
    <format dxfId="1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5"/>
          </reference>
          <reference field="11" count="1" selected="0">
            <x v="10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222"/>
          </reference>
        </references>
      </pivotArea>
    </format>
    <format dxfId="1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1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3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43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4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5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30"/>
          </reference>
        </references>
      </pivotArea>
    </format>
    <format dxfId="1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7"/>
          </reference>
          <reference field="11" count="1" selected="0">
            <x v="86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4"/>
          </reference>
        </references>
      </pivotArea>
    </format>
    <format dxfId="1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11" count="1" selected="0">
            <x v="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11" count="1" selected="0">
            <x v="5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1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11" count="1" selected="0">
            <x v="88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11" count="1" selected="0">
            <x v="9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11" count="1" selected="0">
            <x v="10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9"/>
          </reference>
          <reference field="11" count="1" selected="0">
            <x v="568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211"/>
          </reference>
        </references>
      </pivotArea>
    </format>
    <format dxfId="1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21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4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44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5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6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6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9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1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96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1"/>
          </reference>
          <reference field="11" count="1" selected="0">
            <x v="9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17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5"/>
          </reference>
        </references>
      </pivotArea>
    </format>
    <format dxfId="1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71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8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1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6"/>
          </reference>
          <reference field="11" count="1" selected="0">
            <x v="84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2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2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57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7"/>
          </reference>
        </references>
      </pivotArea>
    </format>
    <format dxfId="1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7"/>
          </reference>
          <reference field="11" count="1" selected="0">
            <x v="756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314"/>
          </reference>
        </references>
      </pivotArea>
    </format>
    <format dxfId="1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1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4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9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25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57"/>
          </reference>
        </references>
      </pivotArea>
    </format>
    <format dxfId="1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27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2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7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8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38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4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4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4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5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6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6"/>
          </reference>
        </references>
      </pivotArea>
    </format>
    <format dxfId="1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7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7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75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9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98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01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4"/>
          </reference>
        </references>
      </pivotArea>
    </format>
    <format dxfId="1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0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1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18"/>
          </reference>
          <reference field="11" count="1" selected="0">
            <x v="1061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221"/>
          </reference>
        </references>
      </pivotArea>
    </format>
    <format dxfId="1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0"/>
          </reference>
          <reference field="11" count="1" selected="0">
            <x v="795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237"/>
          </reference>
        </references>
      </pivotArea>
    </format>
    <format dxfId="1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5"/>
          </reference>
          <reference field="11" count="1" selected="0">
            <x v="3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4"/>
          </reference>
        </references>
      </pivotArea>
    </format>
    <format dxfId="1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5"/>
          </reference>
          <reference field="11" count="1" selected="0">
            <x v="41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4"/>
          </reference>
        </references>
      </pivotArea>
    </format>
    <format dxfId="1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5"/>
          </reference>
          <reference field="11" count="1" selected="0">
            <x v="4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8"/>
          </reference>
        </references>
      </pivotArea>
    </format>
    <format dxfId="1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6"/>
          </reference>
          <reference field="11" count="1" selected="0">
            <x v="1068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211"/>
          </reference>
        </references>
      </pivotArea>
    </format>
    <format dxfId="1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6"/>
          </reference>
          <reference field="11" count="1" selected="0">
            <x v="1062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221"/>
          </reference>
        </references>
      </pivotArea>
    </format>
    <format dxfId="1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8"/>
          </reference>
          <reference field="11" count="1" selected="0">
            <x v="1066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173"/>
          </reference>
        </references>
      </pivotArea>
    </format>
    <format dxfId="1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19"/>
          </reference>
          <reference field="5" count="1" selected="0">
            <x v="28"/>
          </reference>
          <reference field="11" count="1" selected="0">
            <x v="1067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221"/>
          </reference>
        </references>
      </pivotArea>
    </format>
    <format dxfId="1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10"/>
          </reference>
          <reference field="11" count="1" selected="0">
            <x v="42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0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1"/>
          </reference>
          <reference field="11" count="1" selected="0">
            <x v="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10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1"/>
          </reference>
          <reference field="11" count="1" selected="0">
            <x v="7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10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10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1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20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22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2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33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10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3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40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4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9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0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2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5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61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63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6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9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75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77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8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1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1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8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9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96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"/>
          </reference>
        </references>
      </pivotArea>
    </format>
    <format dxfId="8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4"/>
          </reference>
          <reference field="11" count="1" selected="0">
            <x v="10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"/>
          </reference>
        </references>
      </pivotArea>
    </format>
    <format dxfId="8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8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0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2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8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7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43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92"/>
          </reference>
        </references>
      </pivotArea>
    </format>
    <format dxfId="7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52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7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5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66"/>
          </reference>
        </references>
      </pivotArea>
    </format>
    <format dxfId="7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0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0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7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624"/>
          </reference>
          <reference field="21" count="1" selected="0">
            <x v="1"/>
          </reference>
          <reference field="25" count="1" selected="0">
            <x v="2"/>
          </reference>
          <reference field="36" count="1">
            <x v="301"/>
          </reference>
        </references>
      </pivotArea>
    </format>
    <format dxfId="7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133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214"/>
          </reference>
        </references>
      </pivotArea>
    </format>
    <format dxfId="6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934"/>
          </reference>
          <reference field="21" count="1" selected="0">
            <x v="1"/>
          </reference>
          <reference field="25" count="1" selected="0">
            <x v="5"/>
          </reference>
          <reference field="36" count="1">
            <x v="292"/>
          </reference>
        </references>
      </pivotArea>
    </format>
    <format dxfId="6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6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316"/>
          </reference>
        </references>
      </pivotArea>
    </format>
    <format dxfId="6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977"/>
          </reference>
          <reference field="21" count="1" selected="0">
            <x v="1"/>
          </reference>
          <reference field="25" count="1" selected="0">
            <x v="9"/>
          </reference>
          <reference field="36" count="1">
            <x v="249"/>
          </reference>
        </references>
      </pivotArea>
    </format>
    <format dxfId="6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36"/>
          </reference>
          <reference field="21" count="1" selected="0">
            <x v="1"/>
          </reference>
          <reference field="25" count="1" selected="0">
            <x v="10"/>
          </reference>
          <reference field="36" count="1">
            <x v="311"/>
          </reference>
        </references>
      </pivotArea>
    </format>
    <format dxfId="6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158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230"/>
          </reference>
        </references>
      </pivotArea>
    </format>
    <format dxfId="6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9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254"/>
          </reference>
        </references>
      </pivotArea>
    </format>
    <format dxfId="6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104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221"/>
          </reference>
        </references>
      </pivotArea>
    </format>
    <format dxfId="6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792"/>
          </reference>
          <reference field="21" count="1" selected="0">
            <x v="1"/>
          </reference>
          <reference field="25" count="1" selected="0">
            <x v="18"/>
          </reference>
          <reference field="36" count="1">
            <x v="221"/>
          </reference>
        </references>
      </pivotArea>
    </format>
    <format dxfId="6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24"/>
          </reference>
          <reference field="5" count="1" selected="0">
            <x v="25"/>
          </reference>
          <reference field="11" count="1" selected="0">
            <x v="292"/>
          </reference>
          <reference field="21" count="1" selected="0">
            <x v="1"/>
          </reference>
          <reference field="25" count="1" selected="0">
            <x v="20"/>
          </reference>
          <reference field="36" count="1">
            <x v="253"/>
          </reference>
        </references>
      </pivotArea>
    </format>
    <format dxfId="6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26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4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6"/>
          </reference>
        </references>
      </pivotArea>
    </format>
    <format dxfId="5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687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219"/>
          </reference>
        </references>
      </pivotArea>
    </format>
    <format dxfId="5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1"/>
          </reference>
          <reference field="11" count="1" selected="0">
            <x v="462"/>
          </reference>
          <reference field="21" count="1" selected="0">
            <x v="1"/>
          </reference>
          <reference field="25" count="1" selected="0">
            <x v="26"/>
          </reference>
          <reference field="36" count="1">
            <x v="211"/>
          </reference>
        </references>
      </pivotArea>
    </format>
    <format dxfId="5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5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5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9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74"/>
          </reference>
        </references>
      </pivotArea>
    </format>
    <format dxfId="5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5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53"/>
          </reference>
        </references>
      </pivotArea>
    </format>
    <format dxfId="4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8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4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9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21"/>
          </reference>
        </references>
      </pivotArea>
    </format>
    <format dxfId="4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9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15"/>
          </reference>
        </references>
      </pivotArea>
    </format>
    <format dxfId="4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0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1"/>
          </reference>
        </references>
      </pivotArea>
    </format>
    <format dxfId="4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4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4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4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4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5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4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6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4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3"/>
          </reference>
        </references>
      </pivotArea>
    </format>
    <format dxfId="4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8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1"/>
          </reference>
        </references>
      </pivotArea>
    </format>
    <format dxfId="3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39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3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4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3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6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3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57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3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62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3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6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2"/>
          </reference>
        </references>
      </pivotArea>
    </format>
    <format dxfId="3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69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3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2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3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4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3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5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2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60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98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102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89"/>
          </reference>
        </references>
      </pivotArea>
    </format>
    <format dxfId="2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45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205"/>
          </reference>
        </references>
      </pivotArea>
    </format>
    <format dxfId="2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62"/>
          </reference>
          <reference field="21" count="1" selected="0">
            <x v="1"/>
          </reference>
          <reference field="25" count="1" selected="0">
            <x v="1"/>
          </reference>
          <reference field="36" count="1">
            <x v="205"/>
          </reference>
        </references>
      </pivotArea>
    </format>
    <format dxfId="2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89"/>
          </reference>
          <reference field="21" count="1" selected="0">
            <x v="1"/>
          </reference>
          <reference field="25" count="1" selected="0">
            <x v="14"/>
          </reference>
          <reference field="36" count="1">
            <x v="217"/>
          </reference>
        </references>
      </pivotArea>
    </format>
    <format dxfId="2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7"/>
          </reference>
          <reference field="5" count="1" selected="0">
            <x v="25"/>
          </reference>
          <reference field="11" count="1" selected="0">
            <x v="25"/>
          </reference>
          <reference field="21" count="1" selected="0">
            <x v="1"/>
          </reference>
          <reference field="25" count="1" selected="0">
            <x v="16"/>
          </reference>
          <reference field="36" count="1">
            <x v="198"/>
          </reference>
        </references>
      </pivotArea>
    </format>
    <format dxfId="2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10"/>
          </reference>
          <reference field="11" count="1" selected="0">
            <x v="17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71"/>
          </reference>
        </references>
      </pivotArea>
    </format>
    <format dxfId="2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10"/>
          </reference>
          <reference field="11" count="1" selected="0">
            <x v="93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10"/>
          </reference>
          <reference field="11" count="1" selected="0">
            <x v="1017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2"/>
          </reference>
        </references>
      </pivotArea>
    </format>
    <format dxfId="18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62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3"/>
          </reference>
        </references>
      </pivotArea>
    </format>
    <format dxfId="17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191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26"/>
          </reference>
        </references>
      </pivotArea>
    </format>
    <format dxfId="16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459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5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49"/>
          </reference>
          <reference field="5" count="1" selected="0">
            <x v="25"/>
          </reference>
          <reference field="11" count="1" selected="0">
            <x v="674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9"/>
          </reference>
        </references>
      </pivotArea>
    </format>
    <format dxfId="14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53"/>
          </reference>
          <reference field="5" count="1" selected="0">
            <x v="25"/>
          </reference>
          <reference field="11" count="1" selected="0">
            <x v="166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41"/>
          </reference>
        </references>
      </pivotArea>
    </format>
    <format dxfId="13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53"/>
          </reference>
          <reference field="5" count="1" selected="0">
            <x v="25"/>
          </reference>
          <reference field="11" count="1" selected="0">
            <x v="33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9"/>
          </reference>
        </references>
      </pivotArea>
    </format>
    <format dxfId="12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53"/>
          </reference>
          <reference field="5" count="1" selected="0">
            <x v="25"/>
          </reference>
          <reference field="11" count="1" selected="0">
            <x v="928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06"/>
          </reference>
        </references>
      </pivotArea>
    </format>
    <format dxfId="11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53"/>
          </reference>
          <reference field="5" count="1" selected="0">
            <x v="25"/>
          </reference>
          <reference field="11" count="1" selected="0">
            <x v="1033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39"/>
          </reference>
        </references>
      </pivotArea>
    </format>
    <format dxfId="10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53"/>
          </reference>
          <reference field="5" count="1" selected="0">
            <x v="25"/>
          </reference>
          <reference field="11" count="1" selected="0">
            <x v="1065"/>
          </reference>
          <reference field="21" count="1" selected="0">
            <x v="0"/>
          </reference>
          <reference field="25" count="1" selected="0">
            <x v="26"/>
          </reference>
          <reference field="36" count="1">
            <x v="149"/>
          </reference>
        </references>
      </pivotArea>
    </format>
    <format dxfId="9">
      <pivotArea dataOnly="0" labelOnly="1" outline="0" fieldPosition="0">
        <references count="10">
          <reference field="0" count="0" selected="0"/>
          <reference field="1" count="1" selected="0">
            <x v="3"/>
          </reference>
          <reference field="2" count="1" selected="0">
            <x v="1"/>
          </reference>
          <reference field="3" count="0" selected="0"/>
          <reference field="4" count="1" selected="0">
            <x v="54"/>
          </reference>
          <reference field="5" count="1" selected="0">
            <x v="25"/>
          </reference>
          <reference field="11" count="1" selected="0">
            <x v="845"/>
          </reference>
          <reference field="21" count="1" selected="0">
            <x v="1"/>
          </reference>
          <reference field="25" count="1" selected="0">
            <x v="7"/>
          </reference>
          <reference field="36" count="1">
            <x v="2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3:B9" firstHeaderRow="2" firstDataRow="2" firstDataCol="1"/>
  <pivotFields count="29"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compact="0" outline="0" showAll="0" defaultSubtotal="0">
      <items count="4">
        <item x="0"/>
        <item x="1"/>
        <item x="3"/>
        <item x="2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APELLIDO Y NOMBRE/S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E5:K10" firstHeaderRow="2" firstDataRow="2" firstDataCol="1"/>
  <pivotFields count="29">
    <pivotField compact="0" outline="0" showAll="0" defaultSubtotal="0"/>
    <pivotField axis="axisRow" compact="0" outline="0" showAll="0">
      <items count="17">
        <item m="1" x="9"/>
        <item m="1" x="12"/>
        <item m="1" x="13"/>
        <item m="1" x="14"/>
        <item m="1" x="5"/>
        <item m="1" x="8"/>
        <item m="1" x="4"/>
        <item x="0"/>
        <item m="1" x="15"/>
        <item m="1" x="10"/>
        <item m="1" x="3"/>
        <item m="1" x="7"/>
        <item m="1" x="11"/>
        <item x="1"/>
        <item x="2"/>
        <item m="1"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</pivotFields>
  <rowFields count="1">
    <field x="1"/>
  </rowFields>
  <rowItems count="4">
    <i>
      <x v="7"/>
    </i>
    <i>
      <x v="13"/>
    </i>
    <i>
      <x v="14"/>
    </i>
    <i t="grand">
      <x/>
    </i>
  </rowItems>
  <colItems count="1">
    <i/>
  </colItem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5:B10" firstHeaderRow="2" firstDataRow="2" firstDataCol="1"/>
  <pivotFields count="25">
    <pivotField compact="0" outline="0" showAll="0" defaultSubtotal="0"/>
    <pivotField axis="axisRow" compact="0" outline="0" showAll="0">
      <items count="16">
        <item m="1" x="10"/>
        <item m="1" x="4"/>
        <item m="1" x="9"/>
        <item x="1"/>
        <item x="0"/>
        <item m="1" x="3"/>
        <item m="1" x="11"/>
        <item m="1" x="5"/>
        <item m="1" x="13"/>
        <item m="1" x="14"/>
        <item m="1" x="8"/>
        <item m="1" x="7"/>
        <item m="1" x="12"/>
        <item x="2"/>
        <item m="1" x="6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</pivotFields>
  <rowFields count="1">
    <field x="1"/>
  </rowFields>
  <rowItems count="4">
    <i>
      <x v="3"/>
    </i>
    <i>
      <x v="4"/>
    </i>
    <i>
      <x v="13"/>
    </i>
    <i t="grand">
      <x/>
    </i>
  </rowItems>
  <colItems count="1">
    <i/>
  </colItems>
  <dataFields count="1">
    <dataField name="Cuenta de APELLIDO Y NOMBRE/S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 chartFormat="1">
  <location ref="A3:C16" firstHeaderRow="1" firstDataRow="2" firstDataCol="1" rowPageCount="1" colPageCount="1"/>
  <pivotFields count="38">
    <pivotField compact="0" outline="0" showAll="0" defaultSubtotal="0"/>
    <pivotField compact="0" outline="0" showAll="0"/>
    <pivotField compact="0" outline="0" showAll="0" defaultSubtotal="0"/>
    <pivotField axis="axisRow" compact="0" outline="0" showAll="0">
      <items count="17">
        <item x="5"/>
        <item x="1"/>
        <item x="0"/>
        <item m="1" x="12"/>
        <item x="3"/>
        <item m="1" x="14"/>
        <item x="2"/>
        <item x="10"/>
        <item m="1" x="15"/>
        <item x="8"/>
        <item x="9"/>
        <item m="1" x="11"/>
        <item m="1" x="13"/>
        <item x="6"/>
        <item x="7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</pivotFields>
  <rowFields count="1">
    <field x="3"/>
  </rowFields>
  <rowItems count="12">
    <i>
      <x/>
    </i>
    <i>
      <x v="1"/>
    </i>
    <i>
      <x v="2"/>
    </i>
    <i>
      <x v="4"/>
    </i>
    <i>
      <x v="6"/>
    </i>
    <i>
      <x v="7"/>
    </i>
    <i>
      <x v="9"/>
    </i>
    <i>
      <x v="10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pageFields count="1">
    <pageField fld="20" hier="-1"/>
  </pageFields>
  <dataFields count="2">
    <dataField name="Cuenta de APELLIDO Y NOMBRE/S" fld="11" subtotal="count" baseField="0" baseItem="0"/>
    <dataField name="Cuenta de Julio + 10%" fld="36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 chartFormat="11">
  <location ref="A3:B8" firstHeaderRow="2" firstDataRow="2" firstDataCol="1"/>
  <pivotFields count="38">
    <pivotField compact="0" outline="0" showAll="0" defaultSubtotal="0"/>
    <pivotField axis="axisRow" compact="0" outline="0" showAll="0">
      <items count="9">
        <item x="0"/>
        <item m="1" x="7"/>
        <item m="1" x="4"/>
        <item x="1"/>
        <item m="1" x="3"/>
        <item m="1" x="6"/>
        <item x="2"/>
        <item m="1" x="5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4">
    <i>
      <x/>
    </i>
    <i>
      <x v="3"/>
    </i>
    <i>
      <x v="6"/>
    </i>
    <i t="grand">
      <x/>
    </i>
  </rowItems>
  <colItems count="1">
    <i/>
  </colItems>
  <dataFields count="1">
    <dataField name="PLANTEL SFMyCP (en transición MINPLAN/SGP/OTROS)" fld="11" subtotal="count" baseField="0" baseItem="0"/>
  </dataFields>
  <formats count="1">
    <format dxfId="7">
      <pivotArea type="origin" dataOnly="0" labelOnly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4:B17" firstHeaderRow="2" firstDataRow="2" firstDataCol="1" rowPageCount="1" colPageCount="1"/>
  <pivotFields count="29">
    <pivotField compact="0" outline="0" showAll="0" defaultSubtotal="0"/>
    <pivotField compact="0" outline="0" showAll="0"/>
    <pivotField compact="0" outline="0" showAll="0" defaultSubtotal="0"/>
    <pivotField axis="axisRow" compact="0" outline="0" showAll="0">
      <items count="44">
        <item m="1" x="21"/>
        <item m="1" x="33"/>
        <item m="1" x="23"/>
        <item m="1" x="39"/>
        <item m="1" x="12"/>
        <item m="1" x="42"/>
        <item m="1" x="29"/>
        <item m="1" x="37"/>
        <item m="1" x="11"/>
        <item m="1" x="36"/>
        <item m="1" x="31"/>
        <item m="1" x="30"/>
        <item m="1" x="28"/>
        <item m="1" x="18"/>
        <item m="1" x="35"/>
        <item m="1" x="24"/>
        <item x="10"/>
        <item m="1" x="22"/>
        <item m="1" x="13"/>
        <item x="1"/>
        <item m="1" x="32"/>
        <item m="1" x="41"/>
        <item m="1" x="25"/>
        <item m="1" x="27"/>
        <item x="3"/>
        <item x="5"/>
        <item m="1" x="15"/>
        <item x="2"/>
        <item x="0"/>
        <item m="1" x="17"/>
        <item m="1" x="26"/>
        <item m="1" x="14"/>
        <item m="1" x="38"/>
        <item m="1" x="34"/>
        <item m="1" x="40"/>
        <item m="1" x="19"/>
        <item x="8"/>
        <item x="6"/>
        <item x="9"/>
        <item m="1" x="16"/>
        <item m="1" x="20"/>
        <item x="7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>
      <items count="4">
        <item x="0"/>
        <item x="1"/>
        <item x="2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</pivotFields>
  <rowFields count="1">
    <field x="3"/>
  </rowFields>
  <rowItems count="12">
    <i>
      <x v="16"/>
    </i>
    <i>
      <x v="19"/>
    </i>
    <i>
      <x v="24"/>
    </i>
    <i>
      <x v="25"/>
    </i>
    <i>
      <x v="27"/>
    </i>
    <i>
      <x v="28"/>
    </i>
    <i>
      <x v="36"/>
    </i>
    <i>
      <x v="37"/>
    </i>
    <i>
      <x v="38"/>
    </i>
    <i>
      <x v="41"/>
    </i>
    <i>
      <x v="42"/>
    </i>
    <i t="grand">
      <x/>
    </i>
  </rowItems>
  <colItems count="1">
    <i/>
  </colItems>
  <pageFields count="1">
    <pageField fld="20" hier="-1"/>
  </pageFields>
  <dataFields count="1">
    <dataField name="Cuenta de APELLIDO Y NOMBRE/S" fld="11" subtotal="count" baseField="0" baseItem="0"/>
  </dataFields>
  <formats count="2">
    <format dxfId="6">
      <pivotArea outline="0" collapsedLevelsAreSubtotals="1" fieldPosition="0"/>
    </format>
    <format dxfId="5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3:I749" firstHeaderRow="2" firstDataRow="2" firstDataCol="8" rowPageCount="1" colPageCount="1"/>
  <pivotFields count="31">
    <pivotField compact="0" outline="0" showAll="0" defaultSubtotal="0"/>
    <pivotField axis="axisPage" compact="0" outline="0" multipleItemSelectionAllowed="1" showAll="0">
      <items count="10">
        <item h="1" m="1" x="6"/>
        <item m="1" x="3"/>
        <item x="0"/>
        <item h="1" m="1" x="8"/>
        <item m="1" x="4"/>
        <item h="1" m="1" x="7"/>
        <item x="1"/>
        <item x="2"/>
        <item h="1" m="1" x="5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Row" compact="0" outline="0" multipleItemSelectionAllowed="1" showAll="0" defaultSubtotal="0">
      <items count="18">
        <item x="5"/>
        <item x="1"/>
        <item x="0"/>
        <item m="1" x="13"/>
        <item sd="0" x="3"/>
        <item m="1" x="16"/>
        <item m="1" x="11"/>
        <item m="1" x="15"/>
        <item m="1" x="17"/>
        <item x="2"/>
        <item sd="0" x="10"/>
        <item m="1" x="14"/>
        <item x="8"/>
        <item x="9"/>
        <item m="1" x="12"/>
        <item x="4"/>
        <item x="6"/>
        <item x="7"/>
      </items>
    </pivotField>
    <pivotField axis="axisRow" compact="0" outline="0" showAll="0" defaultSubtotal="0">
      <items count="56">
        <item x="37"/>
        <item x="39"/>
        <item x="49"/>
        <item x="13"/>
        <item x="19"/>
        <item x="33"/>
        <item x="9"/>
        <item x="23"/>
        <item x="47"/>
        <item x="30"/>
        <item x="1"/>
        <item x="24"/>
        <item m="1" x="51"/>
        <item m="1" x="55"/>
        <item x="4"/>
        <item x="26"/>
        <item x="16"/>
        <item x="32"/>
        <item x="3"/>
        <item x="44"/>
        <item x="28"/>
        <item x="36"/>
        <item x="42"/>
        <item x="15"/>
        <item x="22"/>
        <item x="46"/>
        <item x="41"/>
        <item x="6"/>
        <item x="29"/>
        <item x="21"/>
        <item x="18"/>
        <item x="35"/>
        <item x="25"/>
        <item x="20"/>
        <item x="40"/>
        <item m="1" x="50"/>
        <item x="7"/>
        <item x="10"/>
        <item x="27"/>
        <item m="1" x="54"/>
        <item x="2"/>
        <item m="1" x="53"/>
        <item x="8"/>
        <item x="0"/>
        <item x="14"/>
        <item x="34"/>
        <item x="5"/>
        <item x="48"/>
        <item m="1" x="52"/>
        <item x="17"/>
        <item x="12"/>
        <item x="11"/>
        <item x="38"/>
        <item x="43"/>
        <item x="31"/>
        <item x="45"/>
      </items>
    </pivotField>
    <pivotField axis="axisRow" compact="0" outline="0" showAll="0" defaultSubtotal="0">
      <items count="35">
        <item x="6"/>
        <item m="1" x="27"/>
        <item m="1" x="29"/>
        <item m="1" x="31"/>
        <item m="1" x="33"/>
        <item x="18"/>
        <item x="24"/>
        <item m="1" x="34"/>
        <item x="8"/>
        <item x="26"/>
        <item x="13"/>
        <item x="15"/>
        <item x="5"/>
        <item x="3"/>
        <item x="1"/>
        <item x="17"/>
        <item x="12"/>
        <item x="19"/>
        <item x="21"/>
        <item x="14"/>
        <item m="1" x="28"/>
        <item m="1" x="30"/>
        <item x="2"/>
        <item x="9"/>
        <item x="0"/>
        <item m="1" x="32"/>
        <item x="25"/>
        <item x="4"/>
        <item x="7"/>
        <item x="11"/>
        <item x="10"/>
        <item x="20"/>
        <item x="16"/>
        <item x="22"/>
        <item x="23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Row" dataField="1" compact="0" outline="0" showAll="0" defaultSubtotal="0">
      <items count="1206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m="1" x="1134"/>
        <item x="14"/>
        <item x="16"/>
        <item x="17"/>
        <item x="18"/>
        <item x="20"/>
        <item x="22"/>
        <item x="23"/>
        <item x="26"/>
        <item x="27"/>
        <item x="28"/>
        <item x="29"/>
        <item x="30"/>
        <item x="31"/>
        <item x="32"/>
        <item x="33"/>
        <item m="1" x="1043"/>
        <item x="34"/>
        <item x="35"/>
        <item x="36"/>
        <item x="37"/>
        <item x="38"/>
        <item x="39"/>
        <item x="40"/>
        <item x="42"/>
        <item x="43"/>
        <item m="1" x="1056"/>
        <item x="45"/>
        <item x="46"/>
        <item x="48"/>
        <item x="51"/>
        <item x="52"/>
        <item x="53"/>
        <item x="54"/>
        <item x="55"/>
        <item m="1" x="118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1196"/>
        <item x="70"/>
        <item m="1" x="1018"/>
        <item m="1" x="1080"/>
        <item x="71"/>
        <item x="72"/>
        <item x="73"/>
        <item x="74"/>
        <item x="75"/>
        <item m="1" x="1166"/>
        <item x="76"/>
        <item x="77"/>
        <item m="1" x="1076"/>
        <item m="1" x="1163"/>
        <item x="78"/>
        <item x="79"/>
        <item m="1" x="1154"/>
        <item m="1" x="1106"/>
        <item x="95"/>
        <item x="96"/>
        <item x="98"/>
        <item x="99"/>
        <item m="1" x="1202"/>
        <item x="100"/>
        <item x="101"/>
        <item x="102"/>
        <item x="103"/>
        <item x="104"/>
        <item x="107"/>
        <item x="108"/>
        <item x="109"/>
        <item x="110"/>
        <item x="111"/>
        <item x="112"/>
        <item x="114"/>
        <item m="1" x="1047"/>
        <item x="116"/>
        <item x="117"/>
        <item x="118"/>
        <item x="119"/>
        <item x="122"/>
        <item x="123"/>
        <item m="1" x="1201"/>
        <item x="124"/>
        <item x="125"/>
        <item x="126"/>
        <item x="127"/>
        <item x="128"/>
        <item x="129"/>
        <item x="130"/>
        <item x="131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2"/>
        <item x="153"/>
        <item m="1" x="1086"/>
        <item x="154"/>
        <item x="155"/>
        <item x="157"/>
        <item x="158"/>
        <item m="1" x="1079"/>
        <item x="159"/>
        <item x="160"/>
        <item x="162"/>
        <item x="163"/>
        <item x="164"/>
        <item x="166"/>
        <item x="167"/>
        <item x="170"/>
        <item x="171"/>
        <item x="172"/>
        <item x="673"/>
        <item x="173"/>
        <item m="1" x="1185"/>
        <item m="1" x="1032"/>
        <item x="174"/>
        <item x="175"/>
        <item x="176"/>
        <item x="177"/>
        <item x="179"/>
        <item x="181"/>
        <item x="182"/>
        <item x="185"/>
        <item x="187"/>
        <item m="1" x="1062"/>
        <item x="189"/>
        <item x="190"/>
        <item x="194"/>
        <item x="195"/>
        <item x="197"/>
        <item x="198"/>
        <item x="199"/>
        <item m="1" x="1067"/>
        <item m="1" x="1169"/>
        <item x="200"/>
        <item x="201"/>
        <item x="202"/>
        <item x="203"/>
        <item x="204"/>
        <item x="205"/>
        <item x="206"/>
        <item m="1" x="1129"/>
        <item x="207"/>
        <item x="208"/>
        <item m="1" x="1110"/>
        <item m="1" x="1191"/>
        <item m="1" x="1130"/>
        <item x="209"/>
        <item x="210"/>
        <item x="211"/>
        <item x="213"/>
        <item x="214"/>
        <item m="1" x="1040"/>
        <item x="215"/>
        <item x="216"/>
        <item x="217"/>
        <item x="218"/>
        <item x="219"/>
        <item x="220"/>
        <item x="221"/>
        <item m="1" x="1059"/>
        <item x="222"/>
        <item x="223"/>
        <item x="224"/>
        <item x="226"/>
        <item x="227"/>
        <item x="228"/>
        <item x="230"/>
        <item m="1" x="1041"/>
        <item m="1" x="1021"/>
        <item m="1" x="1205"/>
        <item m="1" x="1204"/>
        <item x="233"/>
        <item x="236"/>
        <item x="238"/>
        <item x="239"/>
        <item m="1" x="1057"/>
        <item x="241"/>
        <item x="242"/>
        <item x="243"/>
        <item x="244"/>
        <item x="245"/>
        <item m="1" x="1037"/>
        <item x="247"/>
        <item x="248"/>
        <item x="249"/>
        <item x="250"/>
        <item m="1" x="1109"/>
        <item x="251"/>
        <item x="253"/>
        <item x="254"/>
        <item x="255"/>
        <item x="256"/>
        <item x="257"/>
        <item m="1" x="1143"/>
        <item x="258"/>
        <item x="260"/>
        <item x="261"/>
        <item x="262"/>
        <item m="1" x="1055"/>
        <item m="1" x="1151"/>
        <item x="265"/>
        <item m="1" x="1069"/>
        <item m="1" x="1168"/>
        <item x="268"/>
        <item x="269"/>
        <item x="270"/>
        <item x="271"/>
        <item x="272"/>
        <item m="1" x="1074"/>
        <item x="273"/>
        <item m="1" x="1120"/>
        <item x="275"/>
        <item x="276"/>
        <item x="278"/>
        <item x="279"/>
        <item m="1" x="1127"/>
        <item x="281"/>
        <item x="282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9"/>
        <item x="301"/>
        <item x="302"/>
        <item x="303"/>
        <item x="304"/>
        <item x="306"/>
        <item x="307"/>
        <item x="309"/>
        <item x="310"/>
        <item x="311"/>
        <item x="312"/>
        <item m="1" x="1131"/>
        <item x="315"/>
        <item x="316"/>
        <item x="319"/>
        <item x="321"/>
        <item x="322"/>
        <item x="324"/>
        <item x="326"/>
        <item m="1" x="1175"/>
        <item m="1" x="1034"/>
        <item x="327"/>
        <item x="328"/>
        <item x="329"/>
        <item m="1" x="1087"/>
        <item m="1" x="1100"/>
        <item x="334"/>
        <item x="335"/>
        <item m="1" x="1203"/>
        <item x="338"/>
        <item x="339"/>
        <item m="1" x="1054"/>
        <item x="342"/>
        <item x="343"/>
        <item x="344"/>
        <item x="345"/>
        <item m="1" x="1084"/>
        <item m="1" x="1150"/>
        <item x="348"/>
        <item x="349"/>
        <item x="351"/>
        <item x="352"/>
        <item m="1" x="1179"/>
        <item x="355"/>
        <item x="357"/>
        <item x="358"/>
        <item x="359"/>
        <item x="361"/>
        <item x="363"/>
        <item x="364"/>
        <item x="365"/>
        <item x="366"/>
        <item x="367"/>
        <item m="1" x="1116"/>
        <item x="369"/>
        <item x="370"/>
        <item x="371"/>
        <item x="373"/>
        <item x="375"/>
        <item x="376"/>
        <item x="377"/>
        <item x="378"/>
        <item x="379"/>
        <item m="1" x="1147"/>
        <item x="381"/>
        <item x="382"/>
        <item x="383"/>
        <item x="384"/>
        <item x="385"/>
        <item x="386"/>
        <item x="388"/>
        <item x="391"/>
        <item x="392"/>
        <item m="1" x="1058"/>
        <item x="393"/>
        <item x="395"/>
        <item x="396"/>
        <item x="397"/>
        <item x="398"/>
        <item x="399"/>
        <item x="402"/>
        <item x="403"/>
        <item m="1" x="1180"/>
        <item x="404"/>
        <item x="406"/>
        <item x="407"/>
        <item x="408"/>
        <item m="1" x="1097"/>
        <item m="1" x="1156"/>
        <item m="1" x="1015"/>
        <item x="409"/>
        <item x="411"/>
        <item x="412"/>
        <item x="413"/>
        <item x="415"/>
        <item m="1" x="1024"/>
        <item x="417"/>
        <item x="418"/>
        <item x="421"/>
        <item x="423"/>
        <item m="1" x="1162"/>
        <item x="426"/>
        <item x="427"/>
        <item x="428"/>
        <item x="429"/>
        <item x="430"/>
        <item x="431"/>
        <item x="433"/>
        <item x="434"/>
        <item m="1" x="1138"/>
        <item x="436"/>
        <item x="437"/>
        <item x="438"/>
        <item x="439"/>
        <item x="441"/>
        <item x="442"/>
        <item m="1" x="1096"/>
        <item x="444"/>
        <item x="445"/>
        <item x="446"/>
        <item x="449"/>
        <item x="451"/>
        <item m="1" x="1046"/>
        <item x="453"/>
        <item m="1" x="1200"/>
        <item x="455"/>
        <item x="456"/>
        <item m="1" x="1060"/>
        <item x="457"/>
        <item x="458"/>
        <item x="459"/>
        <item x="460"/>
        <item m="1" x="1090"/>
        <item x="461"/>
        <item x="462"/>
        <item x="463"/>
        <item x="464"/>
        <item x="466"/>
        <item x="467"/>
        <item m="1" x="1190"/>
        <item x="468"/>
        <item x="469"/>
        <item m="1" x="1119"/>
        <item x="471"/>
        <item x="472"/>
        <item m="1" x="1022"/>
        <item x="474"/>
        <item x="476"/>
        <item m="1" x="1102"/>
        <item x="479"/>
        <item x="480"/>
        <item x="481"/>
        <item x="483"/>
        <item m="1" x="1061"/>
        <item x="484"/>
        <item x="485"/>
        <item m="1" x="1105"/>
        <item m="1" x="1137"/>
        <item x="490"/>
        <item m="1" x="1121"/>
        <item x="491"/>
        <item x="492"/>
        <item x="493"/>
        <item x="494"/>
        <item x="495"/>
        <item x="497"/>
        <item x="500"/>
        <item x="501"/>
        <item x="503"/>
        <item x="506"/>
        <item x="507"/>
        <item x="508"/>
        <item x="509"/>
        <item x="510"/>
        <item x="511"/>
        <item x="513"/>
        <item x="514"/>
        <item x="515"/>
        <item m="1" x="1141"/>
        <item x="518"/>
        <item x="519"/>
        <item x="520"/>
        <item x="522"/>
        <item x="523"/>
        <item x="524"/>
        <item x="527"/>
        <item x="529"/>
        <item x="532"/>
        <item x="533"/>
        <item x="534"/>
        <item m="1" x="1152"/>
        <item x="537"/>
        <item x="538"/>
        <item x="539"/>
        <item x="541"/>
        <item x="542"/>
        <item x="543"/>
        <item x="544"/>
        <item x="545"/>
        <item x="546"/>
        <item x="548"/>
        <item x="549"/>
        <item m="1" x="1050"/>
        <item x="551"/>
        <item x="552"/>
        <item m="1" x="1019"/>
        <item x="553"/>
        <item m="1" x="1146"/>
        <item x="555"/>
        <item x="556"/>
        <item x="557"/>
        <item x="558"/>
        <item x="559"/>
        <item x="562"/>
        <item m="1" x="1184"/>
        <item x="563"/>
        <item x="565"/>
        <item x="568"/>
        <item x="569"/>
        <item m="1" x="1095"/>
        <item x="570"/>
        <item x="571"/>
        <item x="572"/>
        <item m="1" x="1149"/>
        <item x="573"/>
        <item x="574"/>
        <item x="575"/>
        <item x="577"/>
        <item x="578"/>
        <item x="581"/>
        <item x="582"/>
        <item x="583"/>
        <item x="584"/>
        <item x="586"/>
        <item x="587"/>
        <item x="589"/>
        <item m="1" x="1157"/>
        <item x="594"/>
        <item x="595"/>
        <item m="1" x="1171"/>
        <item m="1" x="1072"/>
        <item x="596"/>
        <item x="597"/>
        <item x="598"/>
        <item x="601"/>
        <item m="1" x="1124"/>
        <item x="603"/>
        <item x="604"/>
        <item x="605"/>
        <item x="606"/>
        <item x="608"/>
        <item x="611"/>
        <item x="612"/>
        <item x="613"/>
        <item x="614"/>
        <item x="616"/>
        <item x="618"/>
        <item x="621"/>
        <item x="622"/>
        <item x="623"/>
        <item x="624"/>
        <item x="625"/>
        <item x="626"/>
        <item x="628"/>
        <item x="630"/>
        <item x="632"/>
        <item m="1" x="1159"/>
        <item x="633"/>
        <item m="1" x="1160"/>
        <item x="634"/>
        <item x="635"/>
        <item x="636"/>
        <item x="638"/>
        <item x="639"/>
        <item x="640"/>
        <item x="641"/>
        <item x="642"/>
        <item x="643"/>
        <item x="645"/>
        <item x="646"/>
        <item x="647"/>
        <item x="648"/>
        <item x="650"/>
        <item x="651"/>
        <item x="652"/>
        <item x="653"/>
        <item x="654"/>
        <item x="658"/>
        <item m="1" x="1115"/>
        <item x="660"/>
        <item x="662"/>
        <item x="664"/>
        <item x="666"/>
        <item x="667"/>
        <item x="668"/>
        <item x="669"/>
        <item m="1" x="1088"/>
        <item x="670"/>
        <item x="671"/>
        <item x="672"/>
        <item x="682"/>
        <item x="683"/>
        <item x="685"/>
        <item x="687"/>
        <item x="688"/>
        <item m="1" x="1153"/>
        <item x="691"/>
        <item x="694"/>
        <item x="695"/>
        <item x="696"/>
        <item m="1" x="1199"/>
        <item m="1" x="1158"/>
        <item x="699"/>
        <item x="700"/>
        <item x="703"/>
        <item x="704"/>
        <item x="705"/>
        <item m="1" x="1194"/>
        <item x="708"/>
        <item x="709"/>
        <item m="1" x="1073"/>
        <item x="711"/>
        <item x="712"/>
        <item x="714"/>
        <item x="715"/>
        <item x="716"/>
        <item x="719"/>
        <item m="1" x="1148"/>
        <item x="720"/>
        <item x="721"/>
        <item m="1" x="1170"/>
        <item x="723"/>
        <item x="724"/>
        <item x="725"/>
        <item x="726"/>
        <item x="727"/>
        <item m="1" x="1052"/>
        <item x="730"/>
        <item x="731"/>
        <item x="732"/>
        <item x="733"/>
        <item m="1" x="1025"/>
        <item x="735"/>
        <item m="1" x="1126"/>
        <item x="737"/>
        <item m="1" x="1174"/>
        <item m="1" x="1101"/>
        <item x="738"/>
        <item x="739"/>
        <item x="740"/>
        <item x="742"/>
        <item x="743"/>
        <item x="745"/>
        <item x="746"/>
        <item x="748"/>
        <item x="749"/>
        <item m="1" x="1039"/>
        <item x="751"/>
        <item x="752"/>
        <item m="1" x="1108"/>
        <item x="758"/>
        <item x="760"/>
        <item x="762"/>
        <item x="766"/>
        <item x="767"/>
        <item x="768"/>
        <item x="769"/>
        <item x="770"/>
        <item x="771"/>
        <item m="1" x="1027"/>
        <item x="772"/>
        <item x="773"/>
        <item x="775"/>
        <item x="776"/>
        <item m="1" x="1017"/>
        <item x="777"/>
        <item x="778"/>
        <item x="779"/>
        <item x="781"/>
        <item x="782"/>
        <item x="783"/>
        <item x="784"/>
        <item x="785"/>
        <item x="788"/>
        <item m="1" x="1042"/>
        <item m="1" x="1172"/>
        <item m="1" x="1051"/>
        <item x="790"/>
        <item x="793"/>
        <item x="795"/>
        <item m="1" x="1107"/>
        <item x="799"/>
        <item m="1" x="1078"/>
        <item x="800"/>
        <item x="802"/>
        <item x="805"/>
        <item x="807"/>
        <item x="808"/>
        <item x="809"/>
        <item m="1" x="1155"/>
        <item m="1" x="1188"/>
        <item x="811"/>
        <item x="813"/>
        <item m="1" x="1133"/>
        <item x="814"/>
        <item x="816"/>
        <item m="1" x="1165"/>
        <item m="1" x="1044"/>
        <item x="817"/>
        <item x="818"/>
        <item m="1" x="1099"/>
        <item m="1" x="1093"/>
        <item m="1" x="1028"/>
        <item x="821"/>
        <item x="824"/>
        <item x="826"/>
        <item x="827"/>
        <item x="828"/>
        <item x="829"/>
        <item x="830"/>
        <item m="1" x="1192"/>
        <item x="831"/>
        <item m="1" x="1145"/>
        <item x="834"/>
        <item x="835"/>
        <item m="1" x="1070"/>
        <item x="840"/>
        <item x="841"/>
        <item x="842"/>
        <item x="844"/>
        <item x="845"/>
        <item x="846"/>
        <item x="848"/>
        <item x="849"/>
        <item x="850"/>
        <item x="853"/>
        <item x="854"/>
        <item x="855"/>
        <item x="857"/>
        <item x="858"/>
        <item x="859"/>
        <item x="862"/>
        <item m="1" x="1183"/>
        <item m="1" x="1092"/>
        <item x="864"/>
        <item x="865"/>
        <item x="866"/>
        <item x="867"/>
        <item x="869"/>
        <item x="870"/>
        <item x="871"/>
        <item x="872"/>
        <item x="873"/>
        <item x="874"/>
        <item x="875"/>
        <item x="876"/>
        <item m="1" x="1144"/>
        <item x="877"/>
        <item x="879"/>
        <item x="880"/>
        <item x="881"/>
        <item x="884"/>
        <item x="885"/>
        <item m="1" x="1128"/>
        <item x="887"/>
        <item x="888"/>
        <item x="889"/>
        <item x="890"/>
        <item x="892"/>
        <item m="1" x="1186"/>
        <item m="1" x="1016"/>
        <item x="896"/>
        <item x="897"/>
        <item x="898"/>
        <item x="899"/>
        <item x="900"/>
        <item x="901"/>
        <item x="902"/>
        <item x="904"/>
        <item x="905"/>
        <item x="906"/>
        <item x="907"/>
        <item x="908"/>
        <item m="1" x="1197"/>
        <item x="909"/>
        <item x="910"/>
        <item m="1" x="1181"/>
        <item x="912"/>
        <item m="1" x="1178"/>
        <item x="914"/>
        <item x="915"/>
        <item x="916"/>
        <item x="919"/>
        <item x="921"/>
        <item x="922"/>
        <item x="925"/>
        <item x="926"/>
        <item x="927"/>
        <item x="928"/>
        <item x="929"/>
        <item x="931"/>
        <item m="1" x="1161"/>
        <item x="932"/>
        <item x="933"/>
        <item m="1" x="1118"/>
        <item x="934"/>
        <item x="935"/>
        <item x="936"/>
        <item m="1" x="1125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m="1" x="1122"/>
        <item x="952"/>
        <item x="953"/>
        <item x="954"/>
        <item x="955"/>
        <item m="1" x="1139"/>
        <item x="956"/>
        <item x="957"/>
        <item x="958"/>
        <item x="959"/>
        <item x="961"/>
        <item x="962"/>
        <item x="963"/>
        <item m="1" x="1104"/>
        <item x="965"/>
        <item x="966"/>
        <item x="968"/>
        <item x="969"/>
        <item x="970"/>
        <item x="973"/>
        <item x="974"/>
        <item m="1" x="1029"/>
        <item x="975"/>
        <item x="977"/>
        <item x="978"/>
        <item x="979"/>
        <item m="1" x="1063"/>
        <item x="981"/>
        <item x="982"/>
        <item x="983"/>
        <item x="984"/>
        <item m="1" x="1176"/>
        <item x="986"/>
        <item x="988"/>
        <item m="1" x="1081"/>
        <item x="989"/>
        <item x="990"/>
        <item x="991"/>
        <item x="992"/>
        <item x="993"/>
        <item x="994"/>
        <item x="995"/>
        <item m="1" x="1136"/>
        <item x="996"/>
        <item x="997"/>
        <item x="999"/>
        <item x="1000"/>
        <item x="1001"/>
        <item x="1002"/>
        <item x="1003"/>
        <item x="1004"/>
        <item x="1005"/>
        <item x="1006"/>
        <item x="1007"/>
        <item x="1010"/>
        <item x="1012"/>
        <item x="1014"/>
        <item x="478"/>
        <item x="913"/>
        <item x="105"/>
        <item x="225"/>
        <item x="267"/>
        <item m="1" x="1036"/>
        <item x="425"/>
        <item x="448"/>
        <item x="535"/>
        <item x="554"/>
        <item x="655"/>
        <item x="924"/>
        <item x="389"/>
        <item x="579"/>
        <item m="1" x="1114"/>
        <item x="15"/>
        <item x="106"/>
        <item x="188"/>
        <item x="266"/>
        <item x="286"/>
        <item x="346"/>
        <item x="353"/>
        <item x="580"/>
        <item x="602"/>
        <item x="629"/>
        <item x="663"/>
        <item x="794"/>
        <item x="847"/>
        <item m="1" x="1113"/>
        <item m="1" x="1193"/>
        <item x="960"/>
        <item x="10"/>
        <item x="24"/>
        <item m="1" x="1031"/>
        <item x="44"/>
        <item x="47"/>
        <item m="1" x="1064"/>
        <item x="49"/>
        <item x="56"/>
        <item x="57"/>
        <item m="1" x="1098"/>
        <item m="1" x="1083"/>
        <item x="97"/>
        <item x="113"/>
        <item m="1" x="1111"/>
        <item x="120"/>
        <item m="1" x="1053"/>
        <item x="156"/>
        <item x="165"/>
        <item x="184"/>
        <item x="186"/>
        <item x="191"/>
        <item x="192"/>
        <item x="193"/>
        <item x="212"/>
        <item m="1" x="1048"/>
        <item m="1" x="1066"/>
        <item m="1" x="1195"/>
        <item x="229"/>
        <item x="231"/>
        <item x="232"/>
        <item m="1" x="1089"/>
        <item x="240"/>
        <item x="252"/>
        <item x="259"/>
        <item m="1" x="1167"/>
        <item x="277"/>
        <item m="1" x="1182"/>
        <item x="298"/>
        <item x="300"/>
        <item x="305"/>
        <item x="308"/>
        <item x="318"/>
        <item x="320"/>
        <item x="323"/>
        <item x="325"/>
        <item x="332"/>
        <item x="333"/>
        <item m="1" x="1026"/>
        <item x="336"/>
        <item x="340"/>
        <item m="1" x="1135"/>
        <item m="1" x="1038"/>
        <item x="368"/>
        <item x="372"/>
        <item x="374"/>
        <item x="380"/>
        <item x="394"/>
        <item m="1" x="1071"/>
        <item x="405"/>
        <item m="1" x="1035"/>
        <item x="419"/>
        <item x="432"/>
        <item x="435"/>
        <item m="1" x="1103"/>
        <item x="440"/>
        <item x="443"/>
        <item m="1" x="1198"/>
        <item x="447"/>
        <item x="450"/>
        <item m="1" x="1045"/>
        <item m="1" x="1117"/>
        <item m="1" x="1132"/>
        <item x="470"/>
        <item x="473"/>
        <item x="477"/>
        <item x="482"/>
        <item x="486"/>
        <item m="1" x="1112"/>
        <item x="487"/>
        <item x="496"/>
        <item x="498"/>
        <item x="502"/>
        <item x="516"/>
        <item x="526"/>
        <item x="530"/>
        <item x="531"/>
        <item x="536"/>
        <item x="540"/>
        <item x="547"/>
        <item x="560"/>
        <item x="564"/>
        <item x="567"/>
        <item m="1" x="1082"/>
        <item x="585"/>
        <item m="1" x="1020"/>
        <item m="1" x="1077"/>
        <item x="590"/>
        <item x="592"/>
        <item m="1" x="1085"/>
        <item x="615"/>
        <item x="617"/>
        <item x="619"/>
        <item x="631"/>
        <item x="644"/>
        <item x="649"/>
        <item x="657"/>
        <item x="659"/>
        <item m="1" x="1189"/>
        <item x="676"/>
        <item x="684"/>
        <item x="689"/>
        <item x="690"/>
        <item x="692"/>
        <item x="693"/>
        <item x="698"/>
        <item x="701"/>
        <item x="702"/>
        <item m="1" x="1068"/>
        <item x="713"/>
        <item m="1" x="1023"/>
        <item x="718"/>
        <item x="729"/>
        <item x="750"/>
        <item x="753"/>
        <item x="756"/>
        <item x="757"/>
        <item x="761"/>
        <item x="763"/>
        <item x="764"/>
        <item m="1" x="1173"/>
        <item x="780"/>
        <item x="786"/>
        <item m="1" x="1075"/>
        <item x="796"/>
        <item x="798"/>
        <item x="801"/>
        <item x="806"/>
        <item x="810"/>
        <item x="815"/>
        <item x="825"/>
        <item x="832"/>
        <item x="833"/>
        <item x="837"/>
        <item x="839"/>
        <item x="851"/>
        <item x="852"/>
        <item x="860"/>
        <item m="1" x="1094"/>
        <item x="863"/>
        <item x="878"/>
        <item m="1" x="1177"/>
        <item x="882"/>
        <item x="883"/>
        <item x="891"/>
        <item x="893"/>
        <item x="911"/>
        <item x="918"/>
        <item m="1" x="1065"/>
        <item x="923"/>
        <item m="1" x="1164"/>
        <item x="930"/>
        <item x="942"/>
        <item x="950"/>
        <item x="951"/>
        <item m="1" x="1091"/>
        <item x="967"/>
        <item x="972"/>
        <item m="1" x="1033"/>
        <item x="1009"/>
        <item x="1011"/>
        <item x="169"/>
        <item x="183"/>
        <item x="317"/>
        <item x="347"/>
        <item x="706"/>
        <item x="917"/>
        <item x="998"/>
        <item m="1" x="1140"/>
        <item x="121"/>
        <item x="94"/>
        <item x="741"/>
        <item x="819"/>
        <item m="1" x="1049"/>
        <item m="1" x="1142"/>
        <item x="971"/>
        <item x="661"/>
        <item x="895"/>
        <item x="674"/>
        <item x="350"/>
        <item x="387"/>
        <item x="132"/>
        <item m="1" x="1030"/>
        <item x="246"/>
        <item x="665"/>
        <item x="475"/>
        <item x="400"/>
        <item x="420"/>
        <item x="686"/>
        <item x="196"/>
        <item x="561"/>
        <item x="41"/>
        <item x="178"/>
        <item x="180"/>
        <item x="237"/>
        <item x="264"/>
        <item x="274"/>
        <item x="283"/>
        <item m="1" x="1123"/>
        <item x="356"/>
        <item x="410"/>
        <item x="424"/>
        <item x="452"/>
        <item x="504"/>
        <item x="505"/>
        <item x="512"/>
        <item x="517"/>
        <item x="528"/>
        <item x="591"/>
        <item x="593"/>
        <item x="600"/>
        <item x="610"/>
        <item x="627"/>
        <item x="675"/>
        <item x="707"/>
        <item x="710"/>
        <item x="736"/>
        <item x="765"/>
        <item x="774"/>
        <item x="787"/>
        <item x="803"/>
        <item x="744"/>
        <item x="856"/>
        <item x="894"/>
        <item x="920"/>
        <item x="656"/>
        <item x="861"/>
        <item x="838"/>
        <item x="717"/>
        <item x="804"/>
        <item x="19"/>
        <item x="985"/>
        <item x="1013"/>
        <item x="21"/>
        <item x="25"/>
        <item x="5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115"/>
        <item x="150"/>
        <item x="151"/>
        <item x="161"/>
        <item x="168"/>
        <item x="234"/>
        <item x="235"/>
        <item x="263"/>
        <item x="280"/>
        <item x="313"/>
        <item x="314"/>
        <item x="330"/>
        <item x="331"/>
        <item x="337"/>
        <item x="341"/>
        <item x="354"/>
        <item x="360"/>
        <item x="362"/>
        <item x="390"/>
        <item x="401"/>
        <item x="414"/>
        <item x="416"/>
        <item x="422"/>
        <item x="454"/>
        <item x="465"/>
        <item x="488"/>
        <item x="489"/>
        <item x="499"/>
        <item x="521"/>
        <item x="525"/>
        <item x="550"/>
        <item x="566"/>
        <item x="576"/>
        <item x="588"/>
        <item x="599"/>
        <item x="607"/>
        <item x="609"/>
        <item x="620"/>
        <item x="637"/>
        <item x="677"/>
        <item x="678"/>
        <item x="679"/>
        <item x="680"/>
        <item x="681"/>
        <item x="697"/>
        <item x="722"/>
        <item x="728"/>
        <item x="734"/>
        <item x="747"/>
        <item x="754"/>
        <item x="755"/>
        <item x="759"/>
        <item x="789"/>
        <item x="791"/>
        <item x="792"/>
        <item x="797"/>
        <item x="812"/>
        <item x="820"/>
        <item x="822"/>
        <item x="823"/>
        <item x="836"/>
        <item x="843"/>
        <item x="868"/>
        <item x="886"/>
        <item x="903"/>
        <item x="964"/>
        <item x="976"/>
        <item x="980"/>
        <item x="987"/>
        <item x="1008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compact="0" outline="0" showAll="0" defaultSubtotal="0">
      <items count="4">
        <item x="0"/>
        <item x="1"/>
        <item x="3"/>
        <item x="2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defaultSubtotal="0">
      <items count="415">
        <item x="42"/>
        <item x="142"/>
        <item x="154"/>
        <item m="1" x="301"/>
        <item m="1" x="364"/>
        <item x="214"/>
        <item m="1" x="409"/>
        <item x="40"/>
        <item x="94"/>
        <item m="1" x="369"/>
        <item m="1" x="321"/>
        <item m="1" x="408"/>
        <item m="1" x="309"/>
        <item m="1" x="340"/>
        <item m="1" x="353"/>
        <item m="1" x="377"/>
        <item m="1" x="381"/>
        <item m="1" x="391"/>
        <item m="1" x="293"/>
        <item x="77"/>
        <item m="1" x="402"/>
        <item x="34"/>
        <item m="1" x="315"/>
        <item x="95"/>
        <item m="1" x="350"/>
        <item x="19"/>
        <item x="0"/>
        <item m="1" x="400"/>
        <item m="1" x="319"/>
        <item m="1" x="376"/>
        <item m="1" x="395"/>
        <item m="1" x="284"/>
        <item x="248"/>
        <item m="1" x="305"/>
        <item x="13"/>
        <item m="1" x="285"/>
        <item m="1" x="354"/>
        <item m="1" x="363"/>
        <item x="206"/>
        <item m="1" x="401"/>
        <item m="1" x="410"/>
        <item x="85"/>
        <item m="1" x="297"/>
        <item m="1" x="403"/>
        <item m="1" x="334"/>
        <item x="178"/>
        <item m="1" x="380"/>
        <item m="1" x="326"/>
        <item x="201"/>
        <item m="1" x="407"/>
        <item m="1" x="342"/>
        <item x="155"/>
        <item x="180"/>
        <item m="1" x="318"/>
        <item m="1" x="413"/>
        <item x="39"/>
        <item x="8"/>
        <item x="227"/>
        <item m="1" x="310"/>
        <item x="264"/>
        <item x="239"/>
        <item x="28"/>
        <item x="210"/>
        <item m="1" x="298"/>
        <item m="1" x="335"/>
        <item m="1" x="394"/>
        <item m="1" x="365"/>
        <item x="7"/>
        <item m="1" x="290"/>
        <item x="46"/>
        <item m="1" x="383"/>
        <item m="1" x="295"/>
        <item x="82"/>
        <item x="176"/>
        <item m="1" x="375"/>
        <item x="122"/>
        <item x="62"/>
        <item x="6"/>
        <item x="5"/>
        <item m="1" x="287"/>
        <item x="247"/>
        <item m="1" x="346"/>
        <item x="127"/>
        <item x="90"/>
        <item m="1" x="351"/>
        <item x="212"/>
        <item x="32"/>
        <item x="160"/>
        <item x="70"/>
        <item m="1" x="385"/>
        <item x="87"/>
        <item x="49"/>
        <item x="229"/>
        <item x="144"/>
        <item x="184"/>
        <item x="157"/>
        <item x="175"/>
        <item x="30"/>
        <item x="96"/>
        <item x="216"/>
        <item m="1" x="336"/>
        <item x="163"/>
        <item m="1" x="371"/>
        <item m="1" x="357"/>
        <item x="245"/>
        <item m="1" x="329"/>
        <item x="137"/>
        <item m="1" x="362"/>
        <item m="1" x="399"/>
        <item x="110"/>
        <item x="107"/>
        <item x="136"/>
        <item m="1" x="411"/>
        <item m="1" x="414"/>
        <item x="22"/>
        <item m="1" x="398"/>
        <item x="267"/>
        <item x="92"/>
        <item x="119"/>
        <item m="1" x="320"/>
        <item x="215"/>
        <item x="197"/>
        <item x="126"/>
        <item m="1" x="316"/>
        <item x="257"/>
        <item x="125"/>
        <item x="234"/>
        <item m="1" x="348"/>
        <item x="254"/>
        <item x="69"/>
        <item m="1" x="341"/>
        <item m="1" x="355"/>
        <item x="29"/>
        <item x="147"/>
        <item x="79"/>
        <item x="185"/>
        <item m="1" x="412"/>
        <item x="3"/>
        <item x="189"/>
        <item x="17"/>
        <item x="204"/>
        <item x="138"/>
        <item m="1" x="404"/>
        <item m="1" x="303"/>
        <item x="21"/>
        <item m="1" x="352"/>
        <item m="1" x="358"/>
        <item x="50"/>
        <item m="1" x="296"/>
        <item m="1" x="349"/>
        <item m="1" x="406"/>
        <item x="240"/>
        <item x="1"/>
        <item x="64"/>
        <item x="84"/>
        <item x="249"/>
        <item m="1" x="308"/>
        <item m="1" x="396"/>
        <item m="1" x="356"/>
        <item x="187"/>
        <item x="220"/>
        <item x="146"/>
        <item m="1" x="288"/>
        <item x="273"/>
        <item x="141"/>
        <item m="1" x="370"/>
        <item x="106"/>
        <item x="83"/>
        <item m="1" x="378"/>
        <item m="1" x="345"/>
        <item x="57"/>
        <item m="1" x="331"/>
        <item x="218"/>
        <item m="1" x="359"/>
        <item x="211"/>
        <item m="1" x="405"/>
        <item x="258"/>
        <item m="1" x="291"/>
        <item x="97"/>
        <item x="123"/>
        <item x="166"/>
        <item x="103"/>
        <item x="63"/>
        <item x="37"/>
        <item x="135"/>
        <item x="44"/>
        <item x="130"/>
        <item m="1" x="390"/>
        <item m="1" x="393"/>
        <item x="36"/>
        <item x="224"/>
        <item m="1" x="306"/>
        <item x="223"/>
        <item x="275"/>
        <item x="113"/>
        <item x="269"/>
        <item x="202"/>
        <item m="1" x="386"/>
        <item x="11"/>
        <item x="174"/>
        <item x="26"/>
        <item x="75"/>
        <item x="143"/>
        <item m="1" x="338"/>
        <item x="193"/>
        <item x="246"/>
        <item x="47"/>
        <item x="72"/>
        <item x="151"/>
        <item x="15"/>
        <item m="1" x="387"/>
        <item x="66"/>
        <item x="232"/>
        <item x="61"/>
        <item x="134"/>
        <item x="86"/>
        <item x="221"/>
        <item x="205"/>
        <item x="111"/>
        <item x="200"/>
        <item x="217"/>
        <item x="253"/>
        <item m="1" x="339"/>
        <item x="230"/>
        <item x="194"/>
        <item x="172"/>
        <item m="1" x="374"/>
        <item m="1" x="330"/>
        <item x="118"/>
        <item x="58"/>
        <item m="1" x="322"/>
        <item x="78"/>
        <item m="1" x="302"/>
        <item x="251"/>
        <item x="105"/>
        <item x="231"/>
        <item x="242"/>
        <item m="1" x="397"/>
        <item m="1" x="313"/>
        <item m="1" x="373"/>
        <item m="1" x="323"/>
        <item x="10"/>
        <item x="208"/>
        <item x="115"/>
        <item x="65"/>
        <item x="73"/>
        <item x="260"/>
        <item m="1" x="366"/>
        <item x="131"/>
        <item m="1" x="286"/>
        <item x="159"/>
        <item m="1" x="392"/>
        <item x="35"/>
        <item m="1" x="372"/>
        <item x="149"/>
        <item m="1" x="324"/>
        <item x="48"/>
        <item m="1" x="388"/>
        <item x="190"/>
        <item x="109"/>
        <item m="1" x="332"/>
        <item x="38"/>
        <item m="1" x="337"/>
        <item x="250"/>
        <item m="1" x="327"/>
        <item m="1" x="312"/>
        <item x="114"/>
        <item x="153"/>
        <item x="196"/>
        <item x="252"/>
        <item x="54"/>
        <item m="1" x="311"/>
        <item x="116"/>
        <item m="1" x="292"/>
        <item x="53"/>
        <item m="1" x="382"/>
        <item x="192"/>
        <item x="2"/>
        <item x="31"/>
        <item x="132"/>
        <item x="262"/>
        <item x="145"/>
        <item m="1" x="307"/>
        <item x="278"/>
        <item m="1" x="325"/>
        <item x="102"/>
        <item x="181"/>
        <item x="120"/>
        <item m="1" x="299"/>
        <item x="182"/>
        <item x="60"/>
        <item x="226"/>
        <item x="236"/>
        <item x="93"/>
        <item x="198"/>
        <item m="1" x="333"/>
        <item x="108"/>
        <item m="1" x="367"/>
        <item x="279"/>
        <item m="1" x="283"/>
        <item x="80"/>
        <item m="1" x="343"/>
        <item m="1" x="347"/>
        <item m="1" x="328"/>
        <item x="121"/>
        <item x="272"/>
        <item x="76"/>
        <item x="91"/>
        <item m="1" x="317"/>
        <item x="112"/>
        <item x="156"/>
        <item x="158"/>
        <item m="1" x="314"/>
        <item m="1" x="384"/>
        <item m="1" x="360"/>
        <item m="1" x="368"/>
        <item x="124"/>
        <item x="4"/>
        <item m="1" x="294"/>
        <item x="12"/>
        <item x="16"/>
        <item x="20"/>
        <item x="23"/>
        <item x="24"/>
        <item x="25"/>
        <item x="27"/>
        <item x="33"/>
        <item x="41"/>
        <item x="45"/>
        <item m="1" x="300"/>
        <item x="43"/>
        <item x="51"/>
        <item x="52"/>
        <item x="55"/>
        <item x="56"/>
        <item x="59"/>
        <item x="67"/>
        <item x="68"/>
        <item x="71"/>
        <item x="74"/>
        <item x="81"/>
        <item x="88"/>
        <item x="89"/>
        <item x="117"/>
        <item x="99"/>
        <item x="101"/>
        <item x="104"/>
        <item x="173"/>
        <item x="128"/>
        <item x="129"/>
        <item x="133"/>
        <item m="1" x="344"/>
        <item x="139"/>
        <item x="140"/>
        <item x="148"/>
        <item x="150"/>
        <item x="152"/>
        <item x="161"/>
        <item x="162"/>
        <item x="164"/>
        <item x="165"/>
        <item x="167"/>
        <item x="168"/>
        <item x="169"/>
        <item x="170"/>
        <item x="171"/>
        <item x="177"/>
        <item x="179"/>
        <item x="9"/>
        <item x="183"/>
        <item x="188"/>
        <item x="191"/>
        <item x="195"/>
        <item x="199"/>
        <item x="203"/>
        <item x="222"/>
        <item x="207"/>
        <item x="209"/>
        <item x="213"/>
        <item x="219"/>
        <item x="225"/>
        <item x="228"/>
        <item x="233"/>
        <item x="235"/>
        <item x="237"/>
        <item x="238"/>
        <item x="241"/>
        <item x="243"/>
        <item x="244"/>
        <item m="1" x="361"/>
        <item x="255"/>
        <item x="256"/>
        <item x="259"/>
        <item m="1" x="289"/>
        <item x="263"/>
        <item x="265"/>
        <item x="266"/>
        <item x="268"/>
        <item x="270"/>
        <item x="271"/>
        <item x="274"/>
        <item x="276"/>
        <item x="277"/>
        <item x="280"/>
        <item x="281"/>
        <item x="282"/>
        <item x="14"/>
        <item x="18"/>
        <item m="1" x="389"/>
        <item x="98"/>
        <item x="100"/>
        <item x="186"/>
        <item m="1" x="304"/>
        <item m="1" x="379"/>
        <item x="261"/>
      </items>
    </pivotField>
    <pivotField axis="axisRow" compact="0" outline="0" showAll="0" defaultSubtotal="0">
      <items count="82">
        <item m="1" x="55"/>
        <item m="1" x="69"/>
        <item x="44"/>
        <item m="1" x="76"/>
        <item m="1" x="58"/>
        <item x="4"/>
        <item x="15"/>
        <item x="33"/>
        <item m="1" x="62"/>
        <item x="48"/>
        <item x="10"/>
        <item x="7"/>
        <item x="21"/>
        <item m="1" x="73"/>
        <item x="9"/>
        <item m="1" x="81"/>
        <item x="23"/>
        <item x="39"/>
        <item x="26"/>
        <item x="18"/>
        <item x="37"/>
        <item x="12"/>
        <item m="1" x="78"/>
        <item x="1"/>
        <item x="16"/>
        <item x="52"/>
        <item x="14"/>
        <item m="1" x="72"/>
        <item m="1" x="65"/>
        <item x="32"/>
        <item x="35"/>
        <item m="1" x="68"/>
        <item x="8"/>
        <item m="1" x="75"/>
        <item x="6"/>
        <item m="1" x="80"/>
        <item x="28"/>
        <item x="42"/>
        <item m="1" x="57"/>
        <item x="34"/>
        <item m="1" x="74"/>
        <item x="47"/>
        <item x="17"/>
        <item m="1" x="71"/>
        <item x="27"/>
        <item m="1" x="61"/>
        <item x="11"/>
        <item x="49"/>
        <item m="1" x="56"/>
        <item x="36"/>
        <item x="13"/>
        <item m="1" x="63"/>
        <item x="38"/>
        <item x="2"/>
        <item m="1" x="54"/>
        <item x="24"/>
        <item x="20"/>
        <item x="40"/>
        <item m="1" x="67"/>
        <item m="1" x="59"/>
        <item x="50"/>
        <item x="19"/>
        <item x="22"/>
        <item x="31"/>
        <item x="0"/>
        <item x="5"/>
        <item x="29"/>
        <item x="46"/>
        <item x="30"/>
        <item m="1" x="64"/>
        <item x="41"/>
        <item x="43"/>
        <item x="51"/>
        <item m="1" x="66"/>
        <item x="25"/>
        <item m="1" x="77"/>
        <item x="45"/>
        <item m="1" x="53"/>
        <item m="1" x="70"/>
        <item m="1" x="79"/>
        <item m="1" x="60"/>
        <item x="3"/>
      </items>
    </pivotField>
  </pivotFields>
  <rowFields count="8">
    <field x="2"/>
    <field x="3"/>
    <field x="4"/>
    <field x="5"/>
    <field x="21"/>
    <field x="11"/>
    <field x="29"/>
    <field x="30"/>
  </rowFields>
  <rowItems count="745">
    <i>
      <x/>
      <x v="1"/>
      <x v="1"/>
      <x v="22"/>
      <x/>
      <x v="280"/>
      <x v="132"/>
      <x v="21"/>
    </i>
    <i r="5">
      <x v="283"/>
      <x v="78"/>
      <x v="5"/>
    </i>
    <i r="5">
      <x v="497"/>
      <x v="97"/>
      <x v="21"/>
    </i>
    <i r="5">
      <x v="519"/>
      <x v="194"/>
      <x v="32"/>
    </i>
    <i r="5">
      <x v="700"/>
      <x v="97"/>
      <x v="67"/>
    </i>
    <i r="5">
      <x v="728"/>
      <x v="269"/>
      <x v="49"/>
    </i>
    <i r="4">
      <x v="1"/>
      <x v="258"/>
      <x v="346"/>
      <x v="64"/>
    </i>
    <i r="5">
      <x v="663"/>
      <x v="323"/>
      <x v="65"/>
    </i>
    <i r="2">
      <x v="10"/>
      <x v="14"/>
      <x/>
      <x v="1"/>
      <x v="152"/>
      <x v="23"/>
    </i>
    <i r="5">
      <x v="638"/>
      <x v="109"/>
      <x v="21"/>
    </i>
    <i r="5">
      <x v="742"/>
      <x v="194"/>
      <x v="32"/>
    </i>
    <i r="5">
      <x v="899"/>
      <x v="147"/>
      <x v="81"/>
    </i>
    <i r="5">
      <x v="908"/>
      <x v="407"/>
      <x v="81"/>
    </i>
    <i r="5">
      <x v="937"/>
      <x v="147"/>
      <x v="81"/>
    </i>
    <i r="5">
      <x v="955"/>
      <x v="407"/>
      <x v="81"/>
    </i>
    <i r="5">
      <x v="959"/>
      <x v="194"/>
      <x v="81"/>
    </i>
    <i r="5">
      <x v="1137"/>
      <x v="407"/>
      <x v="81"/>
    </i>
    <i r="4">
      <x v="1"/>
      <x v="707"/>
      <x v="323"/>
      <x v="65"/>
    </i>
    <i r="3">
      <x v="22"/>
      <x v="1"/>
      <x v="437"/>
      <x v="346"/>
      <x v="65"/>
    </i>
    <i r="2">
      <x v="16"/>
      <x v="22"/>
      <x/>
      <x v="28"/>
      <x v="78"/>
      <x v="14"/>
    </i>
    <i r="5">
      <x v="85"/>
      <x v="78"/>
      <x v="14"/>
    </i>
    <i r="5">
      <x v="112"/>
      <x v="97"/>
      <x v="19"/>
    </i>
    <i r="5">
      <x v="185"/>
      <x v="91"/>
      <x v="14"/>
    </i>
    <i r="5">
      <x v="370"/>
      <x v="180"/>
      <x v="29"/>
    </i>
    <i r="5">
      <x v="440"/>
      <x v="184"/>
      <x v="49"/>
    </i>
    <i r="5">
      <x v="577"/>
      <x v="78"/>
      <x v="14"/>
    </i>
    <i r="5">
      <x v="988"/>
      <x v="109"/>
      <x v="81"/>
    </i>
    <i r="5">
      <x v="1083"/>
      <x v="407"/>
      <x v="81"/>
    </i>
    <i r="4">
      <x v="1"/>
      <x v="93"/>
      <x v="331"/>
      <x v="65"/>
    </i>
    <i r="5">
      <x v="117"/>
      <x v="231"/>
      <x v="65"/>
    </i>
    <i r="5">
      <x v="141"/>
      <x v="67"/>
      <x v="64"/>
    </i>
    <i r="5">
      <x v="265"/>
      <x v="407"/>
      <x v="81"/>
    </i>
    <i r="5">
      <x v="431"/>
      <x v="67"/>
      <x v="65"/>
    </i>
    <i r="5">
      <x v="514"/>
      <x v="369"/>
      <x v="65"/>
    </i>
    <i r="5">
      <x v="596"/>
      <x v="375"/>
      <x v="65"/>
    </i>
    <i r="5">
      <x v="625"/>
      <x v="350"/>
      <x v="65"/>
    </i>
    <i r="5">
      <x v="644"/>
      <x v="383"/>
      <x v="65"/>
    </i>
    <i r="5">
      <x v="760"/>
      <x v="340"/>
      <x v="65"/>
    </i>
    <i r="5">
      <x v="795"/>
      <x v="349"/>
      <x v="65"/>
    </i>
    <i r="3">
      <x v="29"/>
      <x/>
      <x v="884"/>
      <x v="407"/>
      <x v="81"/>
    </i>
    <i r="5">
      <x v="889"/>
      <x v="407"/>
      <x v="81"/>
    </i>
    <i r="5">
      <x v="900"/>
      <x v="407"/>
      <x v="81"/>
    </i>
    <i r="5">
      <x v="904"/>
      <x v="407"/>
      <x v="81"/>
    </i>
    <i r="5">
      <x v="921"/>
      <x v="407"/>
      <x v="81"/>
    </i>
    <i r="5">
      <x v="933"/>
      <x v="407"/>
      <x v="81"/>
    </i>
    <i r="5">
      <x v="952"/>
      <x v="407"/>
      <x v="81"/>
    </i>
    <i r="5">
      <x v="957"/>
      <x v="407"/>
      <x v="81"/>
    </i>
    <i r="5">
      <x v="977"/>
      <x v="407"/>
      <x v="81"/>
    </i>
    <i r="5">
      <x v="983"/>
      <x v="407"/>
      <x v="81"/>
    </i>
    <i r="5">
      <x v="1015"/>
      <x v="407"/>
      <x v="81"/>
    </i>
    <i r="5">
      <x v="1021"/>
      <x v="407"/>
      <x v="81"/>
    </i>
    <i r="5">
      <x v="1031"/>
      <x v="407"/>
      <x v="81"/>
    </i>
    <i r="5">
      <x v="1039"/>
      <x v="407"/>
      <x v="81"/>
    </i>
    <i r="5">
      <x v="1050"/>
      <x v="407"/>
      <x v="81"/>
    </i>
    <i r="5">
      <x v="1080"/>
      <x v="407"/>
      <x v="81"/>
    </i>
    <i r="5">
      <x v="1087"/>
      <x v="407"/>
      <x v="81"/>
    </i>
    <i r="5">
      <x v="1089"/>
      <x v="407"/>
      <x v="81"/>
    </i>
    <i r="5">
      <x v="1090"/>
      <x v="407"/>
      <x v="81"/>
    </i>
    <i r="5">
      <x v="1095"/>
      <x v="407"/>
      <x v="81"/>
    </i>
    <i r="5">
      <x v="1102"/>
      <x v="407"/>
      <x v="81"/>
    </i>
    <i r="5">
      <x v="1103"/>
      <x v="407"/>
      <x v="81"/>
    </i>
    <i r="5">
      <x v="1106"/>
      <x v="407"/>
      <x v="81"/>
    </i>
    <i r="5">
      <x v="1115"/>
      <x v="407"/>
      <x v="81"/>
    </i>
    <i r="5">
      <x v="1118"/>
      <x v="407"/>
      <x v="81"/>
    </i>
    <i r="3">
      <x v="30"/>
      <x/>
      <x v="1077"/>
      <x v="407"/>
      <x v="81"/>
    </i>
    <i r="5">
      <x v="1104"/>
      <x v="407"/>
      <x v="81"/>
    </i>
    <i r="3">
      <x v="31"/>
      <x/>
      <x v="1086"/>
      <x v="407"/>
      <x v="81"/>
    </i>
    <i r="2">
      <x v="37"/>
      <x v="22"/>
      <x/>
      <x v="27"/>
      <x v="132"/>
      <x v="32"/>
    </i>
    <i r="5">
      <x v="75"/>
      <x v="170"/>
      <x v="26"/>
    </i>
    <i r="5">
      <x v="199"/>
      <x v="293"/>
      <x v="56"/>
    </i>
    <i r="5">
      <x v="259"/>
      <x v="214"/>
      <x v="36"/>
    </i>
    <i r="5">
      <x v="337"/>
      <x v="97"/>
      <x v="21"/>
    </i>
    <i r="5">
      <x v="375"/>
      <x v="170"/>
      <x v="26"/>
    </i>
    <i r="5">
      <x v="388"/>
      <x v="97"/>
      <x v="21"/>
    </i>
    <i r="5">
      <x v="695"/>
      <x v="97"/>
      <x v="32"/>
    </i>
    <i r="5">
      <x v="861"/>
      <x v="406"/>
      <x v="81"/>
    </i>
    <i r="5">
      <x v="862"/>
      <x v="406"/>
      <x v="81"/>
    </i>
    <i r="5">
      <x v="865"/>
      <x v="406"/>
      <x v="81"/>
    </i>
    <i r="5">
      <x v="866"/>
      <x v="406"/>
      <x v="81"/>
    </i>
    <i r="5">
      <x v="867"/>
      <x v="406"/>
      <x v="81"/>
    </i>
    <i r="5">
      <x v="869"/>
      <x v="406"/>
      <x v="81"/>
    </i>
    <i r="5">
      <x v="873"/>
      <x v="406"/>
      <x v="81"/>
    </i>
    <i r="5">
      <x v="876"/>
      <x v="406"/>
      <x v="81"/>
    </i>
    <i r="5">
      <x v="880"/>
      <x v="407"/>
      <x v="81"/>
    </i>
    <i r="5">
      <x v="894"/>
      <x v="407"/>
      <x v="81"/>
    </i>
    <i r="5">
      <x v="912"/>
      <x v="407"/>
      <x v="81"/>
    </i>
    <i r="5">
      <x v="914"/>
      <x v="407"/>
      <x v="81"/>
    </i>
    <i r="5">
      <x v="925"/>
      <x v="407"/>
      <x v="81"/>
    </i>
    <i r="5">
      <x v="926"/>
      <x v="407"/>
      <x v="81"/>
    </i>
    <i r="5">
      <x v="931"/>
      <x v="407"/>
      <x v="81"/>
    </i>
    <i r="5">
      <x v="978"/>
      <x v="407"/>
      <x v="81"/>
    </i>
    <i r="5">
      <x v="985"/>
      <x v="407"/>
      <x v="81"/>
    </i>
    <i r="5">
      <x v="1013"/>
      <x v="407"/>
      <x v="81"/>
    </i>
    <i r="5">
      <x v="1016"/>
      <x v="407"/>
      <x v="81"/>
    </i>
    <i r="5">
      <x v="1026"/>
      <x v="407"/>
      <x v="81"/>
    </i>
    <i r="5">
      <x v="1045"/>
      <x v="407"/>
      <x v="81"/>
    </i>
    <i r="5">
      <x v="1076"/>
      <x v="407"/>
      <x v="81"/>
    </i>
    <i r="5">
      <x v="1085"/>
      <x v="407"/>
      <x v="81"/>
    </i>
    <i r="4">
      <x v="1"/>
      <x v="21"/>
      <x v="322"/>
      <x v="65"/>
    </i>
    <i r="5">
      <x v="40"/>
      <x v="252"/>
      <x v="65"/>
    </i>
    <i r="5">
      <x v="80"/>
      <x v="335"/>
      <x v="65"/>
    </i>
    <i r="5">
      <x v="234"/>
      <x v="348"/>
      <x v="65"/>
    </i>
    <i r="3">
      <x v="30"/>
      <x/>
      <x v="864"/>
      <x v="406"/>
      <x v="81"/>
    </i>
    <i r="5">
      <x v="939"/>
      <x v="407"/>
      <x v="81"/>
    </i>
    <i r="4">
      <x v="1"/>
      <x v="565"/>
      <x v="323"/>
      <x v="65"/>
    </i>
    <i r="5">
      <x v="944"/>
      <x v="407"/>
      <x v="81"/>
    </i>
    <i r="2">
      <x v="38"/>
      <x v="22"/>
      <x/>
      <x v="956"/>
      <x v="109"/>
      <x v="81"/>
    </i>
    <i r="5">
      <x v="982"/>
      <x v="407"/>
      <x v="81"/>
    </i>
    <i r="5">
      <x v="1047"/>
      <x v="407"/>
      <x v="81"/>
    </i>
    <i r="5">
      <x v="1075"/>
      <x v="407"/>
      <x v="81"/>
    </i>
    <i r="5">
      <x v="1151"/>
      <x v="109"/>
      <x v="81"/>
    </i>
    <i r="3">
      <x v="31"/>
      <x/>
      <x v="1048"/>
      <x v="407"/>
      <x v="81"/>
    </i>
    <i r="5">
      <x v="1052"/>
      <x v="407"/>
      <x v="81"/>
    </i>
    <i r="5">
      <x v="1053"/>
      <x v="407"/>
      <x v="81"/>
    </i>
    <i r="2">
      <x v="40"/>
      <x v="22"/>
      <x/>
      <x v="465"/>
      <x v="138"/>
      <x v="20"/>
    </i>
    <i r="5">
      <x v="1008"/>
      <x v="407"/>
      <x v="81"/>
    </i>
    <i r="5">
      <x v="1061"/>
      <x v="407"/>
      <x v="81"/>
    </i>
    <i r="5">
      <x v="1062"/>
      <x v="407"/>
      <x v="81"/>
    </i>
    <i r="5">
      <x v="1063"/>
      <x v="407"/>
      <x v="81"/>
    </i>
    <i r="5">
      <x v="1064"/>
      <x v="407"/>
      <x v="81"/>
    </i>
    <i r="5">
      <x v="1065"/>
      <x v="407"/>
      <x v="81"/>
    </i>
    <i r="5">
      <x v="1066"/>
      <x v="407"/>
      <x v="81"/>
    </i>
    <i r="2">
      <x v="44"/>
      <x v="22"/>
      <x/>
      <x v="20"/>
      <x v="144"/>
      <x v="65"/>
    </i>
    <i r="5">
      <x v="24"/>
      <x v="200"/>
      <x v="34"/>
    </i>
    <i r="5">
      <x v="343"/>
      <x v="250"/>
      <x v="46"/>
    </i>
    <i r="5">
      <x v="620"/>
      <x v="92"/>
      <x v="65"/>
    </i>
    <i r="5">
      <x v="1028"/>
      <x v="407"/>
      <x v="81"/>
    </i>
    <i r="5">
      <x v="1099"/>
      <x v="407"/>
      <x v="81"/>
    </i>
    <i r="4">
      <x v="1"/>
      <x v="23"/>
      <x v="324"/>
      <x v="65"/>
    </i>
    <i r="5">
      <x v="82"/>
      <x v="213"/>
      <x v="65"/>
    </i>
    <i r="5">
      <x v="159"/>
      <x v="344"/>
      <x v="65"/>
    </i>
    <i r="5">
      <x v="173"/>
      <x v="285"/>
      <x v="65"/>
    </i>
    <i r="5">
      <x v="175"/>
      <x v="181"/>
      <x v="65"/>
    </i>
    <i r="5">
      <x v="214"/>
      <x v="228"/>
      <x v="65"/>
    </i>
    <i r="5">
      <x v="466"/>
      <x v="258"/>
      <x v="65"/>
    </i>
    <i r="5">
      <x v="761"/>
      <x v="246"/>
      <x v="65"/>
    </i>
    <i r="2">
      <x v="45"/>
      <x v="22"/>
      <x/>
      <x v="203"/>
      <x v="309"/>
      <x v="62"/>
    </i>
    <i r="5">
      <x v="858"/>
      <x v="194"/>
      <x v="32"/>
    </i>
    <i r="2">
      <x v="46"/>
      <x v="5"/>
      <x/>
      <x v="516"/>
      <x v="274"/>
      <x v="56"/>
    </i>
    <i r="4">
      <x v="1"/>
      <x v="153"/>
      <x v="333"/>
      <x v="65"/>
    </i>
    <i r="5">
      <x v="790"/>
      <x v="396"/>
      <x v="65"/>
    </i>
    <i r="3">
      <x v="6"/>
      <x/>
      <x v="498"/>
      <x v="294"/>
      <x v="57"/>
    </i>
    <i r="5">
      <x v="661"/>
      <x v="294"/>
      <x v="57"/>
    </i>
    <i r="5">
      <x v="713"/>
      <x v="294"/>
      <x v="57"/>
    </i>
    <i r="4">
      <x v="1"/>
      <x v="762"/>
      <x v="407"/>
      <x v="81"/>
    </i>
    <i r="3">
      <x v="8"/>
      <x/>
      <x v="26"/>
      <x v="61"/>
      <x v="11"/>
    </i>
    <i r="5">
      <x v="501"/>
      <x v="78"/>
      <x v="14"/>
    </i>
    <i r="5">
      <x v="545"/>
      <x v="122"/>
      <x v="18"/>
    </i>
    <i r="5">
      <x v="628"/>
      <x v="78"/>
      <x v="14"/>
    </i>
    <i r="5">
      <x v="726"/>
      <x v="263"/>
      <x v="47"/>
    </i>
    <i r="5">
      <x v="753"/>
      <x v="91"/>
      <x v="11"/>
    </i>
    <i r="5">
      <x v="771"/>
      <x v="78"/>
      <x v="11"/>
    </i>
    <i r="4">
      <x v="1"/>
      <x v="95"/>
      <x v="91"/>
      <x v="65"/>
    </i>
    <i r="3">
      <x v="10"/>
      <x/>
      <x v="55"/>
      <x v="78"/>
      <x v="11"/>
    </i>
    <i r="5">
      <x v="167"/>
      <x v="78"/>
      <x v="11"/>
    </i>
    <i r="5">
      <x v="317"/>
      <x v="91"/>
      <x v="11"/>
    </i>
    <i r="5">
      <x v="366"/>
      <x v="97"/>
      <x v="11"/>
    </i>
    <i r="5">
      <x v="411"/>
      <x v="78"/>
      <x v="11"/>
    </i>
    <i r="5">
      <x v="705"/>
      <x v="194"/>
      <x v="41"/>
    </i>
    <i r="5">
      <x v="1092"/>
      <x v="407"/>
      <x v="81"/>
    </i>
    <i r="3">
      <x v="12"/>
      <x/>
      <x v="14"/>
      <x v="78"/>
      <x v="5"/>
    </i>
    <i r="5">
      <x v="493"/>
      <x v="121"/>
      <x v="17"/>
    </i>
    <i r="5">
      <x v="718"/>
      <x v="78"/>
      <x v="5"/>
    </i>
    <i r="5">
      <x v="796"/>
      <x v="78"/>
      <x v="5"/>
    </i>
    <i r="5">
      <x v="817"/>
      <x v="407"/>
      <x v="81"/>
    </i>
    <i r="4">
      <x v="1"/>
      <x v="474"/>
      <x v="371"/>
      <x v="65"/>
    </i>
    <i r="3">
      <x v="13"/>
      <x/>
      <x v="5"/>
      <x v="78"/>
      <x v="5"/>
    </i>
    <i r="5">
      <x v="53"/>
      <x v="78"/>
      <x v="10"/>
    </i>
    <i r="5">
      <x v="191"/>
      <x v="78"/>
      <x v="5"/>
    </i>
    <i r="5">
      <x v="374"/>
      <x v="97"/>
      <x v="7"/>
    </i>
    <i r="5">
      <x v="378"/>
      <x v="78"/>
      <x v="5"/>
    </i>
    <i r="5">
      <x v="492"/>
      <x v="78"/>
      <x v="5"/>
    </i>
    <i r="5">
      <x v="509"/>
      <x v="78"/>
      <x v="5"/>
    </i>
    <i r="5">
      <x v="525"/>
      <x v="78"/>
      <x v="5"/>
    </i>
    <i r="5">
      <x v="750"/>
      <x v="147"/>
      <x v="21"/>
    </i>
    <i r="5">
      <x v="783"/>
      <x v="78"/>
      <x v="5"/>
    </i>
    <i r="5">
      <x v="803"/>
      <x v="78"/>
      <x v="5"/>
    </i>
    <i r="3">
      <x v="17"/>
      <x/>
      <x v="154"/>
      <x v="293"/>
      <x v="56"/>
    </i>
    <i r="5">
      <x v="664"/>
      <x v="122"/>
      <x v="5"/>
    </i>
    <i r="5">
      <x v="684"/>
      <x v="78"/>
      <x v="5"/>
    </i>
    <i r="5">
      <x v="991"/>
      <x v="78"/>
      <x v="5"/>
    </i>
    <i r="3">
      <x v="18"/>
      <x/>
      <x v="198"/>
      <x v="78"/>
      <x v="11"/>
    </i>
    <i r="5">
      <x v="476"/>
      <x v="276"/>
      <x v="52"/>
    </i>
    <i r="4">
      <x v="1"/>
      <x v="617"/>
      <x v="57"/>
      <x v="65"/>
    </i>
    <i r="3">
      <x v="19"/>
      <x/>
      <x v="99"/>
      <x v="78"/>
      <x v="5"/>
    </i>
    <i r="5">
      <x v="132"/>
      <x v="78"/>
      <x v="5"/>
    </i>
    <i r="5">
      <x v="162"/>
      <x v="78"/>
      <x v="5"/>
    </i>
    <i r="5">
      <x v="165"/>
      <x v="78"/>
      <x v="5"/>
    </i>
    <i r="5">
      <x v="231"/>
      <x v="122"/>
      <x v="18"/>
    </i>
    <i r="5">
      <x v="249"/>
      <x v="78"/>
      <x v="5"/>
    </i>
    <i r="5">
      <x v="256"/>
      <x v="78"/>
      <x v="5"/>
    </i>
    <i r="5">
      <x v="315"/>
      <x v="407"/>
      <x v="81"/>
    </i>
    <i r="5">
      <x v="323"/>
      <x v="78"/>
      <x v="5"/>
    </i>
    <i r="5">
      <x v="324"/>
      <x v="91"/>
      <x v="11"/>
    </i>
    <i r="5">
      <x v="328"/>
      <x v="78"/>
      <x v="11"/>
    </i>
    <i r="5">
      <x v="362"/>
      <x v="78"/>
      <x v="5"/>
    </i>
    <i r="5">
      <x v="382"/>
      <x v="78"/>
      <x v="5"/>
    </i>
    <i r="5">
      <x v="403"/>
      <x v="78"/>
      <x v="5"/>
    </i>
    <i r="5">
      <x v="461"/>
      <x v="78"/>
      <x v="5"/>
    </i>
    <i r="5">
      <x v="540"/>
      <x v="184"/>
      <x v="30"/>
    </i>
    <i r="5">
      <x v="586"/>
      <x v="407"/>
      <x v="81"/>
    </i>
    <i r="5">
      <x v="593"/>
      <x v="78"/>
      <x v="5"/>
    </i>
    <i r="5">
      <x v="800"/>
      <x v="78"/>
      <x v="5"/>
    </i>
    <i r="5">
      <x v="806"/>
      <x v="78"/>
      <x v="5"/>
    </i>
    <i r="5">
      <x v="828"/>
      <x v="78"/>
      <x v="5"/>
    </i>
    <i r="5">
      <x v="843"/>
      <x v="170"/>
      <x v="25"/>
    </i>
    <i r="4">
      <x v="1"/>
      <x v="105"/>
      <x v="407"/>
      <x v="81"/>
    </i>
    <i r="3">
      <x v="22"/>
      <x/>
      <x v="919"/>
      <x v="407"/>
      <x v="81"/>
    </i>
    <i r="5">
      <x v="935"/>
      <x v="407"/>
      <x v="81"/>
    </i>
    <i r="5">
      <x v="945"/>
      <x v="407"/>
      <x v="81"/>
    </i>
    <i r="3">
      <x v="23"/>
      <x v="1"/>
      <x v="646"/>
      <x v="407"/>
      <x v="81"/>
    </i>
    <i r="3">
      <x v="32"/>
      <x v="1"/>
      <x v="133"/>
      <x v="407"/>
      <x v="81"/>
    </i>
    <i r="5">
      <x v="526"/>
      <x v="407"/>
      <x v="81"/>
    </i>
    <i r="3">
      <x v="34"/>
      <x v="1"/>
      <x v="393"/>
      <x v="407"/>
      <x v="81"/>
    </i>
    <i r="5">
      <x v="433"/>
      <x v="407"/>
      <x v="81"/>
    </i>
    <i r="2">
      <x v="54"/>
      <x v="22"/>
      <x/>
      <x v="148"/>
      <x v="97"/>
      <x v="19"/>
    </i>
    <i r="5">
      <x v="847"/>
      <x v="194"/>
      <x v="32"/>
    </i>
    <i r="5">
      <x v="922"/>
      <x v="281"/>
      <x v="68"/>
    </i>
    <i r="5">
      <x v="1145"/>
      <x v="407"/>
      <x v="81"/>
    </i>
    <i r="5">
      <x v="1155"/>
      <x v="281"/>
      <x v="68"/>
    </i>
    <i r="4">
      <x v="1"/>
      <x v="687"/>
      <x v="341"/>
      <x v="65"/>
    </i>
    <i r="4">
      <x v="2"/>
      <x v="147"/>
      <x v="406"/>
      <x v="65"/>
    </i>
    <i r="5">
      <x v="846"/>
      <x v="406"/>
      <x v="65"/>
    </i>
    <i r="1">
      <x v="4"/>
    </i>
    <i r="1">
      <x v="10"/>
    </i>
    <i r="1">
      <x v="17"/>
      <x v="40"/>
      <x v="22"/>
      <x/>
      <x v="102"/>
      <x v="97"/>
      <x v="19"/>
    </i>
    <i r="5">
      <x v="107"/>
      <x v="306"/>
      <x v="61"/>
    </i>
    <i r="5">
      <x v="512"/>
      <x v="184"/>
      <x v="30"/>
    </i>
    <i r="5">
      <x v="548"/>
      <x v="97"/>
      <x v="19"/>
    </i>
    <i r="5">
      <x v="571"/>
      <x v="277"/>
      <x v="53"/>
    </i>
    <i r="5">
      <x v="576"/>
      <x v="97"/>
      <x v="19"/>
    </i>
    <i r="5">
      <x v="712"/>
      <x v="109"/>
      <x v="14"/>
    </i>
    <i r="5">
      <x v="821"/>
      <x v="193"/>
      <x v="72"/>
    </i>
    <i r="5">
      <x v="895"/>
      <x v="407"/>
      <x v="81"/>
    </i>
    <i r="5">
      <x v="930"/>
      <x v="407"/>
      <x v="81"/>
    </i>
    <i r="5">
      <x v="942"/>
      <x v="407"/>
      <x v="81"/>
    </i>
    <i r="5">
      <x v="963"/>
      <x v="407"/>
      <x v="81"/>
    </i>
    <i r="5">
      <x v="967"/>
      <x v="407"/>
      <x v="81"/>
    </i>
    <i r="5">
      <x v="990"/>
      <x v="407"/>
      <x v="81"/>
    </i>
    <i r="5">
      <x v="993"/>
      <x v="407"/>
      <x v="81"/>
    </i>
    <i r="5">
      <x v="1002"/>
      <x v="407"/>
      <x v="81"/>
    </i>
    <i r="5">
      <x v="1029"/>
      <x v="407"/>
      <x v="81"/>
    </i>
    <i r="5">
      <x v="1055"/>
      <x v="407"/>
      <x v="81"/>
    </i>
    <i r="5">
      <x v="1056"/>
      <x v="407"/>
      <x v="81"/>
    </i>
    <i r="5">
      <x v="1074"/>
      <x v="407"/>
      <x v="81"/>
    </i>
    <i r="5">
      <x v="1081"/>
      <x v="407"/>
      <x v="81"/>
    </i>
    <i r="5">
      <x v="1109"/>
      <x v="407"/>
      <x v="81"/>
    </i>
    <i r="5">
      <x v="1110"/>
      <x v="407"/>
      <x v="81"/>
    </i>
    <i r="5">
      <x v="1144"/>
      <x v="248"/>
      <x v="44"/>
    </i>
    <i r="5">
      <x v="1161"/>
      <x v="407"/>
      <x v="81"/>
    </i>
    <i r="5">
      <x v="1174"/>
      <x v="407"/>
      <x v="81"/>
    </i>
    <i r="5">
      <x v="1184"/>
      <x v="407"/>
      <x v="81"/>
    </i>
    <i r="5">
      <x v="1187"/>
      <x v="407"/>
      <x v="81"/>
    </i>
    <i r="4">
      <x v="1"/>
      <x v="332"/>
      <x v="95"/>
      <x v="65"/>
    </i>
    <i r="5">
      <x v="601"/>
      <x v="323"/>
      <x v="65"/>
    </i>
    <i r="5">
      <x v="719"/>
      <x v="278"/>
      <x v="65"/>
    </i>
    <i t="default">
      <x/>
    </i>
    <i>
      <x v="1"/>
      <x/>
      <x/>
      <x v="22"/>
      <x/>
      <x v="228"/>
      <x v="97"/>
      <x v="19"/>
    </i>
    <i r="5">
      <x v="242"/>
      <x v="97"/>
      <x v="19"/>
    </i>
    <i r="5">
      <x v="376"/>
      <x v="97"/>
      <x v="19"/>
    </i>
    <i r="2">
      <x v="8"/>
      <x v="22"/>
      <x v="1"/>
      <x v="822"/>
      <x v="328"/>
      <x v="64"/>
    </i>
    <i r="4">
      <x v="2"/>
      <x v="1204"/>
      <x v="407"/>
      <x v="81"/>
    </i>
    <i r="2">
      <x v="9"/>
      <x v="22"/>
      <x/>
      <x v="267"/>
      <x v="97"/>
      <x v="65"/>
    </i>
    <i r="5">
      <x v="402"/>
      <x v="78"/>
      <x v="5"/>
    </i>
    <i r="5">
      <x v="409"/>
      <x v="274"/>
      <x v="50"/>
    </i>
    <i r="5">
      <x v="499"/>
      <x v="152"/>
      <x v="65"/>
    </i>
    <i r="5">
      <x v="766"/>
      <x v="78"/>
      <x v="5"/>
    </i>
    <i r="5">
      <x v="868"/>
      <x v="109"/>
      <x v="81"/>
    </i>
    <i r="5">
      <x v="870"/>
      <x v="132"/>
      <x v="81"/>
    </i>
    <i r="5">
      <x v="871"/>
      <x v="170"/>
      <x v="81"/>
    </i>
    <i r="5">
      <x v="872"/>
      <x v="26"/>
      <x v="81"/>
    </i>
    <i r="5">
      <x v="974"/>
      <x v="48"/>
      <x v="81"/>
    </i>
    <i r="5">
      <x v="981"/>
      <x v="407"/>
      <x v="81"/>
    </i>
    <i r="5">
      <x v="1138"/>
      <x v="407"/>
      <x v="81"/>
    </i>
    <i r="5">
      <x v="1152"/>
      <x v="407"/>
      <x v="81"/>
    </i>
    <i r="5">
      <x v="1200"/>
      <x v="184"/>
      <x v="81"/>
    </i>
    <i r="4">
      <x v="1"/>
      <x v="116"/>
      <x v="323"/>
      <x v="65"/>
    </i>
    <i r="5">
      <x v="253"/>
      <x v="78"/>
      <x v="65"/>
    </i>
    <i r="5">
      <x v="351"/>
      <x v="91"/>
      <x v="65"/>
    </i>
    <i r="5">
      <x v="414"/>
      <x v="366"/>
      <x v="65"/>
    </i>
    <i r="5">
      <x v="429"/>
      <x v="331"/>
      <x v="65"/>
    </i>
    <i r="5">
      <x v="529"/>
      <x v="328"/>
      <x v="65"/>
    </i>
    <i r="5">
      <x v="531"/>
      <x v="323"/>
      <x v="65"/>
    </i>
    <i r="5">
      <x v="730"/>
      <x v="322"/>
      <x v="65"/>
    </i>
    <i r="2">
      <x v="15"/>
      <x v="22"/>
      <x/>
      <x v="145"/>
      <x v="61"/>
      <x v="11"/>
    </i>
    <i r="5">
      <x v="157"/>
      <x v="98"/>
      <x v="12"/>
    </i>
    <i r="5">
      <x v="289"/>
      <x v="78"/>
      <x v="5"/>
    </i>
    <i r="5">
      <x v="348"/>
      <x v="97"/>
      <x v="11"/>
    </i>
    <i r="5">
      <x v="418"/>
      <x v="97"/>
      <x v="11"/>
    </i>
    <i r="5">
      <x v="502"/>
      <x v="61"/>
      <x v="5"/>
    </i>
    <i r="5">
      <x v="647"/>
      <x v="61"/>
      <x v="5"/>
    </i>
    <i r="5">
      <x v="672"/>
      <x v="61"/>
      <x v="5"/>
    </i>
    <i r="5">
      <x v="685"/>
      <x v="78"/>
      <x v="11"/>
    </i>
    <i r="5">
      <x v="824"/>
      <x v="78"/>
      <x v="5"/>
    </i>
    <i r="4">
      <x v="1"/>
      <x v="62"/>
      <x v="331"/>
      <x v="65"/>
    </i>
    <i r="5">
      <x v="135"/>
      <x v="341"/>
      <x v="65"/>
    </i>
    <i r="5">
      <x v="184"/>
      <x v="341"/>
      <x v="65"/>
    </i>
    <i r="5">
      <x v="257"/>
      <x v="350"/>
      <x v="65"/>
    </i>
    <i r="5">
      <x v="480"/>
      <x v="346"/>
      <x v="65"/>
    </i>
    <i r="5">
      <x v="659"/>
      <x v="331"/>
      <x v="65"/>
    </i>
    <i r="5">
      <x v="739"/>
      <x v="323"/>
      <x v="65"/>
    </i>
    <i r="5">
      <x v="786"/>
      <x v="322"/>
      <x v="65"/>
    </i>
    <i r="2">
      <x v="30"/>
      <x v="22"/>
      <x/>
      <x v="32"/>
      <x v="97"/>
      <x v="11"/>
    </i>
    <i r="5">
      <x v="79"/>
      <x v="78"/>
      <x v="10"/>
    </i>
    <i r="5">
      <x v="436"/>
      <x v="97"/>
      <x v="11"/>
    </i>
    <i r="5">
      <x v="1117"/>
      <x v="407"/>
      <x v="81"/>
    </i>
    <i r="5">
      <x v="1146"/>
      <x v="407"/>
      <x v="81"/>
    </i>
    <i r="4">
      <x v="1"/>
      <x v="36"/>
      <x v="326"/>
      <x v="65"/>
    </i>
    <i r="5">
      <x v="121"/>
      <x v="340"/>
      <x v="65"/>
    </i>
    <i r="5">
      <x v="158"/>
      <x v="178"/>
      <x v="65"/>
    </i>
    <i r="5">
      <x v="335"/>
      <x v="340"/>
      <x v="65"/>
    </i>
    <i r="5">
      <x v="468"/>
      <x v="346"/>
      <x v="65"/>
    </i>
    <i r="2">
      <x v="32"/>
      <x v="22"/>
      <x/>
      <x v="59"/>
      <x v="91"/>
      <x v="10"/>
    </i>
    <i r="5">
      <x v="88"/>
      <x v="153"/>
      <x v="24"/>
    </i>
    <i r="5">
      <x v="584"/>
      <x v="274"/>
      <x v="49"/>
    </i>
    <i r="5">
      <x v="1025"/>
      <x v="407"/>
      <x v="81"/>
    </i>
    <i r="5">
      <x v="1078"/>
      <x v="407"/>
      <x v="81"/>
    </i>
    <i r="4">
      <x v="1"/>
      <x v="144"/>
      <x v="328"/>
      <x v="65"/>
    </i>
    <i r="5">
      <x v="422"/>
      <x v="328"/>
      <x v="65"/>
    </i>
    <i r="2">
      <x v="36"/>
      <x v="22"/>
      <x/>
      <x v="226"/>
      <x v="152"/>
      <x v="74"/>
    </i>
    <i r="5">
      <x v="666"/>
      <x v="151"/>
      <x v="76"/>
    </i>
    <i r="5">
      <x v="859"/>
      <x v="78"/>
      <x v="65"/>
    </i>
    <i r="5">
      <x v="949"/>
      <x v="73"/>
      <x v="65"/>
    </i>
    <i r="5">
      <x v="998"/>
      <x v="407"/>
      <x v="81"/>
    </i>
    <i r="5">
      <x v="1037"/>
      <x v="406"/>
      <x v="81"/>
    </i>
    <i r="5">
      <x v="1082"/>
      <x v="407"/>
      <x v="81"/>
    </i>
    <i r="5">
      <x v="1093"/>
      <x v="407"/>
      <x v="81"/>
    </i>
    <i r="5">
      <x v="1098"/>
      <x v="407"/>
      <x v="81"/>
    </i>
    <i r="5">
      <x v="1105"/>
      <x v="407"/>
      <x v="81"/>
    </i>
    <i r="5">
      <x v="1164"/>
      <x v="407"/>
      <x v="81"/>
    </i>
    <i r="4">
      <x v="1"/>
      <x v="9"/>
      <x v="368"/>
      <x v="65"/>
    </i>
    <i r="5">
      <x v="227"/>
      <x v="316"/>
      <x v="65"/>
    </i>
    <i r="5">
      <x v="290"/>
      <x v="316"/>
      <x v="65"/>
    </i>
    <i r="5">
      <x v="387"/>
      <x v="346"/>
      <x v="65"/>
    </i>
    <i r="5">
      <x v="449"/>
      <x v="369"/>
      <x v="65"/>
    </i>
    <i r="5">
      <x v="665"/>
      <x v="278"/>
      <x v="65"/>
    </i>
    <i r="5">
      <x v="1168"/>
      <x v="407"/>
      <x v="81"/>
    </i>
    <i r="5">
      <x v="1180"/>
      <x v="407"/>
      <x v="81"/>
    </i>
    <i r="5">
      <x v="1194"/>
      <x v="407"/>
      <x v="81"/>
    </i>
    <i r="3">
      <x v="26"/>
      <x/>
      <x v="506"/>
      <x v="78"/>
      <x v="10"/>
    </i>
    <i r="2">
      <x v="40"/>
      <x v="22"/>
      <x/>
      <x v="697"/>
      <x v="407"/>
      <x v="81"/>
    </i>
    <i r="5">
      <x v="905"/>
      <x v="194"/>
      <x v="16"/>
    </i>
    <i r="5">
      <x v="1079"/>
      <x v="407"/>
      <x v="81"/>
    </i>
    <i r="5">
      <x v="1139"/>
      <x v="407"/>
      <x v="81"/>
    </i>
    <i r="4">
      <x v="1"/>
      <x v="47"/>
      <x v="407"/>
      <x v="81"/>
    </i>
    <i r="2">
      <x v="49"/>
      <x v="11"/>
      <x/>
      <x v="1067"/>
      <x v="407"/>
      <x v="81"/>
    </i>
    <i r="5">
      <x v="1069"/>
      <x v="407"/>
      <x v="81"/>
    </i>
    <i r="5">
      <x v="1070"/>
      <x v="407"/>
      <x v="81"/>
    </i>
    <i r="5">
      <x v="1160"/>
      <x v="407"/>
      <x v="81"/>
    </i>
    <i r="5">
      <x v="1181"/>
      <x v="407"/>
      <x v="81"/>
    </i>
    <i r="4">
      <x v="1"/>
      <x v="137"/>
      <x v="342"/>
      <x v="65"/>
    </i>
    <i r="5">
      <x v="404"/>
      <x v="331"/>
      <x v="65"/>
    </i>
    <i r="5">
      <x v="419"/>
      <x v="67"/>
      <x v="65"/>
    </i>
    <i r="5">
      <x v="454"/>
      <x v="340"/>
      <x v="65"/>
    </i>
    <i r="5">
      <x v="720"/>
      <x v="331"/>
      <x v="65"/>
    </i>
    <i r="3">
      <x v="15"/>
      <x/>
      <x v="183"/>
      <x v="78"/>
      <x v="11"/>
    </i>
    <i r="5">
      <x v="250"/>
      <x v="274"/>
      <x v="65"/>
    </i>
    <i r="5">
      <x v="316"/>
      <x v="97"/>
      <x v="11"/>
    </i>
    <i r="5">
      <x v="550"/>
      <x v="78"/>
      <x v="11"/>
    </i>
    <i r="5">
      <x v="764"/>
      <x v="78"/>
      <x v="11"/>
    </i>
    <i r="5">
      <x v="797"/>
      <x v="407"/>
      <x v="81"/>
    </i>
    <i r="4">
      <x v="1"/>
      <x v="152"/>
      <x v="256"/>
      <x v="65"/>
    </i>
    <i r="5">
      <x v="408"/>
      <x v="335"/>
      <x v="65"/>
    </i>
    <i r="5">
      <x v="521"/>
      <x v="323"/>
      <x v="65"/>
    </i>
    <i r="5">
      <x v="708"/>
      <x v="337"/>
      <x v="65"/>
    </i>
    <i r="5">
      <x v="801"/>
      <x v="398"/>
      <x v="65"/>
    </i>
    <i r="5">
      <x v="826"/>
      <x v="349"/>
      <x v="65"/>
    </i>
    <i r="5">
      <x v="950"/>
      <x v="407"/>
      <x v="81"/>
    </i>
    <i r="5">
      <x v="968"/>
      <x v="407"/>
      <x v="81"/>
    </i>
    <i r="5">
      <x v="1042"/>
      <x v="407"/>
      <x v="81"/>
    </i>
    <i r="5">
      <x v="1097"/>
      <x v="407"/>
      <x v="81"/>
    </i>
    <i r="3">
      <x v="16"/>
      <x/>
      <x v="834"/>
      <x v="170"/>
      <x v="26"/>
    </i>
    <i r="5">
      <x v="842"/>
      <x v="170"/>
      <x v="26"/>
    </i>
    <i r="4">
      <x v="1"/>
      <x v="51"/>
      <x v="328"/>
      <x v="65"/>
    </i>
    <i r="5">
      <x v="211"/>
      <x v="170"/>
      <x v="65"/>
    </i>
    <i r="5">
      <x v="219"/>
      <x v="170"/>
      <x v="65"/>
    </i>
    <i r="5">
      <x v="277"/>
      <x v="170"/>
      <x v="65"/>
    </i>
    <i r="5">
      <x v="301"/>
      <x v="170"/>
      <x v="65"/>
    </i>
    <i r="5">
      <x v="412"/>
      <x v="170"/>
      <x v="65"/>
    </i>
    <i r="5">
      <x v="441"/>
      <x v="170"/>
      <x v="65"/>
    </i>
    <i r="5">
      <x v="444"/>
      <x v="170"/>
      <x v="65"/>
    </i>
    <i r="5">
      <x v="522"/>
      <x v="170"/>
      <x v="65"/>
    </i>
    <i r="5">
      <x v="533"/>
      <x v="170"/>
      <x v="65"/>
    </i>
    <i r="5">
      <x v="641"/>
      <x v="170"/>
      <x v="65"/>
    </i>
    <i r="5">
      <x v="656"/>
      <x v="170"/>
      <x v="65"/>
    </i>
    <i r="5">
      <x v="757"/>
      <x v="176"/>
      <x v="65"/>
    </i>
    <i r="5">
      <x v="782"/>
      <x v="170"/>
      <x v="65"/>
    </i>
    <i r="3">
      <x v="23"/>
      <x/>
      <x v="31"/>
      <x v="78"/>
      <x v="11"/>
    </i>
    <i r="4">
      <x v="1"/>
      <x v="33"/>
      <x v="278"/>
      <x v="65"/>
    </i>
    <i r="5">
      <x v="467"/>
      <x v="323"/>
      <x v="65"/>
    </i>
    <i r="5">
      <x v="857"/>
      <x v="346"/>
      <x v="65"/>
    </i>
    <i r="1">
      <x v="2"/>
      <x v="40"/>
      <x v="22"/>
      <x/>
      <x v="582"/>
      <x v="309"/>
      <x v="62"/>
    </i>
    <i r="5">
      <x v="723"/>
      <x v="97"/>
      <x v="19"/>
    </i>
    <i r="5">
      <x v="835"/>
      <x v="256"/>
      <x v="46"/>
    </i>
    <i r="5">
      <x v="848"/>
      <x v="244"/>
      <x v="42"/>
    </i>
    <i r="5">
      <x v="853"/>
      <x v="225"/>
      <x v="39"/>
    </i>
    <i r="5">
      <x v="941"/>
      <x v="407"/>
      <x v="81"/>
    </i>
    <i r="5">
      <x v="961"/>
      <x v="411"/>
      <x v="81"/>
    </i>
    <i r="5">
      <x v="1096"/>
      <x v="407"/>
      <x v="81"/>
    </i>
    <i r="4">
      <x v="1"/>
      <x v="399"/>
      <x v="341"/>
      <x v="65"/>
    </i>
    <i r="5">
      <x v="840"/>
      <x v="405"/>
      <x v="65"/>
    </i>
    <i r="2">
      <x v="42"/>
      <x/>
      <x/>
      <x v="15"/>
      <x v="209"/>
      <x v="65"/>
    </i>
    <i r="5">
      <x v="17"/>
      <x v="139"/>
      <x v="65"/>
    </i>
    <i r="5">
      <x v="41"/>
      <x v="189"/>
      <x v="65"/>
    </i>
    <i r="5">
      <x v="42"/>
      <x v="189"/>
      <x v="65"/>
    </i>
    <i r="5">
      <x v="50"/>
      <x v="185"/>
      <x v="65"/>
    </i>
    <i r="5">
      <x v="76"/>
      <x v="229"/>
      <x v="65"/>
    </i>
    <i r="5">
      <x v="81"/>
      <x v="290"/>
      <x v="65"/>
    </i>
    <i r="5">
      <x v="89"/>
      <x v="211"/>
      <x v="65"/>
    </i>
    <i r="5">
      <x v="94"/>
      <x v="129"/>
      <x v="65"/>
    </i>
    <i r="5">
      <x v="101"/>
      <x v="211"/>
      <x v="65"/>
    </i>
    <i r="5">
      <x v="106"/>
      <x v="201"/>
      <x v="65"/>
    </i>
    <i r="5">
      <x v="110"/>
      <x v="189"/>
      <x v="65"/>
    </i>
    <i r="5">
      <x v="111"/>
      <x v="139"/>
      <x v="65"/>
    </i>
    <i r="5">
      <x v="113"/>
      <x v="114"/>
      <x v="65"/>
    </i>
    <i r="5">
      <x v="120"/>
      <x v="300"/>
      <x v="65"/>
    </i>
    <i r="5">
      <x v="123"/>
      <x v="167"/>
      <x v="65"/>
    </i>
    <i r="5">
      <x v="124"/>
      <x v="154"/>
      <x v="65"/>
    </i>
    <i r="5">
      <x v="126"/>
      <x v="189"/>
      <x v="65"/>
    </i>
    <i r="5">
      <x v="129"/>
      <x v="300"/>
      <x v="65"/>
    </i>
    <i r="5">
      <x v="139"/>
      <x v="229"/>
      <x v="65"/>
    </i>
    <i r="5">
      <x v="143"/>
      <x v="307"/>
      <x v="65"/>
    </i>
    <i r="5">
      <x v="146"/>
      <x v="139"/>
      <x v="65"/>
    </i>
    <i r="5">
      <x v="172"/>
      <x v="189"/>
      <x v="65"/>
    </i>
    <i r="5">
      <x v="174"/>
      <x v="189"/>
      <x v="65"/>
    </i>
    <i r="5">
      <x v="192"/>
      <x v="296"/>
      <x v="65"/>
    </i>
    <i r="5">
      <x v="195"/>
      <x v="189"/>
      <x v="65"/>
    </i>
    <i r="5">
      <x v="200"/>
      <x v="139"/>
      <x v="65"/>
    </i>
    <i r="5">
      <x v="208"/>
      <x v="266"/>
      <x v="65"/>
    </i>
    <i r="5">
      <x v="221"/>
      <x v="304"/>
      <x v="65"/>
    </i>
    <i r="5">
      <x v="225"/>
      <x v="189"/>
      <x v="65"/>
    </i>
    <i r="5">
      <x v="243"/>
      <x v="186"/>
      <x v="65"/>
    </i>
    <i r="5">
      <x v="244"/>
      <x v="290"/>
      <x v="65"/>
    </i>
    <i r="5">
      <x v="251"/>
      <x v="290"/>
      <x v="65"/>
    </i>
    <i r="5">
      <x v="263"/>
      <x v="209"/>
      <x v="65"/>
    </i>
    <i r="5">
      <x v="266"/>
      <x v="167"/>
      <x v="65"/>
    </i>
    <i r="5">
      <x v="268"/>
      <x v="114"/>
      <x v="65"/>
    </i>
    <i r="5">
      <x v="271"/>
      <x v="229"/>
      <x v="65"/>
    </i>
    <i r="5">
      <x v="278"/>
      <x v="139"/>
      <x v="65"/>
    </i>
    <i r="5">
      <x v="285"/>
      <x v="139"/>
      <x v="65"/>
    </i>
    <i r="5">
      <x v="286"/>
      <x v="202"/>
      <x v="65"/>
    </i>
    <i r="5">
      <x v="295"/>
      <x v="139"/>
      <x v="65"/>
    </i>
    <i r="5">
      <x v="298"/>
      <x v="300"/>
      <x v="65"/>
    </i>
    <i r="5">
      <x v="311"/>
      <x v="254"/>
      <x v="65"/>
    </i>
    <i r="5">
      <x v="322"/>
      <x v="139"/>
      <x v="65"/>
    </i>
    <i r="5">
      <x v="336"/>
      <x v="78"/>
      <x v="5"/>
    </i>
    <i r="5">
      <x v="339"/>
      <x v="311"/>
      <x v="65"/>
    </i>
    <i r="5">
      <x v="347"/>
      <x v="202"/>
      <x v="65"/>
    </i>
    <i r="5">
      <x v="352"/>
      <x v="211"/>
      <x v="65"/>
    </i>
    <i r="5">
      <x v="353"/>
      <x v="211"/>
      <x v="65"/>
    </i>
    <i r="5">
      <x v="359"/>
      <x v="189"/>
      <x v="65"/>
    </i>
    <i r="5">
      <x v="360"/>
      <x v="139"/>
      <x v="65"/>
    </i>
    <i r="5">
      <x v="372"/>
      <x v="139"/>
      <x v="65"/>
    </i>
    <i r="5">
      <x v="398"/>
      <x v="202"/>
      <x v="65"/>
    </i>
    <i r="5">
      <x v="423"/>
      <x v="245"/>
      <x v="65"/>
    </i>
    <i r="5">
      <x v="426"/>
      <x v="45"/>
      <x v="5"/>
    </i>
    <i r="5">
      <x v="430"/>
      <x v="183"/>
      <x v="65"/>
    </i>
    <i r="5">
      <x v="434"/>
      <x v="139"/>
      <x v="65"/>
    </i>
    <i r="5">
      <x v="438"/>
      <x v="78"/>
      <x v="10"/>
    </i>
    <i r="5">
      <x v="442"/>
      <x v="286"/>
      <x v="65"/>
    </i>
    <i r="5">
      <x v="443"/>
      <x v="189"/>
      <x v="65"/>
    </i>
    <i r="5">
      <x v="451"/>
      <x v="139"/>
      <x v="65"/>
    </i>
    <i r="5">
      <x v="453"/>
      <x v="139"/>
      <x v="65"/>
    </i>
    <i r="5">
      <x v="455"/>
      <x v="159"/>
      <x v="65"/>
    </i>
    <i r="5">
      <x v="456"/>
      <x v="245"/>
      <x v="65"/>
    </i>
    <i r="5">
      <x v="457"/>
      <x v="183"/>
      <x v="65"/>
    </i>
    <i r="5">
      <x v="469"/>
      <x v="202"/>
      <x v="65"/>
    </i>
    <i r="5">
      <x v="471"/>
      <x v="139"/>
      <x v="65"/>
    </i>
    <i r="5">
      <x v="472"/>
      <x v="245"/>
      <x v="65"/>
    </i>
    <i r="5">
      <x v="484"/>
      <x v="290"/>
      <x v="65"/>
    </i>
    <i r="5">
      <x v="485"/>
      <x v="268"/>
      <x v="65"/>
    </i>
    <i r="5">
      <x v="488"/>
      <x v="114"/>
      <x v="65"/>
    </i>
    <i r="5">
      <x v="495"/>
      <x v="189"/>
      <x v="65"/>
    </i>
    <i r="5">
      <x v="505"/>
      <x v="114"/>
      <x v="65"/>
    </i>
    <i r="5">
      <x v="528"/>
      <x v="167"/>
      <x v="65"/>
    </i>
    <i r="5">
      <x v="538"/>
      <x v="229"/>
      <x v="65"/>
    </i>
    <i r="5">
      <x v="539"/>
      <x v="139"/>
      <x v="65"/>
    </i>
    <i r="5">
      <x v="547"/>
      <x v="266"/>
      <x v="65"/>
    </i>
    <i r="5">
      <x v="555"/>
      <x v="174"/>
      <x v="65"/>
    </i>
    <i r="5">
      <x v="557"/>
      <x v="286"/>
      <x v="65"/>
    </i>
    <i r="5">
      <x v="569"/>
      <x v="114"/>
      <x v="65"/>
    </i>
    <i r="5">
      <x v="570"/>
      <x v="139"/>
      <x v="65"/>
    </i>
    <i r="5">
      <x v="572"/>
      <x v="5"/>
      <x v="65"/>
    </i>
    <i r="5">
      <x v="581"/>
      <x v="99"/>
      <x v="65"/>
    </i>
    <i r="5">
      <x v="583"/>
      <x v="220"/>
      <x v="65"/>
    </i>
    <i r="5">
      <x v="599"/>
      <x v="139"/>
      <x v="65"/>
    </i>
    <i r="5">
      <x v="600"/>
      <x v="242"/>
      <x v="65"/>
    </i>
    <i r="5">
      <x v="603"/>
      <x v="192"/>
      <x v="65"/>
    </i>
    <i r="5">
      <x v="616"/>
      <x v="139"/>
      <x v="65"/>
    </i>
    <i r="5">
      <x v="629"/>
      <x v="235"/>
      <x v="65"/>
    </i>
    <i r="5">
      <x v="630"/>
      <x v="245"/>
      <x v="65"/>
    </i>
    <i r="5">
      <x v="643"/>
      <x v="167"/>
      <x v="65"/>
    </i>
    <i r="5">
      <x v="655"/>
      <x v="189"/>
      <x v="65"/>
    </i>
    <i r="5">
      <x v="676"/>
      <x v="91"/>
      <x v="67"/>
    </i>
    <i r="5">
      <x v="677"/>
      <x v="236"/>
      <x v="65"/>
    </i>
    <i r="5">
      <x v="683"/>
      <x v="209"/>
      <x v="65"/>
    </i>
    <i r="5">
      <x v="694"/>
      <x v="183"/>
      <x v="65"/>
    </i>
    <i r="5">
      <x v="701"/>
      <x v="304"/>
      <x v="65"/>
    </i>
    <i r="5">
      <x v="703"/>
      <x v="139"/>
      <x v="65"/>
    </i>
    <i r="5">
      <x v="706"/>
      <x v="139"/>
      <x v="65"/>
    </i>
    <i r="5">
      <x v="714"/>
      <x v="97"/>
      <x v="65"/>
    </i>
    <i r="5">
      <x v="721"/>
      <x v="300"/>
      <x v="65"/>
    </i>
    <i r="5">
      <x v="722"/>
      <x v="32"/>
      <x v="65"/>
    </i>
    <i r="5">
      <x v="727"/>
      <x v="233"/>
      <x v="65"/>
    </i>
    <i r="5">
      <x v="736"/>
      <x v="128"/>
      <x v="65"/>
    </i>
    <i r="5">
      <x v="740"/>
      <x v="219"/>
      <x v="65"/>
    </i>
    <i r="5">
      <x v="741"/>
      <x v="114"/>
      <x v="65"/>
    </i>
    <i r="5">
      <x v="743"/>
      <x v="300"/>
      <x v="65"/>
    </i>
    <i r="5">
      <x v="752"/>
      <x v="189"/>
      <x v="65"/>
    </i>
    <i r="5">
      <x v="765"/>
      <x v="139"/>
      <x v="65"/>
    </i>
    <i r="5">
      <x v="767"/>
      <x v="183"/>
      <x v="65"/>
    </i>
    <i r="5">
      <x v="768"/>
      <x v="280"/>
      <x v="65"/>
    </i>
    <i r="5">
      <x v="773"/>
      <x v="241"/>
      <x v="65"/>
    </i>
    <i r="5">
      <x v="785"/>
      <x v="189"/>
      <x v="65"/>
    </i>
    <i r="5">
      <x v="788"/>
      <x v="290"/>
      <x v="65"/>
    </i>
    <i r="5">
      <x v="799"/>
      <x v="195"/>
      <x v="65"/>
    </i>
    <i r="5">
      <x v="804"/>
      <x v="311"/>
      <x v="65"/>
    </i>
    <i r="5">
      <x v="809"/>
      <x v="209"/>
      <x v="65"/>
    </i>
    <i r="5">
      <x v="812"/>
      <x v="163"/>
      <x v="65"/>
    </i>
    <i r="5">
      <x v="825"/>
      <x v="189"/>
      <x v="65"/>
    </i>
    <i r="5">
      <x v="881"/>
      <x v="183"/>
      <x v="81"/>
    </i>
    <i r="5">
      <x v="883"/>
      <x v="261"/>
      <x v="81"/>
    </i>
    <i r="5">
      <x v="891"/>
      <x v="245"/>
      <x v="81"/>
    </i>
    <i r="5">
      <x v="898"/>
      <x v="410"/>
      <x v="81"/>
    </i>
    <i r="5">
      <x v="909"/>
      <x v="229"/>
      <x v="81"/>
    </i>
    <i r="5">
      <x v="916"/>
      <x v="209"/>
      <x v="81"/>
    </i>
    <i r="5">
      <x v="953"/>
      <x v="300"/>
      <x v="81"/>
    </i>
    <i r="5">
      <x v="964"/>
      <x v="245"/>
      <x v="81"/>
    </i>
    <i r="5">
      <x v="970"/>
      <x v="219"/>
      <x v="81"/>
    </i>
    <i r="5">
      <x v="976"/>
      <x v="189"/>
      <x v="81"/>
    </i>
    <i r="5">
      <x v="986"/>
      <x v="209"/>
      <x v="81"/>
    </i>
    <i r="5">
      <x v="992"/>
      <x v="183"/>
      <x v="81"/>
    </i>
    <i r="5">
      <x v="995"/>
      <x v="220"/>
      <x v="81"/>
    </i>
    <i r="5">
      <x v="1003"/>
      <x v="229"/>
      <x v="81"/>
    </i>
    <i r="5">
      <x v="1011"/>
      <x v="189"/>
      <x v="81"/>
    </i>
    <i r="5">
      <x v="1014"/>
      <x v="245"/>
      <x v="81"/>
    </i>
    <i r="5">
      <x v="1020"/>
      <x v="183"/>
      <x v="81"/>
    </i>
    <i r="5">
      <x v="1023"/>
      <x v="202"/>
      <x v="81"/>
    </i>
    <i r="5">
      <x v="1033"/>
      <x v="189"/>
      <x v="81"/>
    </i>
    <i r="5">
      <x v="1035"/>
      <x v="414"/>
      <x v="81"/>
    </i>
    <i r="5">
      <x v="1046"/>
      <x v="245"/>
      <x v="81"/>
    </i>
    <i r="4">
      <x v="1"/>
      <x v="16"/>
      <x v="320"/>
      <x v="65"/>
    </i>
    <i r="5">
      <x v="22"/>
      <x v="323"/>
      <x v="65"/>
    </i>
    <i r="5">
      <x v="91"/>
      <x v="323"/>
      <x v="65"/>
    </i>
    <i r="5">
      <x v="92"/>
      <x v="337"/>
      <x v="65"/>
    </i>
    <i r="5">
      <x v="98"/>
      <x v="338"/>
      <x v="65"/>
    </i>
    <i r="5">
      <x v="194"/>
      <x v="322"/>
      <x v="65"/>
    </i>
    <i r="5">
      <x v="216"/>
      <x v="170"/>
      <x v="65"/>
    </i>
    <i r="5">
      <x v="269"/>
      <x v="346"/>
      <x v="65"/>
    </i>
    <i r="5">
      <x v="302"/>
      <x v="67"/>
      <x v="65"/>
    </i>
    <i r="5">
      <x v="307"/>
      <x v="26"/>
      <x v="65"/>
    </i>
    <i r="5">
      <x v="342"/>
      <x v="323"/>
      <x v="65"/>
    </i>
    <i r="5">
      <x v="345"/>
      <x v="323"/>
      <x v="65"/>
    </i>
    <i r="5">
      <x v="435"/>
      <x v="67"/>
      <x v="65"/>
    </i>
    <i r="5">
      <x v="448"/>
      <x v="368"/>
      <x v="65"/>
    </i>
    <i r="5">
      <x v="478"/>
      <x v="320"/>
      <x v="65"/>
    </i>
    <i r="5">
      <x v="496"/>
      <x v="326"/>
      <x v="65"/>
    </i>
    <i r="5">
      <x v="503"/>
      <x v="326"/>
      <x v="65"/>
    </i>
    <i r="5">
      <x v="511"/>
      <x v="374"/>
      <x v="65"/>
    </i>
    <i r="5">
      <x v="524"/>
      <x v="341"/>
      <x v="65"/>
    </i>
    <i r="5">
      <x v="622"/>
      <x v="340"/>
      <x v="65"/>
    </i>
    <i r="5">
      <x v="626"/>
      <x v="341"/>
      <x v="65"/>
    </i>
    <i r="5">
      <x v="633"/>
      <x v="170"/>
      <x v="65"/>
    </i>
    <i r="5">
      <x v="634"/>
      <x v="331"/>
      <x v="65"/>
    </i>
    <i r="5">
      <x v="681"/>
      <x v="337"/>
      <x v="65"/>
    </i>
    <i r="5">
      <x v="784"/>
      <x v="395"/>
      <x v="65"/>
    </i>
    <i r="5">
      <x v="813"/>
      <x v="26"/>
      <x v="65"/>
    </i>
    <i r="5">
      <x v="814"/>
      <x v="400"/>
      <x v="65"/>
    </i>
    <i r="5">
      <x v="844"/>
      <x v="323"/>
      <x v="65"/>
    </i>
    <i r="5">
      <x v="845"/>
      <x v="369"/>
      <x v="65"/>
    </i>
    <i r="5">
      <x v="1038"/>
      <x v="132"/>
      <x v="81"/>
    </i>
    <i r="3">
      <x v="27"/>
      <x/>
      <x v="163"/>
      <x v="409"/>
      <x v="65"/>
    </i>
    <i r="5">
      <x v="201"/>
      <x v="189"/>
      <x v="65"/>
    </i>
    <i r="5">
      <x v="306"/>
      <x v="139"/>
      <x v="65"/>
    </i>
    <i r="5">
      <x v="520"/>
      <x v="183"/>
      <x v="65"/>
    </i>
    <i r="5">
      <x v="546"/>
      <x v="242"/>
      <x v="65"/>
    </i>
    <i r="5">
      <x v="561"/>
      <x v="245"/>
      <x v="65"/>
    </i>
    <i r="5">
      <x v="778"/>
      <x v="261"/>
      <x v="65"/>
    </i>
    <i r="5">
      <x v="791"/>
      <x v="245"/>
      <x v="65"/>
    </i>
    <i r="5">
      <x v="877"/>
      <x v="241"/>
      <x v="81"/>
    </i>
    <i r="5">
      <x v="878"/>
      <x v="114"/>
      <x v="81"/>
    </i>
    <i r="5">
      <x v="885"/>
      <x v="261"/>
      <x v="81"/>
    </i>
    <i r="5">
      <x v="893"/>
      <x v="183"/>
      <x v="81"/>
    </i>
    <i r="5">
      <x v="896"/>
      <x v="409"/>
      <x v="81"/>
    </i>
    <i r="5">
      <x v="923"/>
      <x v="189"/>
      <x v="81"/>
    </i>
    <i r="5">
      <x v="929"/>
      <x v="139"/>
      <x v="81"/>
    </i>
    <i r="5">
      <x v="951"/>
      <x v="261"/>
      <x v="81"/>
    </i>
    <i r="5">
      <x v="965"/>
      <x v="183"/>
      <x v="81"/>
    </i>
    <i r="5">
      <x v="966"/>
      <x v="245"/>
      <x v="81"/>
    </i>
    <i r="5">
      <x v="989"/>
      <x v="245"/>
      <x v="81"/>
    </i>
    <i r="5">
      <x v="1001"/>
      <x v="245"/>
      <x v="81"/>
    </i>
    <i r="5">
      <x v="1005"/>
      <x v="245"/>
      <x v="81"/>
    </i>
    <i r="5">
      <x v="1010"/>
      <x v="245"/>
      <x v="81"/>
    </i>
    <i r="5">
      <x v="1018"/>
      <x v="245"/>
      <x v="81"/>
    </i>
    <i r="5">
      <x v="1022"/>
      <x v="245"/>
      <x v="81"/>
    </i>
    <i r="5">
      <x v="1040"/>
      <x v="245"/>
      <x v="81"/>
    </i>
    <i r="2">
      <x v="43"/>
      <x v="24"/>
      <x/>
      <x/>
      <x v="26"/>
      <x v="64"/>
    </i>
    <i r="5">
      <x v="30"/>
      <x v="61"/>
      <x v="64"/>
    </i>
    <i r="5">
      <x v="44"/>
      <x v="7"/>
      <x v="64"/>
    </i>
    <i r="5">
      <x v="161"/>
      <x v="83"/>
      <x v="64"/>
    </i>
    <i r="5">
      <x v="171"/>
      <x v="61"/>
      <x v="64"/>
    </i>
    <i r="5">
      <x v="186"/>
      <x v="61"/>
      <x v="64"/>
    </i>
    <i r="5">
      <x v="215"/>
      <x v="26"/>
      <x v="64"/>
    </i>
    <i r="5">
      <x v="262"/>
      <x v="61"/>
      <x v="64"/>
    </i>
    <i r="5">
      <x v="264"/>
      <x v="83"/>
      <x v="64"/>
    </i>
    <i r="5">
      <x v="459"/>
      <x v="26"/>
      <x v="64"/>
    </i>
    <i r="5">
      <x v="460"/>
      <x v="26"/>
      <x v="64"/>
    </i>
    <i r="5">
      <x v="479"/>
      <x v="61"/>
      <x v="64"/>
    </i>
    <i r="5">
      <x v="518"/>
      <x v="26"/>
      <x v="64"/>
    </i>
    <i r="5">
      <x v="523"/>
      <x v="61"/>
      <x v="64"/>
    </i>
    <i r="5">
      <x v="527"/>
      <x v="26"/>
      <x v="64"/>
    </i>
    <i r="5">
      <x v="532"/>
      <x v="26"/>
      <x v="64"/>
    </i>
    <i r="5">
      <x v="558"/>
      <x v="7"/>
      <x v="64"/>
    </i>
    <i r="5">
      <x v="657"/>
      <x v="61"/>
      <x v="64"/>
    </i>
    <i r="5">
      <x v="699"/>
      <x v="104"/>
      <x v="64"/>
    </i>
    <i r="5">
      <x v="805"/>
      <x v="26"/>
      <x v="64"/>
    </i>
    <i r="5">
      <x v="818"/>
      <x v="7"/>
      <x v="64"/>
    </i>
    <i r="5">
      <x v="819"/>
      <x v="83"/>
      <x v="64"/>
    </i>
    <i r="5">
      <x v="832"/>
      <x v="26"/>
      <x v="64"/>
    </i>
    <i r="5">
      <x v="839"/>
      <x v="61"/>
      <x v="64"/>
    </i>
    <i r="2">
      <x v="47"/>
      <x v="9"/>
      <x v="1"/>
      <x v="827"/>
      <x v="401"/>
      <x v="65"/>
    </i>
    <i r="2">
      <x v="53"/>
      <x v="22"/>
      <x v="1"/>
      <x v="401"/>
      <x v="322"/>
      <x v="65"/>
    </i>
    <i r="1">
      <x v="9"/>
      <x v="40"/>
      <x v="22"/>
      <x/>
      <x v="2"/>
      <x v="277"/>
      <x v="53"/>
    </i>
    <i r="5">
      <x v="60"/>
      <x v="147"/>
      <x v="21"/>
    </i>
    <i r="5">
      <x v="66"/>
      <x v="274"/>
      <x v="50"/>
    </i>
    <i r="5">
      <x v="84"/>
      <x v="76"/>
      <x v="6"/>
    </i>
    <i r="5">
      <x v="197"/>
      <x v="147"/>
      <x v="21"/>
    </i>
    <i r="5">
      <x v="319"/>
      <x v="277"/>
      <x v="53"/>
    </i>
    <i r="5">
      <x v="330"/>
      <x v="310"/>
      <x v="63"/>
    </i>
    <i r="5">
      <x v="369"/>
      <x v="277"/>
      <x v="53"/>
    </i>
    <i r="5">
      <x v="394"/>
      <x v="76"/>
      <x v="6"/>
    </i>
    <i r="5">
      <x v="439"/>
      <x v="184"/>
      <x v="30"/>
    </i>
    <i r="5">
      <x v="574"/>
      <x v="277"/>
      <x v="53"/>
    </i>
    <i r="5">
      <x v="631"/>
      <x v="274"/>
      <x v="50"/>
    </i>
    <i r="5">
      <x v="709"/>
      <x v="80"/>
      <x v="9"/>
    </i>
    <i r="5">
      <x v="716"/>
      <x v="184"/>
      <x v="30"/>
    </i>
    <i r="5">
      <x v="732"/>
      <x v="277"/>
      <x v="53"/>
    </i>
    <i r="5">
      <x v="763"/>
      <x v="274"/>
      <x v="50"/>
    </i>
    <i r="5">
      <x v="780"/>
      <x v="277"/>
      <x v="53"/>
    </i>
    <i r="5">
      <x v="811"/>
      <x v="305"/>
      <x v="60"/>
    </i>
    <i r="5">
      <x v="938"/>
      <x v="147"/>
      <x v="21"/>
    </i>
    <i r="5">
      <x v="958"/>
      <x v="407"/>
      <x v="81"/>
    </i>
    <i r="5">
      <x v="1017"/>
      <x v="109"/>
      <x v="14"/>
    </i>
    <i r="5">
      <x v="1019"/>
      <x v="76"/>
      <x v="6"/>
    </i>
    <i r="5">
      <x v="1032"/>
      <x v="147"/>
      <x v="21"/>
    </i>
    <i r="5">
      <x v="1057"/>
      <x v="407"/>
      <x v="81"/>
    </i>
    <i r="5">
      <x v="1088"/>
      <x v="147"/>
      <x v="21"/>
    </i>
    <i r="5">
      <x v="1150"/>
      <x v="147"/>
      <x v="21"/>
    </i>
    <i r="5">
      <x v="1159"/>
      <x v="147"/>
      <x v="21"/>
    </i>
    <i r="5">
      <x v="1169"/>
      <x v="76"/>
      <x v="6"/>
    </i>
    <i r="2">
      <x v="52"/>
      <x v="22"/>
      <x v="1"/>
      <x v="1143"/>
      <x v="349"/>
      <x v="65"/>
    </i>
    <i r="1">
      <x v="10"/>
    </i>
    <i r="1">
      <x v="12"/>
      <x v="10"/>
      <x v="22"/>
      <x/>
      <x v="138"/>
      <x v="67"/>
      <x v="5"/>
    </i>
    <i r="5">
      <x v="450"/>
      <x v="94"/>
      <x v="65"/>
    </i>
    <i r="5">
      <x v="568"/>
      <x v="309"/>
      <x v="62"/>
    </i>
    <i r="5">
      <x v="597"/>
      <x v="109"/>
      <x v="14"/>
    </i>
    <i r="5">
      <x v="863"/>
      <x v="67"/>
      <x v="81"/>
    </i>
    <i r="5">
      <x v="915"/>
      <x v="184"/>
      <x v="81"/>
    </i>
    <i r="5">
      <x v="932"/>
      <x v="67"/>
      <x v="81"/>
    </i>
    <i r="5">
      <x v="1049"/>
      <x v="407"/>
      <x v="81"/>
    </i>
    <i r="5">
      <x v="1051"/>
      <x v="407"/>
      <x v="81"/>
    </i>
    <i r="5">
      <x v="1071"/>
      <x v="407"/>
      <x v="81"/>
    </i>
    <i r="5">
      <x v="1072"/>
      <x v="407"/>
      <x v="81"/>
    </i>
    <i r="5">
      <x v="1073"/>
      <x v="407"/>
      <x v="81"/>
    </i>
    <i r="5">
      <x v="1091"/>
      <x v="407"/>
      <x v="81"/>
    </i>
    <i r="5">
      <x v="1136"/>
      <x v="407"/>
      <x v="81"/>
    </i>
    <i r="4">
      <x v="1"/>
      <x v="276"/>
      <x v="352"/>
      <x v="65"/>
    </i>
    <i r="5">
      <x v="303"/>
      <x v="340"/>
      <x v="65"/>
    </i>
    <i r="5">
      <x v="489"/>
      <x v="340"/>
      <x v="65"/>
    </i>
    <i r="5">
      <x v="530"/>
      <x v="140"/>
      <x v="65"/>
    </i>
    <i r="5">
      <x v="645"/>
      <x v="292"/>
      <x v="65"/>
    </i>
    <i r="5">
      <x v="746"/>
      <x v="391"/>
      <x v="65"/>
    </i>
    <i r="1">
      <x v="13"/>
      <x v="40"/>
      <x v="22"/>
      <x/>
      <x v="176"/>
      <x v="274"/>
      <x v="50"/>
    </i>
    <i r="5">
      <x v="917"/>
      <x v="407"/>
      <x v="81"/>
    </i>
    <i r="5">
      <x v="1004"/>
      <x v="407"/>
      <x v="81"/>
    </i>
    <i r="1">
      <x v="15"/>
      <x v="40"/>
      <x v="22"/>
      <x/>
      <x v="7"/>
      <x v="67"/>
      <x v="5"/>
    </i>
    <i r="5">
      <x v="57"/>
      <x v="256"/>
      <x v="46"/>
    </i>
    <i r="5">
      <x v="142"/>
      <x v="83"/>
      <x v="10"/>
    </i>
    <i r="5">
      <x v="338"/>
      <x v="309"/>
      <x v="53"/>
    </i>
    <i r="5">
      <x v="447"/>
      <x v="184"/>
      <x v="30"/>
    </i>
    <i r="5">
      <x v="541"/>
      <x v="78"/>
      <x v="70"/>
    </i>
    <i r="5">
      <x v="612"/>
      <x v="309"/>
      <x v="53"/>
    </i>
    <i r="5">
      <x v="682"/>
      <x v="97"/>
      <x v="19"/>
    </i>
    <i r="5">
      <x v="787"/>
      <x v="97"/>
      <x v="19"/>
    </i>
    <i r="5">
      <x v="960"/>
      <x v="407"/>
      <x v="81"/>
    </i>
    <i r="5">
      <x v="980"/>
      <x v="407"/>
      <x v="81"/>
    </i>
    <i r="5">
      <x v="999"/>
      <x v="407"/>
      <x v="81"/>
    </i>
    <i r="5">
      <x v="1016"/>
      <x v="407"/>
      <x v="81"/>
    </i>
    <i r="5">
      <x v="1058"/>
      <x v="407"/>
      <x v="81"/>
    </i>
    <i r="5">
      <x v="1107"/>
      <x v="407"/>
      <x v="81"/>
    </i>
    <i r="5">
      <x v="1111"/>
      <x v="407"/>
      <x v="81"/>
    </i>
    <i r="5">
      <x v="1112"/>
      <x v="407"/>
      <x v="81"/>
    </i>
    <i r="5">
      <x v="1113"/>
      <x v="407"/>
      <x v="81"/>
    </i>
    <i r="5">
      <x v="1114"/>
      <x v="407"/>
      <x v="81"/>
    </i>
    <i r="5">
      <x v="1140"/>
      <x v="407"/>
      <x v="81"/>
    </i>
    <i r="5">
      <x v="1148"/>
      <x v="407"/>
      <x v="81"/>
    </i>
    <i r="5">
      <x v="1165"/>
      <x v="407"/>
      <x v="81"/>
    </i>
    <i r="5">
      <x v="1170"/>
      <x v="407"/>
      <x v="81"/>
    </i>
    <i r="5">
      <x v="1182"/>
      <x v="407"/>
      <x v="81"/>
    </i>
    <i r="5">
      <x v="1198"/>
      <x v="407"/>
      <x v="81"/>
    </i>
    <i r="4">
      <x v="1"/>
      <x v="140"/>
      <x v="326"/>
      <x v="65"/>
    </i>
    <i r="5">
      <x v="178"/>
      <x v="346"/>
      <x v="65"/>
    </i>
    <i r="5">
      <x v="715"/>
      <x v="322"/>
      <x v="65"/>
    </i>
    <i r="4">
      <x v="2"/>
      <x v="494"/>
      <x v="309"/>
      <x v="62"/>
    </i>
    <i r="2">
      <x v="51"/>
      <x v="22"/>
      <x/>
      <x v="997"/>
      <x v="407"/>
      <x v="81"/>
    </i>
    <i r="5">
      <x v="1012"/>
      <x v="407"/>
      <x v="81"/>
    </i>
    <i r="3">
      <x v="28"/>
      <x/>
      <x v="962"/>
      <x v="407"/>
      <x v="81"/>
    </i>
    <i r="5">
      <x v="1116"/>
      <x v="407"/>
      <x v="81"/>
    </i>
    <i r="1">
      <x v="16"/>
      <x v="50"/>
      <x v="22"/>
      <x/>
      <x v="233"/>
      <x v="109"/>
      <x v="14"/>
    </i>
    <i r="5">
      <x v="417"/>
      <x v="147"/>
      <x v="21"/>
    </i>
    <i r="5">
      <x v="792"/>
      <x v="309"/>
      <x v="62"/>
    </i>
    <i r="5">
      <x v="910"/>
      <x v="147"/>
      <x v="81"/>
    </i>
    <i r="5">
      <x v="918"/>
      <x v="83"/>
      <x v="81"/>
    </i>
    <i r="5">
      <x v="1119"/>
      <x v="407"/>
      <x v="81"/>
    </i>
    <i r="5">
      <x v="1121"/>
      <x v="407"/>
      <x v="81"/>
    </i>
    <i r="5">
      <x v="1122"/>
      <x v="407"/>
      <x v="81"/>
    </i>
    <i r="5">
      <x v="1123"/>
      <x v="407"/>
      <x v="81"/>
    </i>
    <i r="5">
      <x v="1124"/>
      <x v="407"/>
      <x v="81"/>
    </i>
    <i r="5">
      <x v="1125"/>
      <x v="407"/>
      <x v="81"/>
    </i>
    <i r="5">
      <x v="1126"/>
      <x v="407"/>
      <x v="81"/>
    </i>
    <i r="5">
      <x v="1127"/>
      <x v="407"/>
      <x v="81"/>
    </i>
    <i r="5">
      <x v="1128"/>
      <x v="407"/>
      <x v="81"/>
    </i>
    <i r="5">
      <x v="1129"/>
      <x v="407"/>
      <x v="81"/>
    </i>
    <i r="5">
      <x v="1130"/>
      <x v="407"/>
      <x v="81"/>
    </i>
    <i r="5">
      <x v="1131"/>
      <x v="407"/>
      <x v="81"/>
    </i>
    <i r="5">
      <x v="1132"/>
      <x v="407"/>
      <x v="81"/>
    </i>
    <i r="5">
      <x v="1133"/>
      <x v="407"/>
      <x v="81"/>
    </i>
    <i r="5">
      <x v="1134"/>
      <x v="407"/>
      <x v="81"/>
    </i>
    <i r="5">
      <x v="1153"/>
      <x v="407"/>
      <x v="81"/>
    </i>
    <i r="5">
      <x v="1154"/>
      <x v="407"/>
      <x v="81"/>
    </i>
    <i r="5">
      <x v="1162"/>
      <x v="407"/>
      <x v="81"/>
    </i>
    <i r="5">
      <x v="1167"/>
      <x v="407"/>
      <x v="81"/>
    </i>
    <i r="5">
      <x v="1172"/>
      <x v="407"/>
      <x v="81"/>
    </i>
    <i r="5">
      <x v="1173"/>
      <x v="407"/>
      <x v="81"/>
    </i>
    <i r="5">
      <x v="1185"/>
      <x v="407"/>
      <x v="81"/>
    </i>
    <i r="5">
      <x v="1186"/>
      <x v="407"/>
      <x v="81"/>
    </i>
    <i r="5">
      <x v="1196"/>
      <x v="407"/>
      <x v="81"/>
    </i>
    <i r="5">
      <x v="1197"/>
      <x v="407"/>
      <x v="81"/>
    </i>
    <i r="5">
      <x v="1201"/>
      <x v="407"/>
      <x v="81"/>
    </i>
    <i r="5">
      <x v="1202"/>
      <x v="407"/>
      <x v="81"/>
    </i>
    <i r="5">
      <x v="1203"/>
      <x v="407"/>
      <x v="81"/>
    </i>
    <i r="5">
      <x v="1205"/>
      <x v="407"/>
      <x v="81"/>
    </i>
    <i r="4">
      <x v="1"/>
      <x v="320"/>
      <x v="356"/>
      <x v="65"/>
    </i>
    <i t="default">
      <x v="1"/>
    </i>
    <i t="grand">
      <x/>
    </i>
  </rowItems>
  <colItems count="1">
    <i/>
  </colItems>
  <pageFields count="1">
    <pageField fld="1" hier="-1"/>
  </pageFields>
  <dataFields count="1">
    <dataField name="Cuenta de APELLIDO Y NOMBRE/S" fld="11" subtotal="count" baseField="0" baseItem="0"/>
  </dataFields>
  <formats count="2">
    <format dxfId="4">
      <pivotArea field="29" type="button" dataOnly="0" labelOnly="1" outline="0" axis="axisRow" fieldPosition="6"/>
    </format>
    <format dxfId="3">
      <pivotArea field="30" type="button" dataOnly="0" labelOnly="1" outline="0" axis="axisRow" fieldPosition="7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4:D90" firstHeaderRow="2" firstDataRow="2" firstDataCol="3"/>
  <pivotFields count="38"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9"/>
        <item x="5"/>
        <item x="1"/>
        <item x="0"/>
        <item m="1" x="12"/>
        <item h="1" x="3"/>
        <item h="1" m="1" x="11"/>
        <item h="1" m="1" x="14"/>
        <item m="1" x="15"/>
        <item x="2"/>
        <item x="10"/>
        <item h="1" m="1" x="13"/>
        <item h="1" x="6"/>
        <item h="1" x="7"/>
        <item h="1" x="4"/>
        <item t="default"/>
      </items>
    </pivotField>
    <pivotField axis="axisRow" compact="0" outline="0" showAll="0">
      <items count="56">
        <item x="39"/>
        <item x="49"/>
        <item x="13"/>
        <item x="19"/>
        <item x="33"/>
        <item x="9"/>
        <item x="23"/>
        <item x="12"/>
        <item x="14"/>
        <item x="47"/>
        <item x="30"/>
        <item x="1"/>
        <item x="48"/>
        <item x="38"/>
        <item x="24"/>
        <item x="31"/>
        <item m="1" x="50"/>
        <item m="1" x="51"/>
        <item x="5"/>
        <item x="37"/>
        <item m="1" x="54"/>
        <item x="43"/>
        <item x="4"/>
        <item x="26"/>
        <item x="16"/>
        <item x="32"/>
        <item x="3"/>
        <item x="44"/>
        <item x="28"/>
        <item x="36"/>
        <item x="42"/>
        <item x="15"/>
        <item x="22"/>
        <item x="46"/>
        <item x="41"/>
        <item x="6"/>
        <item x="29"/>
        <item x="21"/>
        <item x="0"/>
        <item x="34"/>
        <item x="18"/>
        <item x="35"/>
        <item x="45"/>
        <item x="25"/>
        <item m="1" x="52"/>
        <item x="20"/>
        <item x="40"/>
        <item x="17"/>
        <item x="7"/>
        <item x="10"/>
        <item x="11"/>
        <item x="27"/>
        <item x="8"/>
        <item m="1" x="53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compact="0" outline="0" showAll="0">
      <items count="5">
        <item x="0"/>
        <item x="2"/>
        <item x="1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3"/>
    <field x="4"/>
    <field x="21"/>
  </rowFields>
  <rowItems count="85">
    <i>
      <x/>
      <x v="11"/>
      <x/>
    </i>
    <i r="2">
      <x v="2"/>
    </i>
    <i t="default" r="1">
      <x v="11"/>
    </i>
    <i t="default">
      <x/>
    </i>
    <i>
      <x v="1"/>
      <x v="54"/>
      <x/>
    </i>
    <i t="default" r="1">
      <x v="54"/>
    </i>
    <i t="default">
      <x v="1"/>
    </i>
    <i>
      <x v="2"/>
      <x v="9"/>
      <x v="2"/>
    </i>
    <i r="2">
      <x v="3"/>
    </i>
    <i t="default" r="1">
      <x v="9"/>
    </i>
    <i r="1">
      <x v="10"/>
      <x/>
    </i>
    <i r="2">
      <x v="2"/>
    </i>
    <i t="default" r="1">
      <x v="10"/>
    </i>
    <i r="1">
      <x v="19"/>
      <x/>
    </i>
    <i t="default" r="1">
      <x v="19"/>
    </i>
    <i r="1">
      <x v="23"/>
      <x/>
    </i>
    <i r="2">
      <x v="2"/>
    </i>
    <i t="default" r="1">
      <x v="23"/>
    </i>
    <i r="1">
      <x v="40"/>
      <x/>
    </i>
    <i r="2">
      <x v="2"/>
    </i>
    <i t="default" r="1">
      <x v="40"/>
    </i>
    <i r="1">
      <x v="43"/>
      <x/>
    </i>
    <i r="2">
      <x v="2"/>
    </i>
    <i t="default" r="1">
      <x v="43"/>
    </i>
    <i r="1">
      <x v="47"/>
      <x/>
    </i>
    <i r="2">
      <x v="2"/>
    </i>
    <i t="default" r="1">
      <x v="47"/>
    </i>
    <i r="1">
      <x v="48"/>
      <x/>
    </i>
    <i r="2">
      <x v="2"/>
    </i>
    <i t="default" r="1">
      <x v="48"/>
    </i>
    <i r="1">
      <x v="54"/>
      <x/>
    </i>
    <i r="2">
      <x v="2"/>
    </i>
    <i t="default" r="1">
      <x v="54"/>
    </i>
    <i t="default">
      <x v="2"/>
    </i>
    <i>
      <x v="3"/>
      <x/>
      <x/>
    </i>
    <i r="2">
      <x v="2"/>
    </i>
    <i t="default" r="1">
      <x/>
    </i>
    <i r="1">
      <x v="8"/>
      <x/>
    </i>
    <i r="2">
      <x v="2"/>
    </i>
    <i t="default" r="1">
      <x v="8"/>
    </i>
    <i r="1">
      <x v="11"/>
      <x/>
    </i>
    <i r="2">
      <x v="2"/>
    </i>
    <i t="default" r="1">
      <x v="11"/>
    </i>
    <i r="1">
      <x v="15"/>
      <x/>
    </i>
    <i r="2">
      <x v="2"/>
    </i>
    <i r="2">
      <x v="3"/>
    </i>
    <i t="default" r="1">
      <x v="15"/>
    </i>
    <i r="1">
      <x v="18"/>
      <x/>
    </i>
    <i r="2">
      <x v="2"/>
    </i>
    <i t="default" r="1">
      <x v="18"/>
    </i>
    <i r="1">
      <x v="24"/>
      <x/>
    </i>
    <i r="2">
      <x v="2"/>
    </i>
    <i t="default" r="1">
      <x v="24"/>
    </i>
    <i r="1">
      <x v="39"/>
      <x/>
    </i>
    <i t="default" r="1">
      <x v="39"/>
    </i>
    <i r="1">
      <x v="49"/>
      <x/>
    </i>
    <i r="2">
      <x v="2"/>
    </i>
    <i t="default" r="1">
      <x v="49"/>
    </i>
    <i r="1">
      <x v="51"/>
      <x/>
    </i>
    <i t="default" r="1">
      <x v="51"/>
    </i>
    <i r="1">
      <x v="54"/>
      <x/>
    </i>
    <i t="default" r="1">
      <x v="54"/>
    </i>
    <i t="default">
      <x v="3"/>
    </i>
    <i>
      <x v="4"/>
      <x v="12"/>
      <x v="2"/>
    </i>
    <i t="default" r="1">
      <x v="12"/>
    </i>
    <i r="1">
      <x v="21"/>
      <x v="2"/>
    </i>
    <i t="default" r="1">
      <x v="21"/>
    </i>
    <i r="1">
      <x v="38"/>
      <x/>
    </i>
    <i t="default" r="1">
      <x v="38"/>
    </i>
    <i r="1">
      <x v="52"/>
      <x/>
    </i>
    <i r="2">
      <x v="2"/>
    </i>
    <i t="default" r="1">
      <x v="52"/>
    </i>
    <i r="1">
      <x v="54"/>
      <x/>
    </i>
    <i r="2">
      <x v="2"/>
    </i>
    <i t="default" r="1">
      <x v="54"/>
    </i>
    <i t="default">
      <x v="4"/>
    </i>
    <i>
      <x v="10"/>
      <x v="13"/>
      <x v="2"/>
    </i>
    <i t="default" r="1">
      <x v="13"/>
    </i>
    <i r="1">
      <x v="54"/>
      <x/>
    </i>
    <i t="default" r="1">
      <x v="54"/>
    </i>
    <i t="default">
      <x v="10"/>
    </i>
    <i>
      <x v="11"/>
      <x v="54"/>
      <x/>
    </i>
    <i t="default" r="1">
      <x v="54"/>
    </i>
    <i t="default">
      <x v="11"/>
    </i>
    <i t="grand">
      <x/>
    </i>
  </rowItems>
  <colItems count="1">
    <i/>
  </colItems>
  <dataFields count="1">
    <dataField name="Cuenta de APELLIDO Y NOMBRE/S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3:F114" firstHeaderRow="2" firstDataRow="2" firstDataCol="5"/>
  <pivotFields count="33">
    <pivotField compact="0" outline="0" showAll="0"/>
    <pivotField axis="axisRow" compact="0" outline="0" showAll="0">
      <items count="5">
        <item x="0"/>
        <item x="2"/>
        <item x="1"/>
        <item m="1" x="3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12">
        <item x="8"/>
        <item x="9"/>
        <item x="5"/>
        <item x="1"/>
        <item x="0"/>
        <item x="3"/>
        <item x="2"/>
        <item x="10"/>
        <item x="4"/>
        <item x="6"/>
        <item x="7"/>
        <item t="default"/>
      </items>
    </pivotField>
    <pivotField axis="axisRow" compact="0" outline="0" showAll="0" defaultSubtotal="0">
      <items count="51">
        <item x="38"/>
        <item x="49"/>
        <item x="12"/>
        <item x="18"/>
        <item x="32"/>
        <item x="9"/>
        <item x="22"/>
        <item x="11"/>
        <item x="13"/>
        <item x="47"/>
        <item x="29"/>
        <item x="1"/>
        <item x="48"/>
        <item x="37"/>
        <item x="23"/>
        <item x="30"/>
        <item x="5"/>
        <item x="36"/>
        <item x="42"/>
        <item x="4"/>
        <item x="25"/>
        <item x="15"/>
        <item x="31"/>
        <item x="3"/>
        <item x="44"/>
        <item x="27"/>
        <item x="35"/>
        <item x="41"/>
        <item x="14"/>
        <item x="21"/>
        <item x="46"/>
        <item x="40"/>
        <item x="6"/>
        <item x="28"/>
        <item x="20"/>
        <item x="0"/>
        <item x="33"/>
        <item x="17"/>
        <item x="34"/>
        <item x="45"/>
        <item x="24"/>
        <item x="19"/>
        <item x="39"/>
        <item x="16"/>
        <item x="7"/>
        <item x="10"/>
        <item x="43"/>
        <item x="26"/>
        <item x="8"/>
        <item m="1" x="50"/>
        <item x="2"/>
      </items>
    </pivotField>
    <pivotField axis="axisRow" compact="0" outline="0" showAll="0">
      <items count="28">
        <item x="15"/>
        <item x="6"/>
        <item x="22"/>
        <item x="21"/>
        <item x="0"/>
        <item x="17"/>
        <item x="24"/>
        <item x="7"/>
        <item x="26"/>
        <item x="12"/>
        <item x="14"/>
        <item x="5"/>
        <item x="19"/>
        <item x="3"/>
        <item x="1"/>
        <item x="4"/>
        <item x="16"/>
        <item x="11"/>
        <item x="18"/>
        <item x="20"/>
        <item x="13"/>
        <item x="23"/>
        <item x="8"/>
        <item x="9"/>
        <item x="25"/>
        <item x="1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</pivotFields>
  <rowFields count="5">
    <field x="1"/>
    <field x="2"/>
    <field x="3"/>
    <field x="4"/>
    <field x="5"/>
  </rowFields>
  <rowItems count="110">
    <i>
      <x/>
      <x/>
      <x v="3"/>
      <x/>
      <x v="26"/>
    </i>
    <i r="3">
      <x v="8"/>
      <x v="26"/>
    </i>
    <i r="3">
      <x v="11"/>
      <x v="14"/>
    </i>
    <i r="4">
      <x v="26"/>
    </i>
    <i r="3">
      <x v="15"/>
      <x v="26"/>
    </i>
    <i r="3">
      <x v="16"/>
      <x/>
    </i>
    <i r="4">
      <x v="2"/>
    </i>
    <i r="4">
      <x v="5"/>
    </i>
    <i r="4">
      <x v="6"/>
    </i>
    <i r="4">
      <x v="7"/>
    </i>
    <i r="4">
      <x v="9"/>
    </i>
    <i r="4">
      <x v="11"/>
    </i>
    <i r="4">
      <x v="13"/>
    </i>
    <i r="4">
      <x v="18"/>
    </i>
    <i r="4">
      <x v="19"/>
    </i>
    <i r="4">
      <x v="20"/>
    </i>
    <i r="4">
      <x v="22"/>
    </i>
    <i r="4">
      <x v="26"/>
    </i>
    <i r="3">
      <x v="21"/>
      <x v="12"/>
    </i>
    <i r="4">
      <x v="23"/>
    </i>
    <i r="4">
      <x v="25"/>
    </i>
    <i r="4">
      <x v="26"/>
    </i>
    <i r="3">
      <x v="36"/>
      <x v="26"/>
    </i>
    <i r="3">
      <x v="45"/>
      <x v="23"/>
    </i>
    <i r="4">
      <x v="26"/>
    </i>
    <i r="3">
      <x v="47"/>
      <x v="12"/>
    </i>
    <i r="4">
      <x v="26"/>
    </i>
    <i r="3">
      <x v="50"/>
      <x v="26"/>
    </i>
    <i t="default" r="2">
      <x v="3"/>
    </i>
    <i r="2">
      <x v="5"/>
      <x/>
      <x v="26"/>
    </i>
    <i r="3">
      <x v="1"/>
      <x v="26"/>
    </i>
    <i r="3">
      <x v="2"/>
      <x v="26"/>
    </i>
    <i r="3">
      <x v="3"/>
      <x v="26"/>
    </i>
    <i r="3">
      <x v="4"/>
      <x v="26"/>
    </i>
    <i r="3">
      <x v="5"/>
      <x v="26"/>
    </i>
    <i r="3">
      <x v="6"/>
      <x v="26"/>
    </i>
    <i r="3">
      <x v="11"/>
      <x v="26"/>
    </i>
    <i r="3">
      <x v="14"/>
      <x v="26"/>
    </i>
    <i r="3">
      <x v="19"/>
      <x v="26"/>
    </i>
    <i r="3">
      <x v="22"/>
      <x v="26"/>
    </i>
    <i r="3">
      <x v="23"/>
      <x v="26"/>
    </i>
    <i r="3">
      <x v="24"/>
      <x v="26"/>
    </i>
    <i r="3">
      <x v="25"/>
      <x v="26"/>
    </i>
    <i r="3">
      <x v="26"/>
      <x v="26"/>
    </i>
    <i r="3">
      <x v="27"/>
      <x v="26"/>
    </i>
    <i r="3">
      <x v="28"/>
      <x v="26"/>
    </i>
    <i r="3">
      <x v="29"/>
      <x v="26"/>
    </i>
    <i r="3">
      <x v="30"/>
      <x v="26"/>
    </i>
    <i r="3">
      <x v="31"/>
      <x v="3"/>
    </i>
    <i r="3">
      <x v="32"/>
      <x v="26"/>
    </i>
    <i r="3">
      <x v="33"/>
      <x v="26"/>
    </i>
    <i r="3">
      <x v="34"/>
      <x v="26"/>
    </i>
    <i r="3">
      <x v="38"/>
      <x v="26"/>
    </i>
    <i r="3">
      <x v="39"/>
      <x v="26"/>
    </i>
    <i r="3">
      <x v="41"/>
      <x v="26"/>
    </i>
    <i r="3">
      <x v="42"/>
      <x v="26"/>
    </i>
    <i r="3">
      <x v="45"/>
      <x v="26"/>
    </i>
    <i r="3">
      <x v="47"/>
      <x v="26"/>
    </i>
    <i r="3">
      <x v="50"/>
      <x v="26"/>
    </i>
    <i t="default" r="2">
      <x v="5"/>
    </i>
    <i r="2">
      <x v="7"/>
      <x v="50"/>
      <x v="26"/>
    </i>
    <i t="default" r="2">
      <x v="7"/>
    </i>
    <i r="2">
      <x v="10"/>
      <x v="50"/>
      <x v="26"/>
    </i>
    <i t="default" r="2">
      <x v="10"/>
    </i>
    <i t="default" r="1">
      <x/>
    </i>
    <i r="1">
      <x v="1"/>
      <x/>
      <x v="11"/>
      <x v="26"/>
    </i>
    <i t="default" r="2">
      <x/>
    </i>
    <i r="2">
      <x v="1"/>
      <x v="50"/>
      <x v="26"/>
    </i>
    <i t="default" r="2">
      <x v="1"/>
    </i>
    <i r="2">
      <x v="4"/>
      <x v="12"/>
      <x v="8"/>
    </i>
    <i r="3">
      <x v="18"/>
      <x v="26"/>
    </i>
    <i r="3">
      <x v="35"/>
      <x v="4"/>
    </i>
    <i r="3">
      <x v="48"/>
      <x v="1"/>
    </i>
    <i r="4">
      <x v="15"/>
    </i>
    <i r="3">
      <x v="50"/>
      <x v="26"/>
    </i>
    <i t="default" r="2">
      <x v="4"/>
    </i>
    <i r="2">
      <x v="8"/>
      <x v="46"/>
      <x v="21"/>
    </i>
    <i r="4">
      <x v="26"/>
    </i>
    <i r="3">
      <x v="50"/>
      <x v="26"/>
    </i>
    <i t="default" r="2">
      <x v="8"/>
    </i>
    <i r="2">
      <x v="9"/>
      <x v="7"/>
      <x v="26"/>
    </i>
    <i t="default" r="2">
      <x v="9"/>
    </i>
    <i t="default" r="1">
      <x v="1"/>
    </i>
    <i t="default">
      <x/>
    </i>
    <i>
      <x v="1"/>
      <x v="1"/>
      <x v="8"/>
      <x v="50"/>
      <x v="26"/>
    </i>
    <i t="default" r="2">
      <x v="8"/>
    </i>
    <i t="default" r="1">
      <x v="1"/>
    </i>
    <i t="default">
      <x v="1"/>
    </i>
    <i>
      <x v="2"/>
      <x v="1"/>
      <x v="2"/>
      <x v="9"/>
      <x v="26"/>
    </i>
    <i r="3">
      <x v="10"/>
      <x v="26"/>
    </i>
    <i r="3">
      <x v="17"/>
      <x v="26"/>
    </i>
    <i r="3">
      <x v="20"/>
      <x v="26"/>
    </i>
    <i r="3">
      <x v="37"/>
      <x v="26"/>
    </i>
    <i r="3">
      <x v="40"/>
      <x v="26"/>
    </i>
    <i r="3">
      <x v="43"/>
      <x v="10"/>
    </i>
    <i r="4">
      <x v="16"/>
    </i>
    <i r="4">
      <x v="17"/>
    </i>
    <i r="4">
      <x v="22"/>
    </i>
    <i r="3">
      <x v="44"/>
      <x v="24"/>
    </i>
    <i r="4">
      <x v="26"/>
    </i>
    <i r="3">
      <x v="50"/>
      <x v="26"/>
    </i>
    <i t="default" r="2">
      <x v="2"/>
    </i>
    <i r="2">
      <x v="6"/>
      <x v="13"/>
      <x v="26"/>
    </i>
    <i r="3">
      <x v="50"/>
      <x v="26"/>
    </i>
    <i t="default" r="2">
      <x v="6"/>
    </i>
    <i r="2">
      <x v="7"/>
      <x v="50"/>
      <x v="26"/>
    </i>
    <i t="default" r="2">
      <x v="7"/>
    </i>
    <i t="default" r="1">
      <x v="1"/>
    </i>
    <i t="default">
      <x v="2"/>
    </i>
    <i t="grand">
      <x/>
    </i>
  </rowItems>
  <colItems count="1">
    <i/>
  </colItems>
  <dataFields count="1">
    <dataField name="Suma de Agosto + 14%" fld="31" baseField="3" baseItem="3"/>
  </dataFields>
  <formats count="3">
    <format dxfId="2">
      <pivotArea outline="0" collapsedLevelsAreSubtotals="1" fieldPosition="0">
        <references count="1">
          <reference field="1" count="0" selected="0" defaultSubtotal="1"/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L1040"/>
  <sheetViews>
    <sheetView tabSelected="1" topLeftCell="Y1" zoomScale="118" zoomScaleNormal="118" workbookViewId="0">
      <selection activeCell="N11" sqref="N11"/>
    </sheetView>
  </sheetViews>
  <sheetFormatPr baseColWidth="10" defaultColWidth="15.140625" defaultRowHeight="15" customHeight="1" x14ac:dyDescent="0.25"/>
  <cols>
    <col min="1" max="1" width="9.140625" style="1" customWidth="1"/>
    <col min="2" max="2" width="17.140625" style="1" customWidth="1"/>
    <col min="3" max="3" width="31" style="1" bestFit="1" customWidth="1"/>
    <col min="4" max="4" width="27.85546875" style="1" customWidth="1"/>
    <col min="5" max="5" width="30.42578125" style="10" customWidth="1"/>
    <col min="6" max="6" width="22.140625" style="10" customWidth="1"/>
    <col min="7" max="7" width="23.140625" style="10" hidden="1" customWidth="1"/>
    <col min="8" max="8" width="16.42578125" style="1" customWidth="1"/>
    <col min="9" max="9" width="22.85546875" style="1" customWidth="1"/>
    <col min="10" max="10" width="12.28515625" style="49" customWidth="1"/>
    <col min="11" max="11" width="12.28515625" style="49" hidden="1" customWidth="1"/>
    <col min="12" max="12" width="28.42578125" style="35" customWidth="1"/>
    <col min="13" max="13" width="4.42578125" style="1" customWidth="1"/>
    <col min="14" max="14" width="9.7109375" style="6" customWidth="1"/>
    <col min="15" max="15" width="13.42578125" style="89" customWidth="1"/>
    <col min="16" max="20" width="12.140625" style="1" customWidth="1"/>
    <col min="21" max="21" width="16.28515625" style="1" customWidth="1"/>
    <col min="22" max="22" width="3.85546875" style="1" customWidth="1"/>
    <col min="23" max="23" width="9.28515625" style="1" customWidth="1"/>
    <col min="24" max="24" width="13.140625" style="1" hidden="1" customWidth="1"/>
    <col min="25" max="25" width="8.7109375" style="1" customWidth="1"/>
    <col min="26" max="26" width="3.42578125" style="1" customWidth="1"/>
    <col min="27" max="27" width="11.140625" style="1" customWidth="1"/>
    <col min="28" max="28" width="16.85546875" style="1" customWidth="1"/>
    <col min="29" max="29" width="10" style="1" customWidth="1"/>
    <col min="30" max="30" width="8" style="1" customWidth="1"/>
    <col min="31" max="31" width="8.42578125" style="1" customWidth="1"/>
    <col min="32" max="32" width="8" style="1" customWidth="1"/>
    <col min="33" max="33" width="7.5703125" style="1" customWidth="1"/>
    <col min="34" max="34" width="7.42578125" style="1" bestFit="1" customWidth="1"/>
    <col min="35" max="36" width="7.42578125" style="1" customWidth="1"/>
    <col min="37" max="37" width="6.42578125" style="1" customWidth="1"/>
    <col min="38" max="38" width="5.7109375" style="1" customWidth="1"/>
    <col min="39" max="16384" width="15.140625" style="1"/>
  </cols>
  <sheetData>
    <row r="1" spans="1:38" ht="23.25" customHeight="1" x14ac:dyDescent="0.25">
      <c r="A1" s="65" t="s">
        <v>968</v>
      </c>
      <c r="B1" s="66"/>
      <c r="C1" s="66"/>
      <c r="D1" s="66"/>
      <c r="E1" s="66"/>
      <c r="F1" s="66"/>
      <c r="G1" s="66"/>
      <c r="H1" s="66"/>
      <c r="I1" s="98"/>
      <c r="J1" s="60"/>
      <c r="K1" s="60"/>
      <c r="L1" s="67"/>
      <c r="M1" s="67"/>
      <c r="N1" s="67"/>
      <c r="O1" s="87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55"/>
      <c r="AF1" s="55"/>
    </row>
    <row r="2" spans="1:38" ht="15" customHeight="1" x14ac:dyDescent="0.25">
      <c r="A2" s="66"/>
      <c r="B2" s="68"/>
      <c r="C2" s="66"/>
      <c r="D2" s="66"/>
      <c r="E2" s="66"/>
      <c r="F2" s="66"/>
      <c r="G2" s="66"/>
      <c r="H2" s="66"/>
      <c r="I2" s="98"/>
      <c r="J2" s="60"/>
      <c r="K2" s="60"/>
      <c r="L2" s="67"/>
      <c r="M2" s="67"/>
      <c r="N2" s="67"/>
      <c r="O2" s="87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55"/>
      <c r="AF2" s="55"/>
    </row>
    <row r="3" spans="1:38" ht="27.75" customHeight="1" x14ac:dyDescent="0.25">
      <c r="A3" s="70" t="s">
        <v>1099</v>
      </c>
      <c r="B3" s="70" t="s">
        <v>0</v>
      </c>
      <c r="C3" s="70" t="s">
        <v>821</v>
      </c>
      <c r="D3" s="70" t="s">
        <v>1</v>
      </c>
      <c r="E3" s="70" t="s">
        <v>513</v>
      </c>
      <c r="F3" s="70" t="s">
        <v>514</v>
      </c>
      <c r="G3" s="71" t="s">
        <v>515</v>
      </c>
      <c r="H3" s="71" t="s">
        <v>512</v>
      </c>
      <c r="I3" s="71" t="s">
        <v>1756</v>
      </c>
      <c r="J3" s="72" t="s">
        <v>547</v>
      </c>
      <c r="K3" s="73" t="s">
        <v>1764</v>
      </c>
      <c r="L3" s="70" t="s">
        <v>2</v>
      </c>
      <c r="M3" s="70" t="s">
        <v>3</v>
      </c>
      <c r="N3" s="70" t="s">
        <v>4</v>
      </c>
      <c r="O3" s="70" t="s">
        <v>1124</v>
      </c>
      <c r="P3" s="70" t="s">
        <v>1679</v>
      </c>
      <c r="Q3" s="70" t="s">
        <v>1861</v>
      </c>
      <c r="R3" s="70" t="s">
        <v>1862</v>
      </c>
      <c r="S3" s="70" t="s">
        <v>1863</v>
      </c>
      <c r="T3" s="70" t="s">
        <v>1864</v>
      </c>
      <c r="U3" s="71" t="s">
        <v>797</v>
      </c>
      <c r="V3" s="70" t="s">
        <v>917</v>
      </c>
      <c r="W3" s="70" t="s">
        <v>5</v>
      </c>
      <c r="X3" s="73" t="s">
        <v>838</v>
      </c>
      <c r="Y3" s="73" t="s">
        <v>1617</v>
      </c>
      <c r="Z3" s="70" t="s">
        <v>6</v>
      </c>
      <c r="AA3" s="70" t="s">
        <v>543</v>
      </c>
      <c r="AB3" s="71" t="s">
        <v>7</v>
      </c>
      <c r="AC3" s="73" t="s">
        <v>934</v>
      </c>
      <c r="AD3" s="73" t="s">
        <v>966</v>
      </c>
      <c r="AE3" s="73" t="s">
        <v>967</v>
      </c>
      <c r="AF3" s="73" t="s">
        <v>1049</v>
      </c>
      <c r="AG3" s="73" t="s">
        <v>1810</v>
      </c>
      <c r="AH3" s="73" t="s">
        <v>1813</v>
      </c>
      <c r="AI3" s="73" t="s">
        <v>1823</v>
      </c>
      <c r="AJ3" s="73" t="s">
        <v>1824</v>
      </c>
      <c r="AK3" s="73" t="s">
        <v>1814</v>
      </c>
      <c r="AL3" s="104" t="s">
        <v>1816</v>
      </c>
    </row>
    <row r="4" spans="1:38" s="6" customFormat="1" ht="15" customHeight="1" x14ac:dyDescent="0.2">
      <c r="A4" s="29" t="s">
        <v>824</v>
      </c>
      <c r="B4" s="2" t="s">
        <v>822</v>
      </c>
      <c r="C4" s="29"/>
      <c r="D4" s="2" t="s">
        <v>825</v>
      </c>
      <c r="E4" s="3" t="s">
        <v>8</v>
      </c>
      <c r="F4" s="2" t="s">
        <v>913</v>
      </c>
      <c r="G4" s="3"/>
      <c r="H4" s="3" t="s">
        <v>9</v>
      </c>
      <c r="I4" s="2" t="s">
        <v>13</v>
      </c>
      <c r="J4" s="28" t="s">
        <v>549</v>
      </c>
      <c r="K4" s="28" t="s">
        <v>549</v>
      </c>
      <c r="L4" s="41" t="s">
        <v>551</v>
      </c>
      <c r="M4" s="4" t="s">
        <v>3</v>
      </c>
      <c r="N4" s="15">
        <v>20549287</v>
      </c>
      <c r="O4" s="88">
        <v>23205492879</v>
      </c>
      <c r="P4" s="38">
        <v>25172</v>
      </c>
      <c r="Q4" s="38"/>
      <c r="R4" s="38"/>
      <c r="S4" s="38"/>
      <c r="T4" s="38"/>
      <c r="U4" s="17" t="s">
        <v>215</v>
      </c>
      <c r="V4" s="17" t="s">
        <v>915</v>
      </c>
      <c r="W4" s="12">
        <v>42248</v>
      </c>
      <c r="X4" s="12"/>
      <c r="Y4" s="12">
        <v>42735</v>
      </c>
      <c r="Z4" s="2"/>
      <c r="AA4" s="2" t="s">
        <v>479</v>
      </c>
      <c r="AB4" s="3" t="s">
        <v>10</v>
      </c>
      <c r="AC4" s="5">
        <v>1000</v>
      </c>
      <c r="AD4" s="5">
        <f>+AC4*1.07</f>
        <v>1070</v>
      </c>
      <c r="AE4" s="5">
        <v>1170</v>
      </c>
      <c r="AF4" s="5">
        <f>+AC4*1.31</f>
        <v>1310</v>
      </c>
      <c r="AG4" s="5">
        <f t="shared" ref="AG4:AH23" si="0">+AF4</f>
        <v>1310</v>
      </c>
      <c r="AH4" s="5">
        <f t="shared" si="0"/>
        <v>1310</v>
      </c>
      <c r="AI4" s="5">
        <f>+AH4</f>
        <v>1310</v>
      </c>
      <c r="AJ4" s="5">
        <f>+AI4</f>
        <v>1310</v>
      </c>
      <c r="AK4" s="2" t="s">
        <v>1815</v>
      </c>
      <c r="AL4" s="106"/>
    </row>
    <row r="5" spans="1:38" s="6" customFormat="1" ht="15" customHeight="1" x14ac:dyDescent="0.2">
      <c r="A5" s="29" t="s">
        <v>824</v>
      </c>
      <c r="B5" s="2" t="s">
        <v>822</v>
      </c>
      <c r="C5" s="29" t="s">
        <v>823</v>
      </c>
      <c r="D5" s="2" t="s">
        <v>808</v>
      </c>
      <c r="E5" s="2" t="s">
        <v>11</v>
      </c>
      <c r="F5" s="2" t="s">
        <v>218</v>
      </c>
      <c r="G5" s="2"/>
      <c r="H5" s="3"/>
      <c r="I5" s="2" t="s">
        <v>1707</v>
      </c>
      <c r="J5" s="28" t="s">
        <v>73</v>
      </c>
      <c r="K5" s="28" t="s">
        <v>1765</v>
      </c>
      <c r="L5" s="42" t="s">
        <v>78</v>
      </c>
      <c r="M5" s="4" t="s">
        <v>3</v>
      </c>
      <c r="N5" s="15">
        <v>25250840</v>
      </c>
      <c r="O5" s="88" t="s">
        <v>1261</v>
      </c>
      <c r="P5" s="38">
        <v>27935</v>
      </c>
      <c r="Q5" s="38"/>
      <c r="R5" s="38"/>
      <c r="S5" s="38"/>
      <c r="T5" s="38"/>
      <c r="U5" s="17" t="s">
        <v>215</v>
      </c>
      <c r="V5" s="17" t="s">
        <v>915</v>
      </c>
      <c r="W5" s="12">
        <v>42095</v>
      </c>
      <c r="X5" s="19"/>
      <c r="Y5" s="12">
        <v>42735</v>
      </c>
      <c r="Z5" s="2"/>
      <c r="AA5" s="2" t="s">
        <v>479</v>
      </c>
      <c r="AB5" s="2" t="s">
        <v>546</v>
      </c>
      <c r="AC5" s="5">
        <v>1000</v>
      </c>
      <c r="AD5" s="5">
        <v>1070</v>
      </c>
      <c r="AE5" s="5">
        <v>1170</v>
      </c>
      <c r="AF5" s="5">
        <f t="shared" ref="AF5:AF22" si="1">+AC5*1.31</f>
        <v>1310</v>
      </c>
      <c r="AG5" s="5">
        <f t="shared" si="0"/>
        <v>1310</v>
      </c>
      <c r="AH5" s="5">
        <f t="shared" si="0"/>
        <v>1310</v>
      </c>
      <c r="AI5" s="5">
        <f t="shared" ref="AI5:AJ5" si="2">+AH5</f>
        <v>1310</v>
      </c>
      <c r="AJ5" s="5">
        <f t="shared" si="2"/>
        <v>1310</v>
      </c>
      <c r="AK5" s="2" t="s">
        <v>53</v>
      </c>
      <c r="AL5" s="105" t="str">
        <f>+AK5</f>
        <v>B0</v>
      </c>
    </row>
    <row r="6" spans="1:38" s="6" customFormat="1" ht="15" customHeight="1" x14ac:dyDescent="0.2">
      <c r="A6" s="29" t="s">
        <v>824</v>
      </c>
      <c r="B6" s="29"/>
      <c r="C6" s="14"/>
      <c r="D6" s="2" t="s">
        <v>819</v>
      </c>
      <c r="E6" s="2"/>
      <c r="F6" s="3"/>
      <c r="G6" s="3"/>
      <c r="H6" s="2" t="s">
        <v>884</v>
      </c>
      <c r="I6" s="2" t="s">
        <v>1666</v>
      </c>
      <c r="J6" s="28"/>
      <c r="K6" s="28" t="s">
        <v>1765</v>
      </c>
      <c r="L6" s="41" t="s">
        <v>854</v>
      </c>
      <c r="M6" s="4" t="s">
        <v>3</v>
      </c>
      <c r="N6" s="15">
        <v>5940898</v>
      </c>
      <c r="O6" s="88">
        <v>23059408984</v>
      </c>
      <c r="P6" s="38">
        <v>17726</v>
      </c>
      <c r="Q6" s="38"/>
      <c r="R6" s="38"/>
      <c r="S6" s="38"/>
      <c r="T6" s="38"/>
      <c r="U6" s="17" t="s">
        <v>215</v>
      </c>
      <c r="V6" s="17" t="s">
        <v>915</v>
      </c>
      <c r="W6" s="12">
        <v>42370</v>
      </c>
      <c r="X6" s="48"/>
      <c r="Y6" s="12">
        <v>42735</v>
      </c>
      <c r="Z6" s="2"/>
      <c r="AA6" s="2" t="s">
        <v>479</v>
      </c>
      <c r="AB6" s="3" t="s">
        <v>10</v>
      </c>
      <c r="AC6" s="5">
        <v>1000</v>
      </c>
      <c r="AD6" s="5">
        <f>+AC6*1.07</f>
        <v>1070</v>
      </c>
      <c r="AE6" s="5">
        <v>1170</v>
      </c>
      <c r="AF6" s="5">
        <f t="shared" si="1"/>
        <v>1310</v>
      </c>
      <c r="AG6" s="5">
        <f t="shared" si="0"/>
        <v>1310</v>
      </c>
      <c r="AH6" s="5">
        <f t="shared" si="0"/>
        <v>1310</v>
      </c>
      <c r="AI6" s="5">
        <f t="shared" ref="AI6:AJ6" si="3">+AH6</f>
        <v>1310</v>
      </c>
      <c r="AJ6" s="5">
        <f t="shared" si="3"/>
        <v>1310</v>
      </c>
      <c r="AK6" s="2" t="s">
        <v>43</v>
      </c>
      <c r="AL6" s="105" t="str">
        <f>+AK6</f>
        <v>A0</v>
      </c>
    </row>
    <row r="7" spans="1:38" s="6" customFormat="1" ht="15" customHeight="1" x14ac:dyDescent="0.2">
      <c r="A7" s="29" t="s">
        <v>824</v>
      </c>
      <c r="B7" s="29" t="s">
        <v>822</v>
      </c>
      <c r="C7" s="29" t="s">
        <v>823</v>
      </c>
      <c r="D7" s="2" t="s">
        <v>800</v>
      </c>
      <c r="E7" s="2" t="s">
        <v>489</v>
      </c>
      <c r="F7" s="2"/>
      <c r="G7" s="2"/>
      <c r="H7" s="2"/>
      <c r="I7" s="3"/>
      <c r="J7" s="28" t="s">
        <v>254</v>
      </c>
      <c r="K7" s="28"/>
      <c r="L7" s="42" t="s">
        <v>552</v>
      </c>
      <c r="M7" s="4" t="s">
        <v>3</v>
      </c>
      <c r="N7" s="15">
        <v>36690414</v>
      </c>
      <c r="O7" s="88">
        <v>20366904140</v>
      </c>
      <c r="P7" s="38"/>
      <c r="Q7" s="38"/>
      <c r="R7" s="38"/>
      <c r="S7" s="38"/>
      <c r="T7" s="38"/>
      <c r="U7" s="16" t="s">
        <v>796</v>
      </c>
      <c r="V7" s="16" t="s">
        <v>916</v>
      </c>
      <c r="W7" s="12">
        <v>41091</v>
      </c>
      <c r="X7" s="48">
        <v>42735</v>
      </c>
      <c r="Y7" s="12">
        <v>42735</v>
      </c>
      <c r="Z7" s="2" t="s">
        <v>24</v>
      </c>
      <c r="AA7" s="2"/>
      <c r="AB7" s="18"/>
      <c r="AC7" s="5">
        <v>1000</v>
      </c>
      <c r="AD7" s="5"/>
      <c r="AE7" s="5">
        <v>1170</v>
      </c>
      <c r="AF7" s="5">
        <f t="shared" si="1"/>
        <v>1310</v>
      </c>
      <c r="AG7" s="5">
        <f t="shared" si="0"/>
        <v>1310</v>
      </c>
      <c r="AH7" s="5">
        <f t="shared" si="0"/>
        <v>1310</v>
      </c>
      <c r="AI7" s="5">
        <f t="shared" ref="AI7:AJ7" si="4">+AH7</f>
        <v>1310</v>
      </c>
      <c r="AJ7" s="5">
        <f t="shared" si="4"/>
        <v>1310</v>
      </c>
      <c r="AK7" s="2"/>
      <c r="AL7" s="105" t="str">
        <f>+Z7</f>
        <v>D0</v>
      </c>
    </row>
    <row r="8" spans="1:38" s="6" customFormat="1" ht="15" customHeight="1" x14ac:dyDescent="0.2">
      <c r="A8" s="29" t="s">
        <v>824</v>
      </c>
      <c r="B8" s="29" t="s">
        <v>822</v>
      </c>
      <c r="C8" s="29" t="s">
        <v>823</v>
      </c>
      <c r="D8" s="2" t="s">
        <v>800</v>
      </c>
      <c r="E8" s="2" t="s">
        <v>487</v>
      </c>
      <c r="F8" s="2"/>
      <c r="G8" s="2"/>
      <c r="H8" s="2" t="s">
        <v>1711</v>
      </c>
      <c r="I8" s="3" t="s">
        <v>1713</v>
      </c>
      <c r="J8" s="28" t="s">
        <v>254</v>
      </c>
      <c r="K8" s="28" t="s">
        <v>1767</v>
      </c>
      <c r="L8" s="42" t="s">
        <v>321</v>
      </c>
      <c r="M8" s="4" t="s">
        <v>3</v>
      </c>
      <c r="N8" s="15">
        <v>27781495</v>
      </c>
      <c r="O8" s="88" t="s">
        <v>1319</v>
      </c>
      <c r="P8" s="38">
        <v>29316</v>
      </c>
      <c r="Q8" s="38"/>
      <c r="R8" s="38"/>
      <c r="S8" s="38"/>
      <c r="T8" s="38"/>
      <c r="U8" s="17" t="s">
        <v>215</v>
      </c>
      <c r="V8" s="17" t="s">
        <v>915</v>
      </c>
      <c r="W8" s="12">
        <v>41821</v>
      </c>
      <c r="X8" s="20"/>
      <c r="Y8" s="12">
        <v>42735</v>
      </c>
      <c r="Z8" s="2"/>
      <c r="AA8" s="2" t="s">
        <v>479</v>
      </c>
      <c r="AB8" s="24" t="s">
        <v>479</v>
      </c>
      <c r="AC8" s="5">
        <v>1000</v>
      </c>
      <c r="AD8" s="5">
        <v>1070</v>
      </c>
      <c r="AE8" s="5">
        <v>1170</v>
      </c>
      <c r="AF8" s="5">
        <f t="shared" si="1"/>
        <v>1310</v>
      </c>
      <c r="AG8" s="5">
        <f t="shared" si="0"/>
        <v>1310</v>
      </c>
      <c r="AH8" s="5">
        <f t="shared" si="0"/>
        <v>1310</v>
      </c>
      <c r="AI8" s="5">
        <f t="shared" ref="AI8:AJ8" si="5">+AH8</f>
        <v>1310</v>
      </c>
      <c r="AJ8" s="5">
        <f t="shared" si="5"/>
        <v>1310</v>
      </c>
      <c r="AK8" s="29" t="s">
        <v>42</v>
      </c>
      <c r="AL8" s="105" t="str">
        <f>+AK8</f>
        <v>C0</v>
      </c>
    </row>
    <row r="9" spans="1:38" s="6" customFormat="1" ht="15" customHeight="1" x14ac:dyDescent="0.2">
      <c r="A9" s="29" t="s">
        <v>824</v>
      </c>
      <c r="B9" s="29" t="s">
        <v>822</v>
      </c>
      <c r="C9" s="29" t="s">
        <v>823</v>
      </c>
      <c r="D9" s="2" t="s">
        <v>808</v>
      </c>
      <c r="E9" s="2" t="s">
        <v>909</v>
      </c>
      <c r="F9" s="2" t="s">
        <v>811</v>
      </c>
      <c r="G9" s="3" t="s">
        <v>516</v>
      </c>
      <c r="H9" s="2" t="s">
        <v>222</v>
      </c>
      <c r="I9" s="2" t="s">
        <v>811</v>
      </c>
      <c r="J9" s="28" t="s">
        <v>73</v>
      </c>
      <c r="K9" s="28" t="s">
        <v>1765</v>
      </c>
      <c r="L9" s="43" t="s">
        <v>79</v>
      </c>
      <c r="M9" s="4" t="s">
        <v>3</v>
      </c>
      <c r="N9" s="15">
        <v>26749806</v>
      </c>
      <c r="O9" s="88" t="s">
        <v>1296</v>
      </c>
      <c r="P9" s="38">
        <v>28737</v>
      </c>
      <c r="Q9" s="38"/>
      <c r="R9" s="38"/>
      <c r="S9" s="38"/>
      <c r="T9" s="38"/>
      <c r="U9" s="17" t="s">
        <v>215</v>
      </c>
      <c r="V9" s="17" t="s">
        <v>915</v>
      </c>
      <c r="W9" s="12">
        <v>42165</v>
      </c>
      <c r="X9" s="37"/>
      <c r="Y9" s="12">
        <v>42735</v>
      </c>
      <c r="Z9" s="2"/>
      <c r="AA9" s="2" t="s">
        <v>479</v>
      </c>
      <c r="AB9" s="14" t="s">
        <v>479</v>
      </c>
      <c r="AC9" s="5">
        <v>1000</v>
      </c>
      <c r="AD9" s="5">
        <f>+AC9*1.07</f>
        <v>1070</v>
      </c>
      <c r="AE9" s="5">
        <v>1170</v>
      </c>
      <c r="AF9" s="5">
        <f t="shared" si="1"/>
        <v>1310</v>
      </c>
      <c r="AG9" s="5">
        <f t="shared" si="0"/>
        <v>1310</v>
      </c>
      <c r="AH9" s="5">
        <f t="shared" si="0"/>
        <v>1310</v>
      </c>
      <c r="AI9" s="5">
        <f t="shared" ref="AI9:AJ9" si="6">+AH9</f>
        <v>1310</v>
      </c>
      <c r="AJ9" s="5">
        <f t="shared" si="6"/>
        <v>1310</v>
      </c>
      <c r="AK9" s="29" t="s">
        <v>42</v>
      </c>
      <c r="AL9" s="105" t="str">
        <f>+AK9</f>
        <v>C0</v>
      </c>
    </row>
    <row r="10" spans="1:38" s="6" customFormat="1" ht="15" customHeight="1" x14ac:dyDescent="0.2">
      <c r="A10" s="29" t="s">
        <v>824</v>
      </c>
      <c r="B10" s="29" t="s">
        <v>822</v>
      </c>
      <c r="C10" s="29" t="s">
        <v>823</v>
      </c>
      <c r="D10" s="2" t="s">
        <v>800</v>
      </c>
      <c r="E10" s="2" t="s">
        <v>489</v>
      </c>
      <c r="F10" s="2"/>
      <c r="G10" s="2"/>
      <c r="H10" s="2"/>
      <c r="I10" s="3"/>
      <c r="J10" s="28" t="s">
        <v>254</v>
      </c>
      <c r="K10" s="28"/>
      <c r="L10" s="42" t="s">
        <v>553</v>
      </c>
      <c r="M10" s="4" t="s">
        <v>3</v>
      </c>
      <c r="N10" s="15">
        <v>33556332</v>
      </c>
      <c r="O10" s="88">
        <v>27335563323</v>
      </c>
      <c r="P10" s="38"/>
      <c r="Q10" s="38"/>
      <c r="R10" s="38"/>
      <c r="S10" s="38"/>
      <c r="T10" s="38"/>
      <c r="U10" s="16" t="s">
        <v>796</v>
      </c>
      <c r="V10" s="16" t="s">
        <v>916</v>
      </c>
      <c r="W10" s="12">
        <v>40909</v>
      </c>
      <c r="X10" s="48">
        <v>42735</v>
      </c>
      <c r="Y10" s="12">
        <v>42735</v>
      </c>
      <c r="Z10" s="2" t="s">
        <v>24</v>
      </c>
      <c r="AA10" s="2"/>
      <c r="AB10" s="18"/>
      <c r="AC10" s="5">
        <v>1000</v>
      </c>
      <c r="AD10" s="5"/>
      <c r="AE10" s="5">
        <v>1170</v>
      </c>
      <c r="AF10" s="5">
        <f t="shared" si="1"/>
        <v>1310</v>
      </c>
      <c r="AG10" s="5">
        <f t="shared" si="0"/>
        <v>1310</v>
      </c>
      <c r="AH10" s="5">
        <f t="shared" si="0"/>
        <v>1310</v>
      </c>
      <c r="AI10" s="5">
        <f t="shared" ref="AI10:AJ10" si="7">+AH10</f>
        <v>1310</v>
      </c>
      <c r="AJ10" s="5">
        <f t="shared" si="7"/>
        <v>1310</v>
      </c>
      <c r="AK10" s="2"/>
      <c r="AL10" s="105" t="str">
        <f>+Z10</f>
        <v>D0</v>
      </c>
    </row>
    <row r="11" spans="1:38" s="6" customFormat="1" ht="15" customHeight="1" x14ac:dyDescent="0.2">
      <c r="A11" s="29" t="s">
        <v>824</v>
      </c>
      <c r="B11" s="29" t="s">
        <v>822</v>
      </c>
      <c r="C11" s="14"/>
      <c r="D11" s="2" t="s">
        <v>1833</v>
      </c>
      <c r="E11" s="2"/>
      <c r="F11" s="3"/>
      <c r="G11" s="3"/>
      <c r="H11" s="2" t="s">
        <v>884</v>
      </c>
      <c r="I11" s="2" t="s">
        <v>234</v>
      </c>
      <c r="J11" s="28"/>
      <c r="K11" s="28" t="s">
        <v>1765</v>
      </c>
      <c r="L11" s="41" t="s">
        <v>878</v>
      </c>
      <c r="M11" s="4" t="s">
        <v>3</v>
      </c>
      <c r="N11" s="15">
        <v>21862533</v>
      </c>
      <c r="O11" s="88">
        <v>20218625334</v>
      </c>
      <c r="P11" s="38">
        <v>25993</v>
      </c>
      <c r="Q11" s="38"/>
      <c r="R11" s="38"/>
      <c r="S11" s="38"/>
      <c r="T11" s="38"/>
      <c r="U11" s="17" t="s">
        <v>215</v>
      </c>
      <c r="V11" s="17" t="s">
        <v>915</v>
      </c>
      <c r="W11" s="12">
        <v>42370</v>
      </c>
      <c r="X11" s="48"/>
      <c r="Y11" s="12">
        <v>42735</v>
      </c>
      <c r="Z11" s="2"/>
      <c r="AA11" s="2" t="s">
        <v>479</v>
      </c>
      <c r="AB11" s="3" t="s">
        <v>10</v>
      </c>
      <c r="AC11" s="5">
        <v>1000</v>
      </c>
      <c r="AD11" s="5">
        <f>+AC11*1.07</f>
        <v>1070</v>
      </c>
      <c r="AE11" s="5">
        <v>1170</v>
      </c>
      <c r="AF11" s="5">
        <f t="shared" si="1"/>
        <v>1310</v>
      </c>
      <c r="AG11" s="5">
        <f t="shared" si="0"/>
        <v>1310</v>
      </c>
      <c r="AH11" s="5">
        <f t="shared" si="0"/>
        <v>1310</v>
      </c>
      <c r="AI11" s="5">
        <f t="shared" ref="AI11:AJ11" si="8">+AH11</f>
        <v>1310</v>
      </c>
      <c r="AJ11" s="5">
        <f t="shared" si="8"/>
        <v>1310</v>
      </c>
      <c r="AK11" s="2" t="s">
        <v>53</v>
      </c>
      <c r="AL11" s="105" t="str">
        <f>+AK11</f>
        <v>B0</v>
      </c>
    </row>
    <row r="12" spans="1:38" s="6" customFormat="1" ht="15" customHeight="1" x14ac:dyDescent="0.2">
      <c r="A12" s="29" t="s">
        <v>824</v>
      </c>
      <c r="B12" s="29" t="s">
        <v>822</v>
      </c>
      <c r="C12" s="29" t="s">
        <v>823</v>
      </c>
      <c r="D12" s="2" t="s">
        <v>800</v>
      </c>
      <c r="E12" s="7" t="s">
        <v>497</v>
      </c>
      <c r="F12" s="7"/>
      <c r="G12" s="7"/>
      <c r="H12" s="8"/>
      <c r="I12" s="3" t="s">
        <v>1714</v>
      </c>
      <c r="J12" s="28" t="s">
        <v>254</v>
      </c>
      <c r="K12" s="28" t="s">
        <v>1767</v>
      </c>
      <c r="L12" s="42" t="s">
        <v>554</v>
      </c>
      <c r="M12" s="4" t="s">
        <v>3</v>
      </c>
      <c r="N12" s="15">
        <v>25553697</v>
      </c>
      <c r="O12" s="88" t="s">
        <v>1267</v>
      </c>
      <c r="P12" s="38">
        <v>28025</v>
      </c>
      <c r="Q12" s="38"/>
      <c r="R12" s="38"/>
      <c r="S12" s="38"/>
      <c r="T12" s="38"/>
      <c r="U12" s="17" t="s">
        <v>215</v>
      </c>
      <c r="V12" s="17" t="s">
        <v>915</v>
      </c>
      <c r="W12" s="12">
        <v>40725</v>
      </c>
      <c r="X12" s="20"/>
      <c r="Y12" s="12">
        <v>42735</v>
      </c>
      <c r="Z12" s="2"/>
      <c r="AA12" s="2" t="s">
        <v>479</v>
      </c>
      <c r="AB12" s="24" t="s">
        <v>479</v>
      </c>
      <c r="AC12" s="5">
        <v>1000</v>
      </c>
      <c r="AD12" s="5">
        <v>1070</v>
      </c>
      <c r="AE12" s="5">
        <v>1170</v>
      </c>
      <c r="AF12" s="5">
        <f t="shared" si="1"/>
        <v>1310</v>
      </c>
      <c r="AG12" s="5">
        <f t="shared" si="0"/>
        <v>1310</v>
      </c>
      <c r="AH12" s="5">
        <f t="shared" si="0"/>
        <v>1310</v>
      </c>
      <c r="AI12" s="5">
        <f t="shared" ref="AI12:AJ12" si="9">+AH12</f>
        <v>1310</v>
      </c>
      <c r="AJ12" s="5">
        <f t="shared" si="9"/>
        <v>1310</v>
      </c>
      <c r="AK12" s="29" t="s">
        <v>42</v>
      </c>
      <c r="AL12" s="105" t="str">
        <f>+AK12</f>
        <v>C0</v>
      </c>
    </row>
    <row r="13" spans="1:38" s="6" customFormat="1" ht="15" customHeight="1" x14ac:dyDescent="0.2">
      <c r="A13" s="29" t="s">
        <v>824</v>
      </c>
      <c r="B13" s="29"/>
      <c r="C13" s="3"/>
      <c r="D13" s="2" t="s">
        <v>820</v>
      </c>
      <c r="E13" s="2" t="s">
        <v>63</v>
      </c>
      <c r="F13" s="2"/>
      <c r="G13" s="2"/>
      <c r="H13" s="2" t="s">
        <v>16</v>
      </c>
      <c r="I13" s="3"/>
      <c r="J13" s="28" t="s">
        <v>73</v>
      </c>
      <c r="K13" s="28"/>
      <c r="L13" s="41" t="s">
        <v>555</v>
      </c>
      <c r="M13" s="4" t="s">
        <v>3</v>
      </c>
      <c r="N13" s="15">
        <v>33422027</v>
      </c>
      <c r="O13" s="88">
        <v>27334220279</v>
      </c>
      <c r="P13" s="15"/>
      <c r="Q13" s="15"/>
      <c r="R13" s="15"/>
      <c r="S13" s="15"/>
      <c r="T13" s="15"/>
      <c r="U13" s="16" t="s">
        <v>796</v>
      </c>
      <c r="V13" s="16" t="s">
        <v>916</v>
      </c>
      <c r="W13" s="12">
        <v>41609</v>
      </c>
      <c r="X13" s="12">
        <v>42460</v>
      </c>
      <c r="Y13" s="12">
        <v>42735</v>
      </c>
      <c r="Z13" s="2" t="s">
        <v>17</v>
      </c>
      <c r="AA13" s="2"/>
      <c r="AB13" s="3"/>
      <c r="AC13" s="5">
        <v>1000</v>
      </c>
      <c r="AD13" s="5"/>
      <c r="AE13" s="5">
        <v>1170</v>
      </c>
      <c r="AF13" s="5">
        <f t="shared" si="1"/>
        <v>1310</v>
      </c>
      <c r="AG13" s="5">
        <f t="shared" si="0"/>
        <v>1310</v>
      </c>
      <c r="AH13" s="5">
        <f t="shared" si="0"/>
        <v>1310</v>
      </c>
      <c r="AI13" s="5">
        <f t="shared" ref="AI13:AJ13" si="10">+AH13</f>
        <v>1310</v>
      </c>
      <c r="AJ13" s="5">
        <f t="shared" si="10"/>
        <v>1310</v>
      </c>
      <c r="AK13" s="2"/>
      <c r="AL13" s="105" t="str">
        <f>+Z13</f>
        <v>C1</v>
      </c>
    </row>
    <row r="14" spans="1:38" s="6" customFormat="1" ht="15" customHeight="1" x14ac:dyDescent="0.2">
      <c r="A14" s="29" t="s">
        <v>824</v>
      </c>
      <c r="B14" s="2" t="s">
        <v>822</v>
      </c>
      <c r="C14" s="3"/>
      <c r="D14" s="2" t="s">
        <v>825</v>
      </c>
      <c r="E14" s="3" t="s">
        <v>18</v>
      </c>
      <c r="F14" s="2" t="s">
        <v>1012</v>
      </c>
      <c r="G14" s="2"/>
      <c r="H14" s="2" t="s">
        <v>20</v>
      </c>
      <c r="I14" s="2" t="s">
        <v>1760</v>
      </c>
      <c r="J14" s="28" t="s">
        <v>548</v>
      </c>
      <c r="K14" s="28" t="s">
        <v>548</v>
      </c>
      <c r="L14" s="44" t="s">
        <v>995</v>
      </c>
      <c r="M14" s="7" t="s">
        <v>3</v>
      </c>
      <c r="N14" s="47">
        <v>29300719</v>
      </c>
      <c r="O14" s="88" t="s">
        <v>1347</v>
      </c>
      <c r="P14" s="38">
        <v>29985</v>
      </c>
      <c r="Q14" s="38"/>
      <c r="R14" s="38"/>
      <c r="S14" s="38"/>
      <c r="T14" s="38"/>
      <c r="U14" s="17" t="s">
        <v>215</v>
      </c>
      <c r="V14" s="17" t="s">
        <v>915</v>
      </c>
      <c r="W14" s="12">
        <v>40756</v>
      </c>
      <c r="X14" s="12"/>
      <c r="Y14" s="12">
        <v>42735</v>
      </c>
      <c r="Z14" s="2"/>
      <c r="AA14" s="2" t="s">
        <v>479</v>
      </c>
      <c r="AB14" s="7"/>
      <c r="AC14" s="5">
        <v>1000</v>
      </c>
      <c r="AD14" s="5">
        <f>+AC14</f>
        <v>1000</v>
      </c>
      <c r="AE14" s="5">
        <v>1170</v>
      </c>
      <c r="AF14" s="5">
        <f t="shared" si="1"/>
        <v>1310</v>
      </c>
      <c r="AG14" s="5">
        <f t="shared" si="0"/>
        <v>1310</v>
      </c>
      <c r="AH14" s="5">
        <f t="shared" si="0"/>
        <v>1310</v>
      </c>
      <c r="AI14" s="5">
        <f t="shared" ref="AI14:AJ14" si="11">+AH14</f>
        <v>1310</v>
      </c>
      <c r="AJ14" s="5">
        <f t="shared" si="11"/>
        <v>1310</v>
      </c>
      <c r="AK14" s="2"/>
      <c r="AL14" s="106"/>
    </row>
    <row r="15" spans="1:38" s="6" customFormat="1" ht="15" customHeight="1" x14ac:dyDescent="0.2">
      <c r="A15" s="29" t="s">
        <v>824</v>
      </c>
      <c r="B15" s="29" t="s">
        <v>822</v>
      </c>
      <c r="C15" s="29" t="s">
        <v>823</v>
      </c>
      <c r="D15" s="2" t="s">
        <v>800</v>
      </c>
      <c r="E15" s="2" t="s">
        <v>484</v>
      </c>
      <c r="F15" s="2"/>
      <c r="G15" s="2"/>
      <c r="H15" s="2" t="s">
        <v>1707</v>
      </c>
      <c r="I15" s="2" t="s">
        <v>1707</v>
      </c>
      <c r="J15" s="28" t="s">
        <v>254</v>
      </c>
      <c r="K15" s="28"/>
      <c r="L15" s="42" t="s">
        <v>270</v>
      </c>
      <c r="M15" s="4" t="s">
        <v>3</v>
      </c>
      <c r="N15" s="15">
        <v>18899387</v>
      </c>
      <c r="O15" s="88">
        <v>27188993872</v>
      </c>
      <c r="P15" s="38"/>
      <c r="Q15" s="38"/>
      <c r="R15" s="38"/>
      <c r="S15" s="38"/>
      <c r="T15" s="38"/>
      <c r="U15" s="16" t="s">
        <v>796</v>
      </c>
      <c r="V15" s="16" t="s">
        <v>916</v>
      </c>
      <c r="W15" s="12">
        <v>41214</v>
      </c>
      <c r="X15" s="48">
        <v>42735</v>
      </c>
      <c r="Y15" s="12">
        <v>42735</v>
      </c>
      <c r="Z15" s="2" t="s">
        <v>42</v>
      </c>
      <c r="AA15" s="2"/>
      <c r="AB15" s="18"/>
      <c r="AC15" s="5">
        <v>1000</v>
      </c>
      <c r="AD15" s="5"/>
      <c r="AE15" s="5">
        <v>1170</v>
      </c>
      <c r="AF15" s="5">
        <f t="shared" si="1"/>
        <v>1310</v>
      </c>
      <c r="AG15" s="5">
        <f t="shared" si="0"/>
        <v>1310</v>
      </c>
      <c r="AH15" s="5">
        <f t="shared" si="0"/>
        <v>1310</v>
      </c>
      <c r="AI15" s="5">
        <f t="shared" ref="AI15:AJ15" si="12">+AH15</f>
        <v>1310</v>
      </c>
      <c r="AJ15" s="5">
        <f t="shared" si="12"/>
        <v>1310</v>
      </c>
      <c r="AK15" s="2"/>
      <c r="AL15" s="105" t="str">
        <f>+Z15</f>
        <v>C0</v>
      </c>
    </row>
    <row r="16" spans="1:38" s="6" customFormat="1" ht="15" customHeight="1" x14ac:dyDescent="0.2">
      <c r="A16" s="29" t="s">
        <v>824</v>
      </c>
      <c r="B16" s="29" t="s">
        <v>822</v>
      </c>
      <c r="C16" s="29" t="s">
        <v>823</v>
      </c>
      <c r="D16" s="2" t="s">
        <v>800</v>
      </c>
      <c r="E16" s="2" t="s">
        <v>484</v>
      </c>
      <c r="F16" s="2"/>
      <c r="G16" s="2"/>
      <c r="H16" s="2" t="s">
        <v>1707</v>
      </c>
      <c r="I16" s="2" t="s">
        <v>1707</v>
      </c>
      <c r="J16" s="28" t="s">
        <v>254</v>
      </c>
      <c r="K16" s="28"/>
      <c r="L16" s="42" t="s">
        <v>269</v>
      </c>
      <c r="M16" s="4" t="s">
        <v>3</v>
      </c>
      <c r="N16" s="15">
        <v>18899386</v>
      </c>
      <c r="O16" s="88">
        <v>27188993864</v>
      </c>
      <c r="P16" s="38"/>
      <c r="Q16" s="38"/>
      <c r="R16" s="38"/>
      <c r="S16" s="38"/>
      <c r="T16" s="38"/>
      <c r="U16" s="16" t="s">
        <v>796</v>
      </c>
      <c r="V16" s="16" t="s">
        <v>916</v>
      </c>
      <c r="W16" s="12">
        <v>40940</v>
      </c>
      <c r="X16" s="48">
        <v>42735</v>
      </c>
      <c r="Y16" s="12">
        <v>42735</v>
      </c>
      <c r="Z16" s="2" t="s">
        <v>42</v>
      </c>
      <c r="AA16" s="2"/>
      <c r="AB16" s="18"/>
      <c r="AC16" s="5">
        <v>1000</v>
      </c>
      <c r="AD16" s="5"/>
      <c r="AE16" s="5">
        <v>1170</v>
      </c>
      <c r="AF16" s="5">
        <f t="shared" si="1"/>
        <v>1310</v>
      </c>
      <c r="AG16" s="5">
        <f t="shared" si="0"/>
        <v>1310</v>
      </c>
      <c r="AH16" s="5">
        <f t="shared" si="0"/>
        <v>1310</v>
      </c>
      <c r="AI16" s="5">
        <f t="shared" ref="AI16:AJ16" si="13">+AH16</f>
        <v>1310</v>
      </c>
      <c r="AJ16" s="5">
        <f t="shared" si="13"/>
        <v>1310</v>
      </c>
      <c r="AK16" s="2"/>
      <c r="AL16" s="105" t="str">
        <f>+Z16</f>
        <v>C0</v>
      </c>
    </row>
    <row r="17" spans="1:38" s="6" customFormat="1" ht="15" customHeight="1" x14ac:dyDescent="0.2">
      <c r="A17" s="29" t="s">
        <v>824</v>
      </c>
      <c r="B17" s="29" t="s">
        <v>822</v>
      </c>
      <c r="C17" s="29" t="s">
        <v>823</v>
      </c>
      <c r="D17" s="2" t="s">
        <v>800</v>
      </c>
      <c r="E17" s="2" t="s">
        <v>487</v>
      </c>
      <c r="F17" s="2"/>
      <c r="G17" s="2"/>
      <c r="H17" s="2" t="s">
        <v>1711</v>
      </c>
      <c r="I17" s="3" t="s">
        <v>1713</v>
      </c>
      <c r="J17" s="28" t="s">
        <v>254</v>
      </c>
      <c r="K17" s="28" t="s">
        <v>1767</v>
      </c>
      <c r="L17" s="42" t="s">
        <v>556</v>
      </c>
      <c r="M17" s="4" t="s">
        <v>3</v>
      </c>
      <c r="N17" s="15">
        <v>35136175</v>
      </c>
      <c r="O17" s="88" t="s">
        <v>1605</v>
      </c>
      <c r="P17" s="38">
        <v>32910</v>
      </c>
      <c r="Q17" s="38"/>
      <c r="R17" s="38"/>
      <c r="S17" s="38"/>
      <c r="T17" s="38"/>
      <c r="U17" s="17" t="s">
        <v>215</v>
      </c>
      <c r="V17" s="17" t="s">
        <v>915</v>
      </c>
      <c r="W17" s="12">
        <v>41671</v>
      </c>
      <c r="X17" s="20"/>
      <c r="Y17" s="12">
        <v>42735</v>
      </c>
      <c r="Z17" s="2"/>
      <c r="AA17" s="2" t="s">
        <v>479</v>
      </c>
      <c r="AB17" s="24" t="s">
        <v>479</v>
      </c>
      <c r="AC17" s="5">
        <v>1000</v>
      </c>
      <c r="AD17" s="5">
        <v>1070</v>
      </c>
      <c r="AE17" s="5">
        <v>1170</v>
      </c>
      <c r="AF17" s="5">
        <f t="shared" si="1"/>
        <v>1310</v>
      </c>
      <c r="AG17" s="5">
        <f t="shared" si="0"/>
        <v>1310</v>
      </c>
      <c r="AH17" s="5">
        <f t="shared" si="0"/>
        <v>1310</v>
      </c>
      <c r="AI17" s="5">
        <f t="shared" ref="AI17:AJ17" si="14">+AH17</f>
        <v>1310</v>
      </c>
      <c r="AJ17" s="5">
        <f t="shared" si="14"/>
        <v>1310</v>
      </c>
      <c r="AK17" s="29" t="s">
        <v>42</v>
      </c>
      <c r="AL17" s="105" t="str">
        <f>+AK17</f>
        <v>C0</v>
      </c>
    </row>
    <row r="18" spans="1:38" s="6" customFormat="1" ht="15" customHeight="1" x14ac:dyDescent="0.2">
      <c r="A18" s="29" t="s">
        <v>824</v>
      </c>
      <c r="B18" s="29" t="s">
        <v>822</v>
      </c>
      <c r="C18" s="29" t="s">
        <v>823</v>
      </c>
      <c r="D18" s="2" t="s">
        <v>808</v>
      </c>
      <c r="E18" s="2" t="s">
        <v>909</v>
      </c>
      <c r="F18" s="3" t="s">
        <v>507</v>
      </c>
      <c r="G18" s="3" t="s">
        <v>507</v>
      </c>
      <c r="H18" s="2" t="s">
        <v>223</v>
      </c>
      <c r="I18" s="2" t="s">
        <v>1707</v>
      </c>
      <c r="J18" s="28" t="s">
        <v>73</v>
      </c>
      <c r="K18" s="28" t="s">
        <v>1765</v>
      </c>
      <c r="L18" s="43" t="s">
        <v>80</v>
      </c>
      <c r="M18" s="4" t="s">
        <v>3</v>
      </c>
      <c r="N18" s="15">
        <v>42663422</v>
      </c>
      <c r="O18" s="88" t="s">
        <v>1567</v>
      </c>
      <c r="P18" s="38">
        <v>35223</v>
      </c>
      <c r="Q18" s="38"/>
      <c r="R18" s="38"/>
      <c r="S18" s="38"/>
      <c r="T18" s="38"/>
      <c r="U18" s="17" t="s">
        <v>215</v>
      </c>
      <c r="V18" s="17" t="s">
        <v>915</v>
      </c>
      <c r="W18" s="12">
        <v>42156</v>
      </c>
      <c r="X18" s="37"/>
      <c r="Y18" s="12">
        <v>42735</v>
      </c>
      <c r="Z18" s="2"/>
      <c r="AA18" s="2" t="s">
        <v>479</v>
      </c>
      <c r="AB18" s="7" t="s">
        <v>61</v>
      </c>
      <c r="AC18" s="5">
        <v>1000</v>
      </c>
      <c r="AD18" s="5">
        <f>+AC18*1.07</f>
        <v>1070</v>
      </c>
      <c r="AE18" s="5">
        <v>1170</v>
      </c>
      <c r="AF18" s="5">
        <f t="shared" si="1"/>
        <v>1310</v>
      </c>
      <c r="AG18" s="5">
        <f t="shared" si="0"/>
        <v>1310</v>
      </c>
      <c r="AH18" s="5">
        <f t="shared" si="0"/>
        <v>1310</v>
      </c>
      <c r="AI18" s="5">
        <f t="shared" ref="AI18:AJ18" si="15">+AH18</f>
        <v>1310</v>
      </c>
      <c r="AJ18" s="5">
        <f t="shared" si="15"/>
        <v>1310</v>
      </c>
      <c r="AK18" s="29" t="s">
        <v>42</v>
      </c>
      <c r="AL18" s="105" t="str">
        <f>+AK18</f>
        <v>C0</v>
      </c>
    </row>
    <row r="19" spans="1:38" s="6" customFormat="1" ht="15" customHeight="1" x14ac:dyDescent="0.2">
      <c r="A19" s="29" t="s">
        <v>824</v>
      </c>
      <c r="B19" s="2" t="s">
        <v>822</v>
      </c>
      <c r="C19" s="29" t="s">
        <v>823</v>
      </c>
      <c r="D19" s="2" t="s">
        <v>808</v>
      </c>
      <c r="E19" s="2" t="s">
        <v>20</v>
      </c>
      <c r="F19" s="2"/>
      <c r="G19" s="2"/>
      <c r="H19" s="2"/>
      <c r="I19" s="2" t="s">
        <v>235</v>
      </c>
      <c r="J19" s="28"/>
      <c r="K19" s="28" t="s">
        <v>1765</v>
      </c>
      <c r="L19" s="44" t="s">
        <v>938</v>
      </c>
      <c r="M19" s="7" t="s">
        <v>3</v>
      </c>
      <c r="N19" s="15">
        <v>22476139</v>
      </c>
      <c r="O19" s="88">
        <v>27254761392</v>
      </c>
      <c r="P19" s="38">
        <v>27970</v>
      </c>
      <c r="Q19" s="38"/>
      <c r="R19" s="38"/>
      <c r="S19" s="38"/>
      <c r="T19" s="38"/>
      <c r="U19" s="17" t="s">
        <v>215</v>
      </c>
      <c r="V19" s="17" t="s">
        <v>915</v>
      </c>
      <c r="W19" s="12">
        <v>42461</v>
      </c>
      <c r="X19" s="13"/>
      <c r="Y19" s="12">
        <v>42735</v>
      </c>
      <c r="Z19" s="2"/>
      <c r="AA19" s="2" t="s">
        <v>479</v>
      </c>
      <c r="AB19" s="7"/>
      <c r="AC19" s="5">
        <v>1000</v>
      </c>
      <c r="AD19" s="5">
        <f>+AC19*1.07</f>
        <v>1070</v>
      </c>
      <c r="AE19" s="5">
        <v>1170</v>
      </c>
      <c r="AF19" s="5">
        <f t="shared" si="1"/>
        <v>1310</v>
      </c>
      <c r="AG19" s="5">
        <f t="shared" si="0"/>
        <v>1310</v>
      </c>
      <c r="AH19" s="5">
        <f t="shared" si="0"/>
        <v>1310</v>
      </c>
      <c r="AI19" s="5">
        <f t="shared" ref="AI19:AJ19" si="16">+AH19</f>
        <v>1310</v>
      </c>
      <c r="AJ19" s="5">
        <f t="shared" si="16"/>
        <v>1310</v>
      </c>
      <c r="AK19" s="2" t="s">
        <v>53</v>
      </c>
      <c r="AL19" s="105" t="str">
        <f>+AK19</f>
        <v>B0</v>
      </c>
    </row>
    <row r="20" spans="1:38" s="6" customFormat="1" ht="15" customHeight="1" x14ac:dyDescent="0.2">
      <c r="A20" s="29" t="s">
        <v>824</v>
      </c>
      <c r="B20" s="2" t="s">
        <v>822</v>
      </c>
      <c r="C20" s="3"/>
      <c r="D20" s="2" t="s">
        <v>825</v>
      </c>
      <c r="E20" s="3" t="s">
        <v>18</v>
      </c>
      <c r="F20" s="2" t="s">
        <v>19</v>
      </c>
      <c r="G20" s="2"/>
      <c r="H20" s="2" t="s">
        <v>22</v>
      </c>
      <c r="I20" s="2" t="s">
        <v>1707</v>
      </c>
      <c r="J20" s="28" t="s">
        <v>548</v>
      </c>
      <c r="K20" s="28" t="s">
        <v>548</v>
      </c>
      <c r="L20" s="44" t="s">
        <v>557</v>
      </c>
      <c r="M20" s="4" t="s">
        <v>3</v>
      </c>
      <c r="N20" s="15">
        <v>26403953</v>
      </c>
      <c r="O20" s="88" t="s">
        <v>1289</v>
      </c>
      <c r="P20" s="38">
        <v>28521</v>
      </c>
      <c r="Q20" s="38"/>
      <c r="R20" s="38"/>
      <c r="S20" s="38"/>
      <c r="T20" s="38"/>
      <c r="U20" s="17" t="s">
        <v>215</v>
      </c>
      <c r="V20" s="17" t="s">
        <v>915</v>
      </c>
      <c r="W20" s="12">
        <v>40807</v>
      </c>
      <c r="X20" s="12"/>
      <c r="Y20" s="12">
        <v>42735</v>
      </c>
      <c r="Z20" s="2"/>
      <c r="AA20" s="2" t="s">
        <v>479</v>
      </c>
      <c r="AB20" s="7" t="s">
        <v>787</v>
      </c>
      <c r="AC20" s="5">
        <v>1000</v>
      </c>
      <c r="AD20" s="5">
        <f>+AC20</f>
        <v>1000</v>
      </c>
      <c r="AE20" s="5">
        <v>1170</v>
      </c>
      <c r="AF20" s="5">
        <f t="shared" si="1"/>
        <v>1310</v>
      </c>
      <c r="AG20" s="5">
        <f t="shared" si="0"/>
        <v>1310</v>
      </c>
      <c r="AH20" s="5">
        <f t="shared" si="0"/>
        <v>1310</v>
      </c>
      <c r="AI20" s="5">
        <f t="shared" ref="AI20:AJ20" si="17">+AH20</f>
        <v>1310</v>
      </c>
      <c r="AJ20" s="5">
        <f t="shared" si="17"/>
        <v>1310</v>
      </c>
      <c r="AK20" s="2"/>
      <c r="AL20" s="106"/>
    </row>
    <row r="21" spans="1:38" s="6" customFormat="1" ht="15" customHeight="1" x14ac:dyDescent="0.2">
      <c r="A21" s="29" t="s">
        <v>824</v>
      </c>
      <c r="B21" s="2" t="s">
        <v>822</v>
      </c>
      <c r="C21" s="3"/>
      <c r="D21" s="2" t="s">
        <v>825</v>
      </c>
      <c r="E21" s="3" t="s">
        <v>18</v>
      </c>
      <c r="F21" s="2" t="s">
        <v>19</v>
      </c>
      <c r="G21" s="2"/>
      <c r="H21" s="2" t="s">
        <v>23</v>
      </c>
      <c r="I21" s="3"/>
      <c r="J21" s="28" t="s">
        <v>548</v>
      </c>
      <c r="K21" s="28"/>
      <c r="L21" s="41" t="s">
        <v>558</v>
      </c>
      <c r="M21" s="4" t="s">
        <v>3</v>
      </c>
      <c r="N21" s="15">
        <v>34303292</v>
      </c>
      <c r="O21" s="88">
        <v>20343032928</v>
      </c>
      <c r="P21" s="61"/>
      <c r="Q21" s="61"/>
      <c r="R21" s="61"/>
      <c r="S21" s="61"/>
      <c r="T21" s="61"/>
      <c r="U21" s="16" t="s">
        <v>796</v>
      </c>
      <c r="V21" s="16" t="s">
        <v>916</v>
      </c>
      <c r="W21" s="12">
        <v>42064</v>
      </c>
      <c r="X21" s="12">
        <v>42460</v>
      </c>
      <c r="Y21" s="12">
        <v>42735</v>
      </c>
      <c r="Z21" s="2" t="s">
        <v>24</v>
      </c>
      <c r="AA21" s="2"/>
      <c r="AB21" s="3"/>
      <c r="AC21" s="5">
        <v>1000</v>
      </c>
      <c r="AD21" s="5"/>
      <c r="AE21" s="5">
        <v>1170</v>
      </c>
      <c r="AF21" s="5">
        <f t="shared" si="1"/>
        <v>1310</v>
      </c>
      <c r="AG21" s="5">
        <f t="shared" si="0"/>
        <v>1310</v>
      </c>
      <c r="AH21" s="5">
        <f t="shared" si="0"/>
        <v>1310</v>
      </c>
      <c r="AI21" s="5">
        <f t="shared" ref="AI21:AJ21" si="18">+AH21</f>
        <v>1310</v>
      </c>
      <c r="AJ21" s="5">
        <f t="shared" si="18"/>
        <v>1310</v>
      </c>
      <c r="AK21" s="2"/>
      <c r="AL21" s="105" t="str">
        <f>+Z21</f>
        <v>D0</v>
      </c>
    </row>
    <row r="22" spans="1:38" s="6" customFormat="1" ht="15" customHeight="1" x14ac:dyDescent="0.2">
      <c r="A22" s="29" t="s">
        <v>824</v>
      </c>
      <c r="B22" s="2" t="s">
        <v>822</v>
      </c>
      <c r="C22" s="3"/>
      <c r="D22" s="2" t="s">
        <v>825</v>
      </c>
      <c r="E22" s="3" t="s">
        <v>18</v>
      </c>
      <c r="F22" s="2" t="s">
        <v>19</v>
      </c>
      <c r="G22" s="2"/>
      <c r="H22" s="2" t="s">
        <v>22</v>
      </c>
      <c r="I22" s="2" t="s">
        <v>1707</v>
      </c>
      <c r="J22" s="28" t="s">
        <v>548</v>
      </c>
      <c r="K22" s="28" t="s">
        <v>548</v>
      </c>
      <c r="L22" s="44" t="s">
        <v>25</v>
      </c>
      <c r="M22" s="4" t="s">
        <v>3</v>
      </c>
      <c r="N22" s="15">
        <v>23865395</v>
      </c>
      <c r="O22" s="88" t="s">
        <v>1238</v>
      </c>
      <c r="P22" s="38">
        <v>27116</v>
      </c>
      <c r="Q22" s="38"/>
      <c r="R22" s="38"/>
      <c r="S22" s="38"/>
      <c r="T22" s="38"/>
      <c r="U22" s="17" t="s">
        <v>215</v>
      </c>
      <c r="V22" s="17" t="s">
        <v>915</v>
      </c>
      <c r="W22" s="12">
        <v>40483</v>
      </c>
      <c r="X22" s="12"/>
      <c r="Y22" s="12">
        <v>42735</v>
      </c>
      <c r="Z22" s="2"/>
      <c r="AA22" s="2" t="s">
        <v>479</v>
      </c>
      <c r="AB22" s="7" t="s">
        <v>787</v>
      </c>
      <c r="AC22" s="5">
        <v>1000</v>
      </c>
      <c r="AD22" s="5">
        <f>+AC22</f>
        <v>1000</v>
      </c>
      <c r="AE22" s="5">
        <v>1170</v>
      </c>
      <c r="AF22" s="5">
        <f t="shared" si="1"/>
        <v>1310</v>
      </c>
      <c r="AG22" s="5">
        <f t="shared" si="0"/>
        <v>1310</v>
      </c>
      <c r="AH22" s="5">
        <f t="shared" si="0"/>
        <v>1310</v>
      </c>
      <c r="AI22" s="5">
        <f t="shared" ref="AI22:AJ22" si="19">+AH22</f>
        <v>1310</v>
      </c>
      <c r="AJ22" s="5">
        <f t="shared" si="19"/>
        <v>1310</v>
      </c>
      <c r="AK22" s="2"/>
      <c r="AL22" s="106"/>
    </row>
    <row r="23" spans="1:38" s="6" customFormat="1" ht="15" customHeight="1" x14ac:dyDescent="0.2">
      <c r="A23" s="29" t="s">
        <v>824</v>
      </c>
      <c r="B23" s="29" t="s">
        <v>822</v>
      </c>
      <c r="C23" s="29" t="s">
        <v>823</v>
      </c>
      <c r="D23" s="2" t="s">
        <v>800</v>
      </c>
      <c r="E23" s="2" t="s">
        <v>489</v>
      </c>
      <c r="F23" s="2"/>
      <c r="G23" s="2"/>
      <c r="H23" s="2"/>
      <c r="I23" s="3" t="s">
        <v>1715</v>
      </c>
      <c r="J23" s="28" t="s">
        <v>254</v>
      </c>
      <c r="K23" s="28" t="s">
        <v>1767</v>
      </c>
      <c r="L23" s="42" t="s">
        <v>351</v>
      </c>
      <c r="M23" s="4" t="s">
        <v>3</v>
      </c>
      <c r="N23" s="15">
        <v>25151141</v>
      </c>
      <c r="O23" s="88" t="s">
        <v>1256</v>
      </c>
      <c r="P23" s="38">
        <v>27866</v>
      </c>
      <c r="Q23" s="38"/>
      <c r="R23" s="38"/>
      <c r="S23" s="38"/>
      <c r="T23" s="38"/>
      <c r="U23" s="17" t="s">
        <v>215</v>
      </c>
      <c r="V23" s="17" t="s">
        <v>915</v>
      </c>
      <c r="W23" s="12">
        <v>40940</v>
      </c>
      <c r="X23" s="20"/>
      <c r="Y23" s="12">
        <v>42735</v>
      </c>
      <c r="Z23" s="2"/>
      <c r="AA23" s="2" t="s">
        <v>479</v>
      </c>
      <c r="AB23" s="24" t="s">
        <v>479</v>
      </c>
      <c r="AC23" s="5">
        <v>1000</v>
      </c>
      <c r="AD23" s="5">
        <v>1070</v>
      </c>
      <c r="AE23" s="5">
        <v>1170</v>
      </c>
      <c r="AF23" s="5">
        <f t="shared" ref="AF23:AF86" si="20">+AC23*1.31</f>
        <v>1310</v>
      </c>
      <c r="AG23" s="5">
        <f t="shared" si="0"/>
        <v>1310</v>
      </c>
      <c r="AH23" s="5">
        <f t="shared" si="0"/>
        <v>1310</v>
      </c>
      <c r="AI23" s="5">
        <f t="shared" ref="AI23:AJ23" si="21">+AH23</f>
        <v>1310</v>
      </c>
      <c r="AJ23" s="5">
        <f t="shared" si="21"/>
        <v>1310</v>
      </c>
      <c r="AK23" s="29" t="s">
        <v>42</v>
      </c>
      <c r="AL23" s="105" t="str">
        <f>+AK23</f>
        <v>C0</v>
      </c>
    </row>
    <row r="24" spans="1:38" s="6" customFormat="1" ht="15" customHeight="1" x14ac:dyDescent="0.2">
      <c r="A24" s="29" t="s">
        <v>824</v>
      </c>
      <c r="B24" s="29" t="s">
        <v>822</v>
      </c>
      <c r="C24" s="29"/>
      <c r="D24" s="2" t="s">
        <v>956</v>
      </c>
      <c r="E24" s="2" t="s">
        <v>956</v>
      </c>
      <c r="F24" s="3"/>
      <c r="G24" s="3"/>
      <c r="H24" s="2"/>
      <c r="I24" s="2"/>
      <c r="J24" s="28"/>
      <c r="K24" s="28"/>
      <c r="L24" s="41" t="s">
        <v>1802</v>
      </c>
      <c r="M24" s="4" t="s">
        <v>3</v>
      </c>
      <c r="N24" s="15">
        <v>16668849</v>
      </c>
      <c r="O24" s="88">
        <v>20166688496</v>
      </c>
      <c r="P24" s="38"/>
      <c r="Q24" s="38"/>
      <c r="R24" s="38"/>
      <c r="S24" s="38"/>
      <c r="T24" s="38"/>
      <c r="U24" s="17"/>
      <c r="V24" s="17" t="s">
        <v>915</v>
      </c>
      <c r="W24" s="12">
        <v>42552</v>
      </c>
      <c r="X24" s="48"/>
      <c r="Y24" s="48">
        <v>42643</v>
      </c>
      <c r="Z24" s="2"/>
      <c r="AA24" s="2" t="s">
        <v>479</v>
      </c>
      <c r="AB24" s="3"/>
      <c r="AC24" s="5"/>
      <c r="AD24" s="5"/>
      <c r="AE24" s="5">
        <v>1170</v>
      </c>
      <c r="AF24" s="5">
        <f t="shared" si="20"/>
        <v>0</v>
      </c>
      <c r="AG24" s="5">
        <v>1310</v>
      </c>
      <c r="AH24" s="5" t="s">
        <v>1818</v>
      </c>
      <c r="AI24" s="5" t="str">
        <f t="shared" ref="AI24:AJ24" si="22">+AH24</f>
        <v xml:space="preserve"> --</v>
      </c>
      <c r="AJ24" s="5" t="str">
        <f t="shared" si="22"/>
        <v xml:space="preserve"> --</v>
      </c>
      <c r="AK24" s="2"/>
      <c r="AL24" s="105"/>
    </row>
    <row r="25" spans="1:38" s="6" customFormat="1" ht="15" customHeight="1" x14ac:dyDescent="0.2">
      <c r="A25" s="29" t="s">
        <v>824</v>
      </c>
      <c r="B25" s="29" t="s">
        <v>822</v>
      </c>
      <c r="C25" s="29" t="s">
        <v>823</v>
      </c>
      <c r="D25" s="2" t="s">
        <v>800</v>
      </c>
      <c r="E25" s="2" t="s">
        <v>481</v>
      </c>
      <c r="F25" s="2"/>
      <c r="G25" s="2"/>
      <c r="H25" s="2" t="s">
        <v>229</v>
      </c>
      <c r="I25" s="2" t="s">
        <v>229</v>
      </c>
      <c r="J25" s="28" t="s">
        <v>254</v>
      </c>
      <c r="K25" s="28"/>
      <c r="L25" s="42" t="s">
        <v>262</v>
      </c>
      <c r="M25" s="4" t="s">
        <v>3</v>
      </c>
      <c r="N25" s="15">
        <v>32890888</v>
      </c>
      <c r="O25" s="88">
        <v>20328908884</v>
      </c>
      <c r="P25" s="38"/>
      <c r="Q25" s="38"/>
      <c r="R25" s="38"/>
      <c r="S25" s="38"/>
      <c r="T25" s="38"/>
      <c r="U25" s="16" t="s">
        <v>796</v>
      </c>
      <c r="V25" s="16" t="s">
        <v>916</v>
      </c>
      <c r="W25" s="12">
        <v>42005</v>
      </c>
      <c r="X25" s="12">
        <v>42460</v>
      </c>
      <c r="Y25" s="12">
        <v>42735</v>
      </c>
      <c r="Z25" s="2" t="s">
        <v>42</v>
      </c>
      <c r="AA25" s="2"/>
      <c r="AB25" s="18"/>
      <c r="AC25" s="5">
        <v>1000</v>
      </c>
      <c r="AD25" s="5"/>
      <c r="AE25" s="5">
        <v>1170</v>
      </c>
      <c r="AF25" s="5">
        <f t="shared" si="20"/>
        <v>1310</v>
      </c>
      <c r="AG25" s="5">
        <f t="shared" ref="AG25:AH52" si="23">+AF25</f>
        <v>1310</v>
      </c>
      <c r="AH25" s="5">
        <f t="shared" si="23"/>
        <v>1310</v>
      </c>
      <c r="AI25" s="5">
        <f t="shared" ref="AI25:AJ25" si="24">+AH25</f>
        <v>1310</v>
      </c>
      <c r="AJ25" s="5">
        <f t="shared" si="24"/>
        <v>1310</v>
      </c>
      <c r="AK25" s="2"/>
      <c r="AL25" s="105" t="str">
        <f>+Z25</f>
        <v>C0</v>
      </c>
    </row>
    <row r="26" spans="1:38" s="6" customFormat="1" ht="15" customHeight="1" x14ac:dyDescent="0.2">
      <c r="A26" s="29" t="s">
        <v>824</v>
      </c>
      <c r="B26" s="29" t="s">
        <v>822</v>
      </c>
      <c r="C26" s="29" t="s">
        <v>823</v>
      </c>
      <c r="D26" s="2" t="s">
        <v>808</v>
      </c>
      <c r="E26" s="2" t="s">
        <v>517</v>
      </c>
      <c r="F26" s="2"/>
      <c r="G26" s="2"/>
      <c r="H26" s="2"/>
      <c r="I26" s="2" t="s">
        <v>1707</v>
      </c>
      <c r="J26" s="28"/>
      <c r="K26" s="28" t="s">
        <v>1765</v>
      </c>
      <c r="L26" s="42" t="s">
        <v>302</v>
      </c>
      <c r="M26" s="4" t="s">
        <v>3</v>
      </c>
      <c r="N26" s="15">
        <v>33205074</v>
      </c>
      <c r="O26" s="88" t="s">
        <v>1438</v>
      </c>
      <c r="P26" s="38">
        <v>31992</v>
      </c>
      <c r="Q26" s="38"/>
      <c r="R26" s="38"/>
      <c r="S26" s="38"/>
      <c r="T26" s="38"/>
      <c r="U26" s="17" t="s">
        <v>215</v>
      </c>
      <c r="V26" s="17" t="s">
        <v>915</v>
      </c>
      <c r="W26" s="12">
        <v>41974</v>
      </c>
      <c r="X26" s="20"/>
      <c r="Y26" s="12">
        <v>42735</v>
      </c>
      <c r="Z26" s="2"/>
      <c r="AA26" s="2" t="s">
        <v>479</v>
      </c>
      <c r="AB26" s="24" t="s">
        <v>479</v>
      </c>
      <c r="AC26" s="5">
        <v>1000</v>
      </c>
      <c r="AD26" s="5">
        <v>1070</v>
      </c>
      <c r="AE26" s="5">
        <v>1170</v>
      </c>
      <c r="AF26" s="5">
        <f t="shared" si="20"/>
        <v>1310</v>
      </c>
      <c r="AG26" s="5">
        <f t="shared" si="23"/>
        <v>1310</v>
      </c>
      <c r="AH26" s="5">
        <f t="shared" si="23"/>
        <v>1310</v>
      </c>
      <c r="AI26" s="5">
        <f t="shared" ref="AI26:AJ26" si="25">+AH26</f>
        <v>1310</v>
      </c>
      <c r="AJ26" s="5">
        <f t="shared" si="25"/>
        <v>1310</v>
      </c>
      <c r="AK26" s="2" t="s">
        <v>53</v>
      </c>
      <c r="AL26" s="105" t="str">
        <f>+AK26</f>
        <v>B0</v>
      </c>
    </row>
    <row r="27" spans="1:38" s="6" customFormat="1" ht="15" customHeight="1" x14ac:dyDescent="0.2">
      <c r="A27" s="29" t="s">
        <v>824</v>
      </c>
      <c r="B27" s="2" t="s">
        <v>822</v>
      </c>
      <c r="C27" s="3"/>
      <c r="D27" s="2" t="s">
        <v>825</v>
      </c>
      <c r="E27" s="3" t="s">
        <v>18</v>
      </c>
      <c r="F27" s="2" t="s">
        <v>1012</v>
      </c>
      <c r="G27" s="2"/>
      <c r="H27" s="2" t="s">
        <v>20</v>
      </c>
      <c r="I27" s="2" t="s">
        <v>1760</v>
      </c>
      <c r="J27" s="28" t="s">
        <v>548</v>
      </c>
      <c r="K27" s="28" t="s">
        <v>548</v>
      </c>
      <c r="L27" s="44" t="s">
        <v>996</v>
      </c>
      <c r="M27" s="7" t="s">
        <v>3</v>
      </c>
      <c r="N27" s="47">
        <v>34295103</v>
      </c>
      <c r="O27" s="88" t="s">
        <v>1468</v>
      </c>
      <c r="P27" s="38">
        <v>32609</v>
      </c>
      <c r="Q27" s="38"/>
      <c r="R27" s="38"/>
      <c r="S27" s="38"/>
      <c r="T27" s="38"/>
      <c r="U27" s="17" t="s">
        <v>215</v>
      </c>
      <c r="V27" s="17" t="s">
        <v>915</v>
      </c>
      <c r="W27" s="12">
        <v>41791</v>
      </c>
      <c r="X27" s="12"/>
      <c r="Y27" s="12">
        <v>42735</v>
      </c>
      <c r="Z27" s="2"/>
      <c r="AA27" s="2" t="s">
        <v>479</v>
      </c>
      <c r="AB27" s="7"/>
      <c r="AC27" s="5">
        <v>1000</v>
      </c>
      <c r="AD27" s="5">
        <f>+AC27</f>
        <v>1000</v>
      </c>
      <c r="AE27" s="5">
        <v>1170</v>
      </c>
      <c r="AF27" s="5">
        <f t="shared" si="20"/>
        <v>1310</v>
      </c>
      <c r="AG27" s="5">
        <f t="shared" si="23"/>
        <v>1310</v>
      </c>
      <c r="AH27" s="5">
        <f t="shared" si="23"/>
        <v>1310</v>
      </c>
      <c r="AI27" s="5">
        <f t="shared" ref="AI27:AJ27" si="26">+AH27</f>
        <v>1310</v>
      </c>
      <c r="AJ27" s="5">
        <f t="shared" si="26"/>
        <v>1310</v>
      </c>
      <c r="AK27" s="2"/>
      <c r="AL27" s="106"/>
    </row>
    <row r="28" spans="1:38" s="6" customFormat="1" ht="15" customHeight="1" x14ac:dyDescent="0.2">
      <c r="A28" s="29" t="s">
        <v>824</v>
      </c>
      <c r="B28" s="29" t="s">
        <v>822</v>
      </c>
      <c r="C28" s="29" t="s">
        <v>823</v>
      </c>
      <c r="D28" s="2" t="s">
        <v>800</v>
      </c>
      <c r="E28" s="7" t="s">
        <v>541</v>
      </c>
      <c r="F28" s="3"/>
      <c r="G28" s="3"/>
      <c r="H28" s="2"/>
      <c r="I28" s="3" t="s">
        <v>1716</v>
      </c>
      <c r="J28" s="28"/>
      <c r="K28" s="28" t="s">
        <v>1767</v>
      </c>
      <c r="L28" s="42" t="s">
        <v>1668</v>
      </c>
      <c r="M28" s="7" t="s">
        <v>3</v>
      </c>
      <c r="N28" s="15">
        <v>35340444</v>
      </c>
      <c r="O28" s="88">
        <v>20353404440</v>
      </c>
      <c r="P28" s="38">
        <v>33015</v>
      </c>
      <c r="Q28" s="38"/>
      <c r="R28" s="38"/>
      <c r="S28" s="38"/>
      <c r="T28" s="38"/>
      <c r="U28" s="16" t="s">
        <v>215</v>
      </c>
      <c r="V28" s="16" t="s">
        <v>915</v>
      </c>
      <c r="W28" s="12">
        <v>42552</v>
      </c>
      <c r="X28" s="12"/>
      <c r="Y28" s="12">
        <v>42735</v>
      </c>
      <c r="Z28" s="2"/>
      <c r="AA28" s="2" t="s">
        <v>479</v>
      </c>
      <c r="AB28" s="18"/>
      <c r="AC28" s="5"/>
      <c r="AD28" s="5"/>
      <c r="AE28" s="5">
        <v>1170</v>
      </c>
      <c r="AF28" s="5">
        <f t="shared" si="20"/>
        <v>0</v>
      </c>
      <c r="AG28" s="5">
        <f t="shared" si="23"/>
        <v>0</v>
      </c>
      <c r="AH28" s="5">
        <f t="shared" si="23"/>
        <v>0</v>
      </c>
      <c r="AI28" s="5">
        <f t="shared" ref="AI28:AJ28" si="27">+AH28</f>
        <v>0</v>
      </c>
      <c r="AJ28" s="5">
        <f t="shared" si="27"/>
        <v>0</v>
      </c>
      <c r="AK28" s="29" t="s">
        <v>42</v>
      </c>
      <c r="AL28" s="105" t="str">
        <f>+AK28</f>
        <v>C0</v>
      </c>
    </row>
    <row r="29" spans="1:38" s="6" customFormat="1" ht="15" customHeight="1" x14ac:dyDescent="0.2">
      <c r="A29" s="29" t="s">
        <v>824</v>
      </c>
      <c r="B29" s="29" t="s">
        <v>822</v>
      </c>
      <c r="C29" s="29" t="s">
        <v>823</v>
      </c>
      <c r="D29" s="2" t="s">
        <v>808</v>
      </c>
      <c r="E29" s="2" t="s">
        <v>20</v>
      </c>
      <c r="F29" s="3"/>
      <c r="G29" s="3"/>
      <c r="H29" s="2" t="s">
        <v>221</v>
      </c>
      <c r="I29" s="3"/>
      <c r="J29" s="28" t="s">
        <v>73</v>
      </c>
      <c r="K29" s="28"/>
      <c r="L29" s="42" t="s">
        <v>81</v>
      </c>
      <c r="M29" s="4" t="s">
        <v>3</v>
      </c>
      <c r="N29" s="15">
        <v>21644367</v>
      </c>
      <c r="O29" s="88">
        <v>20216443676</v>
      </c>
      <c r="P29" s="38"/>
      <c r="Q29" s="38"/>
      <c r="R29" s="38"/>
      <c r="S29" s="38"/>
      <c r="T29" s="38"/>
      <c r="U29" s="16" t="s">
        <v>796</v>
      </c>
      <c r="V29" s="16" t="s">
        <v>916</v>
      </c>
      <c r="W29" s="12">
        <v>40179</v>
      </c>
      <c r="X29" s="48">
        <v>42735</v>
      </c>
      <c r="Y29" s="12">
        <v>42735</v>
      </c>
      <c r="Z29" s="2" t="s">
        <v>17</v>
      </c>
      <c r="AA29" s="2"/>
      <c r="AB29" s="14"/>
      <c r="AC29" s="5">
        <v>1000</v>
      </c>
      <c r="AD29" s="5"/>
      <c r="AE29" s="5">
        <v>1170</v>
      </c>
      <c r="AF29" s="5">
        <f t="shared" si="20"/>
        <v>1310</v>
      </c>
      <c r="AG29" s="5">
        <f t="shared" si="23"/>
        <v>1310</v>
      </c>
      <c r="AH29" s="5">
        <f t="shared" si="23"/>
        <v>1310</v>
      </c>
      <c r="AI29" s="5">
        <f t="shared" ref="AI29:AJ29" si="28">+AH29</f>
        <v>1310</v>
      </c>
      <c r="AJ29" s="5">
        <f t="shared" si="28"/>
        <v>1310</v>
      </c>
      <c r="AK29" s="2"/>
      <c r="AL29" s="105" t="str">
        <f>+Z29</f>
        <v>C1</v>
      </c>
    </row>
    <row r="30" spans="1:38" s="6" customFormat="1" ht="15" customHeight="1" x14ac:dyDescent="0.2">
      <c r="A30" s="29" t="s">
        <v>824</v>
      </c>
      <c r="B30" s="2" t="s">
        <v>822</v>
      </c>
      <c r="C30" s="3"/>
      <c r="D30" s="2" t="s">
        <v>825</v>
      </c>
      <c r="E30" s="3" t="s">
        <v>18</v>
      </c>
      <c r="F30" s="2" t="s">
        <v>19</v>
      </c>
      <c r="G30" s="2" t="s">
        <v>73</v>
      </c>
      <c r="H30" s="2" t="s">
        <v>29</v>
      </c>
      <c r="I30" s="3"/>
      <c r="J30" s="28" t="s">
        <v>548</v>
      </c>
      <c r="K30" s="28"/>
      <c r="L30" s="41" t="s">
        <v>559</v>
      </c>
      <c r="M30" s="4" t="s">
        <v>3</v>
      </c>
      <c r="N30" s="15">
        <v>17287085</v>
      </c>
      <c r="O30" s="88">
        <v>27172870851</v>
      </c>
      <c r="P30" s="61"/>
      <c r="Q30" s="61"/>
      <c r="R30" s="61"/>
      <c r="S30" s="61"/>
      <c r="T30" s="61"/>
      <c r="U30" s="16" t="s">
        <v>796</v>
      </c>
      <c r="V30" s="16" t="s">
        <v>916</v>
      </c>
      <c r="W30" s="12">
        <v>41244</v>
      </c>
      <c r="X30" s="48">
        <v>42735</v>
      </c>
      <c r="Y30" s="12">
        <v>42735</v>
      </c>
      <c r="Z30" s="2" t="s">
        <v>30</v>
      </c>
      <c r="AA30" s="2"/>
      <c r="AB30" s="3"/>
      <c r="AC30" s="5">
        <v>1000</v>
      </c>
      <c r="AD30" s="5"/>
      <c r="AE30" s="5">
        <v>1170</v>
      </c>
      <c r="AF30" s="5">
        <f t="shared" si="20"/>
        <v>1310</v>
      </c>
      <c r="AG30" s="5">
        <f t="shared" si="23"/>
        <v>1310</v>
      </c>
      <c r="AH30" s="5">
        <f t="shared" si="23"/>
        <v>1310</v>
      </c>
      <c r="AI30" s="5">
        <f t="shared" ref="AI30:AJ30" si="29">+AH30</f>
        <v>1310</v>
      </c>
      <c r="AJ30" s="5">
        <f t="shared" si="29"/>
        <v>1310</v>
      </c>
      <c r="AK30" s="2"/>
      <c r="AL30" s="105" t="str">
        <f>+Z30</f>
        <v>B1</v>
      </c>
    </row>
    <row r="31" spans="1:38" s="6" customFormat="1" ht="15" customHeight="1" x14ac:dyDescent="0.2">
      <c r="A31" s="29" t="s">
        <v>824</v>
      </c>
      <c r="B31" s="29" t="s">
        <v>822</v>
      </c>
      <c r="C31" s="29" t="s">
        <v>823</v>
      </c>
      <c r="D31" s="2" t="s">
        <v>808</v>
      </c>
      <c r="E31" s="2" t="s">
        <v>517</v>
      </c>
      <c r="F31" s="2"/>
      <c r="G31" s="2"/>
      <c r="H31" s="2"/>
      <c r="I31" s="3"/>
      <c r="J31" s="28" t="s">
        <v>73</v>
      </c>
      <c r="K31" s="28" t="s">
        <v>1765</v>
      </c>
      <c r="L31" s="42" t="s">
        <v>287</v>
      </c>
      <c r="M31" s="4" t="s">
        <v>3</v>
      </c>
      <c r="N31" s="15">
        <v>16101254</v>
      </c>
      <c r="O31" s="88">
        <v>20161012549</v>
      </c>
      <c r="P31" s="38"/>
      <c r="Q31" s="38"/>
      <c r="R31" s="38"/>
      <c r="S31" s="38"/>
      <c r="T31" s="38"/>
      <c r="U31" s="16" t="s">
        <v>796</v>
      </c>
      <c r="V31" s="16" t="s">
        <v>916</v>
      </c>
      <c r="W31" s="12">
        <v>41213</v>
      </c>
      <c r="X31" s="48">
        <v>42735</v>
      </c>
      <c r="Y31" s="12">
        <v>42735</v>
      </c>
      <c r="Z31" s="2" t="s">
        <v>42</v>
      </c>
      <c r="AA31" s="2"/>
      <c r="AB31" s="18"/>
      <c r="AC31" s="5">
        <v>1000</v>
      </c>
      <c r="AD31" s="5"/>
      <c r="AE31" s="5">
        <v>1170</v>
      </c>
      <c r="AF31" s="5">
        <f t="shared" si="20"/>
        <v>1310</v>
      </c>
      <c r="AG31" s="5">
        <f t="shared" si="23"/>
        <v>1310</v>
      </c>
      <c r="AH31" s="5">
        <f t="shared" si="23"/>
        <v>1310</v>
      </c>
      <c r="AI31" s="5">
        <f t="shared" ref="AI31:AJ31" si="30">+AH31</f>
        <v>1310</v>
      </c>
      <c r="AJ31" s="5">
        <f t="shared" si="30"/>
        <v>1310</v>
      </c>
      <c r="AK31" s="2"/>
      <c r="AL31" s="105" t="str">
        <f>+Z31</f>
        <v>C0</v>
      </c>
    </row>
    <row r="32" spans="1:38" s="6" customFormat="1" ht="15" customHeight="1" x14ac:dyDescent="0.2">
      <c r="A32" s="29" t="s">
        <v>824</v>
      </c>
      <c r="B32" s="2" t="s">
        <v>822</v>
      </c>
      <c r="C32" s="29" t="s">
        <v>823</v>
      </c>
      <c r="D32" s="2" t="s">
        <v>808</v>
      </c>
      <c r="E32" s="2" t="s">
        <v>517</v>
      </c>
      <c r="F32" s="3"/>
      <c r="G32" s="3"/>
      <c r="H32" s="2"/>
      <c r="I32" s="2" t="s">
        <v>1707</v>
      </c>
      <c r="J32" s="28" t="s">
        <v>73</v>
      </c>
      <c r="K32" s="28" t="s">
        <v>1765</v>
      </c>
      <c r="L32" s="45" t="s">
        <v>560</v>
      </c>
      <c r="M32" s="4" t="s">
        <v>3</v>
      </c>
      <c r="N32" s="15">
        <v>28509503</v>
      </c>
      <c r="O32" s="88" t="s">
        <v>1329</v>
      </c>
      <c r="P32" s="38">
        <v>29562</v>
      </c>
      <c r="Q32" s="38"/>
      <c r="R32" s="38"/>
      <c r="S32" s="38"/>
      <c r="T32" s="38"/>
      <c r="U32" s="17" t="s">
        <v>215</v>
      </c>
      <c r="V32" s="17" t="s">
        <v>915</v>
      </c>
      <c r="W32" s="12">
        <v>42248</v>
      </c>
      <c r="X32" s="37"/>
      <c r="Y32" s="12">
        <v>42735</v>
      </c>
      <c r="Z32" s="2"/>
      <c r="AA32" s="2" t="s">
        <v>479</v>
      </c>
      <c r="AB32" s="7" t="s">
        <v>10</v>
      </c>
      <c r="AC32" s="5">
        <v>1000</v>
      </c>
      <c r="AD32" s="5">
        <v>1070</v>
      </c>
      <c r="AE32" s="5">
        <v>1170</v>
      </c>
      <c r="AF32" s="5">
        <f t="shared" si="20"/>
        <v>1310</v>
      </c>
      <c r="AG32" s="5">
        <f t="shared" si="23"/>
        <v>1310</v>
      </c>
      <c r="AH32" s="5">
        <f t="shared" si="23"/>
        <v>1310</v>
      </c>
      <c r="AI32" s="5">
        <f t="shared" ref="AI32:AJ32" si="31">+AH32</f>
        <v>1310</v>
      </c>
      <c r="AJ32" s="5">
        <f t="shared" si="31"/>
        <v>1310</v>
      </c>
      <c r="AK32" s="2" t="s">
        <v>53</v>
      </c>
      <c r="AL32" s="105" t="str">
        <f>+AK32</f>
        <v>B0</v>
      </c>
    </row>
    <row r="33" spans="1:38" s="6" customFormat="1" ht="15" customHeight="1" x14ac:dyDescent="0.2">
      <c r="A33" s="29" t="s">
        <v>824</v>
      </c>
      <c r="B33" s="29" t="s">
        <v>822</v>
      </c>
      <c r="C33" s="29" t="s">
        <v>823</v>
      </c>
      <c r="D33" s="2" t="s">
        <v>800</v>
      </c>
      <c r="E33" s="2" t="s">
        <v>484</v>
      </c>
      <c r="F33" s="2"/>
      <c r="G33" s="2"/>
      <c r="H33" s="2" t="s">
        <v>1707</v>
      </c>
      <c r="I33" s="2" t="s">
        <v>1707</v>
      </c>
      <c r="J33" s="28" t="s">
        <v>254</v>
      </c>
      <c r="K33" s="28"/>
      <c r="L33" s="42" t="s">
        <v>271</v>
      </c>
      <c r="M33" s="4" t="s">
        <v>3</v>
      </c>
      <c r="N33" s="15">
        <v>22913909</v>
      </c>
      <c r="O33" s="88">
        <v>27229139091</v>
      </c>
      <c r="P33" s="38"/>
      <c r="Q33" s="38"/>
      <c r="R33" s="38"/>
      <c r="S33" s="38"/>
      <c r="T33" s="38"/>
      <c r="U33" s="16" t="s">
        <v>796</v>
      </c>
      <c r="V33" s="16" t="s">
        <v>916</v>
      </c>
      <c r="W33" s="12">
        <v>40179</v>
      </c>
      <c r="X33" s="48">
        <v>42735</v>
      </c>
      <c r="Y33" s="12">
        <v>42735</v>
      </c>
      <c r="Z33" s="2" t="s">
        <v>17</v>
      </c>
      <c r="AA33" s="2"/>
      <c r="AB33" s="18"/>
      <c r="AC33" s="5">
        <v>1000</v>
      </c>
      <c r="AD33" s="5"/>
      <c r="AE33" s="5">
        <v>1170</v>
      </c>
      <c r="AF33" s="5">
        <f t="shared" si="20"/>
        <v>1310</v>
      </c>
      <c r="AG33" s="5">
        <f t="shared" si="23"/>
        <v>1310</v>
      </c>
      <c r="AH33" s="5">
        <f t="shared" si="23"/>
        <v>1310</v>
      </c>
      <c r="AI33" s="5">
        <f t="shared" ref="AI33:AJ33" si="32">+AH33</f>
        <v>1310</v>
      </c>
      <c r="AJ33" s="5">
        <f t="shared" si="32"/>
        <v>1310</v>
      </c>
      <c r="AK33" s="2"/>
      <c r="AL33" s="105" t="str">
        <f>+Z33</f>
        <v>C1</v>
      </c>
    </row>
    <row r="34" spans="1:38" s="6" customFormat="1" ht="15" customHeight="1" x14ac:dyDescent="0.2">
      <c r="A34" s="29" t="s">
        <v>824</v>
      </c>
      <c r="B34" s="29" t="s">
        <v>822</v>
      </c>
      <c r="C34" s="29" t="s">
        <v>823</v>
      </c>
      <c r="D34" s="2" t="s">
        <v>808</v>
      </c>
      <c r="E34" s="2" t="s">
        <v>909</v>
      </c>
      <c r="F34" s="2" t="s">
        <v>52</v>
      </c>
      <c r="G34" s="3" t="s">
        <v>527</v>
      </c>
      <c r="H34" s="2" t="s">
        <v>14</v>
      </c>
      <c r="I34" s="2" t="s">
        <v>1707</v>
      </c>
      <c r="J34" s="28" t="s">
        <v>73</v>
      </c>
      <c r="K34" s="28" t="s">
        <v>1765</v>
      </c>
      <c r="L34" s="41" t="s">
        <v>561</v>
      </c>
      <c r="M34" s="3" t="s">
        <v>3</v>
      </c>
      <c r="N34" s="15">
        <v>35364582</v>
      </c>
      <c r="O34" s="88" t="s">
        <v>1496</v>
      </c>
      <c r="P34" s="38">
        <v>33172</v>
      </c>
      <c r="Q34" s="38"/>
      <c r="R34" s="38"/>
      <c r="S34" s="38"/>
      <c r="T34" s="38"/>
      <c r="U34" s="17" t="s">
        <v>215</v>
      </c>
      <c r="V34" s="17" t="s">
        <v>915</v>
      </c>
      <c r="W34" s="12">
        <v>42186</v>
      </c>
      <c r="X34" s="39"/>
      <c r="Y34" s="12">
        <v>42735</v>
      </c>
      <c r="Z34" s="2"/>
      <c r="AA34" s="2" t="s">
        <v>479</v>
      </c>
      <c r="AB34" s="3" t="s">
        <v>10</v>
      </c>
      <c r="AC34" s="5">
        <v>1000</v>
      </c>
      <c r="AD34" s="5">
        <f t="shared" ref="AD34:AD39" si="33">+AC34*1.07</f>
        <v>1070</v>
      </c>
      <c r="AE34" s="5">
        <v>1170</v>
      </c>
      <c r="AF34" s="5">
        <f t="shared" si="20"/>
        <v>1310</v>
      </c>
      <c r="AG34" s="5">
        <f t="shared" si="23"/>
        <v>1310</v>
      </c>
      <c r="AH34" s="5">
        <f t="shared" si="23"/>
        <v>1310</v>
      </c>
      <c r="AI34" s="5">
        <f t="shared" ref="AI34:AJ34" si="34">+AH34</f>
        <v>1310</v>
      </c>
      <c r="AJ34" s="5">
        <f t="shared" si="34"/>
        <v>1310</v>
      </c>
      <c r="AK34" s="29" t="s">
        <v>42</v>
      </c>
      <c r="AL34" s="105" t="str">
        <f>+AK34</f>
        <v>C0</v>
      </c>
    </row>
    <row r="35" spans="1:38" s="6" customFormat="1" ht="15" customHeight="1" x14ac:dyDescent="0.2">
      <c r="A35" s="29" t="s">
        <v>824</v>
      </c>
      <c r="B35" s="29" t="s">
        <v>822</v>
      </c>
      <c r="C35" s="29" t="s">
        <v>823</v>
      </c>
      <c r="D35" s="2" t="s">
        <v>808</v>
      </c>
      <c r="E35" s="2" t="s">
        <v>20</v>
      </c>
      <c r="F35" s="3"/>
      <c r="G35" s="3"/>
      <c r="H35" s="2" t="s">
        <v>221</v>
      </c>
      <c r="I35" s="2" t="s">
        <v>235</v>
      </c>
      <c r="J35" s="28" t="s">
        <v>73</v>
      </c>
      <c r="K35" s="28" t="s">
        <v>1765</v>
      </c>
      <c r="L35" s="43" t="s">
        <v>535</v>
      </c>
      <c r="M35" s="4" t="s">
        <v>3</v>
      </c>
      <c r="N35" s="15">
        <v>32620168</v>
      </c>
      <c r="O35" s="88" t="s">
        <v>1427</v>
      </c>
      <c r="P35" s="38">
        <v>31717</v>
      </c>
      <c r="Q35" s="38"/>
      <c r="R35" s="38"/>
      <c r="S35" s="38"/>
      <c r="T35" s="38"/>
      <c r="U35" s="17" t="s">
        <v>215</v>
      </c>
      <c r="V35" s="17" t="s">
        <v>915</v>
      </c>
      <c r="W35" s="12">
        <v>42047</v>
      </c>
      <c r="X35" s="37"/>
      <c r="Y35" s="12">
        <v>42735</v>
      </c>
      <c r="Z35" s="2"/>
      <c r="AA35" s="2" t="s">
        <v>479</v>
      </c>
      <c r="AB35" s="2" t="s">
        <v>546</v>
      </c>
      <c r="AC35" s="5">
        <v>1000</v>
      </c>
      <c r="AD35" s="5">
        <f t="shared" si="33"/>
        <v>1070</v>
      </c>
      <c r="AE35" s="5">
        <v>1170</v>
      </c>
      <c r="AF35" s="5">
        <f t="shared" si="20"/>
        <v>1310</v>
      </c>
      <c r="AG35" s="5">
        <f t="shared" si="23"/>
        <v>1310</v>
      </c>
      <c r="AH35" s="5">
        <f t="shared" si="23"/>
        <v>1310</v>
      </c>
      <c r="AI35" s="5">
        <f t="shared" ref="AI35:AJ35" si="35">+AH35</f>
        <v>1310</v>
      </c>
      <c r="AJ35" s="5">
        <f t="shared" si="35"/>
        <v>1310</v>
      </c>
      <c r="AK35" s="2" t="s">
        <v>53</v>
      </c>
      <c r="AL35" s="105" t="str">
        <f>+AK35</f>
        <v>B0</v>
      </c>
    </row>
    <row r="36" spans="1:38" s="6" customFormat="1" ht="15" customHeight="1" x14ac:dyDescent="0.2">
      <c r="A36" s="29" t="s">
        <v>824</v>
      </c>
      <c r="B36" s="29" t="s">
        <v>822</v>
      </c>
      <c r="C36" s="29" t="s">
        <v>823</v>
      </c>
      <c r="D36" s="2" t="s">
        <v>808</v>
      </c>
      <c r="E36" s="2" t="s">
        <v>216</v>
      </c>
      <c r="F36" s="3"/>
      <c r="G36" s="3"/>
      <c r="H36" s="2" t="s">
        <v>225</v>
      </c>
      <c r="I36" s="2" t="s">
        <v>225</v>
      </c>
      <c r="J36" s="28" t="s">
        <v>73</v>
      </c>
      <c r="K36" s="28" t="s">
        <v>1765</v>
      </c>
      <c r="L36" s="45" t="s">
        <v>562</v>
      </c>
      <c r="M36" s="4" t="s">
        <v>3</v>
      </c>
      <c r="N36" s="15">
        <v>38297183</v>
      </c>
      <c r="O36" s="88" t="s">
        <v>1541</v>
      </c>
      <c r="P36" s="38">
        <v>34442</v>
      </c>
      <c r="Q36" s="38"/>
      <c r="R36" s="38"/>
      <c r="S36" s="38"/>
      <c r="T36" s="38"/>
      <c r="U36" s="17" t="s">
        <v>215</v>
      </c>
      <c r="V36" s="17" t="s">
        <v>915</v>
      </c>
      <c r="W36" s="12">
        <v>42114</v>
      </c>
      <c r="X36" s="37"/>
      <c r="Y36" s="12">
        <v>42735</v>
      </c>
      <c r="Z36" s="2"/>
      <c r="AA36" s="2" t="s">
        <v>479</v>
      </c>
      <c r="AB36" s="3" t="s">
        <v>10</v>
      </c>
      <c r="AC36" s="5">
        <v>1000</v>
      </c>
      <c r="AD36" s="5">
        <f t="shared" si="33"/>
        <v>1070</v>
      </c>
      <c r="AE36" s="5">
        <v>1170</v>
      </c>
      <c r="AF36" s="5">
        <f t="shared" si="20"/>
        <v>1310</v>
      </c>
      <c r="AG36" s="5">
        <f t="shared" si="23"/>
        <v>1310</v>
      </c>
      <c r="AH36" s="5">
        <f t="shared" si="23"/>
        <v>1310</v>
      </c>
      <c r="AI36" s="5">
        <f t="shared" ref="AI36:AJ36" si="36">+AH36</f>
        <v>1310</v>
      </c>
      <c r="AJ36" s="5">
        <f t="shared" si="36"/>
        <v>1310</v>
      </c>
      <c r="AK36" s="29" t="s">
        <v>42</v>
      </c>
      <c r="AL36" s="105" t="str">
        <f>+AK36</f>
        <v>C0</v>
      </c>
    </row>
    <row r="37" spans="1:38" s="6" customFormat="1" ht="15" customHeight="1" x14ac:dyDescent="0.2">
      <c r="A37" s="29" t="s">
        <v>824</v>
      </c>
      <c r="B37" s="2" t="s">
        <v>822</v>
      </c>
      <c r="C37" s="29"/>
      <c r="D37" s="2" t="s">
        <v>825</v>
      </c>
      <c r="E37" s="3" t="s">
        <v>8</v>
      </c>
      <c r="F37" s="2" t="s">
        <v>913</v>
      </c>
      <c r="G37" s="2"/>
      <c r="H37" s="2" t="s">
        <v>28</v>
      </c>
      <c r="I37" s="2" t="s">
        <v>13</v>
      </c>
      <c r="J37" s="28" t="s">
        <v>549</v>
      </c>
      <c r="K37" s="28" t="s">
        <v>549</v>
      </c>
      <c r="L37" s="41" t="s">
        <v>563</v>
      </c>
      <c r="M37" s="4" t="s">
        <v>3</v>
      </c>
      <c r="N37" s="15">
        <v>25798152</v>
      </c>
      <c r="O37" s="88">
        <v>27257981520</v>
      </c>
      <c r="P37" s="38">
        <v>28210</v>
      </c>
      <c r="Q37" s="38"/>
      <c r="R37" s="38"/>
      <c r="S37" s="38"/>
      <c r="T37" s="38"/>
      <c r="U37" s="17" t="s">
        <v>215</v>
      </c>
      <c r="V37" s="17" t="s">
        <v>915</v>
      </c>
      <c r="W37" s="12">
        <v>42248</v>
      </c>
      <c r="X37" s="12"/>
      <c r="Y37" s="12">
        <v>42735</v>
      </c>
      <c r="Z37" s="2"/>
      <c r="AA37" s="2" t="s">
        <v>479</v>
      </c>
      <c r="AB37" s="3" t="s">
        <v>10</v>
      </c>
      <c r="AC37" s="5">
        <v>1000</v>
      </c>
      <c r="AD37" s="5">
        <f t="shared" si="33"/>
        <v>1070</v>
      </c>
      <c r="AE37" s="5">
        <v>1170</v>
      </c>
      <c r="AF37" s="5">
        <f t="shared" si="20"/>
        <v>1310</v>
      </c>
      <c r="AG37" s="5">
        <f t="shared" si="23"/>
        <v>1310</v>
      </c>
      <c r="AH37" s="5">
        <f t="shared" si="23"/>
        <v>1310</v>
      </c>
      <c r="AI37" s="5">
        <f t="shared" ref="AI37:AJ37" si="37">+AH37</f>
        <v>1310</v>
      </c>
      <c r="AJ37" s="5">
        <f t="shared" si="37"/>
        <v>1310</v>
      </c>
      <c r="AK37" s="2" t="s">
        <v>1815</v>
      </c>
      <c r="AL37" s="106"/>
    </row>
    <row r="38" spans="1:38" s="6" customFormat="1" ht="15" customHeight="1" x14ac:dyDescent="0.2">
      <c r="A38" s="29" t="s">
        <v>824</v>
      </c>
      <c r="B38" s="2"/>
      <c r="C38" s="3"/>
      <c r="D38" s="2" t="s">
        <v>820</v>
      </c>
      <c r="E38" s="2" t="s">
        <v>921</v>
      </c>
      <c r="F38" s="2" t="s">
        <v>795</v>
      </c>
      <c r="G38" s="2"/>
      <c r="H38" s="2" t="s">
        <v>231</v>
      </c>
      <c r="I38" s="2" t="s">
        <v>1707</v>
      </c>
      <c r="J38" s="28" t="s">
        <v>548</v>
      </c>
      <c r="K38" s="28" t="s">
        <v>548</v>
      </c>
      <c r="L38" s="41" t="s">
        <v>564</v>
      </c>
      <c r="M38" s="4" t="s">
        <v>3</v>
      </c>
      <c r="N38" s="15">
        <v>20350366</v>
      </c>
      <c r="O38" s="88" t="s">
        <v>1193</v>
      </c>
      <c r="P38" s="38">
        <v>25017</v>
      </c>
      <c r="Q38" s="38"/>
      <c r="R38" s="38"/>
      <c r="S38" s="38"/>
      <c r="T38" s="38"/>
      <c r="U38" s="17" t="s">
        <v>215</v>
      </c>
      <c r="V38" s="17" t="s">
        <v>915</v>
      </c>
      <c r="W38" s="12">
        <v>41764</v>
      </c>
      <c r="X38" s="12"/>
      <c r="Y38" s="12">
        <v>42735</v>
      </c>
      <c r="Z38" s="2"/>
      <c r="AA38" s="2" t="s">
        <v>479</v>
      </c>
      <c r="AB38" s="7" t="s">
        <v>787</v>
      </c>
      <c r="AC38" s="5">
        <v>1000</v>
      </c>
      <c r="AD38" s="5">
        <f t="shared" si="33"/>
        <v>1070</v>
      </c>
      <c r="AE38" s="5">
        <v>1170</v>
      </c>
      <c r="AF38" s="5">
        <f t="shared" si="20"/>
        <v>1310</v>
      </c>
      <c r="AG38" s="5">
        <f t="shared" si="23"/>
        <v>1310</v>
      </c>
      <c r="AH38" s="5">
        <f t="shared" si="23"/>
        <v>1310</v>
      </c>
      <c r="AI38" s="5">
        <f t="shared" ref="AI38:AJ38" si="38">+AH38</f>
        <v>1310</v>
      </c>
      <c r="AJ38" s="5">
        <f t="shared" si="38"/>
        <v>1310</v>
      </c>
      <c r="AK38" s="29" t="s">
        <v>42</v>
      </c>
      <c r="AL38" s="105" t="str">
        <f>+AK38</f>
        <v>C0</v>
      </c>
    </row>
    <row r="39" spans="1:38" s="6" customFormat="1" ht="15" customHeight="1" x14ac:dyDescent="0.2">
      <c r="A39" s="29" t="s">
        <v>824</v>
      </c>
      <c r="B39" s="29"/>
      <c r="C39" s="3"/>
      <c r="D39" s="2" t="s">
        <v>820</v>
      </c>
      <c r="E39" s="2" t="s">
        <v>837</v>
      </c>
      <c r="F39" s="2"/>
      <c r="G39" s="2"/>
      <c r="H39" s="2" t="s">
        <v>14</v>
      </c>
      <c r="I39" s="2" t="s">
        <v>1758</v>
      </c>
      <c r="J39" s="33"/>
      <c r="K39" s="97" t="s">
        <v>1765</v>
      </c>
      <c r="L39" s="44" t="s">
        <v>565</v>
      </c>
      <c r="M39" s="3" t="s">
        <v>3</v>
      </c>
      <c r="N39" s="15">
        <v>35356196</v>
      </c>
      <c r="O39" s="88" t="s">
        <v>1494</v>
      </c>
      <c r="P39" s="38">
        <v>33185</v>
      </c>
      <c r="Q39" s="38"/>
      <c r="R39" s="38"/>
      <c r="S39" s="38"/>
      <c r="T39" s="38"/>
      <c r="U39" s="17" t="s">
        <v>215</v>
      </c>
      <c r="V39" s="17" t="s">
        <v>915</v>
      </c>
      <c r="W39" s="12">
        <v>42248</v>
      </c>
      <c r="X39" s="39"/>
      <c r="Y39" s="12">
        <v>42735</v>
      </c>
      <c r="Z39" s="2"/>
      <c r="AA39" s="2" t="s">
        <v>479</v>
      </c>
      <c r="AB39" s="7" t="s">
        <v>784</v>
      </c>
      <c r="AC39" s="5">
        <v>1000</v>
      </c>
      <c r="AD39" s="5">
        <f t="shared" si="33"/>
        <v>1070</v>
      </c>
      <c r="AE39" s="5">
        <v>1170</v>
      </c>
      <c r="AF39" s="5">
        <f t="shared" si="20"/>
        <v>1310</v>
      </c>
      <c r="AG39" s="5">
        <f t="shared" si="23"/>
        <v>1310</v>
      </c>
      <c r="AH39" s="5">
        <f t="shared" si="23"/>
        <v>1310</v>
      </c>
      <c r="AI39" s="5">
        <f t="shared" ref="AI39:AJ39" si="39">+AH39</f>
        <v>1310</v>
      </c>
      <c r="AJ39" s="5">
        <f t="shared" si="39"/>
        <v>1310</v>
      </c>
      <c r="AK39" s="29" t="s">
        <v>42</v>
      </c>
      <c r="AL39" s="105" t="str">
        <f>+AK39</f>
        <v>C0</v>
      </c>
    </row>
    <row r="40" spans="1:38" s="6" customFormat="1" ht="15" customHeight="1" x14ac:dyDescent="0.2">
      <c r="A40" s="29" t="s">
        <v>824</v>
      </c>
      <c r="B40" s="29"/>
      <c r="C40" s="3"/>
      <c r="D40" s="2" t="s">
        <v>820</v>
      </c>
      <c r="E40" s="2" t="s">
        <v>921</v>
      </c>
      <c r="F40" s="2" t="s">
        <v>795</v>
      </c>
      <c r="G40" s="2"/>
      <c r="H40" s="2" t="s">
        <v>920</v>
      </c>
      <c r="I40" s="3"/>
      <c r="J40" s="28" t="s">
        <v>548</v>
      </c>
      <c r="K40" s="28"/>
      <c r="L40" s="41" t="s">
        <v>566</v>
      </c>
      <c r="M40" s="4" t="s">
        <v>3</v>
      </c>
      <c r="N40" s="15">
        <v>27216534</v>
      </c>
      <c r="O40" s="88">
        <v>20272165344</v>
      </c>
      <c r="P40" s="61"/>
      <c r="Q40" s="61"/>
      <c r="R40" s="61"/>
      <c r="S40" s="61"/>
      <c r="T40" s="61"/>
      <c r="U40" s="16" t="s">
        <v>796</v>
      </c>
      <c r="V40" s="16" t="s">
        <v>916</v>
      </c>
      <c r="W40" s="12">
        <v>41913</v>
      </c>
      <c r="X40" s="12">
        <v>42460</v>
      </c>
      <c r="Y40" s="12">
        <v>42735</v>
      </c>
      <c r="Z40" s="2" t="s">
        <v>33</v>
      </c>
      <c r="AA40" s="2"/>
      <c r="AB40" s="3"/>
      <c r="AC40" s="5">
        <v>1000</v>
      </c>
      <c r="AD40" s="5"/>
      <c r="AE40" s="5">
        <v>1170</v>
      </c>
      <c r="AF40" s="5">
        <f t="shared" si="20"/>
        <v>1310</v>
      </c>
      <c r="AG40" s="5">
        <f t="shared" si="23"/>
        <v>1310</v>
      </c>
      <c r="AH40" s="5">
        <f t="shared" si="23"/>
        <v>1310</v>
      </c>
      <c r="AI40" s="5">
        <f t="shared" ref="AI40:AJ40" si="40">+AH40</f>
        <v>1310</v>
      </c>
      <c r="AJ40" s="5">
        <f t="shared" si="40"/>
        <v>1310</v>
      </c>
      <c r="AK40" s="2"/>
      <c r="AL40" s="105" t="str">
        <f>+Z40</f>
        <v>A1</v>
      </c>
    </row>
    <row r="41" spans="1:38" s="6" customFormat="1" ht="15" customHeight="1" x14ac:dyDescent="0.2">
      <c r="A41" s="29" t="s">
        <v>824</v>
      </c>
      <c r="B41" s="29" t="s">
        <v>822</v>
      </c>
      <c r="C41" s="29" t="s">
        <v>823</v>
      </c>
      <c r="D41" s="2" t="s">
        <v>800</v>
      </c>
      <c r="E41" s="2" t="s">
        <v>482</v>
      </c>
      <c r="F41" s="2"/>
      <c r="G41" s="2"/>
      <c r="H41" s="2" t="s">
        <v>1709</v>
      </c>
      <c r="I41" s="3" t="s">
        <v>1717</v>
      </c>
      <c r="J41" s="28" t="s">
        <v>254</v>
      </c>
      <c r="K41" s="28" t="s">
        <v>1767</v>
      </c>
      <c r="L41" s="42" t="s">
        <v>265</v>
      </c>
      <c r="M41" s="4" t="s">
        <v>3</v>
      </c>
      <c r="N41" s="15">
        <v>32125095</v>
      </c>
      <c r="O41" s="88" t="s">
        <v>1408</v>
      </c>
      <c r="P41" s="38">
        <v>31420</v>
      </c>
      <c r="Q41" s="38"/>
      <c r="R41" s="38"/>
      <c r="S41" s="38"/>
      <c r="T41" s="38"/>
      <c r="U41" s="17" t="s">
        <v>215</v>
      </c>
      <c r="V41" s="17" t="s">
        <v>915</v>
      </c>
      <c r="W41" s="12">
        <v>41852</v>
      </c>
      <c r="X41" s="20"/>
      <c r="Y41" s="12">
        <v>42735</v>
      </c>
      <c r="Z41" s="2"/>
      <c r="AA41" s="2" t="s">
        <v>479</v>
      </c>
      <c r="AB41" s="24" t="s">
        <v>479</v>
      </c>
      <c r="AC41" s="5">
        <v>1000</v>
      </c>
      <c r="AD41" s="5">
        <v>1070</v>
      </c>
      <c r="AE41" s="5">
        <v>1170</v>
      </c>
      <c r="AF41" s="5">
        <f t="shared" si="20"/>
        <v>1310</v>
      </c>
      <c r="AG41" s="5">
        <f t="shared" si="23"/>
        <v>1310</v>
      </c>
      <c r="AH41" s="5">
        <f t="shared" si="23"/>
        <v>1310</v>
      </c>
      <c r="AI41" s="5">
        <f t="shared" ref="AI41:AJ41" si="41">+AH41</f>
        <v>1310</v>
      </c>
      <c r="AJ41" s="5">
        <f t="shared" si="41"/>
        <v>1310</v>
      </c>
      <c r="AK41" s="29" t="s">
        <v>42</v>
      </c>
      <c r="AL41" s="105" t="str">
        <f>+AK41</f>
        <v>C0</v>
      </c>
    </row>
    <row r="42" spans="1:38" s="6" customFormat="1" ht="15" customHeight="1" x14ac:dyDescent="0.2">
      <c r="A42" s="29" t="s">
        <v>824</v>
      </c>
      <c r="B42" s="29" t="s">
        <v>822</v>
      </c>
      <c r="C42" s="29" t="s">
        <v>823</v>
      </c>
      <c r="D42" s="2" t="s">
        <v>800</v>
      </c>
      <c r="E42" s="7" t="s">
        <v>501</v>
      </c>
      <c r="F42" s="7"/>
      <c r="G42" s="7"/>
      <c r="H42" s="8"/>
      <c r="I42" s="3"/>
      <c r="J42" s="28" t="s">
        <v>254</v>
      </c>
      <c r="K42" s="28"/>
      <c r="L42" s="42" t="s">
        <v>436</v>
      </c>
      <c r="M42" s="4" t="s">
        <v>3</v>
      </c>
      <c r="N42" s="15">
        <v>32484527</v>
      </c>
      <c r="O42" s="88">
        <v>20324845276</v>
      </c>
      <c r="P42" s="38"/>
      <c r="Q42" s="38"/>
      <c r="R42" s="38"/>
      <c r="S42" s="38"/>
      <c r="T42" s="38"/>
      <c r="U42" s="16" t="s">
        <v>796</v>
      </c>
      <c r="V42" s="16" t="s">
        <v>916</v>
      </c>
      <c r="W42" s="12">
        <v>41030</v>
      </c>
      <c r="X42" s="48">
        <v>42735</v>
      </c>
      <c r="Y42" s="12">
        <v>42735</v>
      </c>
      <c r="Z42" s="2" t="s">
        <v>42</v>
      </c>
      <c r="AA42" s="2"/>
      <c r="AB42" s="18"/>
      <c r="AC42" s="5">
        <v>1000</v>
      </c>
      <c r="AD42" s="5"/>
      <c r="AE42" s="5">
        <v>1170</v>
      </c>
      <c r="AF42" s="5">
        <f t="shared" si="20"/>
        <v>1310</v>
      </c>
      <c r="AG42" s="5">
        <f t="shared" si="23"/>
        <v>1310</v>
      </c>
      <c r="AH42" s="5">
        <f t="shared" si="23"/>
        <v>1310</v>
      </c>
      <c r="AI42" s="5">
        <f t="shared" ref="AI42:AJ42" si="42">+AH42</f>
        <v>1310</v>
      </c>
      <c r="AJ42" s="5">
        <f t="shared" si="42"/>
        <v>1310</v>
      </c>
      <c r="AK42" s="2"/>
      <c r="AL42" s="105" t="str">
        <f>+Z42</f>
        <v>C0</v>
      </c>
    </row>
    <row r="43" spans="1:38" s="6" customFormat="1" ht="15" customHeight="1" x14ac:dyDescent="0.2">
      <c r="A43" s="29" t="s">
        <v>824</v>
      </c>
      <c r="B43" s="29"/>
      <c r="C43" s="2"/>
      <c r="D43" s="2" t="s">
        <v>820</v>
      </c>
      <c r="E43" s="2" t="s">
        <v>837</v>
      </c>
      <c r="F43" s="2"/>
      <c r="G43" s="2"/>
      <c r="H43" s="2" t="s">
        <v>14</v>
      </c>
      <c r="I43" s="3"/>
      <c r="J43" s="33"/>
      <c r="K43" s="33"/>
      <c r="L43" s="44" t="s">
        <v>567</v>
      </c>
      <c r="M43" s="4" t="s">
        <v>3</v>
      </c>
      <c r="N43" s="15">
        <v>26111281</v>
      </c>
      <c r="O43" s="88">
        <v>20261112818</v>
      </c>
      <c r="P43" s="61"/>
      <c r="Q43" s="61"/>
      <c r="R43" s="61"/>
      <c r="S43" s="61"/>
      <c r="T43" s="61"/>
      <c r="U43" s="16" t="s">
        <v>796</v>
      </c>
      <c r="V43" s="16" t="s">
        <v>916</v>
      </c>
      <c r="W43" s="12">
        <v>41244</v>
      </c>
      <c r="X43" s="48">
        <v>42735</v>
      </c>
      <c r="Y43" s="12">
        <v>42735</v>
      </c>
      <c r="Z43" s="2" t="s">
        <v>33</v>
      </c>
      <c r="AA43" s="2"/>
      <c r="AB43" s="3"/>
      <c r="AC43" s="5">
        <v>1000</v>
      </c>
      <c r="AD43" s="5"/>
      <c r="AE43" s="5">
        <v>1170</v>
      </c>
      <c r="AF43" s="5">
        <f t="shared" si="20"/>
        <v>1310</v>
      </c>
      <c r="AG43" s="5">
        <f t="shared" si="23"/>
        <v>1310</v>
      </c>
      <c r="AH43" s="5">
        <f t="shared" si="23"/>
        <v>1310</v>
      </c>
      <c r="AI43" s="5">
        <f t="shared" ref="AI43:AJ43" si="43">+AH43</f>
        <v>1310</v>
      </c>
      <c r="AJ43" s="5">
        <f t="shared" si="43"/>
        <v>1310</v>
      </c>
      <c r="AK43" s="2"/>
      <c r="AL43" s="105" t="str">
        <f>+Z43</f>
        <v>A1</v>
      </c>
    </row>
    <row r="44" spans="1:38" s="6" customFormat="1" ht="15" customHeight="1" x14ac:dyDescent="0.2">
      <c r="A44" s="29" t="s">
        <v>824</v>
      </c>
      <c r="B44" s="2" t="s">
        <v>822</v>
      </c>
      <c r="C44" s="29" t="s">
        <v>823</v>
      </c>
      <c r="D44" s="2" t="s">
        <v>808</v>
      </c>
      <c r="E44" s="2" t="s">
        <v>216</v>
      </c>
      <c r="F44" s="2" t="s">
        <v>503</v>
      </c>
      <c r="G44" s="2"/>
      <c r="H44" s="2"/>
      <c r="I44" s="2" t="s">
        <v>225</v>
      </c>
      <c r="J44" s="28"/>
      <c r="K44" s="28" t="s">
        <v>1765</v>
      </c>
      <c r="L44" s="44" t="s">
        <v>1126</v>
      </c>
      <c r="M44" s="7" t="s">
        <v>3</v>
      </c>
      <c r="N44" s="15">
        <v>35365200</v>
      </c>
      <c r="O44" s="88">
        <v>27353652007</v>
      </c>
      <c r="P44" s="38">
        <v>33170</v>
      </c>
      <c r="Q44" s="38"/>
      <c r="R44" s="38"/>
      <c r="S44" s="38"/>
      <c r="T44" s="38"/>
      <c r="U44" s="17" t="s">
        <v>215</v>
      </c>
      <c r="V44" s="17" t="s">
        <v>915</v>
      </c>
      <c r="W44" s="12">
        <v>42522</v>
      </c>
      <c r="X44" s="13"/>
      <c r="Y44" s="12">
        <v>42735</v>
      </c>
      <c r="Z44" s="2"/>
      <c r="AA44" s="2" t="s">
        <v>479</v>
      </c>
      <c r="AB44" s="7"/>
      <c r="AC44" s="5"/>
      <c r="AD44" s="5">
        <v>1070</v>
      </c>
      <c r="AE44" s="5">
        <v>1170</v>
      </c>
      <c r="AF44" s="5">
        <f t="shared" si="20"/>
        <v>0</v>
      </c>
      <c r="AG44" s="5">
        <f t="shared" si="23"/>
        <v>0</v>
      </c>
      <c r="AH44" s="5">
        <f t="shared" si="23"/>
        <v>0</v>
      </c>
      <c r="AI44" s="5">
        <f t="shared" ref="AI44:AJ44" si="44">+AH44</f>
        <v>0</v>
      </c>
      <c r="AJ44" s="5">
        <f t="shared" si="44"/>
        <v>0</v>
      </c>
      <c r="AK44" s="2" t="s">
        <v>42</v>
      </c>
      <c r="AL44" s="105" t="str">
        <f>+AK44</f>
        <v>C0</v>
      </c>
    </row>
    <row r="45" spans="1:38" s="6" customFormat="1" ht="15" customHeight="1" x14ac:dyDescent="0.2">
      <c r="A45" s="29" t="s">
        <v>824</v>
      </c>
      <c r="B45" s="29" t="s">
        <v>822</v>
      </c>
      <c r="C45" s="29" t="s">
        <v>823</v>
      </c>
      <c r="D45" s="2" t="s">
        <v>800</v>
      </c>
      <c r="E45" s="7" t="s">
        <v>499</v>
      </c>
      <c r="F45" s="7"/>
      <c r="G45" s="7"/>
      <c r="H45" s="8"/>
      <c r="I45" s="3" t="s">
        <v>1718</v>
      </c>
      <c r="J45" s="28" t="s">
        <v>254</v>
      </c>
      <c r="K45" s="28" t="s">
        <v>1767</v>
      </c>
      <c r="L45" s="42" t="s">
        <v>404</v>
      </c>
      <c r="M45" s="4" t="s">
        <v>3</v>
      </c>
      <c r="N45" s="15">
        <v>36536305</v>
      </c>
      <c r="O45" s="88" t="s">
        <v>1512</v>
      </c>
      <c r="P45" s="38">
        <v>33456</v>
      </c>
      <c r="Q45" s="38"/>
      <c r="R45" s="38"/>
      <c r="S45" s="38"/>
      <c r="T45" s="38"/>
      <c r="U45" s="17" t="s">
        <v>215</v>
      </c>
      <c r="V45" s="17" t="s">
        <v>915</v>
      </c>
      <c r="W45" s="12">
        <v>41730</v>
      </c>
      <c r="X45" s="20"/>
      <c r="Y45" s="12">
        <v>42735</v>
      </c>
      <c r="Z45" s="2"/>
      <c r="AA45" s="2" t="s">
        <v>479</v>
      </c>
      <c r="AB45" s="24" t="s">
        <v>479</v>
      </c>
      <c r="AC45" s="5">
        <v>1000</v>
      </c>
      <c r="AD45" s="5">
        <v>1070</v>
      </c>
      <c r="AE45" s="5">
        <v>1170</v>
      </c>
      <c r="AF45" s="5">
        <f t="shared" si="20"/>
        <v>1310</v>
      </c>
      <c r="AG45" s="5">
        <f t="shared" si="23"/>
        <v>1310</v>
      </c>
      <c r="AH45" s="5">
        <f t="shared" si="23"/>
        <v>1310</v>
      </c>
      <c r="AI45" s="5">
        <f t="shared" ref="AI45:AJ45" si="45">+AH45</f>
        <v>1310</v>
      </c>
      <c r="AJ45" s="5">
        <f t="shared" si="45"/>
        <v>1310</v>
      </c>
      <c r="AK45" s="29" t="s">
        <v>42</v>
      </c>
      <c r="AL45" s="105" t="str">
        <f>+AK45</f>
        <v>C0</v>
      </c>
    </row>
    <row r="46" spans="1:38" s="6" customFormat="1" ht="15" customHeight="1" x14ac:dyDescent="0.2">
      <c r="A46" s="29" t="s">
        <v>824</v>
      </c>
      <c r="B46" s="29" t="s">
        <v>822</v>
      </c>
      <c r="C46" s="29" t="s">
        <v>823</v>
      </c>
      <c r="D46" s="2" t="s">
        <v>800</v>
      </c>
      <c r="E46" s="2" t="s">
        <v>487</v>
      </c>
      <c r="F46" s="2"/>
      <c r="G46" s="2"/>
      <c r="H46" s="2" t="s">
        <v>1711</v>
      </c>
      <c r="I46" s="3" t="s">
        <v>1713</v>
      </c>
      <c r="J46" s="28" t="s">
        <v>254</v>
      </c>
      <c r="K46" s="28" t="s">
        <v>1767</v>
      </c>
      <c r="L46" s="42" t="s">
        <v>322</v>
      </c>
      <c r="M46" s="4" t="s">
        <v>3</v>
      </c>
      <c r="N46" s="15">
        <v>18641336</v>
      </c>
      <c r="O46" s="88" t="s">
        <v>1185</v>
      </c>
      <c r="P46" s="38">
        <v>24826</v>
      </c>
      <c r="Q46" s="38"/>
      <c r="R46" s="38"/>
      <c r="S46" s="38"/>
      <c r="T46" s="38"/>
      <c r="U46" s="17" t="s">
        <v>215</v>
      </c>
      <c r="V46" s="17" t="s">
        <v>915</v>
      </c>
      <c r="W46" s="12">
        <v>41091</v>
      </c>
      <c r="X46" s="20"/>
      <c r="Y46" s="12">
        <v>42735</v>
      </c>
      <c r="Z46" s="2"/>
      <c r="AA46" s="2" t="s">
        <v>479</v>
      </c>
      <c r="AB46" s="24" t="s">
        <v>479</v>
      </c>
      <c r="AC46" s="5">
        <v>1000</v>
      </c>
      <c r="AD46" s="5">
        <v>1070</v>
      </c>
      <c r="AE46" s="5">
        <v>1170</v>
      </c>
      <c r="AF46" s="5">
        <f t="shared" si="20"/>
        <v>1310</v>
      </c>
      <c r="AG46" s="5">
        <f t="shared" si="23"/>
        <v>1310</v>
      </c>
      <c r="AH46" s="5">
        <f t="shared" si="23"/>
        <v>1310</v>
      </c>
      <c r="AI46" s="5">
        <f t="shared" ref="AI46:AJ46" si="46">+AH46</f>
        <v>1310</v>
      </c>
      <c r="AJ46" s="5">
        <f t="shared" si="46"/>
        <v>1310</v>
      </c>
      <c r="AK46" s="29" t="s">
        <v>42</v>
      </c>
      <c r="AL46" s="105" t="str">
        <f>+AK46</f>
        <v>C0</v>
      </c>
    </row>
    <row r="47" spans="1:38" s="6" customFormat="1" ht="15" customHeight="1" x14ac:dyDescent="0.2">
      <c r="A47" s="29" t="s">
        <v>824</v>
      </c>
      <c r="B47" s="2" t="s">
        <v>822</v>
      </c>
      <c r="C47" s="29" t="s">
        <v>823</v>
      </c>
      <c r="D47" s="2" t="s">
        <v>808</v>
      </c>
      <c r="E47" s="2" t="s">
        <v>20</v>
      </c>
      <c r="F47" s="2"/>
      <c r="G47" s="2"/>
      <c r="H47" s="3"/>
      <c r="I47" s="2" t="s">
        <v>235</v>
      </c>
      <c r="J47" s="28"/>
      <c r="K47" s="28" t="s">
        <v>1765</v>
      </c>
      <c r="L47" s="42" t="s">
        <v>1088</v>
      </c>
      <c r="M47" s="7" t="s">
        <v>3</v>
      </c>
      <c r="N47" s="15">
        <v>22533153</v>
      </c>
      <c r="O47" s="88" t="s">
        <v>1208</v>
      </c>
      <c r="P47" s="38">
        <v>26263</v>
      </c>
      <c r="Q47" s="38"/>
      <c r="R47" s="38"/>
      <c r="S47" s="38"/>
      <c r="T47" s="38"/>
      <c r="U47" s="17" t="s">
        <v>215</v>
      </c>
      <c r="V47" s="17" t="s">
        <v>915</v>
      </c>
      <c r="W47" s="12">
        <v>42522</v>
      </c>
      <c r="X47" s="19"/>
      <c r="Y47" s="12">
        <v>42735</v>
      </c>
      <c r="Z47" s="2"/>
      <c r="AA47" s="2" t="s">
        <v>479</v>
      </c>
      <c r="AB47" s="2"/>
      <c r="AC47" s="5"/>
      <c r="AD47" s="5">
        <v>1070</v>
      </c>
      <c r="AE47" s="5">
        <v>1170</v>
      </c>
      <c r="AF47" s="5">
        <f t="shared" si="20"/>
        <v>0</v>
      </c>
      <c r="AG47" s="5">
        <f t="shared" si="23"/>
        <v>0</v>
      </c>
      <c r="AH47" s="5">
        <f t="shared" si="23"/>
        <v>0</v>
      </c>
      <c r="AI47" s="5">
        <f t="shared" ref="AI47:AJ47" si="47">+AH47</f>
        <v>0</v>
      </c>
      <c r="AJ47" s="5">
        <f t="shared" si="47"/>
        <v>0</v>
      </c>
      <c r="AK47" s="2" t="s">
        <v>53</v>
      </c>
      <c r="AL47" s="105" t="str">
        <f>+AK47</f>
        <v>B0</v>
      </c>
    </row>
    <row r="48" spans="1:38" s="6" customFormat="1" ht="15" customHeight="1" x14ac:dyDescent="0.2">
      <c r="A48" s="29" t="s">
        <v>824</v>
      </c>
      <c r="B48" s="29" t="s">
        <v>822</v>
      </c>
      <c r="C48" s="29" t="s">
        <v>823</v>
      </c>
      <c r="D48" s="2" t="s">
        <v>808</v>
      </c>
      <c r="E48" s="2" t="s">
        <v>20</v>
      </c>
      <c r="F48" s="3"/>
      <c r="G48" s="3"/>
      <c r="H48" s="2" t="s">
        <v>226</v>
      </c>
      <c r="I48" s="3"/>
      <c r="J48" s="28" t="s">
        <v>73</v>
      </c>
      <c r="K48" s="28"/>
      <c r="L48" s="42" t="s">
        <v>82</v>
      </c>
      <c r="M48" s="4" t="s">
        <v>3</v>
      </c>
      <c r="N48" s="15">
        <v>20602318</v>
      </c>
      <c r="O48" s="88">
        <v>27206023185</v>
      </c>
      <c r="P48" s="38"/>
      <c r="Q48" s="38"/>
      <c r="R48" s="38"/>
      <c r="S48" s="38"/>
      <c r="T48" s="38"/>
      <c r="U48" s="16" t="s">
        <v>796</v>
      </c>
      <c r="V48" s="16" t="s">
        <v>916</v>
      </c>
      <c r="W48" s="12">
        <v>40695</v>
      </c>
      <c r="X48" s="48">
        <v>42735</v>
      </c>
      <c r="Y48" s="12">
        <v>42735</v>
      </c>
      <c r="Z48" s="2" t="s">
        <v>43</v>
      </c>
      <c r="AA48" s="2"/>
      <c r="AB48" s="14"/>
      <c r="AC48" s="5">
        <v>1000</v>
      </c>
      <c r="AD48" s="5"/>
      <c r="AE48" s="5">
        <v>1170</v>
      </c>
      <c r="AF48" s="5">
        <f t="shared" si="20"/>
        <v>1310</v>
      </c>
      <c r="AG48" s="5">
        <f t="shared" si="23"/>
        <v>1310</v>
      </c>
      <c r="AH48" s="5">
        <f t="shared" si="23"/>
        <v>1310</v>
      </c>
      <c r="AI48" s="5">
        <f t="shared" ref="AI48:AJ48" si="48">+AH48</f>
        <v>1310</v>
      </c>
      <c r="AJ48" s="5">
        <f t="shared" si="48"/>
        <v>1310</v>
      </c>
      <c r="AK48" s="2"/>
      <c r="AL48" s="105" t="str">
        <f>+Z48</f>
        <v>A0</v>
      </c>
    </row>
    <row r="49" spans="1:38" s="6" customFormat="1" ht="15" customHeight="1" x14ac:dyDescent="0.2">
      <c r="A49" s="29" t="s">
        <v>824</v>
      </c>
      <c r="B49" s="2" t="s">
        <v>822</v>
      </c>
      <c r="C49" s="3"/>
      <c r="D49" s="2" t="s">
        <v>825</v>
      </c>
      <c r="E49" s="3" t="s">
        <v>18</v>
      </c>
      <c r="F49" s="2" t="s">
        <v>19</v>
      </c>
      <c r="G49" s="2"/>
      <c r="H49" s="2" t="s">
        <v>35</v>
      </c>
      <c r="I49" s="2" t="s">
        <v>1707</v>
      </c>
      <c r="J49" s="28" t="s">
        <v>548</v>
      </c>
      <c r="K49" s="28" t="s">
        <v>548</v>
      </c>
      <c r="L49" s="44" t="s">
        <v>568</v>
      </c>
      <c r="M49" s="4" t="s">
        <v>3</v>
      </c>
      <c r="N49" s="15">
        <v>29599892</v>
      </c>
      <c r="O49" s="88" t="s">
        <v>1353</v>
      </c>
      <c r="P49" s="38">
        <v>30197</v>
      </c>
      <c r="Q49" s="38"/>
      <c r="R49" s="38"/>
      <c r="S49" s="38"/>
      <c r="T49" s="38"/>
      <c r="U49" s="17" t="s">
        <v>215</v>
      </c>
      <c r="V49" s="17" t="s">
        <v>915</v>
      </c>
      <c r="W49" s="12">
        <v>42217</v>
      </c>
      <c r="X49" s="12"/>
      <c r="Y49" s="12">
        <v>42735</v>
      </c>
      <c r="Z49" s="2"/>
      <c r="AA49" s="2" t="s">
        <v>479</v>
      </c>
      <c r="AB49" s="7" t="s">
        <v>787</v>
      </c>
      <c r="AC49" s="5">
        <v>1000</v>
      </c>
      <c r="AD49" s="5">
        <f>+AC49</f>
        <v>1000</v>
      </c>
      <c r="AE49" s="5">
        <v>1170</v>
      </c>
      <c r="AF49" s="5">
        <f t="shared" si="20"/>
        <v>1310</v>
      </c>
      <c r="AG49" s="5">
        <f t="shared" si="23"/>
        <v>1310</v>
      </c>
      <c r="AH49" s="5">
        <f t="shared" si="23"/>
        <v>1310</v>
      </c>
      <c r="AI49" s="5">
        <f t="shared" ref="AI49:AJ49" si="49">+AH49</f>
        <v>1310</v>
      </c>
      <c r="AJ49" s="5">
        <f t="shared" si="49"/>
        <v>1310</v>
      </c>
      <c r="AK49" s="2"/>
      <c r="AL49" s="106"/>
    </row>
    <row r="50" spans="1:38" s="6" customFormat="1" ht="15" customHeight="1" x14ac:dyDescent="0.2">
      <c r="A50" s="29" t="s">
        <v>824</v>
      </c>
      <c r="B50" s="2" t="s">
        <v>822</v>
      </c>
      <c r="C50" s="3"/>
      <c r="D50" s="2" t="s">
        <v>825</v>
      </c>
      <c r="E50" s="3" t="s">
        <v>18</v>
      </c>
      <c r="F50" s="2" t="s">
        <v>19</v>
      </c>
      <c r="G50" s="2"/>
      <c r="H50" s="2" t="s">
        <v>20</v>
      </c>
      <c r="I50" s="2" t="s">
        <v>1760</v>
      </c>
      <c r="J50" s="28" t="s">
        <v>548</v>
      </c>
      <c r="K50" s="28" t="s">
        <v>548</v>
      </c>
      <c r="L50" s="44" t="s">
        <v>973</v>
      </c>
      <c r="M50" s="7" t="s">
        <v>3</v>
      </c>
      <c r="N50" s="47">
        <v>32321098</v>
      </c>
      <c r="O50" s="88" t="s">
        <v>1415</v>
      </c>
      <c r="P50" s="38">
        <v>31542</v>
      </c>
      <c r="Q50" s="38"/>
      <c r="R50" s="38"/>
      <c r="S50" s="38"/>
      <c r="T50" s="38"/>
      <c r="U50" s="17" t="s">
        <v>215</v>
      </c>
      <c r="V50" s="17" t="s">
        <v>915</v>
      </c>
      <c r="W50" s="12">
        <v>41122</v>
      </c>
      <c r="X50" s="12"/>
      <c r="Y50" s="12">
        <v>42735</v>
      </c>
      <c r="Z50" s="2"/>
      <c r="AA50" s="2" t="s">
        <v>479</v>
      </c>
      <c r="AB50" s="7"/>
      <c r="AC50" s="5">
        <v>1000</v>
      </c>
      <c r="AD50" s="5">
        <f>+AC50</f>
        <v>1000</v>
      </c>
      <c r="AE50" s="5">
        <v>1170</v>
      </c>
      <c r="AF50" s="5">
        <f t="shared" si="20"/>
        <v>1310</v>
      </c>
      <c r="AG50" s="5">
        <f t="shared" si="23"/>
        <v>1310</v>
      </c>
      <c r="AH50" s="5">
        <f t="shared" si="23"/>
        <v>1310</v>
      </c>
      <c r="AI50" s="5">
        <f t="shared" ref="AI50:AJ50" si="50">+AH50</f>
        <v>1310</v>
      </c>
      <c r="AJ50" s="5">
        <f t="shared" si="50"/>
        <v>1310</v>
      </c>
      <c r="AK50" s="2"/>
      <c r="AL50" s="106"/>
    </row>
    <row r="51" spans="1:38" s="6" customFormat="1" ht="15" customHeight="1" x14ac:dyDescent="0.2">
      <c r="A51" s="29" t="s">
        <v>824</v>
      </c>
      <c r="B51" s="2" t="s">
        <v>822</v>
      </c>
      <c r="C51" s="3"/>
      <c r="D51" s="2" t="s">
        <v>825</v>
      </c>
      <c r="E51" s="3" t="s">
        <v>18</v>
      </c>
      <c r="F51" s="2" t="s">
        <v>19</v>
      </c>
      <c r="G51" s="2"/>
      <c r="H51" s="2" t="s">
        <v>36</v>
      </c>
      <c r="I51" s="2" t="s">
        <v>1707</v>
      </c>
      <c r="J51" s="28" t="s">
        <v>548</v>
      </c>
      <c r="K51" s="28" t="s">
        <v>548</v>
      </c>
      <c r="L51" s="44" t="s">
        <v>569</v>
      </c>
      <c r="M51" s="4" t="s">
        <v>3</v>
      </c>
      <c r="N51" s="15">
        <v>34801157</v>
      </c>
      <c r="O51" s="88" t="s">
        <v>1483</v>
      </c>
      <c r="P51" s="38">
        <v>32789</v>
      </c>
      <c r="Q51" s="38"/>
      <c r="R51" s="38"/>
      <c r="S51" s="38"/>
      <c r="T51" s="38"/>
      <c r="U51" s="17" t="s">
        <v>215</v>
      </c>
      <c r="V51" s="17" t="s">
        <v>915</v>
      </c>
      <c r="W51" s="12">
        <v>41334</v>
      </c>
      <c r="X51" s="12"/>
      <c r="Y51" s="12">
        <v>42735</v>
      </c>
      <c r="Z51" s="2"/>
      <c r="AA51" s="2" t="s">
        <v>479</v>
      </c>
      <c r="AB51" s="7" t="s">
        <v>787</v>
      </c>
      <c r="AC51" s="5">
        <v>1000</v>
      </c>
      <c r="AD51" s="5">
        <f>+AC51</f>
        <v>1000</v>
      </c>
      <c r="AE51" s="5">
        <v>1170</v>
      </c>
      <c r="AF51" s="5">
        <f t="shared" si="20"/>
        <v>1310</v>
      </c>
      <c r="AG51" s="5">
        <f t="shared" si="23"/>
        <v>1310</v>
      </c>
      <c r="AH51" s="5">
        <f t="shared" si="23"/>
        <v>1310</v>
      </c>
      <c r="AI51" s="5">
        <f t="shared" ref="AI51:AJ51" si="51">+AH51</f>
        <v>1310</v>
      </c>
      <c r="AJ51" s="5">
        <f t="shared" si="51"/>
        <v>1310</v>
      </c>
      <c r="AK51" s="2"/>
      <c r="AL51" s="106"/>
    </row>
    <row r="52" spans="1:38" s="6" customFormat="1" ht="15" customHeight="1" x14ac:dyDescent="0.2">
      <c r="A52" s="29" t="s">
        <v>824</v>
      </c>
      <c r="B52" s="2" t="s">
        <v>822</v>
      </c>
      <c r="C52" s="3"/>
      <c r="D52" s="2" t="s">
        <v>825</v>
      </c>
      <c r="E52" s="3" t="s">
        <v>18</v>
      </c>
      <c r="F52" s="2" t="s">
        <v>19</v>
      </c>
      <c r="G52" s="2"/>
      <c r="H52" s="2" t="s">
        <v>37</v>
      </c>
      <c r="I52" s="2" t="s">
        <v>1761</v>
      </c>
      <c r="J52" s="28" t="s">
        <v>548</v>
      </c>
      <c r="K52" s="28" t="s">
        <v>548</v>
      </c>
      <c r="L52" s="44" t="s">
        <v>974</v>
      </c>
      <c r="M52" s="7" t="s">
        <v>3</v>
      </c>
      <c r="N52" s="47">
        <v>23700637</v>
      </c>
      <c r="O52" s="88" t="s">
        <v>1236</v>
      </c>
      <c r="P52" s="38">
        <v>27266</v>
      </c>
      <c r="Q52" s="38"/>
      <c r="R52" s="38"/>
      <c r="S52" s="38"/>
      <c r="T52" s="38"/>
      <c r="U52" s="17" t="s">
        <v>215</v>
      </c>
      <c r="V52" s="17" t="s">
        <v>915</v>
      </c>
      <c r="W52" s="12">
        <v>40969</v>
      </c>
      <c r="X52" s="12"/>
      <c r="Y52" s="12">
        <v>42735</v>
      </c>
      <c r="Z52" s="2"/>
      <c r="AA52" s="2" t="s">
        <v>479</v>
      </c>
      <c r="AB52" s="7"/>
      <c r="AC52" s="5">
        <v>1000</v>
      </c>
      <c r="AD52" s="5">
        <f>+AC52</f>
        <v>1000</v>
      </c>
      <c r="AE52" s="5">
        <v>1170</v>
      </c>
      <c r="AF52" s="5">
        <f t="shared" si="20"/>
        <v>1310</v>
      </c>
      <c r="AG52" s="5">
        <f t="shared" si="23"/>
        <v>1310</v>
      </c>
      <c r="AH52" s="5">
        <f t="shared" si="23"/>
        <v>1310</v>
      </c>
      <c r="AI52" s="5">
        <f t="shared" ref="AI52:AJ52" si="52">+AH52</f>
        <v>1310</v>
      </c>
      <c r="AJ52" s="5">
        <f t="shared" si="52"/>
        <v>1310</v>
      </c>
      <c r="AK52" s="2"/>
      <c r="AL52" s="106"/>
    </row>
    <row r="53" spans="1:38" s="6" customFormat="1" ht="15" customHeight="1" x14ac:dyDescent="0.2">
      <c r="A53" s="29" t="s">
        <v>824</v>
      </c>
      <c r="B53" s="29" t="s">
        <v>822</v>
      </c>
      <c r="C53" s="3"/>
      <c r="D53" s="2" t="s">
        <v>956</v>
      </c>
      <c r="E53" s="2" t="s">
        <v>956</v>
      </c>
      <c r="F53" s="3"/>
      <c r="G53" s="3"/>
      <c r="H53" s="2"/>
      <c r="I53" s="2" t="s">
        <v>1707</v>
      </c>
      <c r="J53" s="28"/>
      <c r="K53" s="28" t="s">
        <v>1765</v>
      </c>
      <c r="L53" s="43" t="s">
        <v>1674</v>
      </c>
      <c r="M53" s="7" t="s">
        <v>3</v>
      </c>
      <c r="N53" s="15">
        <v>31195953</v>
      </c>
      <c r="O53" s="88">
        <v>20311959531</v>
      </c>
      <c r="P53" s="38">
        <v>30987</v>
      </c>
      <c r="Q53" s="38"/>
      <c r="R53" s="38"/>
      <c r="S53" s="38"/>
      <c r="T53" s="38"/>
      <c r="U53" s="17" t="s">
        <v>215</v>
      </c>
      <c r="V53" s="16" t="s">
        <v>915</v>
      </c>
      <c r="W53" s="12"/>
      <c r="X53" s="48"/>
      <c r="Y53" s="48">
        <v>42613</v>
      </c>
      <c r="Z53" s="2"/>
      <c r="AA53" s="2" t="s">
        <v>479</v>
      </c>
      <c r="AB53" s="14"/>
      <c r="AC53" s="5"/>
      <c r="AD53" s="5"/>
      <c r="AE53" s="5">
        <v>1170</v>
      </c>
      <c r="AF53" s="5">
        <f t="shared" si="20"/>
        <v>0</v>
      </c>
      <c r="AG53" s="5"/>
      <c r="AH53" s="5"/>
      <c r="AI53" s="5">
        <f t="shared" ref="AI53:AJ53" si="53">+AH53</f>
        <v>0</v>
      </c>
      <c r="AJ53" s="5">
        <f t="shared" si="53"/>
        <v>0</v>
      </c>
      <c r="AK53" s="2"/>
      <c r="AL53" s="107" t="s">
        <v>1818</v>
      </c>
    </row>
    <row r="54" spans="1:38" s="6" customFormat="1" ht="15" customHeight="1" x14ac:dyDescent="0.2">
      <c r="A54" s="29" t="s">
        <v>824</v>
      </c>
      <c r="B54" s="29" t="s">
        <v>822</v>
      </c>
      <c r="C54" s="29" t="s">
        <v>823</v>
      </c>
      <c r="D54" s="2" t="s">
        <v>800</v>
      </c>
      <c r="E54" s="2" t="s">
        <v>494</v>
      </c>
      <c r="F54" s="2"/>
      <c r="G54" s="2"/>
      <c r="H54" s="2"/>
      <c r="I54" s="3"/>
      <c r="J54" s="28" t="s">
        <v>254</v>
      </c>
      <c r="K54" s="28"/>
      <c r="L54" s="41" t="s">
        <v>570</v>
      </c>
      <c r="M54" s="4" t="s">
        <v>3</v>
      </c>
      <c r="N54" s="15">
        <v>34343723</v>
      </c>
      <c r="O54" s="88">
        <v>23343437234</v>
      </c>
      <c r="P54" s="38"/>
      <c r="Q54" s="38"/>
      <c r="R54" s="38"/>
      <c r="S54" s="38"/>
      <c r="T54" s="38"/>
      <c r="U54" s="16" t="s">
        <v>796</v>
      </c>
      <c r="V54" s="16" t="s">
        <v>916</v>
      </c>
      <c r="W54" s="12">
        <v>41091</v>
      </c>
      <c r="X54" s="48">
        <v>42735</v>
      </c>
      <c r="Y54" s="12">
        <v>42735</v>
      </c>
      <c r="Z54" s="2" t="s">
        <v>24</v>
      </c>
      <c r="AA54" s="2"/>
      <c r="AB54" s="18"/>
      <c r="AC54" s="5">
        <v>1000</v>
      </c>
      <c r="AD54" s="5"/>
      <c r="AE54" s="5">
        <v>1170</v>
      </c>
      <c r="AF54" s="5">
        <f t="shared" si="20"/>
        <v>1310</v>
      </c>
      <c r="AG54" s="5">
        <f t="shared" ref="AG54:AH72" si="54">+AF54</f>
        <v>1310</v>
      </c>
      <c r="AH54" s="5">
        <f t="shared" si="54"/>
        <v>1310</v>
      </c>
      <c r="AI54" s="5">
        <f t="shared" ref="AI54:AJ54" si="55">+AH54</f>
        <v>1310</v>
      </c>
      <c r="AJ54" s="5">
        <f t="shared" si="55"/>
        <v>1310</v>
      </c>
      <c r="AK54" s="2"/>
      <c r="AL54" s="105" t="str">
        <f>+Z54</f>
        <v>D0</v>
      </c>
    </row>
    <row r="55" spans="1:38" s="6" customFormat="1" ht="15" customHeight="1" x14ac:dyDescent="0.2">
      <c r="A55" s="29" t="s">
        <v>824</v>
      </c>
      <c r="B55" s="2" t="s">
        <v>822</v>
      </c>
      <c r="C55" s="29"/>
      <c r="D55" s="2" t="s">
        <v>825</v>
      </c>
      <c r="E55" s="3" t="s">
        <v>8</v>
      </c>
      <c r="F55" s="2" t="s">
        <v>913</v>
      </c>
      <c r="G55" s="2"/>
      <c r="H55" s="2" t="s">
        <v>9</v>
      </c>
      <c r="I55" s="2" t="s">
        <v>13</v>
      </c>
      <c r="J55" s="28" t="s">
        <v>549</v>
      </c>
      <c r="K55" s="28" t="s">
        <v>549</v>
      </c>
      <c r="L55" s="41" t="s">
        <v>571</v>
      </c>
      <c r="M55" s="4" t="s">
        <v>3</v>
      </c>
      <c r="N55" s="15">
        <v>37460002</v>
      </c>
      <c r="O55" s="88">
        <v>20374600029</v>
      </c>
      <c r="P55" s="38">
        <v>34001</v>
      </c>
      <c r="Q55" s="38"/>
      <c r="R55" s="38"/>
      <c r="S55" s="38"/>
      <c r="T55" s="38"/>
      <c r="U55" s="17" t="s">
        <v>215</v>
      </c>
      <c r="V55" s="17" t="s">
        <v>915</v>
      </c>
      <c r="W55" s="12">
        <v>42248</v>
      </c>
      <c r="X55" s="13"/>
      <c r="Y55" s="12">
        <v>42735</v>
      </c>
      <c r="Z55" s="2"/>
      <c r="AA55" s="2" t="s">
        <v>479</v>
      </c>
      <c r="AB55" s="3" t="s">
        <v>10</v>
      </c>
      <c r="AC55" s="5">
        <v>1000</v>
      </c>
      <c r="AD55" s="5">
        <f>+AC55*1.07</f>
        <v>1070</v>
      </c>
      <c r="AE55" s="5">
        <v>1170</v>
      </c>
      <c r="AF55" s="5">
        <f t="shared" si="20"/>
        <v>1310</v>
      </c>
      <c r="AG55" s="5">
        <f t="shared" si="54"/>
        <v>1310</v>
      </c>
      <c r="AH55" s="5">
        <f t="shared" si="54"/>
        <v>1310</v>
      </c>
      <c r="AI55" s="5">
        <f t="shared" ref="AI55:AJ55" si="56">+AH55</f>
        <v>1310</v>
      </c>
      <c r="AJ55" s="5">
        <f t="shared" si="56"/>
        <v>1310</v>
      </c>
      <c r="AK55" s="2" t="s">
        <v>1815</v>
      </c>
      <c r="AL55" s="106"/>
    </row>
    <row r="56" spans="1:38" s="6" customFormat="1" ht="15" customHeight="1" x14ac:dyDescent="0.2">
      <c r="A56" s="29" t="s">
        <v>824</v>
      </c>
      <c r="B56" s="29" t="s">
        <v>822</v>
      </c>
      <c r="C56" s="29" t="s">
        <v>823</v>
      </c>
      <c r="D56" s="2" t="s">
        <v>800</v>
      </c>
      <c r="E56" s="2" t="s">
        <v>485</v>
      </c>
      <c r="F56" s="2"/>
      <c r="G56" s="2"/>
      <c r="H56" s="2"/>
      <c r="I56" s="3"/>
      <c r="J56" s="28" t="s">
        <v>254</v>
      </c>
      <c r="K56" s="28"/>
      <c r="L56" s="41" t="s">
        <v>277</v>
      </c>
      <c r="M56" s="4" t="s">
        <v>3</v>
      </c>
      <c r="N56" s="15">
        <v>21729750</v>
      </c>
      <c r="O56" s="88">
        <v>27217297503</v>
      </c>
      <c r="P56" s="38"/>
      <c r="Q56" s="38"/>
      <c r="R56" s="38"/>
      <c r="S56" s="38"/>
      <c r="T56" s="38"/>
      <c r="U56" s="16" t="s">
        <v>796</v>
      </c>
      <c r="V56" s="16" t="s">
        <v>916</v>
      </c>
      <c r="W56" s="12">
        <v>41243</v>
      </c>
      <c r="X56" s="48">
        <v>42735</v>
      </c>
      <c r="Y56" s="12">
        <v>42735</v>
      </c>
      <c r="Z56" s="2" t="s">
        <v>42</v>
      </c>
      <c r="AA56" s="2"/>
      <c r="AB56" s="18"/>
      <c r="AC56" s="5">
        <v>1000</v>
      </c>
      <c r="AD56" s="5"/>
      <c r="AE56" s="5">
        <v>1170</v>
      </c>
      <c r="AF56" s="5">
        <f t="shared" si="20"/>
        <v>1310</v>
      </c>
      <c r="AG56" s="5">
        <f t="shared" si="54"/>
        <v>1310</v>
      </c>
      <c r="AH56" s="5">
        <f t="shared" si="54"/>
        <v>1310</v>
      </c>
      <c r="AI56" s="5">
        <f t="shared" ref="AI56:AJ56" si="57">+AH56</f>
        <v>1310</v>
      </c>
      <c r="AJ56" s="5">
        <f t="shared" si="57"/>
        <v>1310</v>
      </c>
      <c r="AK56" s="2"/>
      <c r="AL56" s="105" t="str">
        <f>+Z56</f>
        <v>C0</v>
      </c>
    </row>
    <row r="57" spans="1:38" s="6" customFormat="1" ht="15" customHeight="1" x14ac:dyDescent="0.2">
      <c r="A57" s="29" t="s">
        <v>824</v>
      </c>
      <c r="B57" s="29" t="s">
        <v>822</v>
      </c>
      <c r="C57" s="29" t="s">
        <v>823</v>
      </c>
      <c r="D57" s="2" t="s">
        <v>800</v>
      </c>
      <c r="E57" s="2" t="s">
        <v>486</v>
      </c>
      <c r="F57" s="2"/>
      <c r="G57" s="2"/>
      <c r="H57" s="2" t="s">
        <v>1710</v>
      </c>
      <c r="I57" s="3" t="s">
        <v>1754</v>
      </c>
      <c r="J57" s="28" t="s">
        <v>254</v>
      </c>
      <c r="K57" s="28"/>
      <c r="L57" s="41" t="s">
        <v>303</v>
      </c>
      <c r="M57" s="4" t="s">
        <v>3</v>
      </c>
      <c r="N57" s="15">
        <v>13978790</v>
      </c>
      <c r="O57" s="88">
        <v>20139787901</v>
      </c>
      <c r="P57" s="38">
        <v>20996</v>
      </c>
      <c r="Q57" s="38"/>
      <c r="R57" s="38"/>
      <c r="S57" s="38"/>
      <c r="T57" s="38"/>
      <c r="U57" s="17" t="s">
        <v>215</v>
      </c>
      <c r="V57" s="17" t="s">
        <v>1698</v>
      </c>
      <c r="W57" s="12"/>
      <c r="X57" s="13"/>
      <c r="Y57" s="12">
        <v>42735</v>
      </c>
      <c r="Z57" s="2"/>
      <c r="AA57" s="2" t="s">
        <v>479</v>
      </c>
      <c r="AB57" s="25" t="s">
        <v>479</v>
      </c>
      <c r="AC57" s="5">
        <v>1000</v>
      </c>
      <c r="AD57" s="5">
        <f>+AC57*1.07</f>
        <v>1070</v>
      </c>
      <c r="AE57" s="5">
        <v>1170</v>
      </c>
      <c r="AF57" s="5">
        <f t="shared" si="20"/>
        <v>1310</v>
      </c>
      <c r="AG57" s="5">
        <f t="shared" si="54"/>
        <v>1310</v>
      </c>
      <c r="AH57" s="5">
        <f t="shared" si="54"/>
        <v>1310</v>
      </c>
      <c r="AI57" s="5">
        <f t="shared" ref="AI57:AJ57" si="58">+AH57</f>
        <v>1310</v>
      </c>
      <c r="AJ57" s="5">
        <f t="shared" si="58"/>
        <v>1310</v>
      </c>
      <c r="AK57" s="2"/>
      <c r="AL57" s="107" t="s">
        <v>1818</v>
      </c>
    </row>
    <row r="58" spans="1:38" s="6" customFormat="1" ht="15" customHeight="1" x14ac:dyDescent="0.2">
      <c r="A58" s="29" t="s">
        <v>824</v>
      </c>
      <c r="B58" s="2"/>
      <c r="C58" s="29"/>
      <c r="D58" s="2" t="s">
        <v>820</v>
      </c>
      <c r="E58" s="2"/>
      <c r="F58" s="2"/>
      <c r="G58" s="2"/>
      <c r="H58" s="3"/>
      <c r="I58" s="3"/>
      <c r="J58" s="28"/>
      <c r="K58" s="28"/>
      <c r="L58" s="41" t="s">
        <v>1662</v>
      </c>
      <c r="M58" s="7" t="s">
        <v>3</v>
      </c>
      <c r="N58" s="47">
        <v>35146744</v>
      </c>
      <c r="O58" s="88">
        <v>23351467444</v>
      </c>
      <c r="P58" s="61"/>
      <c r="Q58" s="61"/>
      <c r="R58" s="61"/>
      <c r="S58" s="61"/>
      <c r="T58" s="61"/>
      <c r="U58" s="17" t="s">
        <v>796</v>
      </c>
      <c r="V58" s="17" t="s">
        <v>916</v>
      </c>
      <c r="W58" s="13">
        <v>41913</v>
      </c>
      <c r="X58" s="19"/>
      <c r="Y58" s="12">
        <v>42735</v>
      </c>
      <c r="Z58" s="2" t="s">
        <v>24</v>
      </c>
      <c r="AA58" s="2"/>
      <c r="AB58" s="2"/>
      <c r="AC58" s="5"/>
      <c r="AD58" s="5"/>
      <c r="AE58" s="5">
        <v>1170</v>
      </c>
      <c r="AF58" s="5">
        <f t="shared" si="20"/>
        <v>0</v>
      </c>
      <c r="AG58" s="5">
        <f t="shared" si="54"/>
        <v>0</v>
      </c>
      <c r="AH58" s="5">
        <f t="shared" si="54"/>
        <v>0</v>
      </c>
      <c r="AI58" s="5">
        <f t="shared" ref="AI58:AJ58" si="59">+AH58</f>
        <v>0</v>
      </c>
      <c r="AJ58" s="5">
        <f t="shared" si="59"/>
        <v>0</v>
      </c>
      <c r="AK58" s="2"/>
      <c r="AL58" s="105" t="str">
        <f>+Z58</f>
        <v>D0</v>
      </c>
    </row>
    <row r="59" spans="1:38" s="6" customFormat="1" ht="15" customHeight="1" x14ac:dyDescent="0.2">
      <c r="A59" s="29" t="s">
        <v>824</v>
      </c>
      <c r="B59" s="2" t="s">
        <v>822</v>
      </c>
      <c r="C59" s="29" t="s">
        <v>823</v>
      </c>
      <c r="D59" s="2" t="s">
        <v>808</v>
      </c>
      <c r="E59" s="2" t="s">
        <v>216</v>
      </c>
      <c r="F59" s="2" t="s">
        <v>1066</v>
      </c>
      <c r="G59" s="2"/>
      <c r="H59" s="3"/>
      <c r="I59" s="2" t="s">
        <v>1066</v>
      </c>
      <c r="J59" s="28"/>
      <c r="K59" s="28" t="s">
        <v>1765</v>
      </c>
      <c r="L59" s="42" t="s">
        <v>1082</v>
      </c>
      <c r="M59" s="7" t="s">
        <v>3</v>
      </c>
      <c r="N59" s="15">
        <v>18858115</v>
      </c>
      <c r="O59" s="88">
        <v>27188581159</v>
      </c>
      <c r="P59" s="38">
        <v>33215</v>
      </c>
      <c r="Q59" s="38"/>
      <c r="R59" s="38"/>
      <c r="S59" s="38"/>
      <c r="T59" s="38"/>
      <c r="U59" s="17" t="s">
        <v>215</v>
      </c>
      <c r="V59" s="17" t="s">
        <v>915</v>
      </c>
      <c r="W59" s="12">
        <v>42491</v>
      </c>
      <c r="X59" s="19"/>
      <c r="Y59" s="12">
        <v>42735</v>
      </c>
      <c r="Z59" s="2"/>
      <c r="AA59" s="2" t="s">
        <v>479</v>
      </c>
      <c r="AB59" s="2"/>
      <c r="AC59" s="5">
        <v>1000</v>
      </c>
      <c r="AD59" s="5">
        <v>1070</v>
      </c>
      <c r="AE59" s="5">
        <v>1170</v>
      </c>
      <c r="AF59" s="5">
        <f t="shared" si="20"/>
        <v>1310</v>
      </c>
      <c r="AG59" s="5">
        <f t="shared" si="54"/>
        <v>1310</v>
      </c>
      <c r="AH59" s="5">
        <f t="shared" si="54"/>
        <v>1310</v>
      </c>
      <c r="AI59" s="5">
        <f t="shared" ref="AI59:AJ59" si="60">+AH59</f>
        <v>1310</v>
      </c>
      <c r="AJ59" s="5">
        <f t="shared" si="60"/>
        <v>1310</v>
      </c>
      <c r="AK59" s="2" t="s">
        <v>42</v>
      </c>
      <c r="AL59" s="105" t="str">
        <f>+AK59</f>
        <v>C0</v>
      </c>
    </row>
    <row r="60" spans="1:38" s="6" customFormat="1" ht="15" customHeight="1" x14ac:dyDescent="0.2">
      <c r="A60" s="29" t="s">
        <v>824</v>
      </c>
      <c r="B60" s="2" t="s">
        <v>822</v>
      </c>
      <c r="C60" s="3"/>
      <c r="D60" s="2" t="s">
        <v>825</v>
      </c>
      <c r="E60" s="3" t="s">
        <v>18</v>
      </c>
      <c r="F60" s="2" t="s">
        <v>1012</v>
      </c>
      <c r="G60" s="2"/>
      <c r="H60" s="2" t="s">
        <v>37</v>
      </c>
      <c r="I60" s="2" t="s">
        <v>1707</v>
      </c>
      <c r="J60" s="28" t="s">
        <v>548</v>
      </c>
      <c r="K60" s="28" t="s">
        <v>548</v>
      </c>
      <c r="L60" s="44" t="s">
        <v>997</v>
      </c>
      <c r="M60" s="7" t="s">
        <v>3</v>
      </c>
      <c r="N60" s="47">
        <v>27952359</v>
      </c>
      <c r="O60" s="88" t="s">
        <v>1323</v>
      </c>
      <c r="P60" s="38">
        <v>29273</v>
      </c>
      <c r="Q60" s="38"/>
      <c r="R60" s="38"/>
      <c r="S60" s="38"/>
      <c r="T60" s="38"/>
      <c r="U60" s="17" t="s">
        <v>215</v>
      </c>
      <c r="V60" s="17" t="s">
        <v>915</v>
      </c>
      <c r="W60" s="12">
        <v>40787</v>
      </c>
      <c r="X60" s="12"/>
      <c r="Y60" s="12">
        <v>42735</v>
      </c>
      <c r="Z60" s="2"/>
      <c r="AA60" s="2" t="s">
        <v>479</v>
      </c>
      <c r="AB60" s="7"/>
      <c r="AC60" s="5">
        <v>1000</v>
      </c>
      <c r="AD60" s="5">
        <f>+AC60</f>
        <v>1000</v>
      </c>
      <c r="AE60" s="5">
        <v>1170</v>
      </c>
      <c r="AF60" s="5">
        <f t="shared" si="20"/>
        <v>1310</v>
      </c>
      <c r="AG60" s="5">
        <f t="shared" si="54"/>
        <v>1310</v>
      </c>
      <c r="AH60" s="5">
        <f t="shared" si="54"/>
        <v>1310</v>
      </c>
      <c r="AI60" s="5">
        <f t="shared" ref="AI60:AJ60" si="61">+AH60</f>
        <v>1310</v>
      </c>
      <c r="AJ60" s="5">
        <f t="shared" si="61"/>
        <v>1310</v>
      </c>
      <c r="AK60" s="2"/>
      <c r="AL60" s="106"/>
    </row>
    <row r="61" spans="1:38" s="6" customFormat="1" ht="15" customHeight="1" x14ac:dyDescent="0.2">
      <c r="A61" s="29" t="s">
        <v>824</v>
      </c>
      <c r="B61" s="29" t="s">
        <v>822</v>
      </c>
      <c r="C61" s="29" t="s">
        <v>823</v>
      </c>
      <c r="D61" s="2" t="s">
        <v>800</v>
      </c>
      <c r="E61" s="7" t="s">
        <v>501</v>
      </c>
      <c r="F61" s="7"/>
      <c r="G61" s="7"/>
      <c r="H61" s="8"/>
      <c r="I61" s="3"/>
      <c r="J61" s="28" t="s">
        <v>254</v>
      </c>
      <c r="K61" s="28"/>
      <c r="L61" s="41" t="s">
        <v>437</v>
      </c>
      <c r="M61" s="4" t="s">
        <v>3</v>
      </c>
      <c r="N61" s="15">
        <v>35238261</v>
      </c>
      <c r="O61" s="88">
        <v>20352382613</v>
      </c>
      <c r="P61" s="38"/>
      <c r="Q61" s="38"/>
      <c r="R61" s="38"/>
      <c r="S61" s="38"/>
      <c r="T61" s="38"/>
      <c r="U61" s="16" t="s">
        <v>796</v>
      </c>
      <c r="V61" s="16" t="s">
        <v>916</v>
      </c>
      <c r="W61" s="12">
        <v>41395</v>
      </c>
      <c r="X61" s="12">
        <v>42460</v>
      </c>
      <c r="Y61" s="12">
        <v>42735</v>
      </c>
      <c r="Z61" s="2" t="s">
        <v>42</v>
      </c>
      <c r="AA61" s="2"/>
      <c r="AB61" s="18"/>
      <c r="AC61" s="5">
        <v>1000</v>
      </c>
      <c r="AD61" s="5"/>
      <c r="AE61" s="5">
        <v>1170</v>
      </c>
      <c r="AF61" s="5">
        <f t="shared" si="20"/>
        <v>1310</v>
      </c>
      <c r="AG61" s="5">
        <f t="shared" si="54"/>
        <v>1310</v>
      </c>
      <c r="AH61" s="5">
        <f t="shared" si="54"/>
        <v>1310</v>
      </c>
      <c r="AI61" s="5">
        <f t="shared" ref="AI61:AJ61" si="62">+AH61</f>
        <v>1310</v>
      </c>
      <c r="AJ61" s="5">
        <f t="shared" si="62"/>
        <v>1310</v>
      </c>
      <c r="AK61" s="2"/>
      <c r="AL61" s="105" t="str">
        <f>+Z61</f>
        <v>C0</v>
      </c>
    </row>
    <row r="62" spans="1:38" s="6" customFormat="1" ht="15" customHeight="1" x14ac:dyDescent="0.2">
      <c r="A62" s="29" t="s">
        <v>824</v>
      </c>
      <c r="B62" s="2" t="s">
        <v>822</v>
      </c>
      <c r="C62" s="3"/>
      <c r="D62" s="2" t="s">
        <v>825</v>
      </c>
      <c r="E62" s="3" t="s">
        <v>18</v>
      </c>
      <c r="F62" s="2" t="s">
        <v>19</v>
      </c>
      <c r="G62" s="2"/>
      <c r="H62" s="2" t="s">
        <v>39</v>
      </c>
      <c r="I62" s="2" t="s">
        <v>1707</v>
      </c>
      <c r="J62" s="28" t="s">
        <v>548</v>
      </c>
      <c r="K62" s="28" t="s">
        <v>548</v>
      </c>
      <c r="L62" s="41" t="s">
        <v>572</v>
      </c>
      <c r="M62" s="4" t="s">
        <v>3</v>
      </c>
      <c r="N62" s="15">
        <v>26239126</v>
      </c>
      <c r="O62" s="88" t="s">
        <v>1282</v>
      </c>
      <c r="P62" s="38">
        <v>28392</v>
      </c>
      <c r="Q62" s="38"/>
      <c r="R62" s="38"/>
      <c r="S62" s="38"/>
      <c r="T62" s="38"/>
      <c r="U62" s="17" t="s">
        <v>215</v>
      </c>
      <c r="V62" s="17" t="s">
        <v>915</v>
      </c>
      <c r="W62" s="12">
        <v>41589</v>
      </c>
      <c r="X62" s="13"/>
      <c r="Y62" s="12">
        <v>42735</v>
      </c>
      <c r="Z62" s="2"/>
      <c r="AA62" s="2" t="s">
        <v>479</v>
      </c>
      <c r="AB62" s="7" t="s">
        <v>787</v>
      </c>
      <c r="AC62" s="5">
        <v>1000</v>
      </c>
      <c r="AD62" s="5">
        <f>+AC62</f>
        <v>1000</v>
      </c>
      <c r="AE62" s="5">
        <v>1170</v>
      </c>
      <c r="AF62" s="5">
        <f t="shared" si="20"/>
        <v>1310</v>
      </c>
      <c r="AG62" s="5">
        <f t="shared" si="54"/>
        <v>1310</v>
      </c>
      <c r="AH62" s="5">
        <f t="shared" si="54"/>
        <v>1310</v>
      </c>
      <c r="AI62" s="5">
        <f t="shared" ref="AI62:AJ62" si="63">+AH62</f>
        <v>1310</v>
      </c>
      <c r="AJ62" s="5">
        <f t="shared" si="63"/>
        <v>1310</v>
      </c>
      <c r="AK62" s="2"/>
      <c r="AL62" s="106"/>
    </row>
    <row r="63" spans="1:38" s="6" customFormat="1" ht="15" customHeight="1" x14ac:dyDescent="0.2">
      <c r="A63" s="29" t="s">
        <v>824</v>
      </c>
      <c r="B63" s="29"/>
      <c r="C63" s="29"/>
      <c r="D63" s="2" t="s">
        <v>820</v>
      </c>
      <c r="E63" s="2" t="s">
        <v>921</v>
      </c>
      <c r="F63" s="3" t="s">
        <v>525</v>
      </c>
      <c r="G63" s="3" t="s">
        <v>520</v>
      </c>
      <c r="H63" s="2" t="s">
        <v>234</v>
      </c>
      <c r="I63" s="3"/>
      <c r="J63" s="28"/>
      <c r="K63" s="28"/>
      <c r="L63" s="42" t="s">
        <v>806</v>
      </c>
      <c r="M63" s="4" t="s">
        <v>3</v>
      </c>
      <c r="N63" s="15">
        <v>28511778</v>
      </c>
      <c r="O63" s="88">
        <v>20285117780</v>
      </c>
      <c r="P63" s="15"/>
      <c r="Q63" s="15"/>
      <c r="R63" s="15"/>
      <c r="S63" s="15"/>
      <c r="T63" s="15"/>
      <c r="U63" s="16" t="s">
        <v>796</v>
      </c>
      <c r="V63" s="16" t="s">
        <v>916</v>
      </c>
      <c r="W63" s="12">
        <v>41974</v>
      </c>
      <c r="X63" s="12">
        <v>42460</v>
      </c>
      <c r="Y63" s="12">
        <v>42735</v>
      </c>
      <c r="Z63" s="2" t="s">
        <v>24</v>
      </c>
      <c r="AA63" s="2"/>
      <c r="AB63" s="18"/>
      <c r="AC63" s="5">
        <v>1000</v>
      </c>
      <c r="AD63" s="5"/>
      <c r="AE63" s="5">
        <v>1170</v>
      </c>
      <c r="AF63" s="5">
        <f t="shared" si="20"/>
        <v>1310</v>
      </c>
      <c r="AG63" s="5">
        <f t="shared" si="54"/>
        <v>1310</v>
      </c>
      <c r="AH63" s="5">
        <f t="shared" si="54"/>
        <v>1310</v>
      </c>
      <c r="AI63" s="5">
        <f t="shared" ref="AI63:AJ63" si="64">+AH63</f>
        <v>1310</v>
      </c>
      <c r="AJ63" s="5">
        <f t="shared" si="64"/>
        <v>1310</v>
      </c>
      <c r="AK63" s="2"/>
      <c r="AL63" s="105" t="str">
        <f>+Z63</f>
        <v>D0</v>
      </c>
    </row>
    <row r="64" spans="1:38" s="6" customFormat="1" ht="15" customHeight="1" x14ac:dyDescent="0.2">
      <c r="A64" s="29" t="s">
        <v>824</v>
      </c>
      <c r="B64" s="29" t="s">
        <v>822</v>
      </c>
      <c r="C64" s="29" t="s">
        <v>823</v>
      </c>
      <c r="D64" s="2" t="s">
        <v>800</v>
      </c>
      <c r="E64" s="7" t="s">
        <v>541</v>
      </c>
      <c r="F64" s="7"/>
      <c r="G64" s="7"/>
      <c r="H64" s="8"/>
      <c r="I64" s="3" t="s">
        <v>1720</v>
      </c>
      <c r="J64" s="28" t="s">
        <v>254</v>
      </c>
      <c r="K64" s="28" t="s">
        <v>1767</v>
      </c>
      <c r="L64" s="41" t="s">
        <v>573</v>
      </c>
      <c r="M64" s="4" t="s">
        <v>3</v>
      </c>
      <c r="N64" s="15">
        <v>11692335</v>
      </c>
      <c r="O64" s="88" t="s">
        <v>1149</v>
      </c>
      <c r="P64" s="38">
        <v>20303</v>
      </c>
      <c r="Q64" s="38"/>
      <c r="R64" s="38"/>
      <c r="S64" s="38"/>
      <c r="T64" s="38"/>
      <c r="U64" s="17" t="s">
        <v>215</v>
      </c>
      <c r="V64" s="17" t="s">
        <v>915</v>
      </c>
      <c r="W64" s="12">
        <v>41548</v>
      </c>
      <c r="X64" s="13"/>
      <c r="Y64" s="12">
        <v>42735</v>
      </c>
      <c r="Z64" s="2"/>
      <c r="AA64" s="2" t="s">
        <v>479</v>
      </c>
      <c r="AB64" s="24" t="s">
        <v>479</v>
      </c>
      <c r="AC64" s="5">
        <v>1000</v>
      </c>
      <c r="AD64" s="5">
        <v>1070</v>
      </c>
      <c r="AE64" s="5">
        <v>1170</v>
      </c>
      <c r="AF64" s="5">
        <f t="shared" si="20"/>
        <v>1310</v>
      </c>
      <c r="AG64" s="5">
        <f t="shared" si="54"/>
        <v>1310</v>
      </c>
      <c r="AH64" s="5">
        <f t="shared" si="54"/>
        <v>1310</v>
      </c>
      <c r="AI64" s="5">
        <f t="shared" ref="AI64:AJ64" si="65">+AH64</f>
        <v>1310</v>
      </c>
      <c r="AJ64" s="5">
        <f t="shared" si="65"/>
        <v>1310</v>
      </c>
      <c r="AK64" s="29" t="s">
        <v>42</v>
      </c>
      <c r="AL64" s="105" t="str">
        <f>+AK64</f>
        <v>C0</v>
      </c>
    </row>
    <row r="65" spans="1:38" s="6" customFormat="1" ht="15" customHeight="1" x14ac:dyDescent="0.2">
      <c r="A65" s="29" t="s">
        <v>824</v>
      </c>
      <c r="B65" s="29" t="s">
        <v>822</v>
      </c>
      <c r="C65" s="29" t="s">
        <v>823</v>
      </c>
      <c r="D65" s="2" t="s">
        <v>808</v>
      </c>
      <c r="E65" s="2" t="s">
        <v>909</v>
      </c>
      <c r="F65" s="2" t="s">
        <v>811</v>
      </c>
      <c r="G65" s="3" t="s">
        <v>519</v>
      </c>
      <c r="H65" s="2" t="s">
        <v>223</v>
      </c>
      <c r="I65" s="2" t="s">
        <v>811</v>
      </c>
      <c r="J65" s="28" t="s">
        <v>73</v>
      </c>
      <c r="K65" s="28" t="s">
        <v>1765</v>
      </c>
      <c r="L65" s="41" t="s">
        <v>83</v>
      </c>
      <c r="M65" s="4" t="s">
        <v>3</v>
      </c>
      <c r="N65" s="15">
        <v>30020464</v>
      </c>
      <c r="O65" s="88" t="s">
        <v>1361</v>
      </c>
      <c r="P65" s="38">
        <v>30381</v>
      </c>
      <c r="Q65" s="38"/>
      <c r="R65" s="38"/>
      <c r="S65" s="38"/>
      <c r="T65" s="38"/>
      <c r="U65" s="17" t="s">
        <v>215</v>
      </c>
      <c r="V65" s="17" t="s">
        <v>915</v>
      </c>
      <c r="W65" s="12">
        <v>42165</v>
      </c>
      <c r="X65" s="13"/>
      <c r="Y65" s="12">
        <v>42735</v>
      </c>
      <c r="Z65" s="2"/>
      <c r="AA65" s="2" t="s">
        <v>479</v>
      </c>
      <c r="AB65" s="14" t="s">
        <v>479</v>
      </c>
      <c r="AC65" s="5">
        <v>1000</v>
      </c>
      <c r="AD65" s="5">
        <f>+AC65*1.07</f>
        <v>1070</v>
      </c>
      <c r="AE65" s="5">
        <v>1170</v>
      </c>
      <c r="AF65" s="5">
        <f t="shared" si="20"/>
        <v>1310</v>
      </c>
      <c r="AG65" s="5">
        <f t="shared" si="54"/>
        <v>1310</v>
      </c>
      <c r="AH65" s="5">
        <f t="shared" si="54"/>
        <v>1310</v>
      </c>
      <c r="AI65" s="5">
        <f t="shared" ref="AI65:AJ65" si="66">+AH65</f>
        <v>1310</v>
      </c>
      <c r="AJ65" s="5">
        <f t="shared" si="66"/>
        <v>1310</v>
      </c>
      <c r="AK65" s="29" t="s">
        <v>42</v>
      </c>
      <c r="AL65" s="105" t="str">
        <f>+AK65</f>
        <v>C0</v>
      </c>
    </row>
    <row r="66" spans="1:38" s="6" customFormat="1" ht="15" customHeight="1" x14ac:dyDescent="0.2">
      <c r="A66" s="29" t="s">
        <v>824</v>
      </c>
      <c r="B66" s="29" t="s">
        <v>822</v>
      </c>
      <c r="C66" s="29" t="s">
        <v>823</v>
      </c>
      <c r="D66" s="2" t="s">
        <v>800</v>
      </c>
      <c r="E66" s="2" t="s">
        <v>489</v>
      </c>
      <c r="F66" s="2"/>
      <c r="G66" s="2"/>
      <c r="H66" s="2"/>
      <c r="I66" s="3" t="s">
        <v>1721</v>
      </c>
      <c r="J66" s="28" t="s">
        <v>254</v>
      </c>
      <c r="K66" s="28" t="s">
        <v>1767</v>
      </c>
      <c r="L66" s="41" t="s">
        <v>574</v>
      </c>
      <c r="M66" s="4" t="s">
        <v>3</v>
      </c>
      <c r="N66" s="15">
        <v>26674300</v>
      </c>
      <c r="O66" s="88" t="s">
        <v>1295</v>
      </c>
      <c r="P66" s="38">
        <v>28674</v>
      </c>
      <c r="Q66" s="38"/>
      <c r="R66" s="38"/>
      <c r="S66" s="38"/>
      <c r="T66" s="38"/>
      <c r="U66" s="17" t="s">
        <v>215</v>
      </c>
      <c r="V66" s="17" t="s">
        <v>915</v>
      </c>
      <c r="W66" s="12">
        <v>41791</v>
      </c>
      <c r="X66" s="13"/>
      <c r="Y66" s="12">
        <v>42735</v>
      </c>
      <c r="Z66" s="2"/>
      <c r="AA66" s="2" t="s">
        <v>479</v>
      </c>
      <c r="AB66" s="24" t="s">
        <v>479</v>
      </c>
      <c r="AC66" s="5">
        <v>1000</v>
      </c>
      <c r="AD66" s="5">
        <v>1070</v>
      </c>
      <c r="AE66" s="5">
        <v>1170</v>
      </c>
      <c r="AF66" s="5">
        <f t="shared" si="20"/>
        <v>1310</v>
      </c>
      <c r="AG66" s="5">
        <f t="shared" si="54"/>
        <v>1310</v>
      </c>
      <c r="AH66" s="5">
        <f t="shared" si="54"/>
        <v>1310</v>
      </c>
      <c r="AI66" s="5">
        <f t="shared" ref="AI66:AJ66" si="67">+AH66</f>
        <v>1310</v>
      </c>
      <c r="AJ66" s="5">
        <f t="shared" si="67"/>
        <v>1310</v>
      </c>
      <c r="AK66" s="29" t="s">
        <v>42</v>
      </c>
      <c r="AL66" s="105" t="str">
        <f>+AK66</f>
        <v>C0</v>
      </c>
    </row>
    <row r="67" spans="1:38" s="6" customFormat="1" ht="15" customHeight="1" x14ac:dyDescent="0.2">
      <c r="A67" s="29" t="s">
        <v>824</v>
      </c>
      <c r="B67" s="29" t="s">
        <v>822</v>
      </c>
      <c r="C67" s="29" t="s">
        <v>823</v>
      </c>
      <c r="D67" s="2" t="s">
        <v>808</v>
      </c>
      <c r="E67" s="2" t="s">
        <v>909</v>
      </c>
      <c r="F67" s="2" t="s">
        <v>500</v>
      </c>
      <c r="G67" s="3" t="s">
        <v>519</v>
      </c>
      <c r="H67" s="2" t="s">
        <v>542</v>
      </c>
      <c r="I67" s="2" t="s">
        <v>542</v>
      </c>
      <c r="J67" s="28" t="s">
        <v>73</v>
      </c>
      <c r="K67" s="28" t="s">
        <v>1765</v>
      </c>
      <c r="L67" s="41" t="s">
        <v>84</v>
      </c>
      <c r="M67" s="4" t="s">
        <v>3</v>
      </c>
      <c r="N67" s="15">
        <v>37900747</v>
      </c>
      <c r="O67" s="88" t="s">
        <v>1537</v>
      </c>
      <c r="P67" s="38">
        <v>34655</v>
      </c>
      <c r="Q67" s="38"/>
      <c r="R67" s="38"/>
      <c r="S67" s="38"/>
      <c r="T67" s="38"/>
      <c r="U67" s="17" t="s">
        <v>215</v>
      </c>
      <c r="V67" s="17" t="s">
        <v>915</v>
      </c>
      <c r="W67" s="12">
        <v>42156</v>
      </c>
      <c r="X67" s="13"/>
      <c r="Y67" s="12">
        <v>42735</v>
      </c>
      <c r="Z67" s="2"/>
      <c r="AA67" s="2" t="s">
        <v>479</v>
      </c>
      <c r="AB67" s="7" t="s">
        <v>61</v>
      </c>
      <c r="AC67" s="5">
        <v>1000</v>
      </c>
      <c r="AD67" s="5">
        <f>+AC67*1.07</f>
        <v>1070</v>
      </c>
      <c r="AE67" s="5">
        <v>1170</v>
      </c>
      <c r="AF67" s="5">
        <f t="shared" si="20"/>
        <v>1310</v>
      </c>
      <c r="AG67" s="5">
        <f t="shared" si="54"/>
        <v>1310</v>
      </c>
      <c r="AH67" s="5">
        <f t="shared" si="54"/>
        <v>1310</v>
      </c>
      <c r="AI67" s="5">
        <f t="shared" ref="AI67:AJ67" si="68">+AH67</f>
        <v>1310</v>
      </c>
      <c r="AJ67" s="5">
        <f t="shared" si="68"/>
        <v>1310</v>
      </c>
      <c r="AK67" s="29" t="s">
        <v>42</v>
      </c>
      <c r="AL67" s="105" t="str">
        <f>+AK67</f>
        <v>C0</v>
      </c>
    </row>
    <row r="68" spans="1:38" s="6" customFormat="1" ht="15" customHeight="1" x14ac:dyDescent="0.2">
      <c r="A68" s="29" t="s">
        <v>824</v>
      </c>
      <c r="B68" s="29" t="s">
        <v>822</v>
      </c>
      <c r="C68" s="29" t="s">
        <v>823</v>
      </c>
      <c r="D68" s="2" t="s">
        <v>800</v>
      </c>
      <c r="E68" s="2" t="s">
        <v>482</v>
      </c>
      <c r="F68" s="2"/>
      <c r="G68" s="2"/>
      <c r="H68" s="2" t="s">
        <v>1709</v>
      </c>
      <c r="I68" s="2" t="s">
        <v>1717</v>
      </c>
      <c r="J68" s="28" t="s">
        <v>254</v>
      </c>
      <c r="K68" s="28"/>
      <c r="L68" s="41" t="s">
        <v>264</v>
      </c>
      <c r="M68" s="4" t="s">
        <v>3</v>
      </c>
      <c r="N68" s="15">
        <v>17999601</v>
      </c>
      <c r="O68" s="88">
        <v>23179996014</v>
      </c>
      <c r="P68" s="38"/>
      <c r="Q68" s="38"/>
      <c r="R68" s="38"/>
      <c r="S68" s="38"/>
      <c r="T68" s="38"/>
      <c r="U68" s="16" t="s">
        <v>796</v>
      </c>
      <c r="V68" s="16" t="s">
        <v>916</v>
      </c>
      <c r="W68" s="12">
        <v>41394</v>
      </c>
      <c r="X68" s="12">
        <v>42460</v>
      </c>
      <c r="Y68" s="12">
        <v>42735</v>
      </c>
      <c r="Z68" s="2" t="s">
        <v>15</v>
      </c>
      <c r="AA68" s="2"/>
      <c r="AB68" s="18"/>
      <c r="AC68" s="5">
        <v>1000</v>
      </c>
      <c r="AD68" s="5"/>
      <c r="AE68" s="5">
        <v>1170</v>
      </c>
      <c r="AF68" s="5">
        <f t="shared" si="20"/>
        <v>1310</v>
      </c>
      <c r="AG68" s="5">
        <f t="shared" si="54"/>
        <v>1310</v>
      </c>
      <c r="AH68" s="5">
        <f t="shared" si="54"/>
        <v>1310</v>
      </c>
      <c r="AI68" s="5">
        <f t="shared" ref="AI68:AJ68" si="69">+AH68</f>
        <v>1310</v>
      </c>
      <c r="AJ68" s="5">
        <f t="shared" si="69"/>
        <v>1310</v>
      </c>
      <c r="AK68" s="2"/>
      <c r="AL68" s="105" t="str">
        <f>+Z68</f>
        <v>B3</v>
      </c>
    </row>
    <row r="69" spans="1:38" s="6" customFormat="1" ht="15" customHeight="1" x14ac:dyDescent="0.2">
      <c r="A69" s="29" t="s">
        <v>824</v>
      </c>
      <c r="B69" s="29" t="s">
        <v>822</v>
      </c>
      <c r="C69" s="14"/>
      <c r="D69" s="2" t="s">
        <v>1833</v>
      </c>
      <c r="E69" s="3"/>
      <c r="F69" s="2"/>
      <c r="G69" s="2"/>
      <c r="H69" s="2" t="s">
        <v>884</v>
      </c>
      <c r="I69" s="2" t="s">
        <v>1707</v>
      </c>
      <c r="J69" s="28"/>
      <c r="K69" s="28" t="s">
        <v>1765</v>
      </c>
      <c r="L69" s="41" t="s">
        <v>890</v>
      </c>
      <c r="M69" s="4" t="s">
        <v>3</v>
      </c>
      <c r="N69" s="15">
        <v>17787833</v>
      </c>
      <c r="O69" s="88">
        <v>27177878338</v>
      </c>
      <c r="P69" s="38">
        <v>24433</v>
      </c>
      <c r="Q69" s="38"/>
      <c r="R69" s="38"/>
      <c r="S69" s="38"/>
      <c r="T69" s="38"/>
      <c r="U69" s="17" t="s">
        <v>215</v>
      </c>
      <c r="V69" s="17" t="s">
        <v>915</v>
      </c>
      <c r="W69" s="12">
        <v>42370</v>
      </c>
      <c r="X69" s="12"/>
      <c r="Y69" s="12">
        <v>42735</v>
      </c>
      <c r="Z69" s="2"/>
      <c r="AA69" s="2" t="s">
        <v>479</v>
      </c>
      <c r="AB69" s="3"/>
      <c r="AC69" s="5">
        <v>1000</v>
      </c>
      <c r="AD69" s="5">
        <f>+AC69*1.07</f>
        <v>1070</v>
      </c>
      <c r="AE69" s="5">
        <v>1170</v>
      </c>
      <c r="AF69" s="5">
        <f t="shared" si="20"/>
        <v>1310</v>
      </c>
      <c r="AG69" s="5">
        <f t="shared" si="54"/>
        <v>1310</v>
      </c>
      <c r="AH69" s="5">
        <f t="shared" si="54"/>
        <v>1310</v>
      </c>
      <c r="AI69" s="5">
        <f t="shared" ref="AI69:AJ69" si="70">+AH69</f>
        <v>1310</v>
      </c>
      <c r="AJ69" s="5">
        <f t="shared" si="70"/>
        <v>1310</v>
      </c>
      <c r="AK69" s="2" t="s">
        <v>43</v>
      </c>
      <c r="AL69" s="105" t="str">
        <f>+AK69</f>
        <v>A0</v>
      </c>
    </row>
    <row r="70" spans="1:38" s="6" customFormat="1" ht="15" customHeight="1" x14ac:dyDescent="0.2">
      <c r="A70" s="29" t="s">
        <v>824</v>
      </c>
      <c r="B70" s="29" t="s">
        <v>822</v>
      </c>
      <c r="C70" s="29" t="s">
        <v>823</v>
      </c>
      <c r="D70" s="2" t="s">
        <v>800</v>
      </c>
      <c r="E70" s="2" t="s">
        <v>487</v>
      </c>
      <c r="F70" s="2"/>
      <c r="G70" s="2"/>
      <c r="H70" s="2" t="s">
        <v>1711</v>
      </c>
      <c r="I70" s="3" t="s">
        <v>1713</v>
      </c>
      <c r="J70" s="28" t="s">
        <v>254</v>
      </c>
      <c r="K70" s="28" t="s">
        <v>1767</v>
      </c>
      <c r="L70" s="41" t="s">
        <v>323</v>
      </c>
      <c r="M70" s="4" t="s">
        <v>3</v>
      </c>
      <c r="N70" s="15">
        <v>24290240</v>
      </c>
      <c r="O70" s="88" t="s">
        <v>1243</v>
      </c>
      <c r="P70" s="38">
        <v>27411</v>
      </c>
      <c r="Q70" s="38"/>
      <c r="R70" s="38"/>
      <c r="S70" s="38"/>
      <c r="T70" s="38"/>
      <c r="U70" s="17" t="s">
        <v>215</v>
      </c>
      <c r="V70" s="17" t="s">
        <v>915</v>
      </c>
      <c r="W70" s="12">
        <v>40940</v>
      </c>
      <c r="X70" s="13"/>
      <c r="Y70" s="12">
        <v>42735</v>
      </c>
      <c r="Z70" s="2"/>
      <c r="AA70" s="2" t="s">
        <v>479</v>
      </c>
      <c r="AB70" s="24" t="s">
        <v>479</v>
      </c>
      <c r="AC70" s="5">
        <v>1000</v>
      </c>
      <c r="AD70" s="5">
        <v>1070</v>
      </c>
      <c r="AE70" s="5">
        <v>1170</v>
      </c>
      <c r="AF70" s="5">
        <f t="shared" si="20"/>
        <v>1310</v>
      </c>
      <c r="AG70" s="5">
        <f t="shared" si="54"/>
        <v>1310</v>
      </c>
      <c r="AH70" s="5">
        <f t="shared" si="54"/>
        <v>1310</v>
      </c>
      <c r="AI70" s="5">
        <f t="shared" ref="AI70:AJ70" si="71">+AH70</f>
        <v>1310</v>
      </c>
      <c r="AJ70" s="5">
        <f t="shared" si="71"/>
        <v>1310</v>
      </c>
      <c r="AK70" s="29" t="s">
        <v>42</v>
      </c>
      <c r="AL70" s="105" t="str">
        <f>+AK70</f>
        <v>C0</v>
      </c>
    </row>
    <row r="71" spans="1:38" s="6" customFormat="1" ht="15" customHeight="1" x14ac:dyDescent="0.2">
      <c r="A71" s="29" t="s">
        <v>824</v>
      </c>
      <c r="B71" s="29"/>
      <c r="C71" s="29"/>
      <c r="D71" s="2" t="s">
        <v>820</v>
      </c>
      <c r="E71" s="2" t="s">
        <v>809</v>
      </c>
      <c r="F71" s="3"/>
      <c r="G71" s="3"/>
      <c r="H71" s="2" t="s">
        <v>48</v>
      </c>
      <c r="I71" s="2" t="s">
        <v>229</v>
      </c>
      <c r="J71" s="28" t="s">
        <v>73</v>
      </c>
      <c r="K71" s="28" t="s">
        <v>1765</v>
      </c>
      <c r="L71" s="41" t="s">
        <v>41</v>
      </c>
      <c r="M71" s="3" t="s">
        <v>3</v>
      </c>
      <c r="N71" s="15">
        <v>31832610</v>
      </c>
      <c r="O71" s="88" t="s">
        <v>1399</v>
      </c>
      <c r="P71" s="38">
        <v>31260</v>
      </c>
      <c r="Q71" s="38"/>
      <c r="R71" s="38"/>
      <c r="S71" s="38"/>
      <c r="T71" s="38"/>
      <c r="U71" s="17" t="s">
        <v>215</v>
      </c>
      <c r="V71" s="17" t="s">
        <v>915</v>
      </c>
      <c r="W71" s="12">
        <v>42186</v>
      </c>
      <c r="X71" s="13"/>
      <c r="Y71" s="12">
        <v>42735</v>
      </c>
      <c r="Z71" s="2"/>
      <c r="AA71" s="2" t="s">
        <v>479</v>
      </c>
      <c r="AB71" s="7" t="s">
        <v>784</v>
      </c>
      <c r="AC71" s="5">
        <v>1000</v>
      </c>
      <c r="AD71" s="5">
        <f>+AC71*1.07</f>
        <v>1070</v>
      </c>
      <c r="AE71" s="5">
        <v>1170</v>
      </c>
      <c r="AF71" s="5">
        <f t="shared" si="20"/>
        <v>1310</v>
      </c>
      <c r="AG71" s="5">
        <f t="shared" si="54"/>
        <v>1310</v>
      </c>
      <c r="AH71" s="5">
        <f t="shared" si="54"/>
        <v>1310</v>
      </c>
      <c r="AI71" s="5">
        <f t="shared" ref="AI71:AJ71" si="72">+AH71</f>
        <v>1310</v>
      </c>
      <c r="AJ71" s="5">
        <f t="shared" si="72"/>
        <v>1310</v>
      </c>
      <c r="AK71" s="29" t="s">
        <v>42</v>
      </c>
      <c r="AL71" s="105" t="str">
        <f>+AK71</f>
        <v>C0</v>
      </c>
    </row>
    <row r="72" spans="1:38" s="6" customFormat="1" ht="15" customHeight="1" x14ac:dyDescent="0.2">
      <c r="A72" s="29" t="s">
        <v>824</v>
      </c>
      <c r="B72" s="29"/>
      <c r="C72" s="14"/>
      <c r="D72" s="2" t="s">
        <v>819</v>
      </c>
      <c r="E72" s="2"/>
      <c r="F72" s="3"/>
      <c r="G72" s="3"/>
      <c r="H72" s="2" t="s">
        <v>884</v>
      </c>
      <c r="I72" s="2" t="s">
        <v>1707</v>
      </c>
      <c r="J72" s="28"/>
      <c r="K72" s="28" t="s">
        <v>1765</v>
      </c>
      <c r="L72" s="41" t="s">
        <v>870</v>
      </c>
      <c r="M72" s="4" t="s">
        <v>3</v>
      </c>
      <c r="N72" s="15">
        <v>13501717</v>
      </c>
      <c r="O72" s="88" t="s">
        <v>1157</v>
      </c>
      <c r="P72" s="38">
        <v>20962</v>
      </c>
      <c r="Q72" s="38"/>
      <c r="R72" s="38"/>
      <c r="S72" s="38"/>
      <c r="T72" s="38"/>
      <c r="U72" s="17" t="s">
        <v>215</v>
      </c>
      <c r="V72" s="17" t="s">
        <v>915</v>
      </c>
      <c r="W72" s="12">
        <v>42370</v>
      </c>
      <c r="X72" s="48"/>
      <c r="Y72" s="12">
        <v>42735</v>
      </c>
      <c r="Z72" s="2"/>
      <c r="AA72" s="2" t="s">
        <v>479</v>
      </c>
      <c r="AB72" s="3" t="s">
        <v>10</v>
      </c>
      <c r="AC72" s="5">
        <v>1000</v>
      </c>
      <c r="AD72" s="5">
        <f>+AC72*1.07</f>
        <v>1070</v>
      </c>
      <c r="AE72" s="5">
        <v>1170</v>
      </c>
      <c r="AF72" s="5">
        <f t="shared" si="20"/>
        <v>1310</v>
      </c>
      <c r="AG72" s="5">
        <f t="shared" si="54"/>
        <v>1310</v>
      </c>
      <c r="AH72" s="5">
        <f t="shared" si="54"/>
        <v>1310</v>
      </c>
      <c r="AI72" s="5">
        <f t="shared" ref="AI72:AJ72" si="73">+AH72</f>
        <v>1310</v>
      </c>
      <c r="AJ72" s="5">
        <f t="shared" si="73"/>
        <v>1310</v>
      </c>
      <c r="AK72" s="2" t="s">
        <v>53</v>
      </c>
      <c r="AL72" s="105" t="str">
        <f>+AK72</f>
        <v>B0</v>
      </c>
    </row>
    <row r="73" spans="1:38" s="6" customFormat="1" ht="15" customHeight="1" x14ac:dyDescent="0.2">
      <c r="A73" s="29" t="s">
        <v>824</v>
      </c>
      <c r="B73" s="29"/>
      <c r="C73" s="14"/>
      <c r="D73" s="2" t="s">
        <v>820</v>
      </c>
      <c r="E73" s="2" t="s">
        <v>818</v>
      </c>
      <c r="F73" s="2"/>
      <c r="G73" s="3"/>
      <c r="H73" s="2" t="s">
        <v>73</v>
      </c>
      <c r="I73" s="3"/>
      <c r="J73" s="28"/>
      <c r="K73" s="28"/>
      <c r="L73" s="41" t="s">
        <v>892</v>
      </c>
      <c r="M73" s="7" t="s">
        <v>3</v>
      </c>
      <c r="N73" s="15">
        <v>33787058</v>
      </c>
      <c r="O73" s="88">
        <v>23337870589</v>
      </c>
      <c r="P73" s="15"/>
      <c r="Q73" s="15"/>
      <c r="R73" s="15"/>
      <c r="S73" s="15"/>
      <c r="T73" s="15"/>
      <c r="U73" s="36" t="s">
        <v>796</v>
      </c>
      <c r="V73" s="16" t="s">
        <v>916</v>
      </c>
      <c r="W73" s="12">
        <v>41609</v>
      </c>
      <c r="X73" s="13"/>
      <c r="Y73" s="12">
        <v>42735</v>
      </c>
      <c r="Z73" s="2" t="s">
        <v>42</v>
      </c>
      <c r="AA73" s="2"/>
      <c r="AB73" s="2"/>
      <c r="AC73" s="5">
        <v>1000</v>
      </c>
      <c r="AD73" s="5"/>
      <c r="AE73" s="5">
        <v>1170</v>
      </c>
      <c r="AF73" s="5">
        <f t="shared" si="20"/>
        <v>1310</v>
      </c>
      <c r="AG73" s="5">
        <f t="shared" ref="AG73:AH82" si="74">+AF73</f>
        <v>1310</v>
      </c>
      <c r="AH73" s="5">
        <f t="shared" si="74"/>
        <v>1310</v>
      </c>
      <c r="AI73" s="5">
        <f t="shared" ref="AI73:AJ73" si="75">+AH73</f>
        <v>1310</v>
      </c>
      <c r="AJ73" s="5">
        <f t="shared" si="75"/>
        <v>1310</v>
      </c>
      <c r="AK73" s="2"/>
      <c r="AL73" s="105" t="str">
        <f>+Z73</f>
        <v>C0</v>
      </c>
    </row>
    <row r="74" spans="1:38" s="6" customFormat="1" ht="15" customHeight="1" x14ac:dyDescent="0.2">
      <c r="A74" s="29" t="s">
        <v>824</v>
      </c>
      <c r="B74" s="29" t="s">
        <v>822</v>
      </c>
      <c r="C74" s="29" t="s">
        <v>823</v>
      </c>
      <c r="D74" s="2" t="s">
        <v>800</v>
      </c>
      <c r="E74" s="7" t="s">
        <v>501</v>
      </c>
      <c r="F74" s="7"/>
      <c r="G74" s="7"/>
      <c r="H74" s="8"/>
      <c r="I74" s="3"/>
      <c r="J74" s="28" t="s">
        <v>254</v>
      </c>
      <c r="K74" s="28"/>
      <c r="L74" s="41" t="s">
        <v>438</v>
      </c>
      <c r="M74" s="4" t="s">
        <v>3</v>
      </c>
      <c r="N74" s="15">
        <v>30513038</v>
      </c>
      <c r="O74" s="88">
        <v>27305130384</v>
      </c>
      <c r="P74" s="38"/>
      <c r="Q74" s="38"/>
      <c r="R74" s="38"/>
      <c r="S74" s="38"/>
      <c r="T74" s="38"/>
      <c r="U74" s="16" t="s">
        <v>796</v>
      </c>
      <c r="V74" s="16" t="s">
        <v>916</v>
      </c>
      <c r="W74" s="12">
        <v>40725</v>
      </c>
      <c r="X74" s="48">
        <v>42735</v>
      </c>
      <c r="Y74" s="12">
        <v>42735</v>
      </c>
      <c r="Z74" s="2" t="s">
        <v>49</v>
      </c>
      <c r="AA74" s="2"/>
      <c r="AB74" s="18"/>
      <c r="AC74" s="5">
        <v>1000</v>
      </c>
      <c r="AD74" s="5"/>
      <c r="AE74" s="5">
        <v>1170</v>
      </c>
      <c r="AF74" s="5">
        <f t="shared" si="20"/>
        <v>1310</v>
      </c>
      <c r="AG74" s="5">
        <f t="shared" si="74"/>
        <v>1310</v>
      </c>
      <c r="AH74" s="5">
        <f t="shared" si="74"/>
        <v>1310</v>
      </c>
      <c r="AI74" s="5">
        <f t="shared" ref="AI74:AJ74" si="76">+AH74</f>
        <v>1310</v>
      </c>
      <c r="AJ74" s="5">
        <f t="shared" si="76"/>
        <v>1310</v>
      </c>
      <c r="AK74" s="2"/>
      <c r="AL74" s="105" t="str">
        <f>+Z74</f>
        <v>D1</v>
      </c>
    </row>
    <row r="75" spans="1:38" s="6" customFormat="1" ht="15" customHeight="1" x14ac:dyDescent="0.2">
      <c r="A75" s="29" t="s">
        <v>824</v>
      </c>
      <c r="B75" s="29"/>
      <c r="C75" s="14"/>
      <c r="D75" s="2" t="s">
        <v>819</v>
      </c>
      <c r="E75" s="2"/>
      <c r="F75" s="3"/>
      <c r="G75" s="3"/>
      <c r="H75" s="2" t="s">
        <v>884</v>
      </c>
      <c r="I75" s="2" t="s">
        <v>1707</v>
      </c>
      <c r="J75" s="28"/>
      <c r="K75" s="28" t="s">
        <v>1765</v>
      </c>
      <c r="L75" s="41" t="s">
        <v>869</v>
      </c>
      <c r="M75" s="4" t="s">
        <v>3</v>
      </c>
      <c r="N75" s="15">
        <v>6439250</v>
      </c>
      <c r="O75" s="88">
        <v>27064392501</v>
      </c>
      <c r="P75" s="38">
        <v>18463</v>
      </c>
      <c r="Q75" s="38"/>
      <c r="R75" s="38"/>
      <c r="S75" s="38"/>
      <c r="T75" s="38"/>
      <c r="U75" s="17" t="s">
        <v>215</v>
      </c>
      <c r="V75" s="17" t="s">
        <v>915</v>
      </c>
      <c r="W75" s="12">
        <v>42370</v>
      </c>
      <c r="X75" s="48"/>
      <c r="Y75" s="12">
        <v>42735</v>
      </c>
      <c r="Z75" s="2"/>
      <c r="AA75" s="2" t="s">
        <v>479</v>
      </c>
      <c r="AB75" s="3" t="s">
        <v>10</v>
      </c>
      <c r="AC75" s="5">
        <v>1000</v>
      </c>
      <c r="AD75" s="5">
        <f>+AC75*1.07</f>
        <v>1070</v>
      </c>
      <c r="AE75" s="5">
        <v>1170</v>
      </c>
      <c r="AF75" s="5">
        <f t="shared" si="20"/>
        <v>1310</v>
      </c>
      <c r="AG75" s="5">
        <f t="shared" si="74"/>
        <v>1310</v>
      </c>
      <c r="AH75" s="5">
        <f t="shared" si="74"/>
        <v>1310</v>
      </c>
      <c r="AI75" s="5">
        <f t="shared" ref="AI75:AJ75" si="77">+AH75</f>
        <v>1310</v>
      </c>
      <c r="AJ75" s="5">
        <f t="shared" si="77"/>
        <v>1310</v>
      </c>
      <c r="AK75" s="2" t="s">
        <v>43</v>
      </c>
      <c r="AL75" s="105" t="str">
        <f>+AK75</f>
        <v>A0</v>
      </c>
    </row>
    <row r="76" spans="1:38" s="6" customFormat="1" ht="15" customHeight="1" x14ac:dyDescent="0.2">
      <c r="A76" s="29" t="s">
        <v>824</v>
      </c>
      <c r="B76" s="29" t="s">
        <v>822</v>
      </c>
      <c r="C76" s="29" t="s">
        <v>823</v>
      </c>
      <c r="D76" s="2" t="s">
        <v>800</v>
      </c>
      <c r="E76" s="2" t="s">
        <v>485</v>
      </c>
      <c r="F76" s="2"/>
      <c r="G76" s="2"/>
      <c r="H76" s="2"/>
      <c r="I76" s="3" t="s">
        <v>1722</v>
      </c>
      <c r="J76" s="28" t="s">
        <v>254</v>
      </c>
      <c r="K76" s="28" t="s">
        <v>1767</v>
      </c>
      <c r="L76" s="41" t="s">
        <v>575</v>
      </c>
      <c r="M76" s="4" t="s">
        <v>3</v>
      </c>
      <c r="N76" s="15">
        <v>11330261</v>
      </c>
      <c r="O76" s="88">
        <v>20113302616</v>
      </c>
      <c r="P76" s="38">
        <v>20010</v>
      </c>
      <c r="Q76" s="38"/>
      <c r="R76" s="38"/>
      <c r="S76" s="38"/>
      <c r="T76" s="38"/>
      <c r="U76" s="17" t="s">
        <v>215</v>
      </c>
      <c r="V76" s="17" t="s">
        <v>915</v>
      </c>
      <c r="W76" s="12">
        <v>41000</v>
      </c>
      <c r="X76" s="13"/>
      <c r="Y76" s="12">
        <v>42735</v>
      </c>
      <c r="Z76" s="2"/>
      <c r="AA76" s="2" t="s">
        <v>479</v>
      </c>
      <c r="AB76" s="24" t="s">
        <v>479</v>
      </c>
      <c r="AC76" s="5">
        <v>1000</v>
      </c>
      <c r="AD76" s="5">
        <v>1070</v>
      </c>
      <c r="AE76" s="5">
        <v>1170</v>
      </c>
      <c r="AF76" s="5">
        <f t="shared" si="20"/>
        <v>1310</v>
      </c>
      <c r="AG76" s="5">
        <f t="shared" si="74"/>
        <v>1310</v>
      </c>
      <c r="AH76" s="5">
        <f t="shared" si="74"/>
        <v>1310</v>
      </c>
      <c r="AI76" s="5">
        <f t="shared" ref="AI76:AJ76" si="78">+AH76</f>
        <v>1310</v>
      </c>
      <c r="AJ76" s="5">
        <f t="shared" si="78"/>
        <v>1310</v>
      </c>
      <c r="AK76" s="2" t="s">
        <v>43</v>
      </c>
      <c r="AL76" s="105" t="str">
        <f>+AK76</f>
        <v>A0</v>
      </c>
    </row>
    <row r="77" spans="1:38" s="6" customFormat="1" ht="15" customHeight="1" x14ac:dyDescent="0.2">
      <c r="A77" s="29" t="s">
        <v>824</v>
      </c>
      <c r="B77" s="29" t="s">
        <v>822</v>
      </c>
      <c r="C77" s="29" t="s">
        <v>823</v>
      </c>
      <c r="D77" s="2" t="s">
        <v>800</v>
      </c>
      <c r="E77" s="7" t="s">
        <v>503</v>
      </c>
      <c r="F77" s="7"/>
      <c r="G77" s="7"/>
      <c r="H77" s="8"/>
      <c r="I77" s="3"/>
      <c r="J77" s="28" t="s">
        <v>254</v>
      </c>
      <c r="K77" s="28"/>
      <c r="L77" s="41" t="s">
        <v>465</v>
      </c>
      <c r="M77" s="4" t="s">
        <v>3</v>
      </c>
      <c r="N77" s="15">
        <v>18114083</v>
      </c>
      <c r="O77" s="88">
        <v>20181140837</v>
      </c>
      <c r="P77" s="38"/>
      <c r="Q77" s="38"/>
      <c r="R77" s="38"/>
      <c r="S77" s="38"/>
      <c r="T77" s="38"/>
      <c r="U77" s="16" t="s">
        <v>796</v>
      </c>
      <c r="V77" s="16" t="s">
        <v>916</v>
      </c>
      <c r="W77" s="12">
        <v>41306</v>
      </c>
      <c r="X77" s="12">
        <v>42460</v>
      </c>
      <c r="Y77" s="12">
        <v>42735</v>
      </c>
      <c r="Z77" s="2" t="s">
        <v>42</v>
      </c>
      <c r="AA77" s="2"/>
      <c r="AB77" s="18"/>
      <c r="AC77" s="5">
        <v>1000</v>
      </c>
      <c r="AD77" s="5"/>
      <c r="AE77" s="5">
        <v>1170</v>
      </c>
      <c r="AF77" s="5">
        <f t="shared" si="20"/>
        <v>1310</v>
      </c>
      <c r="AG77" s="5">
        <f t="shared" si="74"/>
        <v>1310</v>
      </c>
      <c r="AH77" s="5">
        <f t="shared" si="74"/>
        <v>1310</v>
      </c>
      <c r="AI77" s="5">
        <f t="shared" ref="AI77:AJ77" si="79">+AH77</f>
        <v>1310</v>
      </c>
      <c r="AJ77" s="5">
        <f t="shared" si="79"/>
        <v>1310</v>
      </c>
      <c r="AK77" s="2"/>
      <c r="AL77" s="105" t="str">
        <f>+Z77</f>
        <v>C0</v>
      </c>
    </row>
    <row r="78" spans="1:38" s="6" customFormat="1" ht="15" customHeight="1" x14ac:dyDescent="0.2">
      <c r="A78" s="29" t="s">
        <v>824</v>
      </c>
      <c r="B78" s="29" t="s">
        <v>822</v>
      </c>
      <c r="C78" s="29" t="s">
        <v>823</v>
      </c>
      <c r="D78" s="2" t="s">
        <v>800</v>
      </c>
      <c r="E78" s="7" t="s">
        <v>497</v>
      </c>
      <c r="F78" s="7"/>
      <c r="G78" s="7"/>
      <c r="H78" s="8"/>
      <c r="I78" s="3" t="s">
        <v>1723</v>
      </c>
      <c r="J78" s="28" t="s">
        <v>254</v>
      </c>
      <c r="K78" s="28" t="s">
        <v>1767</v>
      </c>
      <c r="L78" s="41" t="s">
        <v>380</v>
      </c>
      <c r="M78" s="4" t="s">
        <v>3</v>
      </c>
      <c r="N78" s="15">
        <v>34334182</v>
      </c>
      <c r="O78" s="88" t="s">
        <v>1469</v>
      </c>
      <c r="P78" s="38">
        <v>32579</v>
      </c>
      <c r="Q78" s="38"/>
      <c r="R78" s="38"/>
      <c r="S78" s="38"/>
      <c r="T78" s="38"/>
      <c r="U78" s="17" t="s">
        <v>215</v>
      </c>
      <c r="V78" s="17" t="s">
        <v>915</v>
      </c>
      <c r="W78" s="12">
        <v>41518</v>
      </c>
      <c r="X78" s="13"/>
      <c r="Y78" s="12">
        <v>42735</v>
      </c>
      <c r="Z78" s="2"/>
      <c r="AA78" s="2" t="s">
        <v>479</v>
      </c>
      <c r="AB78" s="24" t="s">
        <v>479</v>
      </c>
      <c r="AC78" s="5">
        <v>1000</v>
      </c>
      <c r="AD78" s="5">
        <v>1070</v>
      </c>
      <c r="AE78" s="5">
        <v>1170</v>
      </c>
      <c r="AF78" s="5">
        <f t="shared" si="20"/>
        <v>1310</v>
      </c>
      <c r="AG78" s="5">
        <f t="shared" si="74"/>
        <v>1310</v>
      </c>
      <c r="AH78" s="5">
        <f t="shared" si="74"/>
        <v>1310</v>
      </c>
      <c r="AI78" s="5">
        <f t="shared" ref="AI78:AJ78" si="80">+AH78</f>
        <v>1310</v>
      </c>
      <c r="AJ78" s="5">
        <f t="shared" si="80"/>
        <v>1310</v>
      </c>
      <c r="AK78" s="29" t="s">
        <v>42</v>
      </c>
      <c r="AL78" s="105" t="str">
        <f>+AK78</f>
        <v>C0</v>
      </c>
    </row>
    <row r="79" spans="1:38" s="6" customFormat="1" ht="15" customHeight="1" x14ac:dyDescent="0.2">
      <c r="A79" s="29" t="s">
        <v>824</v>
      </c>
      <c r="B79" s="29" t="s">
        <v>822</v>
      </c>
      <c r="C79" s="29" t="s">
        <v>823</v>
      </c>
      <c r="D79" s="2" t="s">
        <v>800</v>
      </c>
      <c r="E79" s="2" t="s">
        <v>486</v>
      </c>
      <c r="F79" s="2"/>
      <c r="G79" s="2"/>
      <c r="H79" s="2" t="s">
        <v>1710</v>
      </c>
      <c r="I79" s="3" t="s">
        <v>1754</v>
      </c>
      <c r="J79" s="28" t="s">
        <v>254</v>
      </c>
      <c r="K79" s="28"/>
      <c r="L79" s="41" t="s">
        <v>304</v>
      </c>
      <c r="M79" s="4" t="s">
        <v>3</v>
      </c>
      <c r="N79" s="15">
        <v>29229482</v>
      </c>
      <c r="O79" s="88">
        <v>23292294824</v>
      </c>
      <c r="P79" s="38">
        <v>30011</v>
      </c>
      <c r="Q79" s="38"/>
      <c r="R79" s="38"/>
      <c r="S79" s="38"/>
      <c r="T79" s="38"/>
      <c r="U79" s="17" t="s">
        <v>215</v>
      </c>
      <c r="V79" s="17" t="s">
        <v>1698</v>
      </c>
      <c r="W79" s="12"/>
      <c r="X79" s="13"/>
      <c r="Y79" s="12">
        <v>42735</v>
      </c>
      <c r="Z79" s="2"/>
      <c r="AA79" s="2" t="s">
        <v>479</v>
      </c>
      <c r="AB79" s="26" t="s">
        <v>479</v>
      </c>
      <c r="AC79" s="5">
        <v>1000</v>
      </c>
      <c r="AD79" s="5">
        <f>+AC79*1.07</f>
        <v>1070</v>
      </c>
      <c r="AE79" s="5">
        <v>1170</v>
      </c>
      <c r="AF79" s="5">
        <f t="shared" si="20"/>
        <v>1310</v>
      </c>
      <c r="AG79" s="5">
        <f t="shared" si="74"/>
        <v>1310</v>
      </c>
      <c r="AH79" s="5">
        <f t="shared" si="74"/>
        <v>1310</v>
      </c>
      <c r="AI79" s="5">
        <f t="shared" ref="AI79:AJ79" si="81">+AH79</f>
        <v>1310</v>
      </c>
      <c r="AJ79" s="5">
        <f t="shared" si="81"/>
        <v>1310</v>
      </c>
      <c r="AK79" s="2"/>
      <c r="AL79" s="107" t="s">
        <v>1818</v>
      </c>
    </row>
    <row r="80" spans="1:38" s="6" customFormat="1" ht="15" customHeight="1" x14ac:dyDescent="0.2">
      <c r="A80" s="29" t="s">
        <v>824</v>
      </c>
      <c r="B80" s="29" t="s">
        <v>822</v>
      </c>
      <c r="C80" s="29" t="s">
        <v>823</v>
      </c>
      <c r="D80" s="2" t="s">
        <v>800</v>
      </c>
      <c r="E80" s="2" t="s">
        <v>491</v>
      </c>
      <c r="F80" s="2"/>
      <c r="G80" s="2"/>
      <c r="H80" s="2"/>
      <c r="I80" s="3"/>
      <c r="J80" s="28" t="s">
        <v>254</v>
      </c>
      <c r="K80" s="28"/>
      <c r="L80" s="41" t="s">
        <v>339</v>
      </c>
      <c r="M80" s="4" t="s">
        <v>3</v>
      </c>
      <c r="N80" s="15">
        <v>31257034</v>
      </c>
      <c r="O80" s="88">
        <v>20312570344</v>
      </c>
      <c r="P80" s="38"/>
      <c r="Q80" s="38"/>
      <c r="R80" s="38"/>
      <c r="S80" s="38"/>
      <c r="T80" s="38"/>
      <c r="U80" s="16" t="s">
        <v>796</v>
      </c>
      <c r="V80" s="16" t="s">
        <v>916</v>
      </c>
      <c r="W80" s="12">
        <v>40695</v>
      </c>
      <c r="X80" s="48">
        <v>42735</v>
      </c>
      <c r="Y80" s="12">
        <v>42735</v>
      </c>
      <c r="Z80" s="2" t="s">
        <v>42</v>
      </c>
      <c r="AA80" s="2"/>
      <c r="AB80" s="18"/>
      <c r="AC80" s="5">
        <v>1000</v>
      </c>
      <c r="AD80" s="5"/>
      <c r="AE80" s="5">
        <v>1170</v>
      </c>
      <c r="AF80" s="5">
        <f t="shared" si="20"/>
        <v>1310</v>
      </c>
      <c r="AG80" s="5">
        <f t="shared" si="74"/>
        <v>1310</v>
      </c>
      <c r="AH80" s="5">
        <f t="shared" si="74"/>
        <v>1310</v>
      </c>
      <c r="AI80" s="5">
        <f t="shared" ref="AI80:AJ80" si="82">+AH80</f>
        <v>1310</v>
      </c>
      <c r="AJ80" s="5">
        <f t="shared" si="82"/>
        <v>1310</v>
      </c>
      <c r="AK80" s="2"/>
      <c r="AL80" s="105" t="str">
        <f>+Z80</f>
        <v>C0</v>
      </c>
    </row>
    <row r="81" spans="1:38" s="6" customFormat="1" ht="15" customHeight="1" x14ac:dyDescent="0.2">
      <c r="A81" s="29" t="s">
        <v>824</v>
      </c>
      <c r="B81" s="2" t="s">
        <v>822</v>
      </c>
      <c r="C81" s="29" t="s">
        <v>823</v>
      </c>
      <c r="D81" s="2" t="s">
        <v>808</v>
      </c>
      <c r="E81" s="2" t="s">
        <v>20</v>
      </c>
      <c r="F81" s="3"/>
      <c r="G81" s="3"/>
      <c r="H81" s="2" t="s">
        <v>884</v>
      </c>
      <c r="I81" s="2" t="s">
        <v>235</v>
      </c>
      <c r="J81" s="28" t="s">
        <v>73</v>
      </c>
      <c r="K81" s="28" t="s">
        <v>1765</v>
      </c>
      <c r="L81" s="41" t="s">
        <v>850</v>
      </c>
      <c r="M81" s="4" t="s">
        <v>3</v>
      </c>
      <c r="N81" s="15">
        <v>21710251</v>
      </c>
      <c r="O81" s="88" t="s">
        <v>1203</v>
      </c>
      <c r="P81" s="38">
        <v>25740</v>
      </c>
      <c r="Q81" s="38"/>
      <c r="R81" s="38"/>
      <c r="S81" s="38"/>
      <c r="T81" s="38"/>
      <c r="U81" s="17" t="s">
        <v>215</v>
      </c>
      <c r="V81" s="17" t="s">
        <v>915</v>
      </c>
      <c r="W81" s="12">
        <v>42401</v>
      </c>
      <c r="X81" s="48"/>
      <c r="Y81" s="12">
        <v>42735</v>
      </c>
      <c r="Z81" s="2"/>
      <c r="AA81" s="2" t="s">
        <v>479</v>
      </c>
      <c r="AB81" s="3" t="s">
        <v>10</v>
      </c>
      <c r="AC81" s="5">
        <v>1000</v>
      </c>
      <c r="AD81" s="5">
        <f>+AC81*1.07</f>
        <v>1070</v>
      </c>
      <c r="AE81" s="5">
        <v>1170</v>
      </c>
      <c r="AF81" s="5">
        <f t="shared" si="20"/>
        <v>1310</v>
      </c>
      <c r="AG81" s="5">
        <f t="shared" si="74"/>
        <v>1310</v>
      </c>
      <c r="AH81" s="5">
        <f t="shared" si="74"/>
        <v>1310</v>
      </c>
      <c r="AI81" s="5">
        <f t="shared" ref="AI81:AJ81" si="83">+AH81</f>
        <v>1310</v>
      </c>
      <c r="AJ81" s="5">
        <f t="shared" si="83"/>
        <v>1310</v>
      </c>
      <c r="AK81" s="2" t="s">
        <v>53</v>
      </c>
      <c r="AL81" s="105" t="str">
        <f>+AK81</f>
        <v>B0</v>
      </c>
    </row>
    <row r="82" spans="1:38" s="6" customFormat="1" ht="15" customHeight="1" x14ac:dyDescent="0.2">
      <c r="A82" s="29" t="s">
        <v>824</v>
      </c>
      <c r="B82" s="2" t="s">
        <v>822</v>
      </c>
      <c r="C82" s="3"/>
      <c r="D82" s="2" t="s">
        <v>825</v>
      </c>
      <c r="E82" s="3" t="s">
        <v>18</v>
      </c>
      <c r="F82" s="2" t="s">
        <v>19</v>
      </c>
      <c r="G82" s="2"/>
      <c r="H82" s="2" t="s">
        <v>22</v>
      </c>
      <c r="I82" s="2" t="s">
        <v>1707</v>
      </c>
      <c r="J82" s="28" t="s">
        <v>548</v>
      </c>
      <c r="K82" s="28" t="s">
        <v>548</v>
      </c>
      <c r="L82" s="41" t="s">
        <v>576</v>
      </c>
      <c r="M82" s="4" t="s">
        <v>3</v>
      </c>
      <c r="N82" s="15">
        <v>22849417</v>
      </c>
      <c r="O82" s="88" t="s">
        <v>1214</v>
      </c>
      <c r="P82" s="38">
        <v>26541</v>
      </c>
      <c r="Q82" s="38"/>
      <c r="R82" s="38"/>
      <c r="S82" s="38"/>
      <c r="T82" s="38"/>
      <c r="U82" s="17" t="s">
        <v>215</v>
      </c>
      <c r="V82" s="17" t="s">
        <v>915</v>
      </c>
      <c r="W82" s="12">
        <v>40613</v>
      </c>
      <c r="X82" s="13"/>
      <c r="Y82" s="12">
        <v>42735</v>
      </c>
      <c r="Z82" s="2"/>
      <c r="AA82" s="2" t="s">
        <v>479</v>
      </c>
      <c r="AB82" s="7" t="s">
        <v>787</v>
      </c>
      <c r="AC82" s="5">
        <v>1000</v>
      </c>
      <c r="AD82" s="5">
        <f>+AC82</f>
        <v>1000</v>
      </c>
      <c r="AE82" s="5">
        <v>1170</v>
      </c>
      <c r="AF82" s="5">
        <f t="shared" si="20"/>
        <v>1310</v>
      </c>
      <c r="AG82" s="5">
        <f t="shared" si="74"/>
        <v>1310</v>
      </c>
      <c r="AH82" s="5">
        <f t="shared" si="74"/>
        <v>1310</v>
      </c>
      <c r="AI82" s="5">
        <f t="shared" ref="AI82:AJ82" si="84">+AH82</f>
        <v>1310</v>
      </c>
      <c r="AJ82" s="5">
        <f t="shared" si="84"/>
        <v>1310</v>
      </c>
      <c r="AK82" s="2"/>
      <c r="AL82" s="106"/>
    </row>
    <row r="83" spans="1:38" s="6" customFormat="1" ht="15" customHeight="1" x14ac:dyDescent="0.2">
      <c r="A83" s="29" t="s">
        <v>824</v>
      </c>
      <c r="B83" s="29" t="s">
        <v>822</v>
      </c>
      <c r="C83" s="3"/>
      <c r="D83" s="2" t="s">
        <v>956</v>
      </c>
      <c r="E83" s="2" t="s">
        <v>956</v>
      </c>
      <c r="F83" s="2"/>
      <c r="G83" s="2"/>
      <c r="H83" s="2"/>
      <c r="I83" s="2"/>
      <c r="J83" s="28"/>
      <c r="K83" s="28"/>
      <c r="L83" s="41" t="s">
        <v>1846</v>
      </c>
      <c r="M83" s="7" t="s">
        <v>3</v>
      </c>
      <c r="N83" s="15"/>
      <c r="O83" s="88"/>
      <c r="P83" s="38"/>
      <c r="Q83" s="38"/>
      <c r="R83" s="38"/>
      <c r="S83" s="38"/>
      <c r="T83" s="38"/>
      <c r="U83" s="17" t="s">
        <v>215</v>
      </c>
      <c r="V83" s="16" t="s">
        <v>915</v>
      </c>
      <c r="W83" s="12">
        <v>42583</v>
      </c>
      <c r="X83" s="13"/>
      <c r="Y83" s="12">
        <v>42735</v>
      </c>
      <c r="Z83" s="2"/>
      <c r="AA83" s="2"/>
      <c r="AB83" s="7"/>
      <c r="AC83" s="5"/>
      <c r="AD83" s="5"/>
      <c r="AE83" s="5"/>
      <c r="AF83" s="5">
        <f t="shared" si="20"/>
        <v>0</v>
      </c>
      <c r="AG83" s="5">
        <v>1310</v>
      </c>
      <c r="AH83" s="5"/>
      <c r="AI83" s="5">
        <f t="shared" ref="AI83:AJ83" si="85">+AH83</f>
        <v>0</v>
      </c>
      <c r="AJ83" s="5">
        <f t="shared" si="85"/>
        <v>0</v>
      </c>
      <c r="AK83" s="2"/>
      <c r="AL83" s="106"/>
    </row>
    <row r="84" spans="1:38" s="6" customFormat="1" ht="15" customHeight="1" x14ac:dyDescent="0.2">
      <c r="A84" s="29" t="s">
        <v>824</v>
      </c>
      <c r="B84" s="29" t="s">
        <v>822</v>
      </c>
      <c r="C84" s="3"/>
      <c r="D84" s="2" t="s">
        <v>956</v>
      </c>
      <c r="E84" s="2" t="s">
        <v>956</v>
      </c>
      <c r="F84" s="2"/>
      <c r="G84" s="2"/>
      <c r="H84" s="2"/>
      <c r="I84" s="2"/>
      <c r="J84" s="28"/>
      <c r="K84" s="28"/>
      <c r="L84" s="41" t="s">
        <v>1847</v>
      </c>
      <c r="M84" s="7" t="s">
        <v>3</v>
      </c>
      <c r="N84" s="15">
        <v>33362851</v>
      </c>
      <c r="O84" s="15">
        <v>27333628517</v>
      </c>
      <c r="P84" s="38"/>
      <c r="Q84" s="38"/>
      <c r="R84" s="38"/>
      <c r="S84" s="38"/>
      <c r="T84" s="38"/>
      <c r="U84" s="17" t="s">
        <v>215</v>
      </c>
      <c r="V84" s="16" t="s">
        <v>915</v>
      </c>
      <c r="W84" s="12">
        <v>42583</v>
      </c>
      <c r="X84" s="13"/>
      <c r="Y84" s="12">
        <v>42735</v>
      </c>
      <c r="Z84" s="2"/>
      <c r="AA84" s="2"/>
      <c r="AB84" s="7"/>
      <c r="AC84" s="5"/>
      <c r="AD84" s="5"/>
      <c r="AE84" s="5"/>
      <c r="AF84" s="5">
        <f t="shared" si="20"/>
        <v>0</v>
      </c>
      <c r="AG84" s="5">
        <v>1310</v>
      </c>
      <c r="AH84" s="5"/>
      <c r="AI84" s="5">
        <f t="shared" ref="AI84:AJ84" si="86">+AH84</f>
        <v>0</v>
      </c>
      <c r="AJ84" s="5">
        <f t="shared" si="86"/>
        <v>0</v>
      </c>
      <c r="AK84" s="2"/>
      <c r="AL84" s="106"/>
    </row>
    <row r="85" spans="1:38" s="6" customFormat="1" ht="15" customHeight="1" x14ac:dyDescent="0.2">
      <c r="A85" s="29" t="s">
        <v>824</v>
      </c>
      <c r="B85" s="29" t="s">
        <v>822</v>
      </c>
      <c r="C85" s="3"/>
      <c r="D85" s="2" t="s">
        <v>956</v>
      </c>
      <c r="E85" s="2" t="s">
        <v>956</v>
      </c>
      <c r="F85" s="2"/>
      <c r="G85" s="2"/>
      <c r="H85" s="2"/>
      <c r="I85" s="2"/>
      <c r="J85" s="28"/>
      <c r="K85" s="28"/>
      <c r="L85" s="41" t="s">
        <v>1848</v>
      </c>
      <c r="M85" s="7" t="s">
        <v>3</v>
      </c>
      <c r="N85" s="15">
        <v>37869364</v>
      </c>
      <c r="O85" s="15">
        <v>27378693646</v>
      </c>
      <c r="P85" s="38"/>
      <c r="Q85" s="38"/>
      <c r="R85" s="38"/>
      <c r="S85" s="38"/>
      <c r="T85" s="38"/>
      <c r="U85" s="17" t="s">
        <v>215</v>
      </c>
      <c r="V85" s="16" t="s">
        <v>915</v>
      </c>
      <c r="W85" s="12">
        <v>42583</v>
      </c>
      <c r="X85" s="13"/>
      <c r="Y85" s="12">
        <v>42735</v>
      </c>
      <c r="Z85" s="2"/>
      <c r="AA85" s="2"/>
      <c r="AB85" s="7"/>
      <c r="AC85" s="5"/>
      <c r="AD85" s="5"/>
      <c r="AE85" s="5"/>
      <c r="AF85" s="5">
        <f t="shared" si="20"/>
        <v>0</v>
      </c>
      <c r="AG85" s="5">
        <v>1310</v>
      </c>
      <c r="AH85" s="5"/>
      <c r="AI85" s="5">
        <f t="shared" ref="AI85:AJ85" si="87">+AH85</f>
        <v>0</v>
      </c>
      <c r="AJ85" s="5">
        <f t="shared" si="87"/>
        <v>0</v>
      </c>
      <c r="AK85" s="2"/>
      <c r="AL85" s="106"/>
    </row>
    <row r="86" spans="1:38" s="6" customFormat="1" ht="15" customHeight="1" x14ac:dyDescent="0.2">
      <c r="A86" s="29" t="s">
        <v>824</v>
      </c>
      <c r="B86" s="29" t="s">
        <v>822</v>
      </c>
      <c r="C86" s="3"/>
      <c r="D86" s="2" t="s">
        <v>956</v>
      </c>
      <c r="E86" s="2" t="s">
        <v>956</v>
      </c>
      <c r="F86" s="2"/>
      <c r="G86" s="2"/>
      <c r="H86" s="2"/>
      <c r="I86" s="2"/>
      <c r="J86" s="28"/>
      <c r="K86" s="28"/>
      <c r="L86" s="41" t="s">
        <v>1849</v>
      </c>
      <c r="M86" s="7" t="s">
        <v>3</v>
      </c>
      <c r="N86" s="15">
        <v>36947998</v>
      </c>
      <c r="O86" s="15">
        <v>27369479984</v>
      </c>
      <c r="P86" s="38"/>
      <c r="Q86" s="38"/>
      <c r="R86" s="38"/>
      <c r="S86" s="38"/>
      <c r="T86" s="38"/>
      <c r="U86" s="17" t="s">
        <v>215</v>
      </c>
      <c r="V86" s="16" t="s">
        <v>915</v>
      </c>
      <c r="W86" s="12">
        <v>42583</v>
      </c>
      <c r="X86" s="13"/>
      <c r="Y86" s="12">
        <v>42735</v>
      </c>
      <c r="Z86" s="2"/>
      <c r="AA86" s="2"/>
      <c r="AB86" s="7"/>
      <c r="AC86" s="5"/>
      <c r="AD86" s="5"/>
      <c r="AE86" s="5"/>
      <c r="AF86" s="5">
        <f t="shared" si="20"/>
        <v>0</v>
      </c>
      <c r="AG86" s="5">
        <v>1310</v>
      </c>
      <c r="AH86" s="5"/>
      <c r="AI86" s="5">
        <f t="shared" ref="AI86:AJ86" si="88">+AH86</f>
        <v>0</v>
      </c>
      <c r="AJ86" s="5">
        <f t="shared" si="88"/>
        <v>0</v>
      </c>
      <c r="AK86" s="2"/>
      <c r="AL86" s="106"/>
    </row>
    <row r="87" spans="1:38" s="6" customFormat="1" ht="15" customHeight="1" x14ac:dyDescent="0.2">
      <c r="A87" s="29" t="s">
        <v>824</v>
      </c>
      <c r="B87" s="29" t="s">
        <v>822</v>
      </c>
      <c r="C87" s="3"/>
      <c r="D87" s="2" t="s">
        <v>956</v>
      </c>
      <c r="E87" s="2" t="s">
        <v>956</v>
      </c>
      <c r="F87" s="2"/>
      <c r="G87" s="2"/>
      <c r="H87" s="2"/>
      <c r="I87" s="2"/>
      <c r="J87" s="28"/>
      <c r="K87" s="28"/>
      <c r="L87" s="41" t="s">
        <v>1850</v>
      </c>
      <c r="M87" s="7" t="s">
        <v>3</v>
      </c>
      <c r="N87" s="15">
        <v>38011494</v>
      </c>
      <c r="O87" s="15">
        <v>27380114947</v>
      </c>
      <c r="P87" s="38"/>
      <c r="Q87" s="38"/>
      <c r="R87" s="38"/>
      <c r="S87" s="38"/>
      <c r="T87" s="38"/>
      <c r="U87" s="17" t="s">
        <v>215</v>
      </c>
      <c r="V87" s="16" t="s">
        <v>915</v>
      </c>
      <c r="W87" s="12">
        <v>42583</v>
      </c>
      <c r="X87" s="13"/>
      <c r="Y87" s="12">
        <v>42735</v>
      </c>
      <c r="Z87" s="2"/>
      <c r="AA87" s="2"/>
      <c r="AB87" s="7"/>
      <c r="AC87" s="5"/>
      <c r="AD87" s="5"/>
      <c r="AE87" s="5"/>
      <c r="AF87" s="5">
        <f t="shared" ref="AF87:AF150" si="89">+AC87*1.31</f>
        <v>0</v>
      </c>
      <c r="AG87" s="5">
        <v>1310</v>
      </c>
      <c r="AH87" s="5"/>
      <c r="AI87" s="5">
        <f t="shared" ref="AI87:AJ87" si="90">+AH87</f>
        <v>0</v>
      </c>
      <c r="AJ87" s="5">
        <f t="shared" si="90"/>
        <v>0</v>
      </c>
      <c r="AK87" s="2"/>
      <c r="AL87" s="106"/>
    </row>
    <row r="88" spans="1:38" s="6" customFormat="1" ht="15" customHeight="1" x14ac:dyDescent="0.2">
      <c r="A88" s="29" t="s">
        <v>824</v>
      </c>
      <c r="B88" s="29" t="s">
        <v>822</v>
      </c>
      <c r="C88" s="3"/>
      <c r="D88" s="2" t="s">
        <v>956</v>
      </c>
      <c r="E88" s="2" t="s">
        <v>956</v>
      </c>
      <c r="F88" s="2"/>
      <c r="G88" s="2"/>
      <c r="H88" s="2"/>
      <c r="I88" s="2"/>
      <c r="J88" s="28"/>
      <c r="K88" s="28"/>
      <c r="L88" s="41" t="s">
        <v>1851</v>
      </c>
      <c r="M88" s="7" t="s">
        <v>3</v>
      </c>
      <c r="N88" s="15">
        <v>34332288</v>
      </c>
      <c r="O88" s="15">
        <v>27343322882</v>
      </c>
      <c r="P88" s="38"/>
      <c r="Q88" s="38"/>
      <c r="R88" s="38"/>
      <c r="S88" s="38"/>
      <c r="T88" s="38"/>
      <c r="U88" s="17" t="s">
        <v>215</v>
      </c>
      <c r="V88" s="16" t="s">
        <v>915</v>
      </c>
      <c r="W88" s="12">
        <v>42583</v>
      </c>
      <c r="X88" s="13"/>
      <c r="Y88" s="12">
        <v>42735</v>
      </c>
      <c r="Z88" s="2"/>
      <c r="AA88" s="2"/>
      <c r="AB88" s="7"/>
      <c r="AC88" s="5"/>
      <c r="AD88" s="5"/>
      <c r="AE88" s="5"/>
      <c r="AF88" s="5">
        <f t="shared" si="89"/>
        <v>0</v>
      </c>
      <c r="AG88" s="5">
        <v>1310</v>
      </c>
      <c r="AH88" s="5"/>
      <c r="AI88" s="5">
        <f t="shared" ref="AI88:AJ88" si="91">+AH88</f>
        <v>0</v>
      </c>
      <c r="AJ88" s="5">
        <f t="shared" si="91"/>
        <v>0</v>
      </c>
      <c r="AK88" s="2"/>
      <c r="AL88" s="106"/>
    </row>
    <row r="89" spans="1:38" s="6" customFormat="1" ht="15" customHeight="1" x14ac:dyDescent="0.2">
      <c r="A89" s="29" t="s">
        <v>824</v>
      </c>
      <c r="B89" s="29" t="s">
        <v>822</v>
      </c>
      <c r="C89" s="3"/>
      <c r="D89" s="2" t="s">
        <v>956</v>
      </c>
      <c r="E89" s="2" t="s">
        <v>956</v>
      </c>
      <c r="F89" s="2"/>
      <c r="G89" s="2"/>
      <c r="H89" s="2"/>
      <c r="I89" s="2"/>
      <c r="J89" s="28"/>
      <c r="K89" s="28"/>
      <c r="L89" s="41" t="s">
        <v>1852</v>
      </c>
      <c r="M89" s="7" t="s">
        <v>3</v>
      </c>
      <c r="N89" s="15">
        <v>36785043</v>
      </c>
      <c r="O89" s="15">
        <v>36785043</v>
      </c>
      <c r="P89" s="38"/>
      <c r="Q89" s="38"/>
      <c r="R89" s="38"/>
      <c r="S89" s="38"/>
      <c r="T89" s="38"/>
      <c r="U89" s="17" t="s">
        <v>215</v>
      </c>
      <c r="V89" s="16" t="s">
        <v>915</v>
      </c>
      <c r="W89" s="12">
        <v>42583</v>
      </c>
      <c r="X89" s="13"/>
      <c r="Y89" s="12">
        <v>42735</v>
      </c>
      <c r="Z89" s="2"/>
      <c r="AA89" s="2"/>
      <c r="AB89" s="7"/>
      <c r="AC89" s="5"/>
      <c r="AD89" s="5"/>
      <c r="AE89" s="5"/>
      <c r="AF89" s="5">
        <f t="shared" si="89"/>
        <v>0</v>
      </c>
      <c r="AG89" s="5">
        <v>1310</v>
      </c>
      <c r="AH89" s="5"/>
      <c r="AI89" s="5">
        <f t="shared" ref="AI89:AJ89" si="92">+AH89</f>
        <v>0</v>
      </c>
      <c r="AJ89" s="5">
        <f t="shared" si="92"/>
        <v>0</v>
      </c>
      <c r="AK89" s="2"/>
      <c r="AL89" s="106"/>
    </row>
    <row r="90" spans="1:38" s="6" customFormat="1" ht="15" customHeight="1" x14ac:dyDescent="0.2">
      <c r="A90" s="29" t="s">
        <v>824</v>
      </c>
      <c r="B90" s="29" t="s">
        <v>822</v>
      </c>
      <c r="C90" s="3"/>
      <c r="D90" s="2" t="s">
        <v>956</v>
      </c>
      <c r="E90" s="2" t="s">
        <v>956</v>
      </c>
      <c r="F90" s="2"/>
      <c r="G90" s="2"/>
      <c r="H90" s="2"/>
      <c r="I90" s="2"/>
      <c r="J90" s="28"/>
      <c r="K90" s="28"/>
      <c r="L90" s="41" t="s">
        <v>1853</v>
      </c>
      <c r="M90" s="7" t="s">
        <v>3</v>
      </c>
      <c r="N90" s="15">
        <v>33623466</v>
      </c>
      <c r="O90" s="15">
        <v>33623466</v>
      </c>
      <c r="P90" s="38"/>
      <c r="Q90" s="38"/>
      <c r="R90" s="38"/>
      <c r="S90" s="38"/>
      <c r="T90" s="38"/>
      <c r="U90" s="17" t="s">
        <v>215</v>
      </c>
      <c r="V90" s="16" t="s">
        <v>915</v>
      </c>
      <c r="W90" s="12">
        <v>42583</v>
      </c>
      <c r="X90" s="13"/>
      <c r="Y90" s="12">
        <v>42735</v>
      </c>
      <c r="Z90" s="2"/>
      <c r="AA90" s="2"/>
      <c r="AB90" s="7"/>
      <c r="AC90" s="5"/>
      <c r="AD90" s="5"/>
      <c r="AE90" s="5"/>
      <c r="AF90" s="5">
        <f t="shared" si="89"/>
        <v>0</v>
      </c>
      <c r="AG90" s="5">
        <v>1310</v>
      </c>
      <c r="AH90" s="5"/>
      <c r="AI90" s="5">
        <f t="shared" ref="AI90:AJ90" si="93">+AH90</f>
        <v>0</v>
      </c>
      <c r="AJ90" s="5">
        <f t="shared" si="93"/>
        <v>0</v>
      </c>
      <c r="AK90" s="2"/>
      <c r="AL90" s="106"/>
    </row>
    <row r="91" spans="1:38" s="6" customFormat="1" ht="15" customHeight="1" x14ac:dyDescent="0.2">
      <c r="A91" s="29" t="s">
        <v>824</v>
      </c>
      <c r="B91" s="29" t="s">
        <v>822</v>
      </c>
      <c r="C91" s="3"/>
      <c r="D91" s="2" t="s">
        <v>956</v>
      </c>
      <c r="E91" s="2" t="s">
        <v>956</v>
      </c>
      <c r="F91" s="2"/>
      <c r="G91" s="2"/>
      <c r="H91" s="2"/>
      <c r="I91" s="2"/>
      <c r="J91" s="28"/>
      <c r="K91" s="28"/>
      <c r="L91" s="41" t="s">
        <v>1854</v>
      </c>
      <c r="M91" s="7" t="s">
        <v>3</v>
      </c>
      <c r="N91" s="15">
        <v>34021830</v>
      </c>
      <c r="O91" s="15">
        <v>27340218308</v>
      </c>
      <c r="P91" s="38"/>
      <c r="Q91" s="38"/>
      <c r="R91" s="38"/>
      <c r="S91" s="38"/>
      <c r="T91" s="38"/>
      <c r="U91" s="17" t="s">
        <v>215</v>
      </c>
      <c r="V91" s="16" t="s">
        <v>915</v>
      </c>
      <c r="W91" s="12">
        <v>42583</v>
      </c>
      <c r="X91" s="13"/>
      <c r="Y91" s="12">
        <v>42735</v>
      </c>
      <c r="Z91" s="2"/>
      <c r="AA91" s="2"/>
      <c r="AB91" s="7"/>
      <c r="AC91" s="5"/>
      <c r="AD91" s="5"/>
      <c r="AE91" s="5"/>
      <c r="AF91" s="5">
        <f t="shared" si="89"/>
        <v>0</v>
      </c>
      <c r="AG91" s="5">
        <v>1310</v>
      </c>
      <c r="AH91" s="5"/>
      <c r="AI91" s="5">
        <f t="shared" ref="AI91:AJ91" si="94">+AH91</f>
        <v>0</v>
      </c>
      <c r="AJ91" s="5">
        <f t="shared" si="94"/>
        <v>0</v>
      </c>
      <c r="AK91" s="2"/>
      <c r="AL91" s="106"/>
    </row>
    <row r="92" spans="1:38" s="6" customFormat="1" ht="15" customHeight="1" x14ac:dyDescent="0.2">
      <c r="A92" s="29" t="s">
        <v>824</v>
      </c>
      <c r="B92" s="29" t="s">
        <v>822</v>
      </c>
      <c r="C92" s="3"/>
      <c r="D92" s="2" t="s">
        <v>956</v>
      </c>
      <c r="E92" s="2" t="s">
        <v>956</v>
      </c>
      <c r="F92" s="2"/>
      <c r="G92" s="2"/>
      <c r="H92" s="2"/>
      <c r="I92" s="2"/>
      <c r="J92" s="28"/>
      <c r="K92" s="28"/>
      <c r="L92" s="41" t="s">
        <v>1855</v>
      </c>
      <c r="M92" s="7" t="s">
        <v>3</v>
      </c>
      <c r="N92" s="15">
        <v>18833698</v>
      </c>
      <c r="O92" s="15">
        <v>20188336982</v>
      </c>
      <c r="P92" s="38"/>
      <c r="Q92" s="38"/>
      <c r="R92" s="38"/>
      <c r="S92" s="38"/>
      <c r="T92" s="38"/>
      <c r="U92" s="17" t="s">
        <v>215</v>
      </c>
      <c r="V92" s="16" t="s">
        <v>915</v>
      </c>
      <c r="W92" s="12">
        <v>42583</v>
      </c>
      <c r="X92" s="13"/>
      <c r="Y92" s="12">
        <v>42735</v>
      </c>
      <c r="Z92" s="2"/>
      <c r="AA92" s="2"/>
      <c r="AB92" s="7"/>
      <c r="AC92" s="5"/>
      <c r="AD92" s="5"/>
      <c r="AE92" s="5"/>
      <c r="AF92" s="5">
        <f t="shared" si="89"/>
        <v>0</v>
      </c>
      <c r="AG92" s="5">
        <v>1310</v>
      </c>
      <c r="AH92" s="5"/>
      <c r="AI92" s="5">
        <f t="shared" ref="AI92:AJ92" si="95">+AH92</f>
        <v>0</v>
      </c>
      <c r="AJ92" s="5">
        <f t="shared" si="95"/>
        <v>0</v>
      </c>
      <c r="AK92" s="2"/>
      <c r="AL92" s="106"/>
    </row>
    <row r="93" spans="1:38" s="6" customFormat="1" ht="15" customHeight="1" x14ac:dyDescent="0.2">
      <c r="A93" s="29" t="s">
        <v>824</v>
      </c>
      <c r="B93" s="29" t="s">
        <v>822</v>
      </c>
      <c r="C93" s="3"/>
      <c r="D93" s="2" t="s">
        <v>956</v>
      </c>
      <c r="E93" s="2" t="s">
        <v>956</v>
      </c>
      <c r="F93" s="2"/>
      <c r="G93" s="2"/>
      <c r="H93" s="2"/>
      <c r="I93" s="2"/>
      <c r="J93" s="28"/>
      <c r="K93" s="28"/>
      <c r="L93" s="41" t="s">
        <v>1856</v>
      </c>
      <c r="M93" s="7" t="s">
        <v>3</v>
      </c>
      <c r="N93" s="15">
        <v>36529503</v>
      </c>
      <c r="O93" s="15">
        <v>23365295034</v>
      </c>
      <c r="P93" s="38"/>
      <c r="Q93" s="38"/>
      <c r="R93" s="38"/>
      <c r="S93" s="38"/>
      <c r="T93" s="38"/>
      <c r="U93" s="17" t="s">
        <v>215</v>
      </c>
      <c r="V93" s="16" t="s">
        <v>915</v>
      </c>
      <c r="W93" s="12">
        <v>42583</v>
      </c>
      <c r="X93" s="13"/>
      <c r="Y93" s="12">
        <v>42735</v>
      </c>
      <c r="Z93" s="2"/>
      <c r="AA93" s="2"/>
      <c r="AB93" s="7"/>
      <c r="AC93" s="5"/>
      <c r="AD93" s="5"/>
      <c r="AE93" s="5"/>
      <c r="AF93" s="5">
        <f t="shared" si="89"/>
        <v>0</v>
      </c>
      <c r="AG93" s="5">
        <v>1310</v>
      </c>
      <c r="AH93" s="5"/>
      <c r="AI93" s="5">
        <f t="shared" ref="AI93:AJ93" si="96">+AH93</f>
        <v>0</v>
      </c>
      <c r="AJ93" s="5">
        <f t="shared" si="96"/>
        <v>0</v>
      </c>
      <c r="AK93" s="2"/>
      <c r="AL93" s="106"/>
    </row>
    <row r="94" spans="1:38" s="6" customFormat="1" ht="15" customHeight="1" x14ac:dyDescent="0.2">
      <c r="A94" s="29" t="s">
        <v>824</v>
      </c>
      <c r="B94" s="29" t="s">
        <v>822</v>
      </c>
      <c r="C94" s="3"/>
      <c r="D94" s="2" t="s">
        <v>956</v>
      </c>
      <c r="E94" s="2" t="s">
        <v>956</v>
      </c>
      <c r="F94" s="2"/>
      <c r="G94" s="2"/>
      <c r="H94" s="2"/>
      <c r="I94" s="2"/>
      <c r="J94" s="28"/>
      <c r="K94" s="28"/>
      <c r="L94" s="41" t="s">
        <v>1857</v>
      </c>
      <c r="M94" s="7" t="s">
        <v>3</v>
      </c>
      <c r="N94" s="15">
        <v>39098292</v>
      </c>
      <c r="O94" s="15">
        <v>39098292</v>
      </c>
      <c r="P94" s="38"/>
      <c r="Q94" s="38"/>
      <c r="R94" s="38"/>
      <c r="S94" s="38"/>
      <c r="T94" s="38"/>
      <c r="U94" s="17" t="s">
        <v>215</v>
      </c>
      <c r="V94" s="16" t="s">
        <v>915</v>
      </c>
      <c r="W94" s="12">
        <v>42583</v>
      </c>
      <c r="X94" s="13"/>
      <c r="Y94" s="12">
        <v>42735</v>
      </c>
      <c r="Z94" s="2"/>
      <c r="AA94" s="2"/>
      <c r="AB94" s="7"/>
      <c r="AC94" s="5"/>
      <c r="AD94" s="5"/>
      <c r="AE94" s="5"/>
      <c r="AF94" s="5">
        <f t="shared" si="89"/>
        <v>0</v>
      </c>
      <c r="AG94" s="5">
        <v>1310</v>
      </c>
      <c r="AH94" s="5"/>
      <c r="AI94" s="5">
        <f t="shared" ref="AI94:AJ94" si="97">+AH94</f>
        <v>0</v>
      </c>
      <c r="AJ94" s="5">
        <f t="shared" si="97"/>
        <v>0</v>
      </c>
      <c r="AK94" s="2"/>
      <c r="AL94" s="106"/>
    </row>
    <row r="95" spans="1:38" s="6" customFormat="1" ht="15" customHeight="1" x14ac:dyDescent="0.2">
      <c r="A95" s="29" t="s">
        <v>824</v>
      </c>
      <c r="B95" s="29" t="s">
        <v>822</v>
      </c>
      <c r="C95" s="29"/>
      <c r="D95" s="2" t="s">
        <v>956</v>
      </c>
      <c r="E95" s="2" t="s">
        <v>956</v>
      </c>
      <c r="F95" s="3"/>
      <c r="G95" s="3"/>
      <c r="H95" s="2"/>
      <c r="I95" s="2"/>
      <c r="J95" s="28"/>
      <c r="K95" s="28"/>
      <c r="L95" s="41" t="s">
        <v>1803</v>
      </c>
      <c r="M95" s="4" t="s">
        <v>3</v>
      </c>
      <c r="N95" s="15">
        <v>1826888</v>
      </c>
      <c r="O95" s="88">
        <v>23018268884</v>
      </c>
      <c r="P95" s="38"/>
      <c r="Q95" s="38"/>
      <c r="R95" s="38"/>
      <c r="S95" s="38"/>
      <c r="T95" s="38"/>
      <c r="U95" s="17"/>
      <c r="V95" s="17" t="s">
        <v>915</v>
      </c>
      <c r="W95" s="12">
        <v>42552</v>
      </c>
      <c r="X95" s="48"/>
      <c r="Y95" s="48">
        <v>42643</v>
      </c>
      <c r="Z95" s="2"/>
      <c r="AA95" s="2" t="s">
        <v>479</v>
      </c>
      <c r="AB95" s="3"/>
      <c r="AC95" s="5"/>
      <c r="AD95" s="5"/>
      <c r="AE95" s="5">
        <v>1170</v>
      </c>
      <c r="AF95" s="5">
        <f t="shared" si="89"/>
        <v>0</v>
      </c>
      <c r="AG95" s="5">
        <v>1310</v>
      </c>
      <c r="AH95" s="5" t="s">
        <v>1818</v>
      </c>
      <c r="AI95" s="5" t="str">
        <f t="shared" ref="AI95:AJ95" si="98">+AH95</f>
        <v xml:space="preserve"> --</v>
      </c>
      <c r="AJ95" s="5" t="str">
        <f t="shared" si="98"/>
        <v xml:space="preserve"> --</v>
      </c>
      <c r="AK95" s="2"/>
      <c r="AL95" s="105"/>
    </row>
    <row r="96" spans="1:38" s="6" customFormat="1" ht="15" customHeight="1" x14ac:dyDescent="0.2">
      <c r="A96" s="29" t="s">
        <v>824</v>
      </c>
      <c r="B96" s="29" t="s">
        <v>822</v>
      </c>
      <c r="C96" s="29" t="s">
        <v>823</v>
      </c>
      <c r="D96" s="2" t="s">
        <v>800</v>
      </c>
      <c r="E96" s="2" t="s">
        <v>486</v>
      </c>
      <c r="F96" s="2"/>
      <c r="G96" s="2"/>
      <c r="H96" s="2" t="s">
        <v>1710</v>
      </c>
      <c r="I96" s="2" t="s">
        <v>1710</v>
      </c>
      <c r="J96" s="28"/>
      <c r="K96" s="28"/>
      <c r="L96" s="42" t="s">
        <v>1697</v>
      </c>
      <c r="M96" s="7" t="s">
        <v>3</v>
      </c>
      <c r="N96" s="15">
        <v>24671609</v>
      </c>
      <c r="O96" s="88"/>
      <c r="P96" s="38"/>
      <c r="Q96" s="38"/>
      <c r="R96" s="38"/>
      <c r="S96" s="38"/>
      <c r="T96" s="38"/>
      <c r="U96" s="16"/>
      <c r="V96" s="17" t="s">
        <v>1698</v>
      </c>
      <c r="W96" s="12"/>
      <c r="X96" s="12"/>
      <c r="Y96" s="12">
        <v>42735</v>
      </c>
      <c r="Z96" s="2"/>
      <c r="AA96" s="2"/>
      <c r="AB96" s="18"/>
      <c r="AC96" s="5">
        <v>1000</v>
      </c>
      <c r="AD96" s="5">
        <v>1070</v>
      </c>
      <c r="AE96" s="5">
        <v>1170</v>
      </c>
      <c r="AF96" s="5">
        <f t="shared" si="89"/>
        <v>1310</v>
      </c>
      <c r="AG96" s="5">
        <f t="shared" ref="AG96:AH115" si="99">+AF96</f>
        <v>1310</v>
      </c>
      <c r="AH96" s="5">
        <f t="shared" si="99"/>
        <v>1310</v>
      </c>
      <c r="AI96" s="5">
        <f t="shared" ref="AI96:AJ96" si="100">+AH96</f>
        <v>1310</v>
      </c>
      <c r="AJ96" s="5">
        <f t="shared" si="100"/>
        <v>1310</v>
      </c>
      <c r="AK96" s="2"/>
      <c r="AL96" s="107" t="s">
        <v>1818</v>
      </c>
    </row>
    <row r="97" spans="1:38" s="6" customFormat="1" ht="15" customHeight="1" x14ac:dyDescent="0.2">
      <c r="A97" s="29" t="s">
        <v>824</v>
      </c>
      <c r="B97" s="29" t="s">
        <v>822</v>
      </c>
      <c r="C97" s="29" t="s">
        <v>823</v>
      </c>
      <c r="D97" s="2" t="s">
        <v>1820</v>
      </c>
      <c r="E97" s="2"/>
      <c r="F97" s="3"/>
      <c r="G97" s="3"/>
      <c r="H97" s="2" t="s">
        <v>884</v>
      </c>
      <c r="I97" s="2" t="s">
        <v>1707</v>
      </c>
      <c r="J97" s="28"/>
      <c r="K97" s="28" t="s">
        <v>1765</v>
      </c>
      <c r="L97" s="41" t="s">
        <v>1619</v>
      </c>
      <c r="M97" s="7" t="s">
        <v>3</v>
      </c>
      <c r="N97" s="15">
        <v>32771136</v>
      </c>
      <c r="O97" s="88">
        <v>27327711364</v>
      </c>
      <c r="P97" s="38">
        <v>31713</v>
      </c>
      <c r="Q97" s="38"/>
      <c r="R97" s="38"/>
      <c r="S97" s="38"/>
      <c r="T97" s="38"/>
      <c r="U97" s="17" t="s">
        <v>215</v>
      </c>
      <c r="V97" s="17" t="s">
        <v>915</v>
      </c>
      <c r="W97" s="12">
        <v>42491</v>
      </c>
      <c r="X97" s="48"/>
      <c r="Y97" s="12">
        <v>42735</v>
      </c>
      <c r="Z97" s="2"/>
      <c r="AA97" s="2" t="s">
        <v>479</v>
      </c>
      <c r="AB97" s="3"/>
      <c r="AC97" s="5"/>
      <c r="AD97" s="5">
        <v>1070</v>
      </c>
      <c r="AE97" s="5">
        <v>1170</v>
      </c>
      <c r="AF97" s="5">
        <f t="shared" si="89"/>
        <v>0</v>
      </c>
      <c r="AG97" s="5">
        <f t="shared" si="99"/>
        <v>0</v>
      </c>
      <c r="AH97" s="5">
        <f t="shared" si="99"/>
        <v>0</v>
      </c>
      <c r="AI97" s="5">
        <f t="shared" ref="AI97:AJ97" si="101">+AH97</f>
        <v>0</v>
      </c>
      <c r="AJ97" s="5">
        <f t="shared" si="101"/>
        <v>0</v>
      </c>
      <c r="AK97" s="29" t="s">
        <v>42</v>
      </c>
      <c r="AL97" s="105" t="str">
        <f>+AK97</f>
        <v>C0</v>
      </c>
    </row>
    <row r="98" spans="1:38" s="6" customFormat="1" ht="15" customHeight="1" x14ac:dyDescent="0.2">
      <c r="A98" s="29" t="s">
        <v>824</v>
      </c>
      <c r="B98" s="29"/>
      <c r="C98" s="14"/>
      <c r="D98" s="2" t="s">
        <v>820</v>
      </c>
      <c r="E98" s="2" t="s">
        <v>837</v>
      </c>
      <c r="F98" s="3"/>
      <c r="G98" s="3"/>
      <c r="H98" s="2"/>
      <c r="I98" s="2" t="s">
        <v>1758</v>
      </c>
      <c r="J98" s="28" t="s">
        <v>73</v>
      </c>
      <c r="K98" s="28" t="s">
        <v>1765</v>
      </c>
      <c r="L98" s="41" t="s">
        <v>509</v>
      </c>
      <c r="M98" s="4" t="s">
        <v>3</v>
      </c>
      <c r="N98" s="15">
        <v>34253913</v>
      </c>
      <c r="O98" s="88" t="s">
        <v>1465</v>
      </c>
      <c r="P98" s="38">
        <v>32479</v>
      </c>
      <c r="Q98" s="38"/>
      <c r="R98" s="38"/>
      <c r="S98" s="38"/>
      <c r="T98" s="38"/>
      <c r="U98" s="17" t="s">
        <v>215</v>
      </c>
      <c r="V98" s="17" t="s">
        <v>915</v>
      </c>
      <c r="W98" s="12">
        <v>41498</v>
      </c>
      <c r="X98" s="13"/>
      <c r="Y98" s="12">
        <v>42735</v>
      </c>
      <c r="Z98" s="2"/>
      <c r="AA98" s="2" t="s">
        <v>479</v>
      </c>
      <c r="AB98" s="2" t="s">
        <v>781</v>
      </c>
      <c r="AC98" s="5">
        <v>1000</v>
      </c>
      <c r="AD98" s="5">
        <f>+AC98*1.07</f>
        <v>1070</v>
      </c>
      <c r="AE98" s="5">
        <v>1170</v>
      </c>
      <c r="AF98" s="5">
        <f t="shared" si="89"/>
        <v>1310</v>
      </c>
      <c r="AG98" s="5">
        <f t="shared" si="99"/>
        <v>1310</v>
      </c>
      <c r="AH98" s="5">
        <f t="shared" si="99"/>
        <v>1310</v>
      </c>
      <c r="AI98" s="5">
        <f t="shared" ref="AI98:AJ98" si="102">+AH98</f>
        <v>1310</v>
      </c>
      <c r="AJ98" s="5">
        <f t="shared" si="102"/>
        <v>1310</v>
      </c>
      <c r="AK98" s="29" t="s">
        <v>42</v>
      </c>
      <c r="AL98" s="105" t="str">
        <f>+AK98</f>
        <v>C0</v>
      </c>
    </row>
    <row r="99" spans="1:38" s="6" customFormat="1" ht="15" customHeight="1" x14ac:dyDescent="0.2">
      <c r="A99" s="29" t="s">
        <v>824</v>
      </c>
      <c r="B99" s="29" t="s">
        <v>822</v>
      </c>
      <c r="C99" s="29" t="s">
        <v>823</v>
      </c>
      <c r="D99" s="2" t="s">
        <v>808</v>
      </c>
      <c r="E99" s="2" t="s">
        <v>20</v>
      </c>
      <c r="F99" s="3"/>
      <c r="G99" s="3"/>
      <c r="H99" s="2" t="s">
        <v>227</v>
      </c>
      <c r="I99" s="3"/>
      <c r="J99" s="28" t="s">
        <v>73</v>
      </c>
      <c r="K99" s="28"/>
      <c r="L99" s="41" t="s">
        <v>85</v>
      </c>
      <c r="M99" s="4" t="s">
        <v>3</v>
      </c>
      <c r="N99" s="15">
        <v>29315234</v>
      </c>
      <c r="O99" s="88">
        <v>27293152344</v>
      </c>
      <c r="P99" s="38"/>
      <c r="Q99" s="38"/>
      <c r="R99" s="38"/>
      <c r="S99" s="38"/>
      <c r="T99" s="38"/>
      <c r="U99" s="16" t="s">
        <v>796</v>
      </c>
      <c r="V99" s="16" t="s">
        <v>916</v>
      </c>
      <c r="W99" s="12">
        <v>42217</v>
      </c>
      <c r="X99" s="12">
        <v>42460</v>
      </c>
      <c r="Y99" s="12">
        <v>42735</v>
      </c>
      <c r="Z99" s="2" t="s">
        <v>42</v>
      </c>
      <c r="AA99" s="2"/>
      <c r="AB99" s="14"/>
      <c r="AC99" s="5">
        <v>1000</v>
      </c>
      <c r="AD99" s="5"/>
      <c r="AE99" s="5">
        <v>1170</v>
      </c>
      <c r="AF99" s="5">
        <f t="shared" si="89"/>
        <v>1310</v>
      </c>
      <c r="AG99" s="5">
        <f t="shared" si="99"/>
        <v>1310</v>
      </c>
      <c r="AH99" s="5">
        <f t="shared" si="99"/>
        <v>1310</v>
      </c>
      <c r="AI99" s="5">
        <f t="shared" ref="AI99:AJ99" si="103">+AH99</f>
        <v>1310</v>
      </c>
      <c r="AJ99" s="5">
        <f t="shared" si="103"/>
        <v>1310</v>
      </c>
      <c r="AK99" s="2"/>
      <c r="AL99" s="105" t="str">
        <f>+Z99</f>
        <v>C0</v>
      </c>
    </row>
    <row r="100" spans="1:38" s="6" customFormat="1" ht="15" customHeight="1" x14ac:dyDescent="0.2">
      <c r="A100" s="29" t="s">
        <v>824</v>
      </c>
      <c r="B100" s="29" t="s">
        <v>822</v>
      </c>
      <c r="C100" s="29" t="s">
        <v>823</v>
      </c>
      <c r="D100" s="2" t="s">
        <v>800</v>
      </c>
      <c r="E100" s="2"/>
      <c r="F100" s="2"/>
      <c r="G100" s="2"/>
      <c r="H100" s="2"/>
      <c r="I100" s="3" t="s">
        <v>1718</v>
      </c>
      <c r="J100" s="28"/>
      <c r="K100" s="28" t="s">
        <v>1767</v>
      </c>
      <c r="L100" s="41" t="s">
        <v>1058</v>
      </c>
      <c r="M100" s="7" t="s">
        <v>3</v>
      </c>
      <c r="N100" s="15">
        <v>37686108</v>
      </c>
      <c r="O100" s="88" t="s">
        <v>1531</v>
      </c>
      <c r="P100" s="38">
        <v>33269</v>
      </c>
      <c r="Q100" s="38"/>
      <c r="R100" s="38"/>
      <c r="S100" s="38"/>
      <c r="T100" s="38"/>
      <c r="U100" s="17" t="s">
        <v>215</v>
      </c>
      <c r="V100" s="16" t="s">
        <v>915</v>
      </c>
      <c r="W100" s="12"/>
      <c r="X100" s="12"/>
      <c r="Y100" s="12">
        <v>42735</v>
      </c>
      <c r="Z100" s="2"/>
      <c r="AA100" s="2" t="s">
        <v>479</v>
      </c>
      <c r="AB100" s="3"/>
      <c r="AC100" s="5"/>
      <c r="AD100" s="5">
        <v>1070</v>
      </c>
      <c r="AE100" s="5">
        <v>1170</v>
      </c>
      <c r="AF100" s="5">
        <f t="shared" si="89"/>
        <v>0</v>
      </c>
      <c r="AG100" s="5">
        <f t="shared" si="99"/>
        <v>0</v>
      </c>
      <c r="AH100" s="5">
        <f t="shared" si="99"/>
        <v>0</v>
      </c>
      <c r="AI100" s="5">
        <f t="shared" ref="AI100:AJ100" si="104">+AH100</f>
        <v>0</v>
      </c>
      <c r="AJ100" s="5">
        <f t="shared" si="104"/>
        <v>0</v>
      </c>
      <c r="AK100" s="29" t="s">
        <v>42</v>
      </c>
      <c r="AL100" s="105" t="str">
        <f>+AK100</f>
        <v>C0</v>
      </c>
    </row>
    <row r="101" spans="1:38" s="6" customFormat="1" ht="15" customHeight="1" x14ac:dyDescent="0.2">
      <c r="A101" s="29" t="s">
        <v>824</v>
      </c>
      <c r="B101" s="2" t="s">
        <v>822</v>
      </c>
      <c r="C101" s="3"/>
      <c r="D101" s="2" t="s">
        <v>825</v>
      </c>
      <c r="E101" s="3" t="s">
        <v>18</v>
      </c>
      <c r="F101" s="2" t="s">
        <v>19</v>
      </c>
      <c r="G101" s="2"/>
      <c r="H101" s="2" t="s">
        <v>35</v>
      </c>
      <c r="I101" s="2" t="s">
        <v>1707</v>
      </c>
      <c r="J101" s="28" t="s">
        <v>548</v>
      </c>
      <c r="K101" s="28" t="s">
        <v>548</v>
      </c>
      <c r="L101" s="41" t="s">
        <v>577</v>
      </c>
      <c r="M101" s="4" t="s">
        <v>3</v>
      </c>
      <c r="N101" s="15">
        <v>32244163</v>
      </c>
      <c r="O101" s="88" t="s">
        <v>1412</v>
      </c>
      <c r="P101" s="38">
        <v>31464</v>
      </c>
      <c r="Q101" s="38"/>
      <c r="R101" s="38"/>
      <c r="S101" s="38"/>
      <c r="T101" s="38"/>
      <c r="U101" s="17" t="s">
        <v>215</v>
      </c>
      <c r="V101" s="17" t="s">
        <v>915</v>
      </c>
      <c r="W101" s="12">
        <v>41030</v>
      </c>
      <c r="X101" s="13"/>
      <c r="Y101" s="12">
        <v>42735</v>
      </c>
      <c r="Z101" s="2"/>
      <c r="AA101" s="2" t="s">
        <v>479</v>
      </c>
      <c r="AB101" s="7" t="s">
        <v>787</v>
      </c>
      <c r="AC101" s="5">
        <v>1000</v>
      </c>
      <c r="AD101" s="5">
        <f>+AC101</f>
        <v>1000</v>
      </c>
      <c r="AE101" s="5">
        <v>1170</v>
      </c>
      <c r="AF101" s="5">
        <f t="shared" si="89"/>
        <v>1310</v>
      </c>
      <c r="AG101" s="5">
        <f t="shared" si="99"/>
        <v>1310</v>
      </c>
      <c r="AH101" s="5">
        <f t="shared" si="99"/>
        <v>1310</v>
      </c>
      <c r="AI101" s="5">
        <f t="shared" ref="AI101:AJ101" si="105">+AH101</f>
        <v>1310</v>
      </c>
      <c r="AJ101" s="5">
        <f t="shared" si="105"/>
        <v>1310</v>
      </c>
      <c r="AK101" s="2"/>
      <c r="AL101" s="8"/>
    </row>
    <row r="102" spans="1:38" s="6" customFormat="1" ht="15" customHeight="1" x14ac:dyDescent="0.2">
      <c r="A102" s="29" t="s">
        <v>824</v>
      </c>
      <c r="B102" s="29" t="s">
        <v>822</v>
      </c>
      <c r="C102" s="29" t="s">
        <v>823</v>
      </c>
      <c r="D102" s="2" t="s">
        <v>808</v>
      </c>
      <c r="E102" s="2" t="s">
        <v>517</v>
      </c>
      <c r="F102" s="2"/>
      <c r="G102" s="2"/>
      <c r="H102" s="2"/>
      <c r="I102" s="3"/>
      <c r="J102" s="28" t="s">
        <v>73</v>
      </c>
      <c r="K102" s="28" t="s">
        <v>1765</v>
      </c>
      <c r="L102" s="41" t="s">
        <v>288</v>
      </c>
      <c r="M102" s="4" t="s">
        <v>3</v>
      </c>
      <c r="N102" s="15">
        <v>29146267</v>
      </c>
      <c r="O102" s="88">
        <v>20291462678</v>
      </c>
      <c r="P102" s="38"/>
      <c r="Q102" s="38"/>
      <c r="R102" s="38"/>
      <c r="S102" s="38"/>
      <c r="T102" s="38"/>
      <c r="U102" s="16" t="s">
        <v>796</v>
      </c>
      <c r="V102" s="16" t="s">
        <v>916</v>
      </c>
      <c r="W102" s="12">
        <v>41061</v>
      </c>
      <c r="X102" s="48">
        <v>42735</v>
      </c>
      <c r="Y102" s="12">
        <v>42735</v>
      </c>
      <c r="Z102" s="2" t="s">
        <v>42</v>
      </c>
      <c r="AA102" s="2"/>
      <c r="AB102" s="18"/>
      <c r="AC102" s="5">
        <v>1000</v>
      </c>
      <c r="AD102" s="5"/>
      <c r="AE102" s="5">
        <v>1170</v>
      </c>
      <c r="AF102" s="5">
        <f t="shared" si="89"/>
        <v>1310</v>
      </c>
      <c r="AG102" s="5">
        <f t="shared" si="99"/>
        <v>1310</v>
      </c>
      <c r="AH102" s="5">
        <f t="shared" si="99"/>
        <v>1310</v>
      </c>
      <c r="AI102" s="5">
        <f t="shared" ref="AI102:AJ102" si="106">+AH102</f>
        <v>1310</v>
      </c>
      <c r="AJ102" s="5">
        <f t="shared" si="106"/>
        <v>1310</v>
      </c>
      <c r="AK102" s="2"/>
      <c r="AL102" s="105" t="str">
        <f>+Z102</f>
        <v>C0</v>
      </c>
    </row>
    <row r="103" spans="1:38" s="6" customFormat="1" ht="15" customHeight="1" x14ac:dyDescent="0.2">
      <c r="A103" s="29" t="s">
        <v>824</v>
      </c>
      <c r="B103" s="29"/>
      <c r="C103" s="14"/>
      <c r="D103" s="2" t="s">
        <v>819</v>
      </c>
      <c r="E103" s="2"/>
      <c r="F103" s="3"/>
      <c r="G103" s="3"/>
      <c r="H103" s="2" t="s">
        <v>884</v>
      </c>
      <c r="I103" s="2" t="s">
        <v>1707</v>
      </c>
      <c r="J103" s="28"/>
      <c r="K103" s="28" t="s">
        <v>1765</v>
      </c>
      <c r="L103" s="41" t="s">
        <v>860</v>
      </c>
      <c r="M103" s="4" t="s">
        <v>3</v>
      </c>
      <c r="N103" s="15">
        <v>17944793</v>
      </c>
      <c r="O103" s="88">
        <v>20179447939</v>
      </c>
      <c r="P103" s="38">
        <v>24355</v>
      </c>
      <c r="Q103" s="38"/>
      <c r="R103" s="38"/>
      <c r="S103" s="38"/>
      <c r="T103" s="38"/>
      <c r="U103" s="17" t="s">
        <v>215</v>
      </c>
      <c r="V103" s="17" t="s">
        <v>915</v>
      </c>
      <c r="W103" s="12">
        <v>42370</v>
      </c>
      <c r="X103" s="48"/>
      <c r="Y103" s="12">
        <v>42735</v>
      </c>
      <c r="Z103" s="2"/>
      <c r="AA103" s="2" t="s">
        <v>479</v>
      </c>
      <c r="AB103" s="3" t="s">
        <v>10</v>
      </c>
      <c r="AC103" s="5">
        <v>1000</v>
      </c>
      <c r="AD103" s="5">
        <f>+AC103*1.07</f>
        <v>1070</v>
      </c>
      <c r="AE103" s="5">
        <v>1170</v>
      </c>
      <c r="AF103" s="5">
        <f t="shared" si="89"/>
        <v>1310</v>
      </c>
      <c r="AG103" s="5">
        <f t="shared" si="99"/>
        <v>1310</v>
      </c>
      <c r="AH103" s="5">
        <f t="shared" si="99"/>
        <v>1310</v>
      </c>
      <c r="AI103" s="5">
        <f t="shared" ref="AI103:AJ103" si="107">+AH103</f>
        <v>1310</v>
      </c>
      <c r="AJ103" s="5">
        <f t="shared" si="107"/>
        <v>1310</v>
      </c>
      <c r="AK103" s="29" t="s">
        <v>42</v>
      </c>
      <c r="AL103" s="105" t="str">
        <f t="shared" ref="AL103:AL108" si="108">+AK103</f>
        <v>C0</v>
      </c>
    </row>
    <row r="104" spans="1:38" s="6" customFormat="1" ht="15" customHeight="1" x14ac:dyDescent="0.2">
      <c r="A104" s="29" t="s">
        <v>824</v>
      </c>
      <c r="B104" s="29" t="s">
        <v>822</v>
      </c>
      <c r="C104" s="29" t="s">
        <v>823</v>
      </c>
      <c r="D104" s="2" t="s">
        <v>808</v>
      </c>
      <c r="E104" s="2" t="s">
        <v>216</v>
      </c>
      <c r="F104" s="3"/>
      <c r="G104" s="3"/>
      <c r="H104" s="2" t="s">
        <v>228</v>
      </c>
      <c r="I104" s="2" t="s">
        <v>225</v>
      </c>
      <c r="J104" s="28" t="s">
        <v>73</v>
      </c>
      <c r="K104" s="28" t="s">
        <v>1765</v>
      </c>
      <c r="L104" s="41" t="s">
        <v>86</v>
      </c>
      <c r="M104" s="4" t="s">
        <v>3</v>
      </c>
      <c r="N104" s="15">
        <v>32143655</v>
      </c>
      <c r="O104" s="88">
        <v>20321436553</v>
      </c>
      <c r="P104" s="38">
        <v>31472</v>
      </c>
      <c r="Q104" s="38"/>
      <c r="R104" s="38"/>
      <c r="S104" s="38"/>
      <c r="T104" s="38"/>
      <c r="U104" s="17" t="s">
        <v>215</v>
      </c>
      <c r="V104" s="17" t="s">
        <v>915</v>
      </c>
      <c r="W104" s="12">
        <v>42217</v>
      </c>
      <c r="X104" s="13"/>
      <c r="Y104" s="12">
        <v>42735</v>
      </c>
      <c r="Z104" s="2"/>
      <c r="AA104" s="2" t="s">
        <v>479</v>
      </c>
      <c r="AB104" s="7" t="s">
        <v>61</v>
      </c>
      <c r="AC104" s="5">
        <v>1000</v>
      </c>
      <c r="AD104" s="5">
        <f>+AC104*1.07</f>
        <v>1070</v>
      </c>
      <c r="AE104" s="5">
        <v>1170</v>
      </c>
      <c r="AF104" s="5">
        <f t="shared" si="89"/>
        <v>1310</v>
      </c>
      <c r="AG104" s="5">
        <f t="shared" si="99"/>
        <v>1310</v>
      </c>
      <c r="AH104" s="5">
        <f t="shared" si="99"/>
        <v>1310</v>
      </c>
      <c r="AI104" s="5">
        <f t="shared" ref="AI104:AJ104" si="109">+AH104</f>
        <v>1310</v>
      </c>
      <c r="AJ104" s="5">
        <f t="shared" si="109"/>
        <v>1310</v>
      </c>
      <c r="AK104" s="29" t="s">
        <v>42</v>
      </c>
      <c r="AL104" s="105" t="str">
        <f t="shared" si="108"/>
        <v>C0</v>
      </c>
    </row>
    <row r="105" spans="1:38" s="6" customFormat="1" ht="15" customHeight="1" x14ac:dyDescent="0.2">
      <c r="A105" s="29" t="s">
        <v>824</v>
      </c>
      <c r="B105" s="29" t="s">
        <v>822</v>
      </c>
      <c r="C105" s="29" t="s">
        <v>823</v>
      </c>
      <c r="D105" s="2" t="s">
        <v>800</v>
      </c>
      <c r="E105" s="7" t="s">
        <v>541</v>
      </c>
      <c r="F105" s="7"/>
      <c r="G105" s="7"/>
      <c r="H105" s="8"/>
      <c r="I105" s="3" t="s">
        <v>1724</v>
      </c>
      <c r="J105" s="28" t="s">
        <v>254</v>
      </c>
      <c r="K105" s="28" t="s">
        <v>1767</v>
      </c>
      <c r="L105" s="41" t="s">
        <v>419</v>
      </c>
      <c r="M105" s="4" t="s">
        <v>3</v>
      </c>
      <c r="N105" s="15">
        <v>17283320</v>
      </c>
      <c r="O105" s="88" t="s">
        <v>1172</v>
      </c>
      <c r="P105" s="38">
        <v>23678</v>
      </c>
      <c r="Q105" s="38"/>
      <c r="R105" s="38"/>
      <c r="S105" s="38"/>
      <c r="T105" s="38"/>
      <c r="U105" s="17" t="s">
        <v>215</v>
      </c>
      <c r="V105" s="17" t="s">
        <v>915</v>
      </c>
      <c r="W105" s="12">
        <v>41821</v>
      </c>
      <c r="X105" s="13"/>
      <c r="Y105" s="12">
        <v>42735</v>
      </c>
      <c r="Z105" s="2"/>
      <c r="AA105" s="2" t="s">
        <v>479</v>
      </c>
      <c r="AB105" s="24" t="s">
        <v>479</v>
      </c>
      <c r="AC105" s="5">
        <v>1000</v>
      </c>
      <c r="AD105" s="5">
        <v>1070</v>
      </c>
      <c r="AE105" s="5">
        <v>1170</v>
      </c>
      <c r="AF105" s="5">
        <f t="shared" si="89"/>
        <v>1310</v>
      </c>
      <c r="AG105" s="5">
        <f t="shared" si="99"/>
        <v>1310</v>
      </c>
      <c r="AH105" s="5">
        <f t="shared" si="99"/>
        <v>1310</v>
      </c>
      <c r="AI105" s="5">
        <f t="shared" ref="AI105:AJ105" si="110">+AH105</f>
        <v>1310</v>
      </c>
      <c r="AJ105" s="5">
        <f t="shared" si="110"/>
        <v>1310</v>
      </c>
      <c r="AK105" s="29" t="s">
        <v>42</v>
      </c>
      <c r="AL105" s="105" t="str">
        <f t="shared" si="108"/>
        <v>C0</v>
      </c>
    </row>
    <row r="106" spans="1:38" s="6" customFormat="1" ht="15" customHeight="1" x14ac:dyDescent="0.2">
      <c r="A106" s="29" t="s">
        <v>824</v>
      </c>
      <c r="B106" s="29" t="s">
        <v>822</v>
      </c>
      <c r="C106" s="29" t="s">
        <v>823</v>
      </c>
      <c r="D106" s="2" t="s">
        <v>800</v>
      </c>
      <c r="E106" s="2" t="s">
        <v>489</v>
      </c>
      <c r="F106" s="2"/>
      <c r="G106" s="2"/>
      <c r="H106" s="2"/>
      <c r="I106" s="3" t="s">
        <v>1725</v>
      </c>
      <c r="J106" s="28" t="s">
        <v>254</v>
      </c>
      <c r="K106" s="28" t="s">
        <v>1767</v>
      </c>
      <c r="L106" s="41" t="s">
        <v>352</v>
      </c>
      <c r="M106" s="4" t="s">
        <v>3</v>
      </c>
      <c r="N106" s="15">
        <v>22694967</v>
      </c>
      <c r="O106" s="88" t="s">
        <v>1210</v>
      </c>
      <c r="P106" s="38">
        <v>26488</v>
      </c>
      <c r="Q106" s="38"/>
      <c r="R106" s="38"/>
      <c r="S106" s="38"/>
      <c r="T106" s="38"/>
      <c r="U106" s="17" t="s">
        <v>215</v>
      </c>
      <c r="V106" s="17" t="s">
        <v>915</v>
      </c>
      <c r="W106" s="12">
        <v>40940</v>
      </c>
      <c r="X106" s="13"/>
      <c r="Y106" s="12">
        <v>42735</v>
      </c>
      <c r="Z106" s="2"/>
      <c r="AA106" s="2" t="s">
        <v>479</v>
      </c>
      <c r="AB106" s="24" t="s">
        <v>479</v>
      </c>
      <c r="AC106" s="5">
        <v>1000</v>
      </c>
      <c r="AD106" s="5">
        <v>1070</v>
      </c>
      <c r="AE106" s="5">
        <v>1170</v>
      </c>
      <c r="AF106" s="5">
        <f t="shared" si="89"/>
        <v>1310</v>
      </c>
      <c r="AG106" s="5">
        <f t="shared" si="99"/>
        <v>1310</v>
      </c>
      <c r="AH106" s="5">
        <f t="shared" si="99"/>
        <v>1310</v>
      </c>
      <c r="AI106" s="5">
        <f t="shared" ref="AI106:AJ106" si="111">+AH106</f>
        <v>1310</v>
      </c>
      <c r="AJ106" s="5">
        <f t="shared" si="111"/>
        <v>1310</v>
      </c>
      <c r="AK106" s="2" t="s">
        <v>53</v>
      </c>
      <c r="AL106" s="105" t="str">
        <f t="shared" si="108"/>
        <v>B0</v>
      </c>
    </row>
    <row r="107" spans="1:38" s="6" customFormat="1" ht="15" customHeight="1" x14ac:dyDescent="0.2">
      <c r="A107" s="29" t="s">
        <v>824</v>
      </c>
      <c r="B107" s="29"/>
      <c r="C107" s="29"/>
      <c r="D107" s="2" t="s">
        <v>820</v>
      </c>
      <c r="E107" s="2" t="s">
        <v>809</v>
      </c>
      <c r="F107" s="3"/>
      <c r="G107" s="3"/>
      <c r="H107" s="2" t="s">
        <v>48</v>
      </c>
      <c r="I107" s="2" t="s">
        <v>229</v>
      </c>
      <c r="J107" s="28" t="s">
        <v>73</v>
      </c>
      <c r="K107" s="28" t="s">
        <v>1765</v>
      </c>
      <c r="L107" s="41" t="s">
        <v>87</v>
      </c>
      <c r="M107" s="4" t="s">
        <v>3</v>
      </c>
      <c r="N107" s="15">
        <v>33794129</v>
      </c>
      <c r="O107" s="88" t="s">
        <v>1456</v>
      </c>
      <c r="P107" s="38">
        <v>32357</v>
      </c>
      <c r="Q107" s="38"/>
      <c r="R107" s="38"/>
      <c r="S107" s="38"/>
      <c r="T107" s="38"/>
      <c r="U107" s="17" t="s">
        <v>215</v>
      </c>
      <c r="V107" s="17" t="s">
        <v>915</v>
      </c>
      <c r="W107" s="12">
        <v>42066</v>
      </c>
      <c r="X107" s="13"/>
      <c r="Y107" s="12">
        <v>42735</v>
      </c>
      <c r="Z107" s="2"/>
      <c r="AA107" s="2" t="s">
        <v>479</v>
      </c>
      <c r="AB107" s="7" t="s">
        <v>784</v>
      </c>
      <c r="AC107" s="5">
        <v>1000</v>
      </c>
      <c r="AD107" s="5">
        <f>+AC107*1.07</f>
        <v>1070</v>
      </c>
      <c r="AE107" s="5">
        <v>1170</v>
      </c>
      <c r="AF107" s="5">
        <f t="shared" si="89"/>
        <v>1310</v>
      </c>
      <c r="AG107" s="5">
        <f t="shared" si="99"/>
        <v>1310</v>
      </c>
      <c r="AH107" s="5">
        <f t="shared" si="99"/>
        <v>1310</v>
      </c>
      <c r="AI107" s="5">
        <f t="shared" ref="AI107:AJ107" si="112">+AH107</f>
        <v>1310</v>
      </c>
      <c r="AJ107" s="5">
        <f t="shared" si="112"/>
        <v>1310</v>
      </c>
      <c r="AK107" s="2" t="s">
        <v>53</v>
      </c>
      <c r="AL107" s="105" t="str">
        <f t="shared" si="108"/>
        <v>B0</v>
      </c>
    </row>
    <row r="108" spans="1:38" s="6" customFormat="1" ht="15" customHeight="1" x14ac:dyDescent="0.2">
      <c r="A108" s="29" t="s">
        <v>824</v>
      </c>
      <c r="B108" s="2" t="s">
        <v>822</v>
      </c>
      <c r="C108" s="3"/>
      <c r="D108" s="2" t="s">
        <v>825</v>
      </c>
      <c r="E108" s="3"/>
      <c r="F108" s="2"/>
      <c r="G108" s="2"/>
      <c r="H108" s="2" t="s">
        <v>884</v>
      </c>
      <c r="I108" s="2" t="s">
        <v>1707</v>
      </c>
      <c r="J108" s="28"/>
      <c r="K108" s="28" t="s">
        <v>1765</v>
      </c>
      <c r="L108" s="44" t="s">
        <v>900</v>
      </c>
      <c r="M108" s="4" t="s">
        <v>3</v>
      </c>
      <c r="N108" s="15">
        <v>16447164</v>
      </c>
      <c r="O108" s="88" t="s">
        <v>1166</v>
      </c>
      <c r="P108" s="38">
        <v>23379</v>
      </c>
      <c r="Q108" s="38"/>
      <c r="R108" s="38"/>
      <c r="S108" s="38"/>
      <c r="T108" s="38"/>
      <c r="U108" s="17" t="s">
        <v>215</v>
      </c>
      <c r="V108" s="17" t="s">
        <v>915</v>
      </c>
      <c r="W108" s="12">
        <v>42461</v>
      </c>
      <c r="X108" s="13"/>
      <c r="Y108" s="12">
        <v>42735</v>
      </c>
      <c r="Z108" s="2"/>
      <c r="AA108" s="2" t="s">
        <v>479</v>
      </c>
      <c r="AB108" s="7"/>
      <c r="AC108" s="5">
        <v>1000</v>
      </c>
      <c r="AD108" s="5">
        <f>+AC108*1.07</f>
        <v>1070</v>
      </c>
      <c r="AE108" s="5">
        <v>1170</v>
      </c>
      <c r="AF108" s="5">
        <f t="shared" si="89"/>
        <v>1310</v>
      </c>
      <c r="AG108" s="5">
        <f t="shared" si="99"/>
        <v>1310</v>
      </c>
      <c r="AH108" s="5">
        <f t="shared" si="99"/>
        <v>1310</v>
      </c>
      <c r="AI108" s="5">
        <f t="shared" ref="AI108:AJ108" si="113">+AH108</f>
        <v>1310</v>
      </c>
      <c r="AJ108" s="5">
        <f t="shared" si="113"/>
        <v>1310</v>
      </c>
      <c r="AK108" s="2" t="s">
        <v>43</v>
      </c>
      <c r="AL108" s="105" t="str">
        <f t="shared" si="108"/>
        <v>A0</v>
      </c>
    </row>
    <row r="109" spans="1:38" s="6" customFormat="1" ht="15" customHeight="1" x14ac:dyDescent="0.2">
      <c r="A109" s="29" t="s">
        <v>824</v>
      </c>
      <c r="B109" s="2" t="s">
        <v>822</v>
      </c>
      <c r="C109" s="29" t="s">
        <v>823</v>
      </c>
      <c r="D109" s="2" t="s">
        <v>808</v>
      </c>
      <c r="E109" s="2" t="s">
        <v>20</v>
      </c>
      <c r="F109" s="2"/>
      <c r="G109" s="2"/>
      <c r="H109" s="2"/>
      <c r="I109" s="2" t="s">
        <v>235</v>
      </c>
      <c r="J109" s="28"/>
      <c r="K109" s="28" t="s">
        <v>1765</v>
      </c>
      <c r="L109" s="44" t="s">
        <v>941</v>
      </c>
      <c r="M109" s="7" t="s">
        <v>3</v>
      </c>
      <c r="N109" s="15">
        <v>12759584</v>
      </c>
      <c r="O109" s="88">
        <v>23127595844</v>
      </c>
      <c r="P109" s="38">
        <v>21594</v>
      </c>
      <c r="Q109" s="38"/>
      <c r="R109" s="38"/>
      <c r="S109" s="38"/>
      <c r="T109" s="38"/>
      <c r="U109" s="17" t="s">
        <v>215</v>
      </c>
      <c r="V109" s="17" t="s">
        <v>915</v>
      </c>
      <c r="W109" s="12">
        <v>42461</v>
      </c>
      <c r="X109" s="13"/>
      <c r="Y109" s="12">
        <v>42735</v>
      </c>
      <c r="Z109" s="2"/>
      <c r="AA109" s="2" t="s">
        <v>479</v>
      </c>
      <c r="AB109" s="7"/>
      <c r="AC109" s="5">
        <v>1000</v>
      </c>
      <c r="AD109" s="5">
        <v>1070</v>
      </c>
      <c r="AE109" s="5">
        <v>1170</v>
      </c>
      <c r="AF109" s="5">
        <f t="shared" si="89"/>
        <v>1310</v>
      </c>
      <c r="AG109" s="5">
        <f t="shared" si="99"/>
        <v>1310</v>
      </c>
      <c r="AH109" s="5">
        <f t="shared" si="99"/>
        <v>1310</v>
      </c>
      <c r="AI109" s="5">
        <f t="shared" ref="AI109:AJ109" si="114">+AH109</f>
        <v>1310</v>
      </c>
      <c r="AJ109" s="5">
        <f t="shared" si="114"/>
        <v>1310</v>
      </c>
      <c r="AK109" s="2"/>
      <c r="AL109" s="106"/>
    </row>
    <row r="110" spans="1:38" s="6" customFormat="1" ht="15" customHeight="1" x14ac:dyDescent="0.2">
      <c r="A110" s="29" t="s">
        <v>824</v>
      </c>
      <c r="B110" s="2" t="s">
        <v>822</v>
      </c>
      <c r="C110" s="3"/>
      <c r="D110" s="2" t="s">
        <v>825</v>
      </c>
      <c r="E110" s="3" t="s">
        <v>18</v>
      </c>
      <c r="F110" s="2" t="s">
        <v>19</v>
      </c>
      <c r="G110" s="2"/>
      <c r="H110" s="2" t="s">
        <v>44</v>
      </c>
      <c r="I110" s="2" t="s">
        <v>1707</v>
      </c>
      <c r="J110" s="28" t="s">
        <v>548</v>
      </c>
      <c r="K110" s="28" t="s">
        <v>548</v>
      </c>
      <c r="L110" s="41" t="s">
        <v>578</v>
      </c>
      <c r="M110" s="4" t="s">
        <v>3</v>
      </c>
      <c r="N110" s="15">
        <v>33219975</v>
      </c>
      <c r="O110" s="88" t="s">
        <v>1439</v>
      </c>
      <c r="P110" s="38">
        <v>32098</v>
      </c>
      <c r="Q110" s="38"/>
      <c r="R110" s="38"/>
      <c r="S110" s="38"/>
      <c r="T110" s="38"/>
      <c r="U110" s="17" t="s">
        <v>215</v>
      </c>
      <c r="V110" s="17" t="s">
        <v>915</v>
      </c>
      <c r="W110" s="12">
        <v>41890</v>
      </c>
      <c r="X110" s="13"/>
      <c r="Y110" s="12">
        <v>42735</v>
      </c>
      <c r="Z110" s="2"/>
      <c r="AA110" s="2" t="s">
        <v>479</v>
      </c>
      <c r="AB110" s="7" t="s">
        <v>787</v>
      </c>
      <c r="AC110" s="5">
        <v>1000</v>
      </c>
      <c r="AD110" s="5">
        <f>+AC110</f>
        <v>1000</v>
      </c>
      <c r="AE110" s="5">
        <v>1170</v>
      </c>
      <c r="AF110" s="5">
        <f t="shared" si="89"/>
        <v>1310</v>
      </c>
      <c r="AG110" s="5">
        <f t="shared" si="99"/>
        <v>1310</v>
      </c>
      <c r="AH110" s="5">
        <f t="shared" si="99"/>
        <v>1310</v>
      </c>
      <c r="AI110" s="5">
        <f t="shared" ref="AI110:AJ110" si="115">+AH110</f>
        <v>1310</v>
      </c>
      <c r="AJ110" s="5">
        <f t="shared" si="115"/>
        <v>1310</v>
      </c>
      <c r="AK110" s="2"/>
      <c r="AL110" s="106"/>
    </row>
    <row r="111" spans="1:38" s="6" customFormat="1" ht="15" customHeight="1" x14ac:dyDescent="0.2">
      <c r="A111" s="29" t="s">
        <v>824</v>
      </c>
      <c r="B111" s="29" t="s">
        <v>822</v>
      </c>
      <c r="C111" s="29" t="s">
        <v>823</v>
      </c>
      <c r="D111" s="2" t="s">
        <v>800</v>
      </c>
      <c r="E111" s="2" t="s">
        <v>487</v>
      </c>
      <c r="F111" s="2"/>
      <c r="G111" s="2"/>
      <c r="H111" s="2" t="s">
        <v>1711</v>
      </c>
      <c r="I111" s="3"/>
      <c r="J111" s="28" t="s">
        <v>254</v>
      </c>
      <c r="K111" s="28"/>
      <c r="L111" s="41" t="s">
        <v>318</v>
      </c>
      <c r="M111" s="4" t="s">
        <v>3</v>
      </c>
      <c r="N111" s="15">
        <v>95120832</v>
      </c>
      <c r="O111" s="88">
        <v>23951208329</v>
      </c>
      <c r="P111" s="38"/>
      <c r="Q111" s="38"/>
      <c r="R111" s="38"/>
      <c r="S111" s="38"/>
      <c r="T111" s="38"/>
      <c r="U111" s="16" t="s">
        <v>796</v>
      </c>
      <c r="V111" s="16" t="s">
        <v>916</v>
      </c>
      <c r="W111" s="12">
        <v>41365</v>
      </c>
      <c r="X111" s="12">
        <v>42460</v>
      </c>
      <c r="Y111" s="12">
        <v>42735</v>
      </c>
      <c r="Z111" s="2" t="s">
        <v>17</v>
      </c>
      <c r="AA111" s="2"/>
      <c r="AB111" s="18"/>
      <c r="AC111" s="5">
        <v>1000</v>
      </c>
      <c r="AD111" s="5"/>
      <c r="AE111" s="5">
        <v>1170</v>
      </c>
      <c r="AF111" s="5">
        <f t="shared" si="89"/>
        <v>1310</v>
      </c>
      <c r="AG111" s="5">
        <f t="shared" si="99"/>
        <v>1310</v>
      </c>
      <c r="AH111" s="5">
        <f t="shared" si="99"/>
        <v>1310</v>
      </c>
      <c r="AI111" s="5">
        <f t="shared" ref="AI111:AJ111" si="116">+AH111</f>
        <v>1310</v>
      </c>
      <c r="AJ111" s="5">
        <f t="shared" si="116"/>
        <v>1310</v>
      </c>
      <c r="AK111" s="2"/>
      <c r="AL111" s="105" t="str">
        <f>+Z111</f>
        <v>C1</v>
      </c>
    </row>
    <row r="112" spans="1:38" s="6" customFormat="1" ht="15" customHeight="1" x14ac:dyDescent="0.2">
      <c r="A112" s="29" t="s">
        <v>824</v>
      </c>
      <c r="B112" s="2" t="s">
        <v>822</v>
      </c>
      <c r="C112" s="3"/>
      <c r="D112" s="2" t="s">
        <v>825</v>
      </c>
      <c r="E112" s="3" t="s">
        <v>18</v>
      </c>
      <c r="F112" s="2" t="s">
        <v>19</v>
      </c>
      <c r="G112" s="2"/>
      <c r="H112" s="2" t="s">
        <v>29</v>
      </c>
      <c r="I112" s="3"/>
      <c r="J112" s="28" t="s">
        <v>548</v>
      </c>
      <c r="K112" s="28"/>
      <c r="L112" s="41" t="s">
        <v>579</v>
      </c>
      <c r="M112" s="4" t="s">
        <v>3</v>
      </c>
      <c r="N112" s="15">
        <v>23328471</v>
      </c>
      <c r="O112" s="88">
        <v>27233284713</v>
      </c>
      <c r="P112" s="15"/>
      <c r="Q112" s="15"/>
      <c r="R112" s="15"/>
      <c r="S112" s="15"/>
      <c r="T112" s="15"/>
      <c r="U112" s="16" t="s">
        <v>796</v>
      </c>
      <c r="V112" s="16" t="s">
        <v>916</v>
      </c>
      <c r="W112" s="12">
        <v>41609</v>
      </c>
      <c r="X112" s="12">
        <v>42460</v>
      </c>
      <c r="Y112" s="12">
        <v>42735</v>
      </c>
      <c r="Z112" s="2" t="s">
        <v>30</v>
      </c>
      <c r="AA112" s="2"/>
      <c r="AB112" s="3"/>
      <c r="AC112" s="5">
        <v>1000</v>
      </c>
      <c r="AD112" s="5"/>
      <c r="AE112" s="5">
        <v>1170</v>
      </c>
      <c r="AF112" s="5">
        <f t="shared" si="89"/>
        <v>1310</v>
      </c>
      <c r="AG112" s="5">
        <f t="shared" si="99"/>
        <v>1310</v>
      </c>
      <c r="AH112" s="5">
        <f t="shared" si="99"/>
        <v>1310</v>
      </c>
      <c r="AI112" s="5">
        <f t="shared" ref="AI112:AJ112" si="117">+AH112</f>
        <v>1310</v>
      </c>
      <c r="AJ112" s="5">
        <f t="shared" si="117"/>
        <v>1310</v>
      </c>
      <c r="AK112" s="2"/>
      <c r="AL112" s="105" t="str">
        <f>+Z112</f>
        <v>B1</v>
      </c>
    </row>
    <row r="113" spans="1:38" s="6" customFormat="1" ht="15" customHeight="1" x14ac:dyDescent="0.2">
      <c r="A113" s="29" t="s">
        <v>824</v>
      </c>
      <c r="B113" s="2" t="s">
        <v>822</v>
      </c>
      <c r="C113" s="3"/>
      <c r="D113" s="2" t="s">
        <v>825</v>
      </c>
      <c r="E113" s="3" t="s">
        <v>18</v>
      </c>
      <c r="F113" s="2" t="s">
        <v>19</v>
      </c>
      <c r="G113" s="2"/>
      <c r="H113" s="2" t="s">
        <v>45</v>
      </c>
      <c r="I113" s="3"/>
      <c r="J113" s="28" t="s">
        <v>548</v>
      </c>
      <c r="K113" s="28"/>
      <c r="L113" s="41" t="s">
        <v>580</v>
      </c>
      <c r="M113" s="4" t="s">
        <v>3</v>
      </c>
      <c r="N113" s="15">
        <v>27026871</v>
      </c>
      <c r="O113" s="88">
        <v>20270268715</v>
      </c>
      <c r="P113" s="15"/>
      <c r="Q113" s="15"/>
      <c r="R113" s="15"/>
      <c r="S113" s="15"/>
      <c r="T113" s="15"/>
      <c r="U113" s="16" t="s">
        <v>796</v>
      </c>
      <c r="V113" s="16" t="s">
        <v>916</v>
      </c>
      <c r="W113" s="12">
        <v>41244</v>
      </c>
      <c r="X113" s="48">
        <v>42735</v>
      </c>
      <c r="Y113" s="12">
        <v>42735</v>
      </c>
      <c r="Z113" s="2" t="s">
        <v>30</v>
      </c>
      <c r="AA113" s="2"/>
      <c r="AB113" s="3"/>
      <c r="AC113" s="5">
        <v>1000</v>
      </c>
      <c r="AD113" s="5"/>
      <c r="AE113" s="5">
        <v>1170</v>
      </c>
      <c r="AF113" s="5">
        <f t="shared" si="89"/>
        <v>1310</v>
      </c>
      <c r="AG113" s="5">
        <f t="shared" si="99"/>
        <v>1310</v>
      </c>
      <c r="AH113" s="5">
        <f t="shared" si="99"/>
        <v>1310</v>
      </c>
      <c r="AI113" s="5">
        <f t="shared" ref="AI113:AJ113" si="118">+AH113</f>
        <v>1310</v>
      </c>
      <c r="AJ113" s="5">
        <f t="shared" si="118"/>
        <v>1310</v>
      </c>
      <c r="AK113" s="2"/>
      <c r="AL113" s="105" t="str">
        <f>+Z113</f>
        <v>B1</v>
      </c>
    </row>
    <row r="114" spans="1:38" s="6" customFormat="1" ht="15" customHeight="1" x14ac:dyDescent="0.2">
      <c r="A114" s="29" t="s">
        <v>824</v>
      </c>
      <c r="B114" s="2" t="s">
        <v>822</v>
      </c>
      <c r="C114" s="29" t="s">
        <v>823</v>
      </c>
      <c r="D114" s="2" t="s">
        <v>808</v>
      </c>
      <c r="E114" s="2" t="s">
        <v>216</v>
      </c>
      <c r="F114" s="2"/>
      <c r="G114" s="2"/>
      <c r="H114" s="2"/>
      <c r="I114" s="3"/>
      <c r="J114" s="28"/>
      <c r="K114" s="28"/>
      <c r="L114" s="41" t="s">
        <v>827</v>
      </c>
      <c r="M114" s="4" t="s">
        <v>3</v>
      </c>
      <c r="N114" s="15">
        <v>29699158</v>
      </c>
      <c r="O114" s="88">
        <v>27296991584</v>
      </c>
      <c r="P114" s="38"/>
      <c r="Q114" s="38"/>
      <c r="R114" s="38"/>
      <c r="S114" s="38"/>
      <c r="T114" s="38"/>
      <c r="U114" s="17" t="s">
        <v>796</v>
      </c>
      <c r="V114" s="16" t="s">
        <v>916</v>
      </c>
      <c r="W114" s="12">
        <v>40378</v>
      </c>
      <c r="X114" s="48">
        <v>42735</v>
      </c>
      <c r="Y114" s="12">
        <v>42735</v>
      </c>
      <c r="Z114" s="2" t="s">
        <v>17</v>
      </c>
      <c r="AA114" s="2"/>
      <c r="AB114" s="3"/>
      <c r="AC114" s="5">
        <v>1000</v>
      </c>
      <c r="AD114" s="5"/>
      <c r="AE114" s="5">
        <v>1170</v>
      </c>
      <c r="AF114" s="5">
        <f t="shared" si="89"/>
        <v>1310</v>
      </c>
      <c r="AG114" s="5">
        <f t="shared" si="99"/>
        <v>1310</v>
      </c>
      <c r="AH114" s="5">
        <f t="shared" si="99"/>
        <v>1310</v>
      </c>
      <c r="AI114" s="5">
        <f t="shared" ref="AI114:AJ114" si="119">+AH114</f>
        <v>1310</v>
      </c>
      <c r="AJ114" s="5">
        <f t="shared" si="119"/>
        <v>1310</v>
      </c>
      <c r="AK114" s="2"/>
      <c r="AL114" s="105" t="str">
        <f>+Z114</f>
        <v>C1</v>
      </c>
    </row>
    <row r="115" spans="1:38" s="6" customFormat="1" ht="15" customHeight="1" x14ac:dyDescent="0.2">
      <c r="A115" s="29" t="s">
        <v>824</v>
      </c>
      <c r="B115" s="2" t="s">
        <v>822</v>
      </c>
      <c r="C115" s="3"/>
      <c r="D115" s="2" t="s">
        <v>825</v>
      </c>
      <c r="E115" s="3" t="s">
        <v>18</v>
      </c>
      <c r="F115" s="2" t="s">
        <v>19</v>
      </c>
      <c r="G115" s="2"/>
      <c r="H115" s="2" t="s">
        <v>29</v>
      </c>
      <c r="I115" s="2" t="s">
        <v>1707</v>
      </c>
      <c r="J115" s="28" t="s">
        <v>548</v>
      </c>
      <c r="K115" s="28" t="s">
        <v>548</v>
      </c>
      <c r="L115" s="44" t="s">
        <v>46</v>
      </c>
      <c r="M115" s="7" t="s">
        <v>3</v>
      </c>
      <c r="N115" s="15">
        <v>32498204</v>
      </c>
      <c r="O115" s="88" t="s">
        <v>1420</v>
      </c>
      <c r="P115" s="38">
        <v>31629</v>
      </c>
      <c r="Q115" s="38"/>
      <c r="R115" s="38"/>
      <c r="S115" s="38"/>
      <c r="T115" s="38"/>
      <c r="U115" s="17" t="s">
        <v>215</v>
      </c>
      <c r="V115" s="17" t="s">
        <v>915</v>
      </c>
      <c r="W115" s="12">
        <v>42047</v>
      </c>
      <c r="X115" s="13"/>
      <c r="Y115" s="12">
        <v>42735</v>
      </c>
      <c r="Z115" s="2"/>
      <c r="AA115" s="2" t="s">
        <v>479</v>
      </c>
      <c r="AB115" s="7" t="s">
        <v>787</v>
      </c>
      <c r="AC115" s="5">
        <v>1000</v>
      </c>
      <c r="AD115" s="5">
        <f>+AC115</f>
        <v>1000</v>
      </c>
      <c r="AE115" s="5">
        <v>1170</v>
      </c>
      <c r="AF115" s="5">
        <f t="shared" si="89"/>
        <v>1310</v>
      </c>
      <c r="AG115" s="5">
        <f t="shared" si="99"/>
        <v>1310</v>
      </c>
      <c r="AH115" s="5">
        <f t="shared" si="99"/>
        <v>1310</v>
      </c>
      <c r="AI115" s="5">
        <f t="shared" ref="AI115:AJ115" si="120">+AH115</f>
        <v>1310</v>
      </c>
      <c r="AJ115" s="5">
        <f t="shared" si="120"/>
        <v>1310</v>
      </c>
      <c r="AK115" s="2"/>
      <c r="AL115" s="106"/>
    </row>
    <row r="116" spans="1:38" s="6" customFormat="1" ht="15" customHeight="1" x14ac:dyDescent="0.2">
      <c r="A116" s="29" t="s">
        <v>824</v>
      </c>
      <c r="B116" s="2" t="s">
        <v>822</v>
      </c>
      <c r="C116" s="29" t="s">
        <v>823</v>
      </c>
      <c r="D116" s="2" t="s">
        <v>808</v>
      </c>
      <c r="E116" s="2" t="s">
        <v>216</v>
      </c>
      <c r="F116" s="2" t="s">
        <v>1066</v>
      </c>
      <c r="G116" s="2"/>
      <c r="H116" s="3"/>
      <c r="I116" s="2" t="s">
        <v>1066</v>
      </c>
      <c r="J116" s="28"/>
      <c r="K116" s="28" t="s">
        <v>1765</v>
      </c>
      <c r="L116" s="42" t="s">
        <v>1080</v>
      </c>
      <c r="M116" s="7" t="s">
        <v>3</v>
      </c>
      <c r="N116" s="15">
        <v>40149217</v>
      </c>
      <c r="O116" s="88">
        <v>27401492173</v>
      </c>
      <c r="P116" s="38">
        <v>35445</v>
      </c>
      <c r="Q116" s="38"/>
      <c r="R116" s="38"/>
      <c r="S116" s="38"/>
      <c r="T116" s="38"/>
      <c r="U116" s="17" t="s">
        <v>215</v>
      </c>
      <c r="V116" s="17" t="s">
        <v>915</v>
      </c>
      <c r="W116" s="12">
        <v>42491</v>
      </c>
      <c r="X116" s="19"/>
      <c r="Y116" s="12">
        <v>42735</v>
      </c>
      <c r="Z116" s="2"/>
      <c r="AA116" s="2" t="s">
        <v>479</v>
      </c>
      <c r="AB116" s="2"/>
      <c r="AC116" s="5">
        <v>1000</v>
      </c>
      <c r="AD116" s="5">
        <v>1070</v>
      </c>
      <c r="AE116" s="5">
        <v>1170</v>
      </c>
      <c r="AF116" s="5">
        <f t="shared" si="89"/>
        <v>1310</v>
      </c>
      <c r="AG116" s="5">
        <f t="shared" ref="AG116:AH135" si="121">+AF116</f>
        <v>1310</v>
      </c>
      <c r="AH116" s="5">
        <f t="shared" si="121"/>
        <v>1310</v>
      </c>
      <c r="AI116" s="5">
        <f t="shared" ref="AI116:AJ116" si="122">+AH116</f>
        <v>1310</v>
      </c>
      <c r="AJ116" s="5">
        <f t="shared" si="122"/>
        <v>1310</v>
      </c>
      <c r="AK116" s="2" t="s">
        <v>42</v>
      </c>
      <c r="AL116" s="105" t="str">
        <f>+AK116</f>
        <v>C0</v>
      </c>
    </row>
    <row r="117" spans="1:38" s="6" customFormat="1" ht="15" customHeight="1" x14ac:dyDescent="0.2">
      <c r="A117" s="29" t="s">
        <v>824</v>
      </c>
      <c r="B117" s="2" t="s">
        <v>822</v>
      </c>
      <c r="C117" s="29" t="s">
        <v>823</v>
      </c>
      <c r="D117" s="2" t="s">
        <v>808</v>
      </c>
      <c r="E117" s="2" t="s">
        <v>909</v>
      </c>
      <c r="F117" s="2" t="s">
        <v>52</v>
      </c>
      <c r="G117" s="2"/>
      <c r="H117" s="2"/>
      <c r="I117" s="3"/>
      <c r="J117" s="28" t="s">
        <v>73</v>
      </c>
      <c r="K117" s="28"/>
      <c r="L117" s="41" t="s">
        <v>829</v>
      </c>
      <c r="M117" s="4" t="s">
        <v>3</v>
      </c>
      <c r="N117" s="15">
        <v>27841036</v>
      </c>
      <c r="O117" s="88">
        <v>20278410367</v>
      </c>
      <c r="P117" s="38"/>
      <c r="Q117" s="38"/>
      <c r="R117" s="38"/>
      <c r="S117" s="38"/>
      <c r="T117" s="38"/>
      <c r="U117" s="17" t="s">
        <v>796</v>
      </c>
      <c r="V117" s="16" t="s">
        <v>916</v>
      </c>
      <c r="W117" s="12">
        <v>40392</v>
      </c>
      <c r="X117" s="48">
        <v>42735</v>
      </c>
      <c r="Y117" s="12">
        <v>42735</v>
      </c>
      <c r="Z117" s="2" t="s">
        <v>17</v>
      </c>
      <c r="AA117" s="2"/>
      <c r="AB117" s="3"/>
      <c r="AC117" s="5">
        <v>1000</v>
      </c>
      <c r="AD117" s="5"/>
      <c r="AE117" s="5">
        <v>1170</v>
      </c>
      <c r="AF117" s="5">
        <f t="shared" si="89"/>
        <v>1310</v>
      </c>
      <c r="AG117" s="5">
        <f t="shared" si="121"/>
        <v>1310</v>
      </c>
      <c r="AH117" s="5">
        <f t="shared" si="121"/>
        <v>1310</v>
      </c>
      <c r="AI117" s="5">
        <f t="shared" ref="AI117:AJ117" si="123">+AH117</f>
        <v>1310</v>
      </c>
      <c r="AJ117" s="5">
        <f t="shared" si="123"/>
        <v>1310</v>
      </c>
      <c r="AK117" s="2"/>
      <c r="AL117" s="105" t="str">
        <f>+Z117</f>
        <v>C1</v>
      </c>
    </row>
    <row r="118" spans="1:38" s="6" customFormat="1" ht="15" customHeight="1" x14ac:dyDescent="0.2">
      <c r="A118" s="29" t="s">
        <v>824</v>
      </c>
      <c r="B118" s="29" t="s">
        <v>822</v>
      </c>
      <c r="C118" s="14"/>
      <c r="D118" s="2" t="s">
        <v>928</v>
      </c>
      <c r="E118" s="2" t="s">
        <v>11</v>
      </c>
      <c r="F118" s="3"/>
      <c r="G118" s="3"/>
      <c r="H118" s="2"/>
      <c r="I118" s="2" t="s">
        <v>1707</v>
      </c>
      <c r="J118" s="28"/>
      <c r="K118" s="28" t="s">
        <v>1765</v>
      </c>
      <c r="L118" s="41" t="s">
        <v>1653</v>
      </c>
      <c r="M118" s="7" t="s">
        <v>3</v>
      </c>
      <c r="N118" s="15">
        <v>31464790</v>
      </c>
      <c r="O118" s="88">
        <v>23314647904</v>
      </c>
      <c r="P118" s="38">
        <v>31091</v>
      </c>
      <c r="Q118" s="38"/>
      <c r="R118" s="38"/>
      <c r="S118" s="38"/>
      <c r="T118" s="38"/>
      <c r="U118" s="16" t="s">
        <v>215</v>
      </c>
      <c r="V118" s="16" t="s">
        <v>915</v>
      </c>
      <c r="W118" s="12"/>
      <c r="X118" s="48"/>
      <c r="Y118" s="48">
        <v>42735</v>
      </c>
      <c r="Z118" s="2"/>
      <c r="AA118" s="2" t="s">
        <v>479</v>
      </c>
      <c r="AB118" s="3"/>
      <c r="AC118" s="5"/>
      <c r="AD118" s="5"/>
      <c r="AE118" s="5">
        <v>1170</v>
      </c>
      <c r="AF118" s="5">
        <f t="shared" si="89"/>
        <v>0</v>
      </c>
      <c r="AG118" s="5">
        <f t="shared" si="121"/>
        <v>0</v>
      </c>
      <c r="AH118" s="5">
        <f t="shared" si="121"/>
        <v>0</v>
      </c>
      <c r="AI118" s="5">
        <f t="shared" ref="AI118:AJ118" si="124">+AH118</f>
        <v>0</v>
      </c>
      <c r="AJ118" s="5">
        <f t="shared" si="124"/>
        <v>0</v>
      </c>
      <c r="AK118" s="2" t="s">
        <v>53</v>
      </c>
      <c r="AL118" s="105" t="str">
        <f>+AK118</f>
        <v>B0</v>
      </c>
    </row>
    <row r="119" spans="1:38" s="6" customFormat="1" ht="15" customHeight="1" x14ac:dyDescent="0.2">
      <c r="A119" s="29" t="s">
        <v>824</v>
      </c>
      <c r="B119" s="29" t="s">
        <v>822</v>
      </c>
      <c r="C119" s="29" t="s">
        <v>823</v>
      </c>
      <c r="D119" s="2" t="s">
        <v>800</v>
      </c>
      <c r="E119" s="7" t="s">
        <v>501</v>
      </c>
      <c r="F119" s="7"/>
      <c r="G119" s="7"/>
      <c r="H119" s="8"/>
      <c r="I119" s="3"/>
      <c r="J119" s="28" t="s">
        <v>254</v>
      </c>
      <c r="K119" s="28"/>
      <c r="L119" s="42" t="s">
        <v>581</v>
      </c>
      <c r="M119" s="4" t="s">
        <v>3</v>
      </c>
      <c r="N119" s="15">
        <v>32094923</v>
      </c>
      <c r="O119" s="88">
        <v>20320949239</v>
      </c>
      <c r="P119" s="38"/>
      <c r="Q119" s="38"/>
      <c r="R119" s="38"/>
      <c r="S119" s="38"/>
      <c r="T119" s="38"/>
      <c r="U119" s="16" t="s">
        <v>796</v>
      </c>
      <c r="V119" s="16" t="s">
        <v>916</v>
      </c>
      <c r="W119" s="12">
        <v>40725</v>
      </c>
      <c r="X119" s="48">
        <v>42735</v>
      </c>
      <c r="Y119" s="12">
        <v>42735</v>
      </c>
      <c r="Z119" s="2" t="s">
        <v>24</v>
      </c>
      <c r="AA119" s="2"/>
      <c r="AB119" s="18"/>
      <c r="AC119" s="5">
        <v>1000</v>
      </c>
      <c r="AD119" s="5"/>
      <c r="AE119" s="5">
        <v>1170</v>
      </c>
      <c r="AF119" s="5">
        <f t="shared" si="89"/>
        <v>1310</v>
      </c>
      <c r="AG119" s="5">
        <f t="shared" si="121"/>
        <v>1310</v>
      </c>
      <c r="AH119" s="5">
        <f t="shared" si="121"/>
        <v>1310</v>
      </c>
      <c r="AI119" s="5">
        <f t="shared" ref="AI119:AJ119" si="125">+AH119</f>
        <v>1310</v>
      </c>
      <c r="AJ119" s="5">
        <f t="shared" si="125"/>
        <v>1310</v>
      </c>
      <c r="AK119" s="2"/>
      <c r="AL119" s="105" t="str">
        <f>+Z119</f>
        <v>D0</v>
      </c>
    </row>
    <row r="120" spans="1:38" s="6" customFormat="1" ht="15" customHeight="1" x14ac:dyDescent="0.2">
      <c r="A120" s="29" t="s">
        <v>824</v>
      </c>
      <c r="B120" s="2" t="s">
        <v>822</v>
      </c>
      <c r="C120" s="3"/>
      <c r="D120" s="2" t="s">
        <v>825</v>
      </c>
      <c r="E120" s="3" t="s">
        <v>18</v>
      </c>
      <c r="F120" s="2" t="s">
        <v>19</v>
      </c>
      <c r="G120" s="2"/>
      <c r="H120" s="2" t="s">
        <v>32</v>
      </c>
      <c r="I120" s="3"/>
      <c r="J120" s="28" t="s">
        <v>548</v>
      </c>
      <c r="K120" s="28"/>
      <c r="L120" s="41" t="s">
        <v>582</v>
      </c>
      <c r="M120" s="4" t="s">
        <v>3</v>
      </c>
      <c r="N120" s="15">
        <v>31407283</v>
      </c>
      <c r="O120" s="88">
        <v>23314072839</v>
      </c>
      <c r="P120" s="15"/>
      <c r="Q120" s="15"/>
      <c r="R120" s="15"/>
      <c r="S120" s="15"/>
      <c r="T120" s="15"/>
      <c r="U120" s="16" t="s">
        <v>796</v>
      </c>
      <c r="V120" s="16" t="s">
        <v>916</v>
      </c>
      <c r="W120" s="12">
        <v>41244</v>
      </c>
      <c r="X120" s="48">
        <v>42735</v>
      </c>
      <c r="Y120" s="12">
        <v>42735</v>
      </c>
      <c r="Z120" s="2" t="s">
        <v>43</v>
      </c>
      <c r="AA120" s="2"/>
      <c r="AB120" s="3"/>
      <c r="AC120" s="5">
        <v>1000</v>
      </c>
      <c r="AD120" s="5"/>
      <c r="AE120" s="5">
        <v>1170</v>
      </c>
      <c r="AF120" s="5">
        <f t="shared" si="89"/>
        <v>1310</v>
      </c>
      <c r="AG120" s="5">
        <f t="shared" si="121"/>
        <v>1310</v>
      </c>
      <c r="AH120" s="5">
        <f t="shared" si="121"/>
        <v>1310</v>
      </c>
      <c r="AI120" s="5">
        <f t="shared" ref="AI120:AJ120" si="126">+AH120</f>
        <v>1310</v>
      </c>
      <c r="AJ120" s="5">
        <f t="shared" si="126"/>
        <v>1310</v>
      </c>
      <c r="AK120" s="2"/>
      <c r="AL120" s="105" t="str">
        <f>+Z120</f>
        <v>A0</v>
      </c>
    </row>
    <row r="121" spans="1:38" s="6" customFormat="1" ht="15" customHeight="1" x14ac:dyDescent="0.2">
      <c r="A121" s="29" t="s">
        <v>824</v>
      </c>
      <c r="B121" s="29" t="s">
        <v>822</v>
      </c>
      <c r="C121" s="29" t="s">
        <v>823</v>
      </c>
      <c r="D121" s="2" t="s">
        <v>808</v>
      </c>
      <c r="E121" s="2" t="s">
        <v>909</v>
      </c>
      <c r="F121" s="2" t="s">
        <v>23</v>
      </c>
      <c r="G121" s="3" t="s">
        <v>521</v>
      </c>
      <c r="H121" s="2" t="s">
        <v>223</v>
      </c>
      <c r="I121" s="2" t="s">
        <v>223</v>
      </c>
      <c r="J121" s="28" t="s">
        <v>73</v>
      </c>
      <c r="K121" s="28" t="s">
        <v>1765</v>
      </c>
      <c r="L121" s="43" t="s">
        <v>88</v>
      </c>
      <c r="M121" s="4" t="s">
        <v>3</v>
      </c>
      <c r="N121" s="15">
        <v>37376814</v>
      </c>
      <c r="O121" s="88" t="s">
        <v>1530</v>
      </c>
      <c r="P121" s="38">
        <v>34057</v>
      </c>
      <c r="Q121" s="38"/>
      <c r="R121" s="38"/>
      <c r="S121" s="38"/>
      <c r="T121" s="38"/>
      <c r="U121" s="17" t="s">
        <v>215</v>
      </c>
      <c r="V121" s="17" t="s">
        <v>915</v>
      </c>
      <c r="W121" s="12">
        <v>42217</v>
      </c>
      <c r="X121" s="13"/>
      <c r="Y121" s="12">
        <v>42735</v>
      </c>
      <c r="Z121" s="2"/>
      <c r="AA121" s="2" t="s">
        <v>479</v>
      </c>
      <c r="AB121" s="7" t="s">
        <v>61</v>
      </c>
      <c r="AC121" s="5">
        <v>1000</v>
      </c>
      <c r="AD121" s="5">
        <f>+AC121*1.07</f>
        <v>1070</v>
      </c>
      <c r="AE121" s="5">
        <v>1170</v>
      </c>
      <c r="AF121" s="5">
        <f t="shared" si="89"/>
        <v>1310</v>
      </c>
      <c r="AG121" s="5">
        <f t="shared" si="121"/>
        <v>1310</v>
      </c>
      <c r="AH121" s="5">
        <f t="shared" si="121"/>
        <v>1310</v>
      </c>
      <c r="AI121" s="5">
        <f t="shared" ref="AI121:AJ121" si="127">+AH121</f>
        <v>1310</v>
      </c>
      <c r="AJ121" s="5">
        <f t="shared" si="127"/>
        <v>1310</v>
      </c>
      <c r="AK121" s="29" t="s">
        <v>42</v>
      </c>
      <c r="AL121" s="105" t="str">
        <f>+AK121</f>
        <v>C0</v>
      </c>
    </row>
    <row r="122" spans="1:38" s="6" customFormat="1" ht="15" customHeight="1" x14ac:dyDescent="0.2">
      <c r="A122" s="29" t="s">
        <v>824</v>
      </c>
      <c r="B122" s="29" t="s">
        <v>822</v>
      </c>
      <c r="C122" s="29" t="s">
        <v>823</v>
      </c>
      <c r="D122" s="2" t="s">
        <v>800</v>
      </c>
      <c r="E122" s="7" t="s">
        <v>503</v>
      </c>
      <c r="F122" s="7"/>
      <c r="G122" s="7"/>
      <c r="H122" s="8"/>
      <c r="I122" s="3" t="s">
        <v>1726</v>
      </c>
      <c r="J122" s="28" t="s">
        <v>254</v>
      </c>
      <c r="K122" s="28" t="s">
        <v>1767</v>
      </c>
      <c r="L122" s="42" t="s">
        <v>807</v>
      </c>
      <c r="M122" s="4" t="s">
        <v>3</v>
      </c>
      <c r="N122" s="15">
        <v>27766980</v>
      </c>
      <c r="O122" s="88" t="s">
        <v>1607</v>
      </c>
      <c r="P122" s="38">
        <v>29273</v>
      </c>
      <c r="Q122" s="38"/>
      <c r="R122" s="38"/>
      <c r="S122" s="38"/>
      <c r="T122" s="38"/>
      <c r="U122" s="17" t="s">
        <v>215</v>
      </c>
      <c r="V122" s="17" t="s">
        <v>915</v>
      </c>
      <c r="W122" s="12">
        <v>41365</v>
      </c>
      <c r="X122" s="13"/>
      <c r="Y122" s="12">
        <v>42735</v>
      </c>
      <c r="Z122" s="2"/>
      <c r="AA122" s="2" t="s">
        <v>479</v>
      </c>
      <c r="AB122" s="24" t="s">
        <v>479</v>
      </c>
      <c r="AC122" s="5">
        <v>1000</v>
      </c>
      <c r="AD122" s="5">
        <v>1070</v>
      </c>
      <c r="AE122" s="5">
        <v>1170</v>
      </c>
      <c r="AF122" s="5">
        <f t="shared" si="89"/>
        <v>1310</v>
      </c>
      <c r="AG122" s="5">
        <f t="shared" si="121"/>
        <v>1310</v>
      </c>
      <c r="AH122" s="5">
        <f t="shared" si="121"/>
        <v>1310</v>
      </c>
      <c r="AI122" s="5">
        <f t="shared" ref="AI122:AJ122" si="128">+AH122</f>
        <v>1310</v>
      </c>
      <c r="AJ122" s="5">
        <f t="shared" si="128"/>
        <v>1310</v>
      </c>
      <c r="AK122" s="2" t="s">
        <v>53</v>
      </c>
      <c r="AL122" s="105" t="str">
        <f>+AK122</f>
        <v>B0</v>
      </c>
    </row>
    <row r="123" spans="1:38" s="6" customFormat="1" ht="15" customHeight="1" x14ac:dyDescent="0.2">
      <c r="A123" s="29" t="s">
        <v>824</v>
      </c>
      <c r="B123" s="2" t="s">
        <v>822</v>
      </c>
      <c r="C123" s="3"/>
      <c r="D123" s="2" t="s">
        <v>825</v>
      </c>
      <c r="E123" s="3" t="s">
        <v>18</v>
      </c>
      <c r="F123" s="2" t="s">
        <v>19</v>
      </c>
      <c r="G123" s="2"/>
      <c r="H123" s="2" t="s">
        <v>37</v>
      </c>
      <c r="I123" s="2" t="s">
        <v>1761</v>
      </c>
      <c r="J123" s="28" t="s">
        <v>548</v>
      </c>
      <c r="K123" s="28" t="s">
        <v>548</v>
      </c>
      <c r="L123" s="44" t="s">
        <v>975</v>
      </c>
      <c r="M123" s="7" t="s">
        <v>3</v>
      </c>
      <c r="N123" s="47">
        <v>30219051</v>
      </c>
      <c r="O123" s="88" t="s">
        <v>1363</v>
      </c>
      <c r="P123" s="38">
        <v>30391</v>
      </c>
      <c r="Q123" s="38"/>
      <c r="R123" s="38"/>
      <c r="S123" s="38"/>
      <c r="T123" s="38"/>
      <c r="U123" s="17" t="s">
        <v>215</v>
      </c>
      <c r="V123" s="17" t="s">
        <v>915</v>
      </c>
      <c r="W123" s="12">
        <v>41579</v>
      </c>
      <c r="X123" s="12"/>
      <c r="Y123" s="12">
        <v>42735</v>
      </c>
      <c r="Z123" s="2"/>
      <c r="AA123" s="2" t="s">
        <v>479</v>
      </c>
      <c r="AB123" s="7"/>
      <c r="AC123" s="5">
        <v>1000</v>
      </c>
      <c r="AD123" s="5">
        <f>+AC123</f>
        <v>1000</v>
      </c>
      <c r="AE123" s="5">
        <v>1170</v>
      </c>
      <c r="AF123" s="5">
        <f t="shared" si="89"/>
        <v>1310</v>
      </c>
      <c r="AG123" s="5">
        <f t="shared" si="121"/>
        <v>1310</v>
      </c>
      <c r="AH123" s="5">
        <f t="shared" si="121"/>
        <v>1310</v>
      </c>
      <c r="AI123" s="5">
        <f t="shared" ref="AI123:AJ123" si="129">+AH123</f>
        <v>1310</v>
      </c>
      <c r="AJ123" s="5">
        <f t="shared" si="129"/>
        <v>1310</v>
      </c>
      <c r="AK123" s="2"/>
      <c r="AL123" s="106"/>
    </row>
    <row r="124" spans="1:38" s="6" customFormat="1" ht="15" customHeight="1" x14ac:dyDescent="0.2">
      <c r="A124" s="29" t="s">
        <v>824</v>
      </c>
      <c r="B124" s="29" t="s">
        <v>822</v>
      </c>
      <c r="C124" s="29" t="s">
        <v>823</v>
      </c>
      <c r="D124" s="2" t="s">
        <v>1820</v>
      </c>
      <c r="E124" s="2"/>
      <c r="F124" s="3"/>
      <c r="G124" s="3"/>
      <c r="H124" s="2" t="s">
        <v>884</v>
      </c>
      <c r="I124" s="2" t="s">
        <v>1707</v>
      </c>
      <c r="J124" s="28"/>
      <c r="K124" s="28" t="s">
        <v>1765</v>
      </c>
      <c r="L124" s="41" t="s">
        <v>1618</v>
      </c>
      <c r="M124" s="7" t="s">
        <v>3</v>
      </c>
      <c r="N124" s="15">
        <v>23799726</v>
      </c>
      <c r="O124" s="88">
        <v>20237997264</v>
      </c>
      <c r="P124" s="38">
        <v>27266</v>
      </c>
      <c r="Q124" s="38"/>
      <c r="R124" s="38"/>
      <c r="S124" s="38"/>
      <c r="T124" s="38"/>
      <c r="U124" s="17" t="s">
        <v>215</v>
      </c>
      <c r="V124" s="17" t="s">
        <v>915</v>
      </c>
      <c r="W124" s="12">
        <v>42491</v>
      </c>
      <c r="X124" s="48"/>
      <c r="Y124" s="12">
        <v>42735</v>
      </c>
      <c r="Z124" s="2"/>
      <c r="AA124" s="2" t="s">
        <v>479</v>
      </c>
      <c r="AB124" s="3"/>
      <c r="AC124" s="5"/>
      <c r="AD124" s="5">
        <v>1070</v>
      </c>
      <c r="AE124" s="5">
        <v>1170</v>
      </c>
      <c r="AF124" s="5">
        <f t="shared" si="89"/>
        <v>0</v>
      </c>
      <c r="AG124" s="5">
        <f t="shared" si="121"/>
        <v>0</v>
      </c>
      <c r="AH124" s="5">
        <f t="shared" si="121"/>
        <v>0</v>
      </c>
      <c r="AI124" s="5">
        <f t="shared" ref="AI124:AJ124" si="130">+AH124</f>
        <v>0</v>
      </c>
      <c r="AJ124" s="5">
        <f t="shared" si="130"/>
        <v>0</v>
      </c>
      <c r="AK124" s="29" t="s">
        <v>42</v>
      </c>
      <c r="AL124" s="105" t="str">
        <f>+AK124</f>
        <v>C0</v>
      </c>
    </row>
    <row r="125" spans="1:38" s="6" customFormat="1" ht="15" customHeight="1" x14ac:dyDescent="0.2">
      <c r="A125" s="29" t="s">
        <v>824</v>
      </c>
      <c r="B125" s="2" t="s">
        <v>822</v>
      </c>
      <c r="C125" s="3"/>
      <c r="D125" s="2" t="s">
        <v>825</v>
      </c>
      <c r="E125" s="3" t="s">
        <v>18</v>
      </c>
      <c r="F125" s="2" t="s">
        <v>19</v>
      </c>
      <c r="G125" s="2"/>
      <c r="H125" s="2" t="s">
        <v>22</v>
      </c>
      <c r="I125" s="2" t="s">
        <v>1707</v>
      </c>
      <c r="J125" s="28" t="s">
        <v>548</v>
      </c>
      <c r="K125" s="28" t="s">
        <v>548</v>
      </c>
      <c r="L125" s="44" t="s">
        <v>583</v>
      </c>
      <c r="M125" s="4" t="s">
        <v>3</v>
      </c>
      <c r="N125" s="15">
        <v>23102518</v>
      </c>
      <c r="O125" s="88" t="s">
        <v>1218</v>
      </c>
      <c r="P125" s="38">
        <v>26676</v>
      </c>
      <c r="Q125" s="38"/>
      <c r="R125" s="38"/>
      <c r="S125" s="38"/>
      <c r="T125" s="38"/>
      <c r="U125" s="17" t="s">
        <v>215</v>
      </c>
      <c r="V125" s="17" t="s">
        <v>915</v>
      </c>
      <c r="W125" s="12">
        <v>40987</v>
      </c>
      <c r="X125" s="13"/>
      <c r="Y125" s="12">
        <v>42735</v>
      </c>
      <c r="Z125" s="2"/>
      <c r="AA125" s="2" t="s">
        <v>479</v>
      </c>
      <c r="AB125" s="7" t="s">
        <v>787</v>
      </c>
      <c r="AC125" s="5">
        <v>1000</v>
      </c>
      <c r="AD125" s="5">
        <f>+AC125</f>
        <v>1000</v>
      </c>
      <c r="AE125" s="5">
        <v>1170</v>
      </c>
      <c r="AF125" s="5">
        <f t="shared" si="89"/>
        <v>1310</v>
      </c>
      <c r="AG125" s="5">
        <f t="shared" si="121"/>
        <v>1310</v>
      </c>
      <c r="AH125" s="5">
        <f t="shared" si="121"/>
        <v>1310</v>
      </c>
      <c r="AI125" s="5">
        <f t="shared" ref="AI125:AJ125" si="131">+AH125</f>
        <v>1310</v>
      </c>
      <c r="AJ125" s="5">
        <f t="shared" si="131"/>
        <v>1310</v>
      </c>
      <c r="AK125" s="2"/>
      <c r="AL125" s="106"/>
    </row>
    <row r="126" spans="1:38" s="6" customFormat="1" ht="15" customHeight="1" x14ac:dyDescent="0.2">
      <c r="A126" s="29" t="s">
        <v>824</v>
      </c>
      <c r="B126" s="29" t="s">
        <v>822</v>
      </c>
      <c r="C126" s="29" t="s">
        <v>823</v>
      </c>
      <c r="D126" s="2" t="s">
        <v>1820</v>
      </c>
      <c r="E126" s="2"/>
      <c r="F126" s="3"/>
      <c r="G126" s="3"/>
      <c r="H126" s="2" t="s">
        <v>223</v>
      </c>
      <c r="I126" s="2" t="s">
        <v>223</v>
      </c>
      <c r="J126" s="28" t="s">
        <v>73</v>
      </c>
      <c r="K126" s="28" t="s">
        <v>1765</v>
      </c>
      <c r="L126" s="43" t="s">
        <v>89</v>
      </c>
      <c r="M126" s="4" t="s">
        <v>3</v>
      </c>
      <c r="N126" s="15">
        <v>37752815</v>
      </c>
      <c r="O126" s="88" t="s">
        <v>1532</v>
      </c>
      <c r="P126" s="38">
        <v>34120</v>
      </c>
      <c r="Q126" s="38"/>
      <c r="R126" s="38"/>
      <c r="S126" s="38"/>
      <c r="T126" s="38"/>
      <c r="U126" s="17" t="s">
        <v>215</v>
      </c>
      <c r="V126" s="17" t="s">
        <v>915</v>
      </c>
      <c r="W126" s="12">
        <v>41955</v>
      </c>
      <c r="X126" s="13"/>
      <c r="Y126" s="12">
        <v>42735</v>
      </c>
      <c r="Z126" s="2"/>
      <c r="AA126" s="2" t="s">
        <v>479</v>
      </c>
      <c r="AB126" s="14" t="s">
        <v>539</v>
      </c>
      <c r="AC126" s="5">
        <v>1000</v>
      </c>
      <c r="AD126" s="5">
        <f>+AC126*1.07</f>
        <v>1070</v>
      </c>
      <c r="AE126" s="5">
        <v>1170</v>
      </c>
      <c r="AF126" s="5">
        <f t="shared" si="89"/>
        <v>1310</v>
      </c>
      <c r="AG126" s="5">
        <f t="shared" si="121"/>
        <v>1310</v>
      </c>
      <c r="AH126" s="5">
        <f t="shared" si="121"/>
        <v>1310</v>
      </c>
      <c r="AI126" s="5">
        <f t="shared" ref="AI126:AJ126" si="132">+AH126</f>
        <v>1310</v>
      </c>
      <c r="AJ126" s="5">
        <f t="shared" si="132"/>
        <v>1310</v>
      </c>
      <c r="AK126" s="29" t="s">
        <v>42</v>
      </c>
      <c r="AL126" s="105" t="str">
        <f>+AK126</f>
        <v>C0</v>
      </c>
    </row>
    <row r="127" spans="1:38" s="6" customFormat="1" ht="15" customHeight="1" x14ac:dyDescent="0.2">
      <c r="A127" s="29" t="s">
        <v>824</v>
      </c>
      <c r="B127" s="29" t="s">
        <v>822</v>
      </c>
      <c r="C127" s="29" t="s">
        <v>823</v>
      </c>
      <c r="D127" s="2" t="s">
        <v>800</v>
      </c>
      <c r="E127" s="7" t="s">
        <v>503</v>
      </c>
      <c r="F127" s="7"/>
      <c r="G127" s="7"/>
      <c r="H127" s="8"/>
      <c r="I127" s="3"/>
      <c r="J127" s="28" t="s">
        <v>254</v>
      </c>
      <c r="K127" s="28"/>
      <c r="L127" s="42" t="s">
        <v>466</v>
      </c>
      <c r="M127" s="4" t="s">
        <v>3</v>
      </c>
      <c r="N127" s="15">
        <v>31271654</v>
      </c>
      <c r="O127" s="88">
        <v>20312716543</v>
      </c>
      <c r="P127" s="38"/>
      <c r="Q127" s="38"/>
      <c r="R127" s="38"/>
      <c r="S127" s="38"/>
      <c r="T127" s="38"/>
      <c r="U127" s="16" t="s">
        <v>796</v>
      </c>
      <c r="V127" s="16" t="s">
        <v>916</v>
      </c>
      <c r="W127" s="12">
        <v>41306</v>
      </c>
      <c r="X127" s="12">
        <v>42460</v>
      </c>
      <c r="Y127" s="12">
        <v>42735</v>
      </c>
      <c r="Z127" s="2" t="s">
        <v>42</v>
      </c>
      <c r="AA127" s="2"/>
      <c r="AB127" s="18"/>
      <c r="AC127" s="5">
        <v>1000</v>
      </c>
      <c r="AD127" s="5"/>
      <c r="AE127" s="5">
        <v>1170</v>
      </c>
      <c r="AF127" s="5">
        <f t="shared" si="89"/>
        <v>1310</v>
      </c>
      <c r="AG127" s="5">
        <f t="shared" si="121"/>
        <v>1310</v>
      </c>
      <c r="AH127" s="5">
        <f t="shared" si="121"/>
        <v>1310</v>
      </c>
      <c r="AI127" s="5">
        <f t="shared" ref="AI127:AJ127" si="133">+AH127</f>
        <v>1310</v>
      </c>
      <c r="AJ127" s="5">
        <f t="shared" si="133"/>
        <v>1310</v>
      </c>
      <c r="AK127" s="2"/>
      <c r="AL127" s="105" t="str">
        <f>+Z127</f>
        <v>C0</v>
      </c>
    </row>
    <row r="128" spans="1:38" s="6" customFormat="1" ht="15" customHeight="1" x14ac:dyDescent="0.2">
      <c r="A128" s="29" t="s">
        <v>824</v>
      </c>
      <c r="B128" s="2" t="s">
        <v>822</v>
      </c>
      <c r="C128" s="29" t="s">
        <v>823</v>
      </c>
      <c r="D128" s="2" t="s">
        <v>808</v>
      </c>
      <c r="E128" s="2" t="s">
        <v>909</v>
      </c>
      <c r="F128" s="2" t="s">
        <v>23</v>
      </c>
      <c r="G128" s="3"/>
      <c r="H128" s="2"/>
      <c r="I128" s="3"/>
      <c r="J128" s="28"/>
      <c r="K128" s="28"/>
      <c r="L128" s="41" t="s">
        <v>1699</v>
      </c>
      <c r="M128" s="7" t="s">
        <v>3</v>
      </c>
      <c r="N128" s="85">
        <v>26927767</v>
      </c>
      <c r="O128" s="88"/>
      <c r="P128" s="38"/>
      <c r="Q128" s="38"/>
      <c r="R128" s="38"/>
      <c r="S128" s="38"/>
      <c r="T128" s="38"/>
      <c r="U128" s="16"/>
      <c r="V128" s="16" t="s">
        <v>916</v>
      </c>
      <c r="W128" s="12"/>
      <c r="X128" s="48"/>
      <c r="Y128" s="12">
        <v>42735</v>
      </c>
      <c r="Z128" s="28" t="s">
        <v>17</v>
      </c>
      <c r="AA128" s="2"/>
      <c r="AB128" s="3"/>
      <c r="AC128" s="5">
        <v>1000</v>
      </c>
      <c r="AD128" s="5"/>
      <c r="AE128" s="5">
        <v>1170</v>
      </c>
      <c r="AF128" s="5">
        <f t="shared" si="89"/>
        <v>1310</v>
      </c>
      <c r="AG128" s="5">
        <f t="shared" si="121"/>
        <v>1310</v>
      </c>
      <c r="AH128" s="5">
        <f t="shared" si="121"/>
        <v>1310</v>
      </c>
      <c r="AI128" s="5">
        <f t="shared" ref="AI128:AJ128" si="134">+AH128</f>
        <v>1310</v>
      </c>
      <c r="AJ128" s="5">
        <f t="shared" si="134"/>
        <v>1310</v>
      </c>
      <c r="AK128" s="2"/>
      <c r="AL128" s="105" t="str">
        <f>+Z128</f>
        <v>C1</v>
      </c>
    </row>
    <row r="129" spans="1:38" s="6" customFormat="1" ht="15" customHeight="1" x14ac:dyDescent="0.2">
      <c r="A129" s="29" t="s">
        <v>824</v>
      </c>
      <c r="B129" s="2" t="s">
        <v>822</v>
      </c>
      <c r="C129" s="3"/>
      <c r="D129" s="2" t="s">
        <v>825</v>
      </c>
      <c r="E129" s="3" t="s">
        <v>18</v>
      </c>
      <c r="F129" s="2" t="s">
        <v>19</v>
      </c>
      <c r="G129" s="2"/>
      <c r="H129" s="2" t="s">
        <v>20</v>
      </c>
      <c r="I129" s="2" t="s">
        <v>1760</v>
      </c>
      <c r="J129" s="28" t="s">
        <v>548</v>
      </c>
      <c r="K129" s="28" t="s">
        <v>548</v>
      </c>
      <c r="L129" s="44" t="s">
        <v>584</v>
      </c>
      <c r="M129" s="4" t="s">
        <v>3</v>
      </c>
      <c r="N129" s="15">
        <v>28643869</v>
      </c>
      <c r="O129" s="88" t="s">
        <v>1332</v>
      </c>
      <c r="P129" s="38">
        <v>29598</v>
      </c>
      <c r="Q129" s="38"/>
      <c r="R129" s="38"/>
      <c r="S129" s="38"/>
      <c r="T129" s="38"/>
      <c r="U129" s="17" t="s">
        <v>215</v>
      </c>
      <c r="V129" s="17" t="s">
        <v>915</v>
      </c>
      <c r="W129" s="12">
        <v>42037</v>
      </c>
      <c r="X129" s="13"/>
      <c r="Y129" s="12">
        <v>42735</v>
      </c>
      <c r="Z129" s="2"/>
      <c r="AA129" s="2" t="s">
        <v>479</v>
      </c>
      <c r="AB129" s="7" t="s">
        <v>787</v>
      </c>
      <c r="AC129" s="5">
        <v>1000</v>
      </c>
      <c r="AD129" s="5">
        <f>+AC129</f>
        <v>1000</v>
      </c>
      <c r="AE129" s="5">
        <v>1170</v>
      </c>
      <c r="AF129" s="5">
        <f t="shared" si="89"/>
        <v>1310</v>
      </c>
      <c r="AG129" s="5">
        <f t="shared" si="121"/>
        <v>1310</v>
      </c>
      <c r="AH129" s="5">
        <f t="shared" si="121"/>
        <v>1310</v>
      </c>
      <c r="AI129" s="5">
        <f t="shared" ref="AI129:AJ129" si="135">+AH129</f>
        <v>1310</v>
      </c>
      <c r="AJ129" s="5">
        <f t="shared" si="135"/>
        <v>1310</v>
      </c>
      <c r="AK129" s="2"/>
      <c r="AL129" s="106"/>
    </row>
    <row r="130" spans="1:38" s="6" customFormat="1" ht="15" customHeight="1" x14ac:dyDescent="0.2">
      <c r="A130" s="29" t="s">
        <v>824</v>
      </c>
      <c r="B130" s="2" t="s">
        <v>822</v>
      </c>
      <c r="C130" s="29" t="s">
        <v>823</v>
      </c>
      <c r="D130" s="2" t="s">
        <v>1820</v>
      </c>
      <c r="E130" s="2"/>
      <c r="F130" s="3"/>
      <c r="G130" s="3"/>
      <c r="H130" s="2" t="s">
        <v>884</v>
      </c>
      <c r="I130" s="2" t="s">
        <v>1707</v>
      </c>
      <c r="J130" s="28"/>
      <c r="K130" s="28" t="s">
        <v>1765</v>
      </c>
      <c r="L130" s="41" t="s">
        <v>839</v>
      </c>
      <c r="M130" s="4" t="s">
        <v>3</v>
      </c>
      <c r="N130" s="15">
        <v>17673078</v>
      </c>
      <c r="O130" s="88">
        <v>20176730782</v>
      </c>
      <c r="P130" s="38">
        <v>24166</v>
      </c>
      <c r="Q130" s="38"/>
      <c r="R130" s="38"/>
      <c r="S130" s="38"/>
      <c r="T130" s="38"/>
      <c r="U130" s="17" t="s">
        <v>215</v>
      </c>
      <c r="V130" s="17" t="s">
        <v>915</v>
      </c>
      <c r="W130" s="12">
        <v>42370</v>
      </c>
      <c r="X130" s="48"/>
      <c r="Y130" s="12">
        <v>42735</v>
      </c>
      <c r="Z130" s="2"/>
      <c r="AA130" s="2" t="s">
        <v>479</v>
      </c>
      <c r="AB130" s="3" t="s">
        <v>10</v>
      </c>
      <c r="AC130" s="5">
        <v>1000</v>
      </c>
      <c r="AD130" s="5">
        <f>+AC130*1.07</f>
        <v>1070</v>
      </c>
      <c r="AE130" s="5">
        <v>1170</v>
      </c>
      <c r="AF130" s="5">
        <f t="shared" si="89"/>
        <v>1310</v>
      </c>
      <c r="AG130" s="5">
        <f t="shared" si="121"/>
        <v>1310</v>
      </c>
      <c r="AH130" s="5">
        <f t="shared" si="121"/>
        <v>1310</v>
      </c>
      <c r="AI130" s="5">
        <f t="shared" ref="AI130:AJ130" si="136">+AH130</f>
        <v>1310</v>
      </c>
      <c r="AJ130" s="5">
        <f t="shared" si="136"/>
        <v>1310</v>
      </c>
      <c r="AK130" s="2" t="s">
        <v>43</v>
      </c>
      <c r="AL130" s="105" t="str">
        <f>+AK130</f>
        <v>A0</v>
      </c>
    </row>
    <row r="131" spans="1:38" s="6" customFormat="1" ht="15" customHeight="1" x14ac:dyDescent="0.2">
      <c r="A131" s="29" t="s">
        <v>824</v>
      </c>
      <c r="B131" s="29" t="s">
        <v>822</v>
      </c>
      <c r="C131" s="29" t="s">
        <v>823</v>
      </c>
      <c r="D131" s="2" t="s">
        <v>800</v>
      </c>
      <c r="E131" s="7" t="s">
        <v>541</v>
      </c>
      <c r="F131" s="7"/>
      <c r="G131" s="7"/>
      <c r="H131" s="8"/>
      <c r="I131" s="3" t="s">
        <v>1727</v>
      </c>
      <c r="J131" s="28" t="s">
        <v>254</v>
      </c>
      <c r="K131" s="28" t="s">
        <v>1767</v>
      </c>
      <c r="L131" s="42" t="s">
        <v>420</v>
      </c>
      <c r="M131" s="4" t="s">
        <v>3</v>
      </c>
      <c r="N131" s="15">
        <v>35360874</v>
      </c>
      <c r="O131" s="88" t="s">
        <v>1495</v>
      </c>
      <c r="P131" s="38">
        <v>33230</v>
      </c>
      <c r="Q131" s="38"/>
      <c r="R131" s="38"/>
      <c r="S131" s="38"/>
      <c r="T131" s="38"/>
      <c r="U131" s="17" t="s">
        <v>215</v>
      </c>
      <c r="V131" s="17" t="s">
        <v>915</v>
      </c>
      <c r="W131" s="12">
        <v>41456</v>
      </c>
      <c r="X131" s="13"/>
      <c r="Y131" s="12">
        <v>42735</v>
      </c>
      <c r="Z131" s="2"/>
      <c r="AA131" s="2" t="s">
        <v>479</v>
      </c>
      <c r="AB131" s="24" t="s">
        <v>479</v>
      </c>
      <c r="AC131" s="5">
        <v>1000</v>
      </c>
      <c r="AD131" s="5">
        <v>1070</v>
      </c>
      <c r="AE131" s="5">
        <v>1170</v>
      </c>
      <c r="AF131" s="5">
        <f t="shared" si="89"/>
        <v>1310</v>
      </c>
      <c r="AG131" s="5">
        <f t="shared" si="121"/>
        <v>1310</v>
      </c>
      <c r="AH131" s="5">
        <f t="shared" si="121"/>
        <v>1310</v>
      </c>
      <c r="AI131" s="5">
        <f t="shared" ref="AI131:AJ131" si="137">+AH131</f>
        <v>1310</v>
      </c>
      <c r="AJ131" s="5">
        <f t="shared" si="137"/>
        <v>1310</v>
      </c>
      <c r="AK131" s="29" t="s">
        <v>42</v>
      </c>
      <c r="AL131" s="105" t="str">
        <f>+AK131</f>
        <v>C0</v>
      </c>
    </row>
    <row r="132" spans="1:38" s="6" customFormat="1" ht="15" customHeight="1" x14ac:dyDescent="0.2">
      <c r="A132" s="29" t="s">
        <v>824</v>
      </c>
      <c r="B132" s="29" t="s">
        <v>822</v>
      </c>
      <c r="C132" s="29" t="s">
        <v>823</v>
      </c>
      <c r="D132" s="2" t="s">
        <v>800</v>
      </c>
      <c r="E132" s="7" t="s">
        <v>498</v>
      </c>
      <c r="F132" s="7"/>
      <c r="G132" s="7"/>
      <c r="H132" s="8"/>
      <c r="I132" s="3" t="s">
        <v>1728</v>
      </c>
      <c r="J132" s="28" t="s">
        <v>254</v>
      </c>
      <c r="K132" s="28" t="s">
        <v>1767</v>
      </c>
      <c r="L132" s="42" t="s">
        <v>402</v>
      </c>
      <c r="M132" s="4" t="s">
        <v>3</v>
      </c>
      <c r="N132" s="15">
        <v>34423729</v>
      </c>
      <c r="O132" s="88" t="s">
        <v>1471</v>
      </c>
      <c r="P132" s="38">
        <v>32725</v>
      </c>
      <c r="Q132" s="38"/>
      <c r="R132" s="38"/>
      <c r="S132" s="38"/>
      <c r="T132" s="38"/>
      <c r="U132" s="17" t="s">
        <v>215</v>
      </c>
      <c r="V132" s="17" t="s">
        <v>915</v>
      </c>
      <c r="W132" s="12">
        <v>42186</v>
      </c>
      <c r="X132" s="13"/>
      <c r="Y132" s="12">
        <v>42735</v>
      </c>
      <c r="Z132" s="2"/>
      <c r="AA132" s="2" t="s">
        <v>479</v>
      </c>
      <c r="AB132" s="24" t="s">
        <v>479</v>
      </c>
      <c r="AC132" s="5">
        <v>1000</v>
      </c>
      <c r="AD132" s="5">
        <v>1070</v>
      </c>
      <c r="AE132" s="5">
        <v>1170</v>
      </c>
      <c r="AF132" s="5">
        <f t="shared" si="89"/>
        <v>1310</v>
      </c>
      <c r="AG132" s="5">
        <f t="shared" si="121"/>
        <v>1310</v>
      </c>
      <c r="AH132" s="5">
        <f t="shared" si="121"/>
        <v>1310</v>
      </c>
      <c r="AI132" s="5">
        <f t="shared" ref="AI132:AJ132" si="138">+AH132</f>
        <v>1310</v>
      </c>
      <c r="AJ132" s="5">
        <f t="shared" si="138"/>
        <v>1310</v>
      </c>
      <c r="AK132" s="29" t="s">
        <v>42</v>
      </c>
      <c r="AL132" s="105" t="str">
        <f>+AK132</f>
        <v>C0</v>
      </c>
    </row>
    <row r="133" spans="1:38" s="6" customFormat="1" ht="15" customHeight="1" x14ac:dyDescent="0.2">
      <c r="A133" s="29" t="s">
        <v>824</v>
      </c>
      <c r="B133" s="2" t="s">
        <v>822</v>
      </c>
      <c r="C133" s="3"/>
      <c r="D133" s="2" t="s">
        <v>825</v>
      </c>
      <c r="E133" s="3" t="s">
        <v>18</v>
      </c>
      <c r="F133" s="2" t="s">
        <v>19</v>
      </c>
      <c r="G133" s="2"/>
      <c r="H133" s="2" t="s">
        <v>44</v>
      </c>
      <c r="I133" s="2" t="s">
        <v>1707</v>
      </c>
      <c r="J133" s="28" t="s">
        <v>548</v>
      </c>
      <c r="K133" s="28" t="s">
        <v>548</v>
      </c>
      <c r="L133" s="44" t="s">
        <v>585</v>
      </c>
      <c r="M133" s="4" t="s">
        <v>3</v>
      </c>
      <c r="N133" s="15">
        <v>30925290</v>
      </c>
      <c r="O133" s="88" t="s">
        <v>1379</v>
      </c>
      <c r="P133" s="38">
        <v>30793</v>
      </c>
      <c r="Q133" s="38"/>
      <c r="R133" s="38"/>
      <c r="S133" s="38"/>
      <c r="T133" s="38"/>
      <c r="U133" s="17" t="s">
        <v>215</v>
      </c>
      <c r="V133" s="17" t="s">
        <v>915</v>
      </c>
      <c r="W133" s="12">
        <v>41395</v>
      </c>
      <c r="X133" s="13"/>
      <c r="Y133" s="12">
        <v>42735</v>
      </c>
      <c r="Z133" s="2"/>
      <c r="AA133" s="2" t="s">
        <v>479</v>
      </c>
      <c r="AB133" s="7" t="s">
        <v>787</v>
      </c>
      <c r="AC133" s="5">
        <v>1000</v>
      </c>
      <c r="AD133" s="5">
        <f>+AC133</f>
        <v>1000</v>
      </c>
      <c r="AE133" s="5">
        <v>1170</v>
      </c>
      <c r="AF133" s="5">
        <f t="shared" si="89"/>
        <v>1310</v>
      </c>
      <c r="AG133" s="5">
        <f t="shared" si="121"/>
        <v>1310</v>
      </c>
      <c r="AH133" s="5">
        <f t="shared" si="121"/>
        <v>1310</v>
      </c>
      <c r="AI133" s="5">
        <f t="shared" ref="AI133:AJ133" si="139">+AH133</f>
        <v>1310</v>
      </c>
      <c r="AJ133" s="5">
        <f t="shared" si="139"/>
        <v>1310</v>
      </c>
      <c r="AK133" s="2"/>
      <c r="AL133" s="106"/>
    </row>
    <row r="134" spans="1:38" s="6" customFormat="1" ht="15" customHeight="1" x14ac:dyDescent="0.2">
      <c r="A134" s="29" t="s">
        <v>824</v>
      </c>
      <c r="B134" s="2" t="s">
        <v>822</v>
      </c>
      <c r="C134" s="3"/>
      <c r="D134" s="2" t="s">
        <v>825</v>
      </c>
      <c r="E134" s="3" t="s">
        <v>18</v>
      </c>
      <c r="F134" s="2" t="s">
        <v>19</v>
      </c>
      <c r="G134" s="2"/>
      <c r="H134" s="2" t="s">
        <v>20</v>
      </c>
      <c r="I134" s="2" t="s">
        <v>1760</v>
      </c>
      <c r="J134" s="28" t="s">
        <v>548</v>
      </c>
      <c r="K134" s="28" t="s">
        <v>548</v>
      </c>
      <c r="L134" s="44" t="s">
        <v>586</v>
      </c>
      <c r="M134" s="4" t="s">
        <v>3</v>
      </c>
      <c r="N134" s="15">
        <v>30833891</v>
      </c>
      <c r="O134" s="88" t="s">
        <v>1376</v>
      </c>
      <c r="P134" s="38">
        <v>30659</v>
      </c>
      <c r="Q134" s="38"/>
      <c r="R134" s="38"/>
      <c r="S134" s="38"/>
      <c r="T134" s="38"/>
      <c r="U134" s="17" t="s">
        <v>215</v>
      </c>
      <c r="V134" s="17" t="s">
        <v>915</v>
      </c>
      <c r="W134" s="12">
        <v>42037</v>
      </c>
      <c r="X134" s="13"/>
      <c r="Y134" s="12">
        <v>42735</v>
      </c>
      <c r="Z134" s="2"/>
      <c r="AA134" s="2" t="s">
        <v>479</v>
      </c>
      <c r="AB134" s="7" t="s">
        <v>787</v>
      </c>
      <c r="AC134" s="5">
        <v>1000</v>
      </c>
      <c r="AD134" s="5">
        <f>+AC134</f>
        <v>1000</v>
      </c>
      <c r="AE134" s="5">
        <v>1170</v>
      </c>
      <c r="AF134" s="5">
        <f t="shared" si="89"/>
        <v>1310</v>
      </c>
      <c r="AG134" s="5">
        <f t="shared" si="121"/>
        <v>1310</v>
      </c>
      <c r="AH134" s="5">
        <f t="shared" si="121"/>
        <v>1310</v>
      </c>
      <c r="AI134" s="5">
        <f t="shared" ref="AI134:AJ134" si="140">+AH134</f>
        <v>1310</v>
      </c>
      <c r="AJ134" s="5">
        <f t="shared" si="140"/>
        <v>1310</v>
      </c>
      <c r="AK134" s="2"/>
      <c r="AL134" s="106"/>
    </row>
    <row r="135" spans="1:38" s="6" customFormat="1" ht="15" customHeight="1" x14ac:dyDescent="0.2">
      <c r="A135" s="29" t="s">
        <v>824</v>
      </c>
      <c r="B135" s="29"/>
      <c r="C135" s="14"/>
      <c r="D135" s="2" t="s">
        <v>820</v>
      </c>
      <c r="E135" s="2" t="s">
        <v>921</v>
      </c>
      <c r="F135" s="2" t="s">
        <v>217</v>
      </c>
      <c r="G135" s="3"/>
      <c r="H135" s="2" t="s">
        <v>1644</v>
      </c>
      <c r="I135" s="2" t="s">
        <v>1707</v>
      </c>
      <c r="J135" s="28"/>
      <c r="K135" s="28" t="s">
        <v>1765</v>
      </c>
      <c r="L135" s="41" t="s">
        <v>1645</v>
      </c>
      <c r="M135" s="7" t="s">
        <v>3</v>
      </c>
      <c r="N135" s="15">
        <v>10966721</v>
      </c>
      <c r="O135" s="88">
        <v>20109667219</v>
      </c>
      <c r="P135" s="38">
        <v>20058</v>
      </c>
      <c r="Q135" s="38"/>
      <c r="R135" s="38"/>
      <c r="S135" s="38"/>
      <c r="T135" s="38"/>
      <c r="U135" s="17" t="s">
        <v>215</v>
      </c>
      <c r="V135" s="17" t="s">
        <v>915</v>
      </c>
      <c r="W135" s="12">
        <v>42565</v>
      </c>
      <c r="X135" s="48"/>
      <c r="Y135" s="48">
        <v>42735</v>
      </c>
      <c r="Z135" s="2"/>
      <c r="AA135" s="2" t="s">
        <v>479</v>
      </c>
      <c r="AB135" s="3"/>
      <c r="AC135" s="5"/>
      <c r="AD135" s="5"/>
      <c r="AE135" s="5">
        <v>1170</v>
      </c>
      <c r="AF135" s="5">
        <f t="shared" si="89"/>
        <v>0</v>
      </c>
      <c r="AG135" s="5">
        <f t="shared" si="121"/>
        <v>0</v>
      </c>
      <c r="AH135" s="5">
        <f t="shared" si="121"/>
        <v>0</v>
      </c>
      <c r="AI135" s="5">
        <f t="shared" ref="AI135:AJ135" si="141">+AH135</f>
        <v>0</v>
      </c>
      <c r="AJ135" s="5">
        <f t="shared" si="141"/>
        <v>0</v>
      </c>
      <c r="AK135" s="2" t="s">
        <v>53</v>
      </c>
      <c r="AL135" s="105" t="str">
        <f>+AK135</f>
        <v>B0</v>
      </c>
    </row>
    <row r="136" spans="1:38" s="6" customFormat="1" ht="15" customHeight="1" x14ac:dyDescent="0.2">
      <c r="A136" s="29" t="s">
        <v>824</v>
      </c>
      <c r="B136" s="29" t="s">
        <v>822</v>
      </c>
      <c r="C136" s="29" t="s">
        <v>823</v>
      </c>
      <c r="D136" s="2" t="s">
        <v>808</v>
      </c>
      <c r="E136" s="2" t="s">
        <v>216</v>
      </c>
      <c r="F136" s="3"/>
      <c r="G136" s="3"/>
      <c r="H136" s="2" t="s">
        <v>814</v>
      </c>
      <c r="I136" s="2" t="s">
        <v>48</v>
      </c>
      <c r="J136" s="28" t="s">
        <v>73</v>
      </c>
      <c r="K136" s="28" t="s">
        <v>1765</v>
      </c>
      <c r="L136" s="43" t="s">
        <v>90</v>
      </c>
      <c r="M136" s="4" t="s">
        <v>3</v>
      </c>
      <c r="N136" s="15">
        <v>35452327</v>
      </c>
      <c r="O136" s="88" t="s">
        <v>1499</v>
      </c>
      <c r="P136" s="38">
        <v>33207</v>
      </c>
      <c r="Q136" s="38"/>
      <c r="R136" s="38"/>
      <c r="S136" s="38"/>
      <c r="T136" s="38"/>
      <c r="U136" s="17" t="s">
        <v>215</v>
      </c>
      <c r="V136" s="17" t="s">
        <v>915</v>
      </c>
      <c r="W136" s="12">
        <v>42217</v>
      </c>
      <c r="X136" s="13"/>
      <c r="Y136" s="12">
        <v>42735</v>
      </c>
      <c r="Z136" s="2"/>
      <c r="AA136" s="2" t="s">
        <v>479</v>
      </c>
      <c r="AB136" s="7" t="s">
        <v>61</v>
      </c>
      <c r="AC136" s="5">
        <v>1000</v>
      </c>
      <c r="AD136" s="5">
        <f>+AC136*1.07</f>
        <v>1070</v>
      </c>
      <c r="AE136" s="5">
        <v>1170</v>
      </c>
      <c r="AF136" s="5">
        <f t="shared" si="89"/>
        <v>1310</v>
      </c>
      <c r="AG136" s="5">
        <f t="shared" ref="AG136:AH155" si="142">+AF136</f>
        <v>1310</v>
      </c>
      <c r="AH136" s="5">
        <f t="shared" si="142"/>
        <v>1310</v>
      </c>
      <c r="AI136" s="5">
        <f t="shared" ref="AI136:AJ136" si="143">+AH136</f>
        <v>1310</v>
      </c>
      <c r="AJ136" s="5">
        <f t="shared" si="143"/>
        <v>1310</v>
      </c>
      <c r="AK136" s="29" t="s">
        <v>42</v>
      </c>
      <c r="AL136" s="105" t="str">
        <f>+AK136</f>
        <v>C0</v>
      </c>
    </row>
    <row r="137" spans="1:38" s="6" customFormat="1" ht="15" customHeight="1" x14ac:dyDescent="0.2">
      <c r="A137" s="29" t="s">
        <v>824</v>
      </c>
      <c r="B137" s="2" t="s">
        <v>822</v>
      </c>
      <c r="C137" s="3"/>
      <c r="D137" s="2" t="s">
        <v>825</v>
      </c>
      <c r="E137" s="3" t="s">
        <v>18</v>
      </c>
      <c r="F137" s="2" t="s">
        <v>19</v>
      </c>
      <c r="G137" s="2"/>
      <c r="H137" s="2" t="s">
        <v>39</v>
      </c>
      <c r="I137" s="2" t="s">
        <v>1707</v>
      </c>
      <c r="J137" s="28" t="s">
        <v>548</v>
      </c>
      <c r="K137" s="28" t="s">
        <v>548</v>
      </c>
      <c r="L137" s="44" t="s">
        <v>587</v>
      </c>
      <c r="M137" s="4" t="s">
        <v>3</v>
      </c>
      <c r="N137" s="15">
        <v>29250290</v>
      </c>
      <c r="O137" s="88">
        <v>20292502909</v>
      </c>
      <c r="P137" s="38">
        <v>29958</v>
      </c>
      <c r="Q137" s="38"/>
      <c r="R137" s="38"/>
      <c r="S137" s="38"/>
      <c r="T137" s="38"/>
      <c r="U137" s="17" t="s">
        <v>215</v>
      </c>
      <c r="V137" s="17" t="s">
        <v>915</v>
      </c>
      <c r="W137" s="12">
        <v>42095</v>
      </c>
      <c r="X137" s="13"/>
      <c r="Y137" s="12">
        <v>42735</v>
      </c>
      <c r="Z137" s="2"/>
      <c r="AA137" s="2" t="s">
        <v>479</v>
      </c>
      <c r="AB137" s="7" t="s">
        <v>787</v>
      </c>
      <c r="AC137" s="5">
        <v>1000</v>
      </c>
      <c r="AD137" s="5">
        <f>+AC137</f>
        <v>1000</v>
      </c>
      <c r="AE137" s="5">
        <v>1170</v>
      </c>
      <c r="AF137" s="5">
        <f t="shared" si="89"/>
        <v>1310</v>
      </c>
      <c r="AG137" s="5">
        <f t="shared" si="142"/>
        <v>1310</v>
      </c>
      <c r="AH137" s="5">
        <f t="shared" si="142"/>
        <v>1310</v>
      </c>
      <c r="AI137" s="5">
        <f t="shared" ref="AI137:AJ137" si="144">+AH137</f>
        <v>1310</v>
      </c>
      <c r="AJ137" s="5">
        <f t="shared" si="144"/>
        <v>1310</v>
      </c>
      <c r="AK137" s="2"/>
      <c r="AL137" s="106"/>
    </row>
    <row r="138" spans="1:38" s="6" customFormat="1" ht="15" customHeight="1" x14ac:dyDescent="0.2">
      <c r="A138" s="29" t="s">
        <v>824</v>
      </c>
      <c r="B138" s="29" t="s">
        <v>822</v>
      </c>
      <c r="C138" s="29" t="s">
        <v>823</v>
      </c>
      <c r="D138" s="2" t="s">
        <v>800</v>
      </c>
      <c r="E138" s="7" t="s">
        <v>497</v>
      </c>
      <c r="F138" s="7"/>
      <c r="G138" s="7"/>
      <c r="H138" s="8"/>
      <c r="I138" s="3" t="s">
        <v>1714</v>
      </c>
      <c r="J138" s="28" t="s">
        <v>254</v>
      </c>
      <c r="K138" s="28" t="s">
        <v>1767</v>
      </c>
      <c r="L138" s="42" t="s">
        <v>381</v>
      </c>
      <c r="M138" s="4" t="s">
        <v>3</v>
      </c>
      <c r="N138" s="15">
        <v>24320153</v>
      </c>
      <c r="O138" s="88" t="s">
        <v>1244</v>
      </c>
      <c r="P138" s="38">
        <v>27426</v>
      </c>
      <c r="Q138" s="38"/>
      <c r="R138" s="38"/>
      <c r="S138" s="38"/>
      <c r="T138" s="38"/>
      <c r="U138" s="17" t="s">
        <v>215</v>
      </c>
      <c r="V138" s="17" t="s">
        <v>915</v>
      </c>
      <c r="W138" s="12">
        <v>40725</v>
      </c>
      <c r="X138" s="13"/>
      <c r="Y138" s="12">
        <v>42735</v>
      </c>
      <c r="Z138" s="2"/>
      <c r="AA138" s="2" t="s">
        <v>479</v>
      </c>
      <c r="AB138" s="24" t="s">
        <v>479</v>
      </c>
      <c r="AC138" s="5">
        <v>1000</v>
      </c>
      <c r="AD138" s="5">
        <v>1070</v>
      </c>
      <c r="AE138" s="5">
        <v>1170</v>
      </c>
      <c r="AF138" s="5">
        <f t="shared" si="89"/>
        <v>1310</v>
      </c>
      <c r="AG138" s="5">
        <f t="shared" si="142"/>
        <v>1310</v>
      </c>
      <c r="AH138" s="5">
        <f t="shared" si="142"/>
        <v>1310</v>
      </c>
      <c r="AI138" s="5">
        <f t="shared" ref="AI138:AJ138" si="145">+AH138</f>
        <v>1310</v>
      </c>
      <c r="AJ138" s="5">
        <f t="shared" si="145"/>
        <v>1310</v>
      </c>
      <c r="AK138" s="29" t="s">
        <v>42</v>
      </c>
      <c r="AL138" s="105" t="str">
        <f>+AK138</f>
        <v>C0</v>
      </c>
    </row>
    <row r="139" spans="1:38" s="6" customFormat="1" ht="15" customHeight="1" x14ac:dyDescent="0.2">
      <c r="A139" s="29" t="s">
        <v>824</v>
      </c>
      <c r="B139" s="29" t="s">
        <v>822</v>
      </c>
      <c r="C139" s="29" t="s">
        <v>823</v>
      </c>
      <c r="D139" s="2" t="s">
        <v>800</v>
      </c>
      <c r="E139" s="7" t="s">
        <v>497</v>
      </c>
      <c r="F139" s="7"/>
      <c r="G139" s="7"/>
      <c r="H139" s="8"/>
      <c r="I139" s="3" t="s">
        <v>1714</v>
      </c>
      <c r="J139" s="28" t="s">
        <v>254</v>
      </c>
      <c r="K139" s="28" t="s">
        <v>1767</v>
      </c>
      <c r="L139" s="42" t="s">
        <v>382</v>
      </c>
      <c r="M139" s="4" t="s">
        <v>3</v>
      </c>
      <c r="N139" s="15">
        <v>28710766</v>
      </c>
      <c r="O139" s="88" t="s">
        <v>1334</v>
      </c>
      <c r="P139" s="38">
        <v>29648</v>
      </c>
      <c r="Q139" s="38"/>
      <c r="R139" s="38"/>
      <c r="S139" s="38"/>
      <c r="T139" s="38"/>
      <c r="U139" s="17" t="s">
        <v>215</v>
      </c>
      <c r="V139" s="17" t="s">
        <v>915</v>
      </c>
      <c r="W139" s="12">
        <v>40725</v>
      </c>
      <c r="X139" s="13"/>
      <c r="Y139" s="12">
        <v>42735</v>
      </c>
      <c r="Z139" s="2"/>
      <c r="AA139" s="2" t="s">
        <v>479</v>
      </c>
      <c r="AB139" s="24" t="s">
        <v>479</v>
      </c>
      <c r="AC139" s="5">
        <v>1000</v>
      </c>
      <c r="AD139" s="5">
        <v>1070</v>
      </c>
      <c r="AE139" s="5">
        <v>1170</v>
      </c>
      <c r="AF139" s="5">
        <f t="shared" si="89"/>
        <v>1310</v>
      </c>
      <c r="AG139" s="5">
        <f t="shared" si="142"/>
        <v>1310</v>
      </c>
      <c r="AH139" s="5">
        <f t="shared" si="142"/>
        <v>1310</v>
      </c>
      <c r="AI139" s="5">
        <f t="shared" ref="AI139:AJ139" si="146">+AH139</f>
        <v>1310</v>
      </c>
      <c r="AJ139" s="5">
        <f t="shared" si="146"/>
        <v>1310</v>
      </c>
      <c r="AK139" s="29" t="s">
        <v>42</v>
      </c>
      <c r="AL139" s="105" t="str">
        <f>+AK139</f>
        <v>C0</v>
      </c>
    </row>
    <row r="140" spans="1:38" s="6" customFormat="1" ht="15" customHeight="1" x14ac:dyDescent="0.2">
      <c r="A140" s="29" t="s">
        <v>824</v>
      </c>
      <c r="B140" s="29"/>
      <c r="C140" s="29"/>
      <c r="D140" s="2" t="s">
        <v>820</v>
      </c>
      <c r="E140" s="2" t="s">
        <v>817</v>
      </c>
      <c r="F140" s="3"/>
      <c r="G140" s="3"/>
      <c r="H140" s="2" t="s">
        <v>221</v>
      </c>
      <c r="I140" s="3"/>
      <c r="J140" s="28" t="s">
        <v>73</v>
      </c>
      <c r="K140" s="28"/>
      <c r="L140" s="45" t="s">
        <v>91</v>
      </c>
      <c r="M140" s="4" t="s">
        <v>3</v>
      </c>
      <c r="N140" s="15">
        <v>27930015</v>
      </c>
      <c r="O140" s="88">
        <v>27279300152</v>
      </c>
      <c r="P140" s="61"/>
      <c r="Q140" s="61"/>
      <c r="R140" s="61"/>
      <c r="S140" s="61"/>
      <c r="T140" s="61"/>
      <c r="U140" s="16" t="s">
        <v>796</v>
      </c>
      <c r="V140" s="16" t="s">
        <v>916</v>
      </c>
      <c r="W140" s="12">
        <v>40742</v>
      </c>
      <c r="X140" s="48">
        <v>42735</v>
      </c>
      <c r="Y140" s="12">
        <v>42735</v>
      </c>
      <c r="Z140" s="2" t="s">
        <v>30</v>
      </c>
      <c r="AA140" s="2"/>
      <c r="AB140" s="14"/>
      <c r="AC140" s="5">
        <v>1000</v>
      </c>
      <c r="AD140" s="5"/>
      <c r="AE140" s="5">
        <v>1170</v>
      </c>
      <c r="AF140" s="5">
        <f t="shared" si="89"/>
        <v>1310</v>
      </c>
      <c r="AG140" s="5">
        <f t="shared" si="142"/>
        <v>1310</v>
      </c>
      <c r="AH140" s="5">
        <f t="shared" si="142"/>
        <v>1310</v>
      </c>
      <c r="AI140" s="5">
        <f t="shared" ref="AI140:AJ140" si="147">+AH140</f>
        <v>1310</v>
      </c>
      <c r="AJ140" s="5">
        <f t="shared" si="147"/>
        <v>1310</v>
      </c>
      <c r="AK140" s="2"/>
      <c r="AL140" s="105" t="str">
        <f>+Z140</f>
        <v>B1</v>
      </c>
    </row>
    <row r="141" spans="1:38" s="6" customFormat="1" ht="15" customHeight="1" x14ac:dyDescent="0.2">
      <c r="A141" s="29" t="s">
        <v>824</v>
      </c>
      <c r="B141" s="29" t="s">
        <v>822</v>
      </c>
      <c r="C141" s="29" t="s">
        <v>823</v>
      </c>
      <c r="D141" s="2" t="s">
        <v>808</v>
      </c>
      <c r="E141" s="2" t="s">
        <v>216</v>
      </c>
      <c r="F141" s="3"/>
      <c r="G141" s="3"/>
      <c r="H141" s="2" t="s">
        <v>229</v>
      </c>
      <c r="I141" s="3"/>
      <c r="J141" s="28" t="s">
        <v>73</v>
      </c>
      <c r="K141" s="28"/>
      <c r="L141" s="45" t="s">
        <v>92</v>
      </c>
      <c r="M141" s="4" t="s">
        <v>3</v>
      </c>
      <c r="N141" s="15">
        <v>28936423</v>
      </c>
      <c r="O141" s="88">
        <v>23289364234</v>
      </c>
      <c r="P141" s="38"/>
      <c r="Q141" s="38"/>
      <c r="R141" s="38"/>
      <c r="S141" s="38"/>
      <c r="T141" s="38"/>
      <c r="U141" s="16" t="s">
        <v>796</v>
      </c>
      <c r="V141" s="16" t="s">
        <v>916</v>
      </c>
      <c r="W141" s="12">
        <v>41337</v>
      </c>
      <c r="X141" s="12">
        <v>42460</v>
      </c>
      <c r="Y141" s="12">
        <v>42735</v>
      </c>
      <c r="Z141" s="2" t="s">
        <v>53</v>
      </c>
      <c r="AA141" s="2"/>
      <c r="AB141" s="14"/>
      <c r="AC141" s="5">
        <v>1000</v>
      </c>
      <c r="AD141" s="5"/>
      <c r="AE141" s="5">
        <v>0</v>
      </c>
      <c r="AF141" s="5">
        <f t="shared" si="89"/>
        <v>1310</v>
      </c>
      <c r="AG141" s="5">
        <f t="shared" si="142"/>
        <v>1310</v>
      </c>
      <c r="AH141" s="5">
        <f t="shared" si="142"/>
        <v>1310</v>
      </c>
      <c r="AI141" s="5">
        <f t="shared" ref="AI141:AJ141" si="148">+AH141</f>
        <v>1310</v>
      </c>
      <c r="AJ141" s="5">
        <f t="shared" si="148"/>
        <v>1310</v>
      </c>
      <c r="AK141" s="2"/>
      <c r="AL141" s="105" t="str">
        <f>+Z141</f>
        <v>B0</v>
      </c>
    </row>
    <row r="142" spans="1:38" s="6" customFormat="1" ht="15" customHeight="1" x14ac:dyDescent="0.2">
      <c r="A142" s="29" t="s">
        <v>824</v>
      </c>
      <c r="B142" s="29" t="s">
        <v>822</v>
      </c>
      <c r="C142" s="29" t="s">
        <v>823</v>
      </c>
      <c r="D142" s="2" t="s">
        <v>800</v>
      </c>
      <c r="E142" s="2" t="s">
        <v>497</v>
      </c>
      <c r="F142" s="2"/>
      <c r="G142" s="2"/>
      <c r="H142" s="2"/>
      <c r="I142" s="3"/>
      <c r="J142" s="28" t="s">
        <v>254</v>
      </c>
      <c r="K142" s="28"/>
      <c r="L142" s="42" t="s">
        <v>373</v>
      </c>
      <c r="M142" s="4" t="s">
        <v>3</v>
      </c>
      <c r="N142" s="15">
        <v>33841323</v>
      </c>
      <c r="O142" s="88">
        <v>20338413239</v>
      </c>
      <c r="P142" s="38"/>
      <c r="Q142" s="38"/>
      <c r="R142" s="38"/>
      <c r="S142" s="38"/>
      <c r="T142" s="38"/>
      <c r="U142" s="16" t="s">
        <v>796</v>
      </c>
      <c r="V142" s="16" t="s">
        <v>916</v>
      </c>
      <c r="W142" s="12">
        <v>41000</v>
      </c>
      <c r="X142" s="48">
        <v>42735</v>
      </c>
      <c r="Y142" s="12">
        <v>42735</v>
      </c>
      <c r="Z142" s="2" t="s">
        <v>42</v>
      </c>
      <c r="AA142" s="2"/>
      <c r="AB142" s="18"/>
      <c r="AC142" s="5">
        <v>1000</v>
      </c>
      <c r="AD142" s="5"/>
      <c r="AE142" s="5">
        <v>1170</v>
      </c>
      <c r="AF142" s="5">
        <f t="shared" si="89"/>
        <v>1310</v>
      </c>
      <c r="AG142" s="5">
        <f t="shared" si="142"/>
        <v>1310</v>
      </c>
      <c r="AH142" s="5">
        <f t="shared" si="142"/>
        <v>1310</v>
      </c>
      <c r="AI142" s="5">
        <f t="shared" ref="AI142:AJ142" si="149">+AH142</f>
        <v>1310</v>
      </c>
      <c r="AJ142" s="5">
        <f t="shared" si="149"/>
        <v>1310</v>
      </c>
      <c r="AK142" s="2"/>
      <c r="AL142" s="105" t="str">
        <f>+Z142</f>
        <v>C0</v>
      </c>
    </row>
    <row r="143" spans="1:38" s="6" customFormat="1" ht="15" customHeight="1" x14ac:dyDescent="0.2">
      <c r="A143" s="29" t="s">
        <v>824</v>
      </c>
      <c r="B143" s="29" t="s">
        <v>822</v>
      </c>
      <c r="C143" s="29" t="s">
        <v>823</v>
      </c>
      <c r="D143" s="2" t="s">
        <v>800</v>
      </c>
      <c r="E143" s="7" t="s">
        <v>499</v>
      </c>
      <c r="F143" s="7"/>
      <c r="G143" s="7"/>
      <c r="H143" s="8"/>
      <c r="I143" s="3" t="s">
        <v>1729</v>
      </c>
      <c r="J143" s="28" t="s">
        <v>254</v>
      </c>
      <c r="K143" s="28" t="s">
        <v>1767</v>
      </c>
      <c r="L143" s="42" t="s">
        <v>405</v>
      </c>
      <c r="M143" s="4" t="s">
        <v>3</v>
      </c>
      <c r="N143" s="15">
        <v>30832626</v>
      </c>
      <c r="O143" s="88" t="s">
        <v>1375</v>
      </c>
      <c r="P143" s="38">
        <v>30809</v>
      </c>
      <c r="Q143" s="38"/>
      <c r="R143" s="38"/>
      <c r="S143" s="38"/>
      <c r="T143" s="38"/>
      <c r="U143" s="17" t="s">
        <v>215</v>
      </c>
      <c r="V143" s="17" t="s">
        <v>915</v>
      </c>
      <c r="W143" s="12">
        <v>41426</v>
      </c>
      <c r="X143" s="13"/>
      <c r="Y143" s="12">
        <v>42735</v>
      </c>
      <c r="Z143" s="2"/>
      <c r="AA143" s="2" t="s">
        <v>479</v>
      </c>
      <c r="AB143" s="24" t="s">
        <v>479</v>
      </c>
      <c r="AC143" s="5">
        <v>1000</v>
      </c>
      <c r="AD143" s="5">
        <f>+AC143*1.07</f>
        <v>1070</v>
      </c>
      <c r="AE143" s="5">
        <v>1170</v>
      </c>
      <c r="AF143" s="5">
        <f t="shared" si="89"/>
        <v>1310</v>
      </c>
      <c r="AG143" s="5">
        <f t="shared" si="142"/>
        <v>1310</v>
      </c>
      <c r="AH143" s="5">
        <f t="shared" si="142"/>
        <v>1310</v>
      </c>
      <c r="AI143" s="5">
        <f t="shared" ref="AI143:AJ143" si="150">+AH143</f>
        <v>1310</v>
      </c>
      <c r="AJ143" s="5">
        <f t="shared" si="150"/>
        <v>1310</v>
      </c>
      <c r="AK143" s="2" t="s">
        <v>53</v>
      </c>
      <c r="AL143" s="105" t="str">
        <f>+AK143</f>
        <v>B0</v>
      </c>
    </row>
    <row r="144" spans="1:38" s="6" customFormat="1" ht="15" customHeight="1" x14ac:dyDescent="0.2">
      <c r="A144" s="29" t="s">
        <v>824</v>
      </c>
      <c r="B144" s="2" t="s">
        <v>822</v>
      </c>
      <c r="C144" s="3"/>
      <c r="D144" s="2" t="s">
        <v>825</v>
      </c>
      <c r="E144" s="3" t="s">
        <v>18</v>
      </c>
      <c r="F144" s="2" t="s">
        <v>19</v>
      </c>
      <c r="G144" s="2"/>
      <c r="H144" s="2" t="s">
        <v>35</v>
      </c>
      <c r="I144" s="2" t="s">
        <v>1707</v>
      </c>
      <c r="J144" s="28" t="s">
        <v>548</v>
      </c>
      <c r="K144" s="28" t="s">
        <v>548</v>
      </c>
      <c r="L144" s="44" t="s">
        <v>588</v>
      </c>
      <c r="M144" s="4" t="s">
        <v>3</v>
      </c>
      <c r="N144" s="15">
        <v>27000237</v>
      </c>
      <c r="O144" s="88" t="s">
        <v>1302</v>
      </c>
      <c r="P144" s="38">
        <v>28801</v>
      </c>
      <c r="Q144" s="38"/>
      <c r="R144" s="38"/>
      <c r="S144" s="38"/>
      <c r="T144" s="38"/>
      <c r="U144" s="17" t="s">
        <v>215</v>
      </c>
      <c r="V144" s="17" t="s">
        <v>915</v>
      </c>
      <c r="W144" s="12">
        <v>41061</v>
      </c>
      <c r="X144" s="13"/>
      <c r="Y144" s="12">
        <v>42735</v>
      </c>
      <c r="Z144" s="2"/>
      <c r="AA144" s="2" t="s">
        <v>479</v>
      </c>
      <c r="AB144" s="7" t="s">
        <v>787</v>
      </c>
      <c r="AC144" s="5">
        <v>1000</v>
      </c>
      <c r="AD144" s="5">
        <f>+AC144</f>
        <v>1000</v>
      </c>
      <c r="AE144" s="5">
        <v>1170</v>
      </c>
      <c r="AF144" s="5">
        <f t="shared" si="89"/>
        <v>1310</v>
      </c>
      <c r="AG144" s="5">
        <f t="shared" si="142"/>
        <v>1310</v>
      </c>
      <c r="AH144" s="5">
        <f t="shared" si="142"/>
        <v>1310</v>
      </c>
      <c r="AI144" s="5">
        <f t="shared" ref="AI144:AJ144" si="151">+AH144</f>
        <v>1310</v>
      </c>
      <c r="AJ144" s="5">
        <f t="shared" si="151"/>
        <v>1310</v>
      </c>
      <c r="AK144" s="29"/>
      <c r="AL144" s="8"/>
    </row>
    <row r="145" spans="1:38" s="6" customFormat="1" ht="15" customHeight="1" x14ac:dyDescent="0.2">
      <c r="A145" s="29" t="s">
        <v>824</v>
      </c>
      <c r="B145" s="29"/>
      <c r="C145" s="14"/>
      <c r="D145" s="2" t="s">
        <v>820</v>
      </c>
      <c r="E145" s="2" t="s">
        <v>837</v>
      </c>
      <c r="F145" s="3"/>
      <c r="G145" s="3"/>
      <c r="H145" s="2"/>
      <c r="I145" s="3"/>
      <c r="J145" s="28" t="s">
        <v>73</v>
      </c>
      <c r="K145" s="28"/>
      <c r="L145" s="41" t="s">
        <v>510</v>
      </c>
      <c r="M145" s="7" t="s">
        <v>3</v>
      </c>
      <c r="N145" s="15">
        <v>31343795</v>
      </c>
      <c r="O145" s="88">
        <v>27313437952</v>
      </c>
      <c r="P145" s="61"/>
      <c r="Q145" s="61"/>
      <c r="R145" s="61"/>
      <c r="S145" s="61"/>
      <c r="T145" s="61"/>
      <c r="U145" s="16" t="s">
        <v>796</v>
      </c>
      <c r="V145" s="16" t="s">
        <v>916</v>
      </c>
      <c r="W145" s="12">
        <v>40742</v>
      </c>
      <c r="X145" s="48">
        <v>42735</v>
      </c>
      <c r="Y145" s="12">
        <v>42735</v>
      </c>
      <c r="Z145" s="2" t="s">
        <v>30</v>
      </c>
      <c r="AA145" s="2"/>
      <c r="AB145" s="3"/>
      <c r="AC145" s="5">
        <v>1000</v>
      </c>
      <c r="AD145" s="5"/>
      <c r="AE145" s="5">
        <v>1170</v>
      </c>
      <c r="AF145" s="5">
        <f t="shared" si="89"/>
        <v>1310</v>
      </c>
      <c r="AG145" s="5">
        <f t="shared" si="142"/>
        <v>1310</v>
      </c>
      <c r="AH145" s="5">
        <f t="shared" si="142"/>
        <v>1310</v>
      </c>
      <c r="AI145" s="5">
        <f t="shared" ref="AI145:AJ145" si="152">+AH145</f>
        <v>1310</v>
      </c>
      <c r="AJ145" s="5">
        <f t="shared" si="152"/>
        <v>1310</v>
      </c>
      <c r="AK145" s="2"/>
      <c r="AL145" s="105" t="str">
        <f>+Z145</f>
        <v>B1</v>
      </c>
    </row>
    <row r="146" spans="1:38" s="6" customFormat="1" ht="15" customHeight="1" x14ac:dyDescent="0.2">
      <c r="A146" s="29" t="s">
        <v>824</v>
      </c>
      <c r="B146" s="29" t="s">
        <v>822</v>
      </c>
      <c r="C146" s="29" t="s">
        <v>823</v>
      </c>
      <c r="D146" s="2" t="s">
        <v>800</v>
      </c>
      <c r="E146" s="2" t="s">
        <v>489</v>
      </c>
      <c r="F146" s="2"/>
      <c r="G146" s="2"/>
      <c r="H146" s="2"/>
      <c r="I146" s="3" t="s">
        <v>1721</v>
      </c>
      <c r="J146" s="28" t="s">
        <v>254</v>
      </c>
      <c r="K146" s="28" t="s">
        <v>1767</v>
      </c>
      <c r="L146" s="42" t="s">
        <v>353</v>
      </c>
      <c r="M146" s="4" t="s">
        <v>3</v>
      </c>
      <c r="N146" s="15">
        <v>23284659</v>
      </c>
      <c r="O146" s="88" t="s">
        <v>1225</v>
      </c>
      <c r="P146" s="38">
        <v>26642</v>
      </c>
      <c r="Q146" s="38"/>
      <c r="R146" s="38"/>
      <c r="S146" s="38"/>
      <c r="T146" s="38"/>
      <c r="U146" s="17" t="s">
        <v>215</v>
      </c>
      <c r="V146" s="17" t="s">
        <v>915</v>
      </c>
      <c r="W146" s="12">
        <v>41821</v>
      </c>
      <c r="X146" s="13"/>
      <c r="Y146" s="12">
        <v>42735</v>
      </c>
      <c r="Z146" s="2"/>
      <c r="AA146" s="2" t="s">
        <v>479</v>
      </c>
      <c r="AB146" s="24" t="s">
        <v>479</v>
      </c>
      <c r="AC146" s="5">
        <v>1000</v>
      </c>
      <c r="AD146" s="5">
        <v>1070</v>
      </c>
      <c r="AE146" s="5">
        <v>1170</v>
      </c>
      <c r="AF146" s="5">
        <f t="shared" si="89"/>
        <v>1310</v>
      </c>
      <c r="AG146" s="5">
        <f t="shared" si="142"/>
        <v>1310</v>
      </c>
      <c r="AH146" s="5">
        <f t="shared" si="142"/>
        <v>1310</v>
      </c>
      <c r="AI146" s="5">
        <f t="shared" ref="AI146:AJ146" si="153">+AH146</f>
        <v>1310</v>
      </c>
      <c r="AJ146" s="5">
        <f t="shared" si="153"/>
        <v>1310</v>
      </c>
      <c r="AK146" s="29" t="s">
        <v>42</v>
      </c>
      <c r="AL146" s="105" t="str">
        <f>+AK146</f>
        <v>C0</v>
      </c>
    </row>
    <row r="147" spans="1:38" s="6" customFormat="1" ht="15" customHeight="1" x14ac:dyDescent="0.2">
      <c r="A147" s="29" t="s">
        <v>824</v>
      </c>
      <c r="B147" s="2" t="s">
        <v>822</v>
      </c>
      <c r="C147" s="3"/>
      <c r="D147" s="2" t="s">
        <v>825</v>
      </c>
      <c r="E147" s="3" t="s">
        <v>18</v>
      </c>
      <c r="F147" s="2" t="s">
        <v>19</v>
      </c>
      <c r="G147" s="2"/>
      <c r="H147" s="2" t="s">
        <v>35</v>
      </c>
      <c r="I147" s="2" t="s">
        <v>1707</v>
      </c>
      <c r="J147" s="28" t="s">
        <v>548</v>
      </c>
      <c r="K147" s="28" t="s">
        <v>548</v>
      </c>
      <c r="L147" s="44" t="s">
        <v>589</v>
      </c>
      <c r="M147" s="4" t="s">
        <v>3</v>
      </c>
      <c r="N147" s="15">
        <v>34137132</v>
      </c>
      <c r="O147" s="88" t="s">
        <v>1463</v>
      </c>
      <c r="P147" s="38">
        <v>32408</v>
      </c>
      <c r="Q147" s="38"/>
      <c r="R147" s="38"/>
      <c r="S147" s="38"/>
      <c r="T147" s="38"/>
      <c r="U147" s="17" t="s">
        <v>215</v>
      </c>
      <c r="V147" s="17" t="s">
        <v>915</v>
      </c>
      <c r="W147" s="12">
        <v>41306</v>
      </c>
      <c r="X147" s="13"/>
      <c r="Y147" s="12">
        <v>42735</v>
      </c>
      <c r="Z147" s="2"/>
      <c r="AA147" s="2" t="s">
        <v>479</v>
      </c>
      <c r="AB147" s="7" t="s">
        <v>787</v>
      </c>
      <c r="AC147" s="5">
        <v>1000</v>
      </c>
      <c r="AD147" s="5">
        <f>+AC147</f>
        <v>1000</v>
      </c>
      <c r="AE147" s="5">
        <v>1170</v>
      </c>
      <c r="AF147" s="5">
        <f t="shared" si="89"/>
        <v>1310</v>
      </c>
      <c r="AG147" s="5">
        <f t="shared" si="142"/>
        <v>1310</v>
      </c>
      <c r="AH147" s="5">
        <f t="shared" si="142"/>
        <v>1310</v>
      </c>
      <c r="AI147" s="5">
        <f t="shared" ref="AI147:AJ147" si="154">+AH147</f>
        <v>1310</v>
      </c>
      <c r="AJ147" s="5">
        <f t="shared" si="154"/>
        <v>1310</v>
      </c>
      <c r="AK147" s="2"/>
      <c r="AL147" s="106"/>
    </row>
    <row r="148" spans="1:38" s="6" customFormat="1" ht="15" customHeight="1" x14ac:dyDescent="0.2">
      <c r="A148" s="29" t="s">
        <v>824</v>
      </c>
      <c r="B148" s="2" t="s">
        <v>822</v>
      </c>
      <c r="C148" s="3"/>
      <c r="D148" s="2" t="s">
        <v>825</v>
      </c>
      <c r="E148" s="3" t="s">
        <v>18</v>
      </c>
      <c r="F148" s="2" t="s">
        <v>19</v>
      </c>
      <c r="G148" s="2"/>
      <c r="H148" s="2" t="s">
        <v>50</v>
      </c>
      <c r="I148" s="2" t="s">
        <v>1707</v>
      </c>
      <c r="J148" s="28" t="s">
        <v>548</v>
      </c>
      <c r="K148" s="28" t="s">
        <v>548</v>
      </c>
      <c r="L148" s="44" t="s">
        <v>590</v>
      </c>
      <c r="M148" s="4" t="s">
        <v>3</v>
      </c>
      <c r="N148" s="15">
        <v>30401842</v>
      </c>
      <c r="O148" s="88" t="s">
        <v>1368</v>
      </c>
      <c r="P148" s="38">
        <v>30511</v>
      </c>
      <c r="Q148" s="38"/>
      <c r="R148" s="38"/>
      <c r="S148" s="38"/>
      <c r="T148" s="38"/>
      <c r="U148" s="17" t="s">
        <v>215</v>
      </c>
      <c r="V148" s="17" t="s">
        <v>915</v>
      </c>
      <c r="W148" s="12">
        <v>41022</v>
      </c>
      <c r="X148" s="13"/>
      <c r="Y148" s="12">
        <v>42735</v>
      </c>
      <c r="Z148" s="2"/>
      <c r="AA148" s="2" t="s">
        <v>479</v>
      </c>
      <c r="AB148" s="7" t="s">
        <v>787</v>
      </c>
      <c r="AC148" s="5">
        <v>1000</v>
      </c>
      <c r="AD148" s="5">
        <f>+AC148</f>
        <v>1000</v>
      </c>
      <c r="AE148" s="5">
        <v>1170</v>
      </c>
      <c r="AF148" s="5">
        <f t="shared" si="89"/>
        <v>1310</v>
      </c>
      <c r="AG148" s="5">
        <f t="shared" si="142"/>
        <v>1310</v>
      </c>
      <c r="AH148" s="5">
        <f t="shared" si="142"/>
        <v>1310</v>
      </c>
      <c r="AI148" s="5">
        <f t="shared" ref="AI148:AJ148" si="155">+AH148</f>
        <v>1310</v>
      </c>
      <c r="AJ148" s="5">
        <f t="shared" si="155"/>
        <v>1310</v>
      </c>
      <c r="AK148" s="2"/>
      <c r="AL148" s="106"/>
    </row>
    <row r="149" spans="1:38" s="6" customFormat="1" ht="15" customHeight="1" x14ac:dyDescent="0.2">
      <c r="A149" s="29" t="s">
        <v>824</v>
      </c>
      <c r="B149" s="29" t="s">
        <v>822</v>
      </c>
      <c r="C149" s="29" t="s">
        <v>823</v>
      </c>
      <c r="D149" s="2" t="s">
        <v>800</v>
      </c>
      <c r="E149" s="2" t="s">
        <v>485</v>
      </c>
      <c r="F149" s="2"/>
      <c r="G149" s="2"/>
      <c r="H149" s="2"/>
      <c r="I149" s="3" t="s">
        <v>1730</v>
      </c>
      <c r="J149" s="28" t="s">
        <v>254</v>
      </c>
      <c r="K149" s="28" t="s">
        <v>1767</v>
      </c>
      <c r="L149" s="42" t="s">
        <v>284</v>
      </c>
      <c r="M149" s="4" t="s">
        <v>3</v>
      </c>
      <c r="N149" s="15">
        <v>36294092</v>
      </c>
      <c r="O149" s="88" t="s">
        <v>1510</v>
      </c>
      <c r="P149" s="38">
        <v>33422</v>
      </c>
      <c r="Q149" s="38"/>
      <c r="R149" s="38"/>
      <c r="S149" s="38"/>
      <c r="T149" s="38"/>
      <c r="U149" s="17" t="s">
        <v>215</v>
      </c>
      <c r="V149" s="17" t="s">
        <v>915</v>
      </c>
      <c r="W149" s="12"/>
      <c r="X149" s="13"/>
      <c r="Y149" s="12">
        <v>42735</v>
      </c>
      <c r="Z149" s="2"/>
      <c r="AA149" s="2" t="s">
        <v>479</v>
      </c>
      <c r="AB149" s="24" t="s">
        <v>479</v>
      </c>
      <c r="AC149" s="5">
        <v>1000</v>
      </c>
      <c r="AD149" s="5">
        <v>1070</v>
      </c>
      <c r="AE149" s="5">
        <v>1170</v>
      </c>
      <c r="AF149" s="5">
        <f t="shared" si="89"/>
        <v>1310</v>
      </c>
      <c r="AG149" s="5">
        <f t="shared" si="142"/>
        <v>1310</v>
      </c>
      <c r="AH149" s="5">
        <f t="shared" si="142"/>
        <v>1310</v>
      </c>
      <c r="AI149" s="5">
        <f t="shared" ref="AI149:AJ149" si="156">+AH149</f>
        <v>1310</v>
      </c>
      <c r="AJ149" s="5">
        <f t="shared" si="156"/>
        <v>1310</v>
      </c>
      <c r="AK149" s="29" t="s">
        <v>42</v>
      </c>
      <c r="AL149" s="105" t="str">
        <f>+AK149</f>
        <v>C0</v>
      </c>
    </row>
    <row r="150" spans="1:38" s="6" customFormat="1" ht="15" customHeight="1" x14ac:dyDescent="0.2">
      <c r="A150" s="29" t="s">
        <v>824</v>
      </c>
      <c r="B150" s="2" t="s">
        <v>822</v>
      </c>
      <c r="C150" s="3"/>
      <c r="D150" s="2" t="s">
        <v>825</v>
      </c>
      <c r="E150" s="3" t="s">
        <v>18</v>
      </c>
      <c r="F150" s="2" t="s">
        <v>19</v>
      </c>
      <c r="G150" s="2"/>
      <c r="H150" s="2" t="s">
        <v>36</v>
      </c>
      <c r="I150" s="2" t="s">
        <v>1707</v>
      </c>
      <c r="J150" s="28" t="s">
        <v>548</v>
      </c>
      <c r="K150" s="28" t="s">
        <v>548</v>
      </c>
      <c r="L150" s="44" t="s">
        <v>591</v>
      </c>
      <c r="M150" s="4" t="s">
        <v>3</v>
      </c>
      <c r="N150" s="15">
        <v>32604139</v>
      </c>
      <c r="O150" s="88" t="s">
        <v>1425</v>
      </c>
      <c r="P150" s="38">
        <v>31654</v>
      </c>
      <c r="Q150" s="38"/>
      <c r="R150" s="38"/>
      <c r="S150" s="38"/>
      <c r="T150" s="38"/>
      <c r="U150" s="17" t="s">
        <v>215</v>
      </c>
      <c r="V150" s="17" t="s">
        <v>915</v>
      </c>
      <c r="W150" s="12">
        <v>41395</v>
      </c>
      <c r="X150" s="13"/>
      <c r="Y150" s="12">
        <v>42735</v>
      </c>
      <c r="Z150" s="2"/>
      <c r="AA150" s="2" t="s">
        <v>479</v>
      </c>
      <c r="AB150" s="7" t="s">
        <v>787</v>
      </c>
      <c r="AC150" s="5">
        <v>1000</v>
      </c>
      <c r="AD150" s="5">
        <f>+AC150</f>
        <v>1000</v>
      </c>
      <c r="AE150" s="5">
        <v>1170</v>
      </c>
      <c r="AF150" s="5">
        <f t="shared" si="89"/>
        <v>1310</v>
      </c>
      <c r="AG150" s="5">
        <f t="shared" si="142"/>
        <v>1310</v>
      </c>
      <c r="AH150" s="5">
        <f t="shared" si="142"/>
        <v>1310</v>
      </c>
      <c r="AI150" s="5">
        <f t="shared" ref="AI150:AJ150" si="157">+AH150</f>
        <v>1310</v>
      </c>
      <c r="AJ150" s="5">
        <f t="shared" si="157"/>
        <v>1310</v>
      </c>
      <c r="AK150" s="2"/>
      <c r="AL150" s="106"/>
    </row>
    <row r="151" spans="1:38" s="6" customFormat="1" ht="15" customHeight="1" x14ac:dyDescent="0.2">
      <c r="A151" s="29" t="s">
        <v>824</v>
      </c>
      <c r="B151" s="29" t="s">
        <v>822</v>
      </c>
      <c r="C151" s="29" t="s">
        <v>823</v>
      </c>
      <c r="D151" s="2" t="s">
        <v>800</v>
      </c>
      <c r="E151" s="2" t="s">
        <v>485</v>
      </c>
      <c r="F151" s="2"/>
      <c r="G151" s="2"/>
      <c r="H151" s="2"/>
      <c r="I151" s="3"/>
      <c r="J151" s="28" t="s">
        <v>254</v>
      </c>
      <c r="K151" s="28"/>
      <c r="L151" s="42" t="s">
        <v>278</v>
      </c>
      <c r="M151" s="4" t="s">
        <v>3</v>
      </c>
      <c r="N151" s="15">
        <v>32555604</v>
      </c>
      <c r="O151" s="88">
        <v>20325556049</v>
      </c>
      <c r="P151" s="38"/>
      <c r="Q151" s="38"/>
      <c r="R151" s="38"/>
      <c r="S151" s="38"/>
      <c r="T151" s="38"/>
      <c r="U151" s="16" t="s">
        <v>796</v>
      </c>
      <c r="V151" s="16" t="s">
        <v>916</v>
      </c>
      <c r="W151" s="12">
        <v>41365</v>
      </c>
      <c r="X151" s="12">
        <v>42460</v>
      </c>
      <c r="Y151" s="12">
        <v>42735</v>
      </c>
      <c r="Z151" s="2" t="s">
        <v>42</v>
      </c>
      <c r="AA151" s="2"/>
      <c r="AB151" s="18"/>
      <c r="AC151" s="5">
        <v>1000</v>
      </c>
      <c r="AD151" s="5"/>
      <c r="AE151" s="5">
        <v>1170</v>
      </c>
      <c r="AF151" s="5">
        <f t="shared" ref="AF151:AF214" si="158">+AC151*1.31</f>
        <v>1310</v>
      </c>
      <c r="AG151" s="5">
        <f t="shared" si="142"/>
        <v>1310</v>
      </c>
      <c r="AH151" s="5">
        <f t="shared" si="142"/>
        <v>1310</v>
      </c>
      <c r="AI151" s="5">
        <f t="shared" ref="AI151:AJ151" si="159">+AH151</f>
        <v>1310</v>
      </c>
      <c r="AJ151" s="5">
        <f t="shared" si="159"/>
        <v>1310</v>
      </c>
      <c r="AK151" s="2"/>
      <c r="AL151" s="105" t="str">
        <f>+Z151</f>
        <v>C0</v>
      </c>
    </row>
    <row r="152" spans="1:38" s="6" customFormat="1" ht="15" customHeight="1" x14ac:dyDescent="0.2">
      <c r="A152" s="29" t="s">
        <v>824</v>
      </c>
      <c r="B152" s="29" t="s">
        <v>822</v>
      </c>
      <c r="C152" s="29" t="s">
        <v>823</v>
      </c>
      <c r="D152" s="2" t="s">
        <v>800</v>
      </c>
      <c r="E152" s="2" t="s">
        <v>486</v>
      </c>
      <c r="F152" s="2"/>
      <c r="G152" s="2"/>
      <c r="H152" s="2" t="s">
        <v>1710</v>
      </c>
      <c r="I152" s="3" t="s">
        <v>1755</v>
      </c>
      <c r="J152" s="28" t="s">
        <v>254</v>
      </c>
      <c r="K152" s="28"/>
      <c r="L152" s="42" t="s">
        <v>305</v>
      </c>
      <c r="M152" s="4" t="s">
        <v>3</v>
      </c>
      <c r="N152" s="15">
        <v>17862197</v>
      </c>
      <c r="O152" s="88">
        <v>27178621977</v>
      </c>
      <c r="P152" s="38"/>
      <c r="Q152" s="38"/>
      <c r="R152" s="38"/>
      <c r="S152" s="38"/>
      <c r="T152" s="38"/>
      <c r="U152" s="17" t="s">
        <v>215</v>
      </c>
      <c r="V152" s="17" t="s">
        <v>1698</v>
      </c>
      <c r="W152" s="12">
        <v>41791</v>
      </c>
      <c r="X152" s="13"/>
      <c r="Y152" s="12">
        <v>42735</v>
      </c>
      <c r="Z152" s="2"/>
      <c r="AA152" s="2" t="s">
        <v>479</v>
      </c>
      <c r="AB152" s="25" t="s">
        <v>479</v>
      </c>
      <c r="AC152" s="5">
        <v>1000</v>
      </c>
      <c r="AD152" s="5">
        <f>+AC152*1.07</f>
        <v>1070</v>
      </c>
      <c r="AE152" s="5">
        <v>1170</v>
      </c>
      <c r="AF152" s="5">
        <f t="shared" si="158"/>
        <v>1310</v>
      </c>
      <c r="AG152" s="5">
        <v>1310</v>
      </c>
      <c r="AH152" s="5">
        <f t="shared" si="142"/>
        <v>1310</v>
      </c>
      <c r="AI152" s="5">
        <f t="shared" ref="AI152:AJ152" si="160">+AH152</f>
        <v>1310</v>
      </c>
      <c r="AJ152" s="5">
        <f t="shared" si="160"/>
        <v>1310</v>
      </c>
      <c r="AK152" s="2"/>
      <c r="AL152" s="107" t="s">
        <v>1818</v>
      </c>
    </row>
    <row r="153" spans="1:38" s="6" customFormat="1" ht="15" customHeight="1" x14ac:dyDescent="0.2">
      <c r="A153" s="29" t="s">
        <v>824</v>
      </c>
      <c r="B153" s="2" t="s">
        <v>822</v>
      </c>
      <c r="C153" s="29" t="s">
        <v>823</v>
      </c>
      <c r="D153" s="2" t="s">
        <v>808</v>
      </c>
      <c r="E153" s="2" t="s">
        <v>11</v>
      </c>
      <c r="F153" s="2" t="s">
        <v>218</v>
      </c>
      <c r="G153" s="2"/>
      <c r="H153" s="3"/>
      <c r="I153" s="2" t="s">
        <v>1066</v>
      </c>
      <c r="J153" s="28"/>
      <c r="K153" s="28" t="s">
        <v>1765</v>
      </c>
      <c r="L153" s="42" t="s">
        <v>1858</v>
      </c>
      <c r="M153" s="7" t="s">
        <v>3</v>
      </c>
      <c r="N153" s="15">
        <v>35567267</v>
      </c>
      <c r="O153" s="88">
        <v>27355672676</v>
      </c>
      <c r="P153" s="38">
        <v>33352</v>
      </c>
      <c r="Q153" s="38"/>
      <c r="R153" s="38"/>
      <c r="S153" s="38"/>
      <c r="T153" s="38"/>
      <c r="U153" s="17" t="s">
        <v>215</v>
      </c>
      <c r="V153" s="17" t="s">
        <v>915</v>
      </c>
      <c r="W153" s="12">
        <v>42491</v>
      </c>
      <c r="X153" s="19"/>
      <c r="Y153" s="12">
        <v>42735</v>
      </c>
      <c r="Z153" s="2"/>
      <c r="AA153" s="2" t="s">
        <v>479</v>
      </c>
      <c r="AB153" s="2"/>
      <c r="AC153" s="5">
        <v>1000</v>
      </c>
      <c r="AD153" s="5">
        <v>1070</v>
      </c>
      <c r="AE153" s="5">
        <v>1170</v>
      </c>
      <c r="AF153" s="5">
        <f t="shared" si="158"/>
        <v>1310</v>
      </c>
      <c r="AG153" s="5">
        <f t="shared" si="142"/>
        <v>1310</v>
      </c>
      <c r="AH153" s="5">
        <f t="shared" si="142"/>
        <v>1310</v>
      </c>
      <c r="AI153" s="5">
        <f t="shared" ref="AI153:AJ153" si="161">+AH153</f>
        <v>1310</v>
      </c>
      <c r="AJ153" s="5">
        <f t="shared" si="161"/>
        <v>1310</v>
      </c>
      <c r="AK153" s="2" t="s">
        <v>42</v>
      </c>
      <c r="AL153" s="105" t="str">
        <f>+AK153</f>
        <v>C0</v>
      </c>
    </row>
    <row r="154" spans="1:38" s="6" customFormat="1" ht="15" customHeight="1" x14ac:dyDescent="0.2">
      <c r="A154" s="29" t="s">
        <v>824</v>
      </c>
      <c r="B154" s="29"/>
      <c r="C154" s="3"/>
      <c r="D154" s="2" t="s">
        <v>820</v>
      </c>
      <c r="E154" s="2" t="s">
        <v>817</v>
      </c>
      <c r="F154" s="2"/>
      <c r="G154" s="2"/>
      <c r="H154" s="2"/>
      <c r="I154" s="2" t="s">
        <v>1707</v>
      </c>
      <c r="J154" s="28"/>
      <c r="K154" s="28" t="s">
        <v>1765</v>
      </c>
      <c r="L154" s="41" t="s">
        <v>1655</v>
      </c>
      <c r="M154" s="7" t="s">
        <v>3</v>
      </c>
      <c r="N154" s="15">
        <v>34258772</v>
      </c>
      <c r="O154" s="88">
        <v>20342587721</v>
      </c>
      <c r="P154" s="38">
        <v>32429</v>
      </c>
      <c r="Q154" s="38"/>
      <c r="R154" s="38"/>
      <c r="S154" s="38"/>
      <c r="T154" s="38"/>
      <c r="U154" s="17" t="s">
        <v>215</v>
      </c>
      <c r="V154" s="17" t="s">
        <v>915</v>
      </c>
      <c r="W154" s="12">
        <v>42461</v>
      </c>
      <c r="X154" s="12"/>
      <c r="Y154" s="12">
        <v>42735</v>
      </c>
      <c r="Z154" s="2"/>
      <c r="AA154" s="2" t="s">
        <v>479</v>
      </c>
      <c r="AB154" s="3"/>
      <c r="AC154" s="5"/>
      <c r="AD154" s="5">
        <v>1070</v>
      </c>
      <c r="AE154" s="5">
        <v>1170</v>
      </c>
      <c r="AF154" s="5">
        <f t="shared" si="158"/>
        <v>0</v>
      </c>
      <c r="AG154" s="5">
        <f t="shared" si="142"/>
        <v>0</v>
      </c>
      <c r="AH154" s="5">
        <f t="shared" si="142"/>
        <v>0</v>
      </c>
      <c r="AI154" s="5">
        <f t="shared" ref="AI154:AJ154" si="162">+AH154</f>
        <v>0</v>
      </c>
      <c r="AJ154" s="5">
        <f t="shared" si="162"/>
        <v>0</v>
      </c>
      <c r="AK154" s="29" t="s">
        <v>42</v>
      </c>
      <c r="AL154" s="105" t="str">
        <f>+AK154</f>
        <v>C0</v>
      </c>
    </row>
    <row r="155" spans="1:38" s="6" customFormat="1" ht="15" customHeight="1" x14ac:dyDescent="0.2">
      <c r="A155" s="29" t="s">
        <v>824</v>
      </c>
      <c r="B155" s="2" t="s">
        <v>822</v>
      </c>
      <c r="C155" s="3"/>
      <c r="D155" s="2" t="s">
        <v>825</v>
      </c>
      <c r="E155" s="3" t="s">
        <v>18</v>
      </c>
      <c r="F155" s="2" t="s">
        <v>19</v>
      </c>
      <c r="G155" s="2"/>
      <c r="H155" s="2" t="s">
        <v>51</v>
      </c>
      <c r="I155" s="2" t="s">
        <v>1707</v>
      </c>
      <c r="J155" s="28" t="s">
        <v>548</v>
      </c>
      <c r="K155" s="28" t="s">
        <v>548</v>
      </c>
      <c r="L155" s="44" t="s">
        <v>592</v>
      </c>
      <c r="M155" s="4" t="s">
        <v>3</v>
      </c>
      <c r="N155" s="15">
        <v>11566265</v>
      </c>
      <c r="O155" s="88" t="s">
        <v>1148</v>
      </c>
      <c r="P155" s="38">
        <v>20169</v>
      </c>
      <c r="Q155" s="38"/>
      <c r="R155" s="38"/>
      <c r="S155" s="38"/>
      <c r="T155" s="38"/>
      <c r="U155" s="17" t="s">
        <v>215</v>
      </c>
      <c r="V155" s="17" t="s">
        <v>915</v>
      </c>
      <c r="W155" s="12">
        <v>41030</v>
      </c>
      <c r="X155" s="13"/>
      <c r="Y155" s="12">
        <v>42735</v>
      </c>
      <c r="Z155" s="2"/>
      <c r="AA155" s="2" t="s">
        <v>479</v>
      </c>
      <c r="AB155" s="7" t="s">
        <v>787</v>
      </c>
      <c r="AC155" s="5">
        <v>1000</v>
      </c>
      <c r="AD155" s="5">
        <f>+AC155</f>
        <v>1000</v>
      </c>
      <c r="AE155" s="5">
        <v>1170</v>
      </c>
      <c r="AF155" s="5">
        <f t="shared" si="158"/>
        <v>1310</v>
      </c>
      <c r="AG155" s="5">
        <f t="shared" si="142"/>
        <v>1310</v>
      </c>
      <c r="AH155" s="5">
        <f t="shared" si="142"/>
        <v>1310</v>
      </c>
      <c r="AI155" s="5">
        <f t="shared" ref="AI155:AJ155" si="163">+AH155</f>
        <v>1310</v>
      </c>
      <c r="AJ155" s="5">
        <f t="shared" si="163"/>
        <v>1310</v>
      </c>
      <c r="AK155" s="29"/>
      <c r="AL155" s="8"/>
    </row>
    <row r="156" spans="1:38" s="6" customFormat="1" ht="15" customHeight="1" x14ac:dyDescent="0.2">
      <c r="A156" s="29" t="s">
        <v>824</v>
      </c>
      <c r="B156" s="29" t="s">
        <v>822</v>
      </c>
      <c r="C156" s="29" t="s">
        <v>823</v>
      </c>
      <c r="D156" s="2" t="s">
        <v>800</v>
      </c>
      <c r="E156" s="2" t="s">
        <v>489</v>
      </c>
      <c r="F156" s="2"/>
      <c r="G156" s="2"/>
      <c r="H156" s="2"/>
      <c r="I156" s="3" t="s">
        <v>1731</v>
      </c>
      <c r="J156" s="28" t="s">
        <v>254</v>
      </c>
      <c r="K156" s="28" t="s">
        <v>1767</v>
      </c>
      <c r="L156" s="42" t="s">
        <v>354</v>
      </c>
      <c r="M156" s="4" t="s">
        <v>3</v>
      </c>
      <c r="N156" s="15">
        <v>29330355</v>
      </c>
      <c r="O156" s="88" t="s">
        <v>1348</v>
      </c>
      <c r="P156" s="38">
        <v>30018</v>
      </c>
      <c r="Q156" s="38"/>
      <c r="R156" s="38"/>
      <c r="S156" s="38"/>
      <c r="T156" s="38"/>
      <c r="U156" s="17" t="s">
        <v>215</v>
      </c>
      <c r="V156" s="17" t="s">
        <v>915</v>
      </c>
      <c r="W156" s="12">
        <v>41456</v>
      </c>
      <c r="X156" s="13"/>
      <c r="Y156" s="12">
        <v>42735</v>
      </c>
      <c r="Z156" s="2"/>
      <c r="AA156" s="2" t="s">
        <v>479</v>
      </c>
      <c r="AB156" s="24" t="s">
        <v>479</v>
      </c>
      <c r="AC156" s="5">
        <v>1000</v>
      </c>
      <c r="AD156" s="5">
        <f>+AC156*1.07</f>
        <v>1070</v>
      </c>
      <c r="AE156" s="5">
        <v>1170</v>
      </c>
      <c r="AF156" s="5">
        <f t="shared" si="158"/>
        <v>1310</v>
      </c>
      <c r="AG156" s="5">
        <f t="shared" ref="AG156:AH174" si="164">+AF156</f>
        <v>1310</v>
      </c>
      <c r="AH156" s="5">
        <f t="shared" si="164"/>
        <v>1310</v>
      </c>
      <c r="AI156" s="5">
        <f t="shared" ref="AI156:AJ156" si="165">+AH156</f>
        <v>1310</v>
      </c>
      <c r="AJ156" s="5">
        <f t="shared" si="165"/>
        <v>1310</v>
      </c>
      <c r="AK156" s="29" t="s">
        <v>42</v>
      </c>
      <c r="AL156" s="105" t="str">
        <f>+AK156</f>
        <v>C0</v>
      </c>
    </row>
    <row r="157" spans="1:38" s="6" customFormat="1" ht="15" customHeight="1" x14ac:dyDescent="0.2">
      <c r="A157" s="29" t="s">
        <v>824</v>
      </c>
      <c r="B157" s="29" t="s">
        <v>822</v>
      </c>
      <c r="C157" s="29" t="s">
        <v>823</v>
      </c>
      <c r="D157" s="2" t="s">
        <v>808</v>
      </c>
      <c r="E157" s="2" t="s">
        <v>909</v>
      </c>
      <c r="F157" s="2" t="s">
        <v>23</v>
      </c>
      <c r="G157" s="3" t="s">
        <v>516</v>
      </c>
      <c r="H157" s="2" t="s">
        <v>222</v>
      </c>
      <c r="I157" s="2" t="s">
        <v>222</v>
      </c>
      <c r="J157" s="28" t="s">
        <v>73</v>
      </c>
      <c r="K157" s="28" t="s">
        <v>1765</v>
      </c>
      <c r="L157" s="43" t="s">
        <v>93</v>
      </c>
      <c r="M157" s="4" t="s">
        <v>3</v>
      </c>
      <c r="N157" s="15">
        <v>26071220</v>
      </c>
      <c r="O157" s="88" t="s">
        <v>1281</v>
      </c>
      <c r="P157" s="38">
        <v>28429</v>
      </c>
      <c r="Q157" s="38"/>
      <c r="R157" s="38"/>
      <c r="S157" s="38"/>
      <c r="T157" s="38"/>
      <c r="U157" s="17" t="s">
        <v>215</v>
      </c>
      <c r="V157" s="17" t="s">
        <v>915</v>
      </c>
      <c r="W157" s="12">
        <v>42165</v>
      </c>
      <c r="X157" s="13"/>
      <c r="Y157" s="12">
        <v>42735</v>
      </c>
      <c r="Z157" s="2"/>
      <c r="AA157" s="2" t="s">
        <v>479</v>
      </c>
      <c r="AB157" s="14" t="s">
        <v>479</v>
      </c>
      <c r="AC157" s="5">
        <v>1000</v>
      </c>
      <c r="AD157" s="5">
        <f>+AC157*1.07</f>
        <v>1070</v>
      </c>
      <c r="AE157" s="5">
        <v>1170</v>
      </c>
      <c r="AF157" s="5">
        <f t="shared" si="158"/>
        <v>1310</v>
      </c>
      <c r="AG157" s="5">
        <f t="shared" si="164"/>
        <v>1310</v>
      </c>
      <c r="AH157" s="5">
        <f t="shared" si="164"/>
        <v>1310</v>
      </c>
      <c r="AI157" s="5">
        <f t="shared" ref="AI157:AJ157" si="166">+AH157</f>
        <v>1310</v>
      </c>
      <c r="AJ157" s="5">
        <f t="shared" si="166"/>
        <v>1310</v>
      </c>
      <c r="AK157" s="29" t="s">
        <v>42</v>
      </c>
      <c r="AL157" s="105" t="str">
        <f>+AK157</f>
        <v>C0</v>
      </c>
    </row>
    <row r="158" spans="1:38" s="6" customFormat="1" ht="15" customHeight="1" x14ac:dyDescent="0.2">
      <c r="A158" s="29" t="s">
        <v>824</v>
      </c>
      <c r="B158" s="2" t="s">
        <v>822</v>
      </c>
      <c r="C158" s="29" t="s">
        <v>823</v>
      </c>
      <c r="D158" s="2" t="s">
        <v>808</v>
      </c>
      <c r="E158" s="2" t="s">
        <v>909</v>
      </c>
      <c r="F158" s="2" t="s">
        <v>1704</v>
      </c>
      <c r="G158" s="3"/>
      <c r="H158" s="2"/>
      <c r="I158" s="3"/>
      <c r="J158" s="28"/>
      <c r="K158" s="28"/>
      <c r="L158" s="41" t="s">
        <v>1700</v>
      </c>
      <c r="M158" s="7" t="s">
        <v>3</v>
      </c>
      <c r="N158" s="85">
        <v>11634842</v>
      </c>
      <c r="O158" s="88"/>
      <c r="P158" s="38"/>
      <c r="Q158" s="38"/>
      <c r="R158" s="38"/>
      <c r="S158" s="38"/>
      <c r="T158" s="38"/>
      <c r="U158" s="16"/>
      <c r="V158" s="16" t="s">
        <v>916</v>
      </c>
      <c r="W158" s="12"/>
      <c r="X158" s="48"/>
      <c r="Y158" s="12">
        <v>42735</v>
      </c>
      <c r="Z158" s="28" t="s">
        <v>17</v>
      </c>
      <c r="AA158" s="2"/>
      <c r="AB158" s="3"/>
      <c r="AC158" s="5">
        <v>1000</v>
      </c>
      <c r="AD158" s="5"/>
      <c r="AE158" s="5">
        <v>1170</v>
      </c>
      <c r="AF158" s="5">
        <f t="shared" si="158"/>
        <v>1310</v>
      </c>
      <c r="AG158" s="5">
        <f t="shared" si="164"/>
        <v>1310</v>
      </c>
      <c r="AH158" s="5">
        <f t="shared" si="164"/>
        <v>1310</v>
      </c>
      <c r="AI158" s="5">
        <f t="shared" ref="AI158:AJ158" si="167">+AH158</f>
        <v>1310</v>
      </c>
      <c r="AJ158" s="5">
        <f t="shared" si="167"/>
        <v>1310</v>
      </c>
      <c r="AK158" s="2"/>
      <c r="AL158" s="105" t="str">
        <f>+Z158</f>
        <v>C1</v>
      </c>
    </row>
    <row r="159" spans="1:38" s="6" customFormat="1" ht="15" customHeight="1" x14ac:dyDescent="0.2">
      <c r="A159" s="29" t="s">
        <v>824</v>
      </c>
      <c r="B159" s="2" t="s">
        <v>822</v>
      </c>
      <c r="C159" s="3"/>
      <c r="D159" s="2" t="s">
        <v>825</v>
      </c>
      <c r="E159" s="3" t="s">
        <v>18</v>
      </c>
      <c r="F159" s="2" t="s">
        <v>1012</v>
      </c>
      <c r="G159" s="2"/>
      <c r="H159" s="2" t="s">
        <v>37</v>
      </c>
      <c r="I159" s="2" t="s">
        <v>1707</v>
      </c>
      <c r="J159" s="28" t="s">
        <v>548</v>
      </c>
      <c r="K159" s="28" t="s">
        <v>548</v>
      </c>
      <c r="L159" s="44" t="s">
        <v>998</v>
      </c>
      <c r="M159" s="7" t="s">
        <v>3</v>
      </c>
      <c r="N159" s="47">
        <v>33605569</v>
      </c>
      <c r="O159" s="88" t="s">
        <v>1451</v>
      </c>
      <c r="P159" s="38">
        <v>32153</v>
      </c>
      <c r="Q159" s="38"/>
      <c r="R159" s="38"/>
      <c r="S159" s="38"/>
      <c r="T159" s="38"/>
      <c r="U159" s="17" t="s">
        <v>215</v>
      </c>
      <c r="V159" s="17" t="s">
        <v>915</v>
      </c>
      <c r="W159" s="12">
        <v>42128</v>
      </c>
      <c r="X159" s="12"/>
      <c r="Y159" s="12">
        <v>42735</v>
      </c>
      <c r="Z159" s="2"/>
      <c r="AA159" s="2" t="s">
        <v>479</v>
      </c>
      <c r="AB159" s="7"/>
      <c r="AC159" s="5">
        <v>1000</v>
      </c>
      <c r="AD159" s="5">
        <f>+AC159</f>
        <v>1000</v>
      </c>
      <c r="AE159" s="5">
        <v>1170</v>
      </c>
      <c r="AF159" s="5">
        <f t="shared" si="158"/>
        <v>1310</v>
      </c>
      <c r="AG159" s="5">
        <f t="shared" si="164"/>
        <v>1310</v>
      </c>
      <c r="AH159" s="5">
        <f t="shared" si="164"/>
        <v>1310</v>
      </c>
      <c r="AI159" s="5">
        <f t="shared" ref="AI159:AJ159" si="168">+AH159</f>
        <v>1310</v>
      </c>
      <c r="AJ159" s="5">
        <f t="shared" si="168"/>
        <v>1310</v>
      </c>
      <c r="AK159" s="2"/>
      <c r="AL159" s="106"/>
    </row>
    <row r="160" spans="1:38" s="6" customFormat="1" ht="15" customHeight="1" x14ac:dyDescent="0.2">
      <c r="A160" s="29" t="s">
        <v>824</v>
      </c>
      <c r="B160" s="29" t="s">
        <v>822</v>
      </c>
      <c r="C160" s="29" t="s">
        <v>823</v>
      </c>
      <c r="D160" s="2" t="s">
        <v>800</v>
      </c>
      <c r="E160" s="2" t="s">
        <v>489</v>
      </c>
      <c r="F160" s="2"/>
      <c r="G160" s="2"/>
      <c r="H160" s="2"/>
      <c r="I160" s="3" t="s">
        <v>1731</v>
      </c>
      <c r="J160" s="28" t="s">
        <v>254</v>
      </c>
      <c r="K160" s="28" t="s">
        <v>1767</v>
      </c>
      <c r="L160" s="42" t="s">
        <v>355</v>
      </c>
      <c r="M160" s="4" t="s">
        <v>3</v>
      </c>
      <c r="N160" s="15">
        <v>94138946</v>
      </c>
      <c r="O160" s="88" t="s">
        <v>1574</v>
      </c>
      <c r="P160" s="38">
        <v>31651</v>
      </c>
      <c r="Q160" s="38"/>
      <c r="R160" s="38"/>
      <c r="S160" s="38"/>
      <c r="T160" s="38"/>
      <c r="U160" s="17" t="s">
        <v>215</v>
      </c>
      <c r="V160" s="17" t="s">
        <v>915</v>
      </c>
      <c r="W160" s="12">
        <v>41456</v>
      </c>
      <c r="X160" s="13"/>
      <c r="Y160" s="12">
        <v>42735</v>
      </c>
      <c r="Z160" s="2"/>
      <c r="AA160" s="2" t="s">
        <v>479</v>
      </c>
      <c r="AB160" s="24" t="s">
        <v>479</v>
      </c>
      <c r="AC160" s="5">
        <v>1000</v>
      </c>
      <c r="AD160" s="5">
        <v>1070</v>
      </c>
      <c r="AE160" s="5">
        <v>1170</v>
      </c>
      <c r="AF160" s="5">
        <f t="shared" si="158"/>
        <v>1310</v>
      </c>
      <c r="AG160" s="5">
        <f t="shared" si="164"/>
        <v>1310</v>
      </c>
      <c r="AH160" s="5">
        <f t="shared" si="164"/>
        <v>1310</v>
      </c>
      <c r="AI160" s="5">
        <f t="shared" ref="AI160:AJ160" si="169">+AH160</f>
        <v>1310</v>
      </c>
      <c r="AJ160" s="5">
        <f t="shared" si="169"/>
        <v>1310</v>
      </c>
      <c r="AK160" s="29" t="s">
        <v>42</v>
      </c>
      <c r="AL160" s="105" t="str">
        <f>+AK160</f>
        <v>C0</v>
      </c>
    </row>
    <row r="161" spans="1:38" s="6" customFormat="1" ht="15" customHeight="1" x14ac:dyDescent="0.2">
      <c r="A161" s="29" t="s">
        <v>824</v>
      </c>
      <c r="B161" s="29"/>
      <c r="C161" s="14"/>
      <c r="D161" s="2" t="s">
        <v>820</v>
      </c>
      <c r="E161" s="2" t="s">
        <v>818</v>
      </c>
      <c r="F161" s="3"/>
      <c r="G161" s="3"/>
      <c r="H161" s="2" t="s">
        <v>34</v>
      </c>
      <c r="I161" s="3"/>
      <c r="J161" s="28" t="s">
        <v>73</v>
      </c>
      <c r="K161" s="28"/>
      <c r="L161" s="45" t="s">
        <v>94</v>
      </c>
      <c r="M161" s="4" t="s">
        <v>3</v>
      </c>
      <c r="N161" s="15">
        <v>36755076</v>
      </c>
      <c r="O161" s="88">
        <v>20367550768</v>
      </c>
      <c r="P161" s="61"/>
      <c r="Q161" s="61"/>
      <c r="R161" s="61"/>
      <c r="S161" s="61"/>
      <c r="T161" s="61"/>
      <c r="U161" s="16" t="s">
        <v>796</v>
      </c>
      <c r="V161" s="16" t="s">
        <v>916</v>
      </c>
      <c r="W161" s="12">
        <v>40664</v>
      </c>
      <c r="X161" s="48">
        <v>42735</v>
      </c>
      <c r="Y161" s="12">
        <v>42735</v>
      </c>
      <c r="Z161" s="2" t="s">
        <v>30</v>
      </c>
      <c r="AA161" s="2"/>
      <c r="AB161" s="14"/>
      <c r="AC161" s="5">
        <v>1000</v>
      </c>
      <c r="AD161" s="5"/>
      <c r="AE161" s="5">
        <v>1170</v>
      </c>
      <c r="AF161" s="5">
        <f t="shared" si="158"/>
        <v>1310</v>
      </c>
      <c r="AG161" s="5">
        <f t="shared" si="164"/>
        <v>1310</v>
      </c>
      <c r="AH161" s="5">
        <f t="shared" si="164"/>
        <v>1310</v>
      </c>
      <c r="AI161" s="5">
        <f t="shared" ref="AI161:AJ161" si="170">+AH161</f>
        <v>1310</v>
      </c>
      <c r="AJ161" s="5">
        <f t="shared" si="170"/>
        <v>1310</v>
      </c>
      <c r="AK161" s="2"/>
      <c r="AL161" s="105" t="str">
        <f>+Z161</f>
        <v>B1</v>
      </c>
    </row>
    <row r="162" spans="1:38" s="6" customFormat="1" ht="15" customHeight="1" x14ac:dyDescent="0.2">
      <c r="A162" s="29" t="s">
        <v>824</v>
      </c>
      <c r="B162" s="29"/>
      <c r="C162" s="14"/>
      <c r="D162" s="2" t="s">
        <v>820</v>
      </c>
      <c r="E162" s="2" t="s">
        <v>921</v>
      </c>
      <c r="F162" s="2" t="s">
        <v>217</v>
      </c>
      <c r="G162" s="3"/>
      <c r="H162" s="2" t="s">
        <v>230</v>
      </c>
      <c r="I162" s="3"/>
      <c r="J162" s="28" t="s">
        <v>73</v>
      </c>
      <c r="K162" s="28"/>
      <c r="L162" s="43" t="s">
        <v>95</v>
      </c>
      <c r="M162" s="4" t="s">
        <v>3</v>
      </c>
      <c r="N162" s="15">
        <v>21498647</v>
      </c>
      <c r="O162" s="88">
        <v>27214986472</v>
      </c>
      <c r="P162" s="61"/>
      <c r="Q162" s="61"/>
      <c r="R162" s="61"/>
      <c r="S162" s="61"/>
      <c r="T162" s="61"/>
      <c r="U162" s="16" t="s">
        <v>796</v>
      </c>
      <c r="V162" s="16" t="s">
        <v>916</v>
      </c>
      <c r="W162" s="12">
        <v>42201</v>
      </c>
      <c r="X162" s="12">
        <v>42460</v>
      </c>
      <c r="Y162" s="12">
        <v>42735</v>
      </c>
      <c r="Z162" s="2" t="s">
        <v>17</v>
      </c>
      <c r="AA162" s="2"/>
      <c r="AB162" s="14"/>
      <c r="AC162" s="5">
        <v>1000</v>
      </c>
      <c r="AD162" s="5"/>
      <c r="AE162" s="5">
        <v>1170</v>
      </c>
      <c r="AF162" s="5">
        <f t="shared" si="158"/>
        <v>1310</v>
      </c>
      <c r="AG162" s="5">
        <f t="shared" si="164"/>
        <v>1310</v>
      </c>
      <c r="AH162" s="5">
        <f t="shared" si="164"/>
        <v>1310</v>
      </c>
      <c r="AI162" s="5">
        <f t="shared" ref="AI162:AJ162" si="171">+AH162</f>
        <v>1310</v>
      </c>
      <c r="AJ162" s="5">
        <f t="shared" si="171"/>
        <v>1310</v>
      </c>
      <c r="AK162" s="2"/>
      <c r="AL162" s="105" t="str">
        <f>+Z162</f>
        <v>C1</v>
      </c>
    </row>
    <row r="163" spans="1:38" s="6" customFormat="1" ht="15" customHeight="1" x14ac:dyDescent="0.2">
      <c r="A163" s="29" t="s">
        <v>824</v>
      </c>
      <c r="B163" s="29" t="s">
        <v>822</v>
      </c>
      <c r="C163" s="14"/>
      <c r="D163" s="2" t="s">
        <v>928</v>
      </c>
      <c r="E163" s="2" t="s">
        <v>11</v>
      </c>
      <c r="F163" s="2"/>
      <c r="G163" s="2"/>
      <c r="H163" s="2"/>
      <c r="I163" s="2" t="s">
        <v>1707</v>
      </c>
      <c r="J163" s="28"/>
      <c r="K163" s="28" t="s">
        <v>1765</v>
      </c>
      <c r="L163" s="41" t="s">
        <v>889</v>
      </c>
      <c r="M163" s="4" t="s">
        <v>3</v>
      </c>
      <c r="N163" s="15">
        <v>26475328</v>
      </c>
      <c r="O163" s="88" t="s">
        <v>1290</v>
      </c>
      <c r="P163" s="38">
        <v>28488</v>
      </c>
      <c r="Q163" s="38"/>
      <c r="R163" s="38"/>
      <c r="S163" s="38"/>
      <c r="T163" s="38"/>
      <c r="U163" s="17" t="s">
        <v>215</v>
      </c>
      <c r="V163" s="17" t="s">
        <v>915</v>
      </c>
      <c r="W163" s="12">
        <v>42370</v>
      </c>
      <c r="X163" s="12"/>
      <c r="Y163" s="12">
        <v>42735</v>
      </c>
      <c r="Z163" s="2"/>
      <c r="AA163" s="2" t="s">
        <v>479</v>
      </c>
      <c r="AB163" s="3"/>
      <c r="AC163" s="5">
        <v>1000</v>
      </c>
      <c r="AD163" s="5">
        <f>+AC163*1.07</f>
        <v>1070</v>
      </c>
      <c r="AE163" s="5">
        <v>1170</v>
      </c>
      <c r="AF163" s="5">
        <f t="shared" si="158"/>
        <v>1310</v>
      </c>
      <c r="AG163" s="5">
        <f t="shared" si="164"/>
        <v>1310</v>
      </c>
      <c r="AH163" s="5">
        <f t="shared" si="164"/>
        <v>1310</v>
      </c>
      <c r="AI163" s="5">
        <f t="shared" ref="AI163:AJ163" si="172">+AH163</f>
        <v>1310</v>
      </c>
      <c r="AJ163" s="5">
        <f t="shared" si="172"/>
        <v>1310</v>
      </c>
      <c r="AK163" s="2" t="s">
        <v>53</v>
      </c>
      <c r="AL163" s="105" t="str">
        <f>+AK163</f>
        <v>B0</v>
      </c>
    </row>
    <row r="164" spans="1:38" s="6" customFormat="1" ht="15" customHeight="1" x14ac:dyDescent="0.2">
      <c r="A164" s="29" t="s">
        <v>824</v>
      </c>
      <c r="B164" s="2"/>
      <c r="C164" s="29"/>
      <c r="D164" s="2" t="s">
        <v>820</v>
      </c>
      <c r="E164" s="2"/>
      <c r="F164" s="3"/>
      <c r="G164" s="3"/>
      <c r="H164" s="2"/>
      <c r="I164" s="2" t="s">
        <v>1707</v>
      </c>
      <c r="J164" s="28"/>
      <c r="K164" s="28" t="s">
        <v>1765</v>
      </c>
      <c r="L164" s="41" t="s">
        <v>1681</v>
      </c>
      <c r="M164" s="7" t="s">
        <v>3</v>
      </c>
      <c r="N164" s="15">
        <v>21831009</v>
      </c>
      <c r="O164" s="88">
        <v>27218310090</v>
      </c>
      <c r="P164" s="38">
        <v>25793</v>
      </c>
      <c r="Q164" s="38"/>
      <c r="R164" s="38"/>
      <c r="S164" s="38"/>
      <c r="T164" s="38"/>
      <c r="U164" s="17" t="s">
        <v>215</v>
      </c>
      <c r="V164" s="17" t="s">
        <v>915</v>
      </c>
      <c r="W164" s="12">
        <v>42562</v>
      </c>
      <c r="X164" s="48"/>
      <c r="Y164" s="12">
        <v>42735</v>
      </c>
      <c r="Z164" s="2"/>
      <c r="AA164" s="2" t="s">
        <v>479</v>
      </c>
      <c r="AB164" s="3"/>
      <c r="AC164" s="5"/>
      <c r="AD164" s="5"/>
      <c r="AE164" s="5">
        <v>1170</v>
      </c>
      <c r="AF164" s="5">
        <f t="shared" si="158"/>
        <v>0</v>
      </c>
      <c r="AG164" s="5">
        <f t="shared" si="164"/>
        <v>0</v>
      </c>
      <c r="AH164" s="5">
        <f t="shared" si="164"/>
        <v>0</v>
      </c>
      <c r="AI164" s="5">
        <f t="shared" ref="AI164:AJ164" si="173">+AH164</f>
        <v>0</v>
      </c>
      <c r="AJ164" s="5">
        <f t="shared" si="173"/>
        <v>0</v>
      </c>
      <c r="AK164" s="2" t="s">
        <v>42</v>
      </c>
      <c r="AL164" s="105" t="str">
        <f>+AK164</f>
        <v>C0</v>
      </c>
    </row>
    <row r="165" spans="1:38" s="6" customFormat="1" ht="15" customHeight="1" x14ac:dyDescent="0.2">
      <c r="A165" s="29" t="s">
        <v>824</v>
      </c>
      <c r="B165" s="2" t="s">
        <v>822</v>
      </c>
      <c r="C165" s="3"/>
      <c r="D165" s="2" t="s">
        <v>825</v>
      </c>
      <c r="E165" s="3" t="s">
        <v>18</v>
      </c>
      <c r="F165" s="2" t="s">
        <v>19</v>
      </c>
      <c r="G165" s="2"/>
      <c r="H165" s="2" t="s">
        <v>20</v>
      </c>
      <c r="I165" s="2" t="s">
        <v>1760</v>
      </c>
      <c r="J165" s="28" t="s">
        <v>548</v>
      </c>
      <c r="K165" s="28" t="s">
        <v>548</v>
      </c>
      <c r="L165" s="44" t="s">
        <v>593</v>
      </c>
      <c r="M165" s="4" t="s">
        <v>3</v>
      </c>
      <c r="N165" s="15">
        <v>27184125</v>
      </c>
      <c r="O165" s="88" t="s">
        <v>1308</v>
      </c>
      <c r="P165" s="38">
        <v>28910</v>
      </c>
      <c r="Q165" s="38"/>
      <c r="R165" s="38"/>
      <c r="S165" s="38"/>
      <c r="T165" s="38"/>
      <c r="U165" s="17" t="s">
        <v>215</v>
      </c>
      <c r="V165" s="17" t="s">
        <v>915</v>
      </c>
      <c r="W165" s="12">
        <v>41122</v>
      </c>
      <c r="X165" s="13"/>
      <c r="Y165" s="12">
        <v>42735</v>
      </c>
      <c r="Z165" s="2"/>
      <c r="AA165" s="2" t="s">
        <v>479</v>
      </c>
      <c r="AB165" s="7" t="s">
        <v>787</v>
      </c>
      <c r="AC165" s="5">
        <v>1000</v>
      </c>
      <c r="AD165" s="5">
        <f>+AC165</f>
        <v>1000</v>
      </c>
      <c r="AE165" s="5">
        <v>1170</v>
      </c>
      <c r="AF165" s="5">
        <f t="shared" si="158"/>
        <v>1310</v>
      </c>
      <c r="AG165" s="5">
        <f t="shared" si="164"/>
        <v>1310</v>
      </c>
      <c r="AH165" s="5">
        <f t="shared" si="164"/>
        <v>1310</v>
      </c>
      <c r="AI165" s="5">
        <f t="shared" ref="AI165:AJ165" si="174">+AH165</f>
        <v>1310</v>
      </c>
      <c r="AJ165" s="5">
        <f t="shared" si="174"/>
        <v>1310</v>
      </c>
      <c r="AK165" s="2"/>
      <c r="AL165" s="106"/>
    </row>
    <row r="166" spans="1:38" s="6" customFormat="1" ht="15" customHeight="1" x14ac:dyDescent="0.2">
      <c r="A166" s="29" t="s">
        <v>824</v>
      </c>
      <c r="B166" s="2" t="s">
        <v>1098</v>
      </c>
      <c r="C166" s="29"/>
      <c r="D166" s="2" t="s">
        <v>1833</v>
      </c>
      <c r="E166" s="2"/>
      <c r="F166" s="2"/>
      <c r="G166" s="2"/>
      <c r="H166" s="2" t="s">
        <v>48</v>
      </c>
      <c r="I166" s="3"/>
      <c r="J166" s="28" t="s">
        <v>73</v>
      </c>
      <c r="K166" s="28"/>
      <c r="L166" s="41" t="s">
        <v>594</v>
      </c>
      <c r="M166" s="4" t="s">
        <v>3</v>
      </c>
      <c r="N166" s="15">
        <v>28030258</v>
      </c>
      <c r="O166" s="88">
        <v>27280302584</v>
      </c>
      <c r="P166" s="61"/>
      <c r="Q166" s="61"/>
      <c r="R166" s="61"/>
      <c r="S166" s="61"/>
      <c r="T166" s="61"/>
      <c r="U166" s="16" t="s">
        <v>796</v>
      </c>
      <c r="V166" s="16" t="s">
        <v>916</v>
      </c>
      <c r="W166" s="12">
        <v>41244</v>
      </c>
      <c r="X166" s="48">
        <v>42735</v>
      </c>
      <c r="Y166" s="12">
        <v>42735</v>
      </c>
      <c r="Z166" s="2" t="s">
        <v>33</v>
      </c>
      <c r="AA166" s="2"/>
      <c r="AB166" s="3"/>
      <c r="AC166" s="5">
        <v>1000</v>
      </c>
      <c r="AD166" s="5"/>
      <c r="AE166" s="5">
        <v>1170</v>
      </c>
      <c r="AF166" s="5">
        <f t="shared" si="158"/>
        <v>1310</v>
      </c>
      <c r="AG166" s="5">
        <f t="shared" si="164"/>
        <v>1310</v>
      </c>
      <c r="AH166" s="5">
        <f t="shared" si="164"/>
        <v>1310</v>
      </c>
      <c r="AI166" s="5">
        <f t="shared" ref="AI166:AJ166" si="175">+AH166</f>
        <v>1310</v>
      </c>
      <c r="AJ166" s="5">
        <f t="shared" si="175"/>
        <v>1310</v>
      </c>
      <c r="AK166" s="2"/>
      <c r="AL166" s="105" t="str">
        <f>+Z166</f>
        <v>A1</v>
      </c>
    </row>
    <row r="167" spans="1:38" s="6" customFormat="1" ht="15" customHeight="1" x14ac:dyDescent="0.2">
      <c r="A167" s="29" t="s">
        <v>824</v>
      </c>
      <c r="B167" s="2" t="s">
        <v>822</v>
      </c>
      <c r="C167" s="29" t="s">
        <v>823</v>
      </c>
      <c r="D167" s="2" t="s">
        <v>808</v>
      </c>
      <c r="E167" s="2" t="s">
        <v>216</v>
      </c>
      <c r="F167" s="2"/>
      <c r="G167" s="2"/>
      <c r="H167" s="2"/>
      <c r="I167" s="3"/>
      <c r="J167" s="28" t="s">
        <v>73</v>
      </c>
      <c r="K167" s="28"/>
      <c r="L167" s="41" t="s">
        <v>595</v>
      </c>
      <c r="M167" s="4" t="s">
        <v>3</v>
      </c>
      <c r="N167" s="15">
        <v>16668474</v>
      </c>
      <c r="O167" s="88">
        <v>27166684744</v>
      </c>
      <c r="P167" s="38"/>
      <c r="Q167" s="38"/>
      <c r="R167" s="38"/>
      <c r="S167" s="38"/>
      <c r="T167" s="38"/>
      <c r="U167" s="16" t="s">
        <v>796</v>
      </c>
      <c r="V167" s="16" t="s">
        <v>916</v>
      </c>
      <c r="W167" s="12">
        <v>41244</v>
      </c>
      <c r="X167" s="48">
        <v>42735</v>
      </c>
      <c r="Y167" s="12">
        <v>42735</v>
      </c>
      <c r="Z167" s="2" t="s">
        <v>42</v>
      </c>
      <c r="AA167" s="2"/>
      <c r="AB167" s="3"/>
      <c r="AC167" s="5">
        <v>1000</v>
      </c>
      <c r="AD167" s="5"/>
      <c r="AE167" s="5">
        <v>1170</v>
      </c>
      <c r="AF167" s="5">
        <f t="shared" si="158"/>
        <v>1310</v>
      </c>
      <c r="AG167" s="5">
        <f t="shared" si="164"/>
        <v>1310</v>
      </c>
      <c r="AH167" s="5">
        <f t="shared" si="164"/>
        <v>1310</v>
      </c>
      <c r="AI167" s="5">
        <f t="shared" ref="AI167:AJ167" si="176">+AH167</f>
        <v>1310</v>
      </c>
      <c r="AJ167" s="5">
        <f t="shared" si="176"/>
        <v>1310</v>
      </c>
      <c r="AK167" s="2"/>
      <c r="AL167" s="105" t="str">
        <f>+Z167</f>
        <v>C0</v>
      </c>
    </row>
    <row r="168" spans="1:38" s="6" customFormat="1" ht="15" customHeight="1" x14ac:dyDescent="0.2">
      <c r="A168" s="29" t="s">
        <v>824</v>
      </c>
      <c r="B168" s="29" t="s">
        <v>822</v>
      </c>
      <c r="C168" s="29" t="s">
        <v>823</v>
      </c>
      <c r="D168" s="2" t="s">
        <v>808</v>
      </c>
      <c r="E168" s="7" t="s">
        <v>20</v>
      </c>
      <c r="F168" s="7"/>
      <c r="G168" s="7"/>
      <c r="H168" s="8"/>
      <c r="I168" s="2" t="s">
        <v>235</v>
      </c>
      <c r="J168" s="28"/>
      <c r="K168" s="28" t="s">
        <v>1765</v>
      </c>
      <c r="L168" s="42" t="s">
        <v>1018</v>
      </c>
      <c r="M168" s="7" t="s">
        <v>3</v>
      </c>
      <c r="N168" s="15">
        <v>92267421</v>
      </c>
      <c r="O168" s="88">
        <v>20922674214</v>
      </c>
      <c r="P168" s="38">
        <v>25215</v>
      </c>
      <c r="Q168" s="38"/>
      <c r="R168" s="38"/>
      <c r="S168" s="38"/>
      <c r="T168" s="38"/>
      <c r="U168" s="17" t="s">
        <v>215</v>
      </c>
      <c r="V168" s="17" t="s">
        <v>915</v>
      </c>
      <c r="W168" s="12">
        <v>42461</v>
      </c>
      <c r="X168" s="20"/>
      <c r="Y168" s="12">
        <v>42735</v>
      </c>
      <c r="Z168" s="2"/>
      <c r="AA168" s="2" t="s">
        <v>479</v>
      </c>
      <c r="AB168" s="24"/>
      <c r="AC168" s="5">
        <v>1000</v>
      </c>
      <c r="AD168" s="5">
        <f>+AC168*1.07</f>
        <v>1070</v>
      </c>
      <c r="AE168" s="5">
        <v>1170</v>
      </c>
      <c r="AF168" s="5">
        <f t="shared" si="158"/>
        <v>1310</v>
      </c>
      <c r="AG168" s="5">
        <f t="shared" si="164"/>
        <v>1310</v>
      </c>
      <c r="AH168" s="5">
        <f t="shared" si="164"/>
        <v>1310</v>
      </c>
      <c r="AI168" s="5">
        <f t="shared" ref="AI168:AJ168" si="177">+AH168</f>
        <v>1310</v>
      </c>
      <c r="AJ168" s="5">
        <f t="shared" si="177"/>
        <v>1310</v>
      </c>
      <c r="AK168" s="2" t="s">
        <v>43</v>
      </c>
      <c r="AL168" s="105" t="str">
        <f>+AK168</f>
        <v>A0</v>
      </c>
    </row>
    <row r="169" spans="1:38" s="6" customFormat="1" ht="15" customHeight="1" x14ac:dyDescent="0.2">
      <c r="A169" s="29" t="s">
        <v>824</v>
      </c>
      <c r="B169" s="29" t="s">
        <v>822</v>
      </c>
      <c r="C169" s="14"/>
      <c r="D169" s="2" t="s">
        <v>1833</v>
      </c>
      <c r="E169" s="2"/>
      <c r="F169" s="3"/>
      <c r="G169" s="3"/>
      <c r="H169" s="2" t="s">
        <v>884</v>
      </c>
      <c r="I169" s="2" t="s">
        <v>1707</v>
      </c>
      <c r="J169" s="28"/>
      <c r="K169" s="28" t="s">
        <v>1766</v>
      </c>
      <c r="L169" s="41" t="s">
        <v>880</v>
      </c>
      <c r="M169" s="4" t="s">
        <v>3</v>
      </c>
      <c r="N169" s="15">
        <v>32845128</v>
      </c>
      <c r="O169" s="88" t="s">
        <v>1433</v>
      </c>
      <c r="P169" s="38">
        <v>31752</v>
      </c>
      <c r="Q169" s="38"/>
      <c r="R169" s="38"/>
      <c r="S169" s="38"/>
      <c r="T169" s="38"/>
      <c r="U169" s="17" t="s">
        <v>215</v>
      </c>
      <c r="V169" s="17" t="s">
        <v>915</v>
      </c>
      <c r="W169" s="12">
        <v>42370</v>
      </c>
      <c r="X169" s="48"/>
      <c r="Y169" s="12">
        <v>42735</v>
      </c>
      <c r="Z169" s="2"/>
      <c r="AA169" s="2" t="s">
        <v>479</v>
      </c>
      <c r="AB169" s="3" t="s">
        <v>10</v>
      </c>
      <c r="AC169" s="5">
        <v>1000</v>
      </c>
      <c r="AD169" s="5">
        <f>+AC169*1.07</f>
        <v>1070</v>
      </c>
      <c r="AE169" s="5">
        <v>1170</v>
      </c>
      <c r="AF169" s="5">
        <f t="shared" si="158"/>
        <v>1310</v>
      </c>
      <c r="AG169" s="5">
        <f t="shared" si="164"/>
        <v>1310</v>
      </c>
      <c r="AH169" s="5">
        <f t="shared" si="164"/>
        <v>1310</v>
      </c>
      <c r="AI169" s="5">
        <f t="shared" ref="AI169:AJ169" si="178">+AH169</f>
        <v>1310</v>
      </c>
      <c r="AJ169" s="5">
        <f t="shared" si="178"/>
        <v>1310</v>
      </c>
      <c r="AK169" s="2"/>
      <c r="AL169" s="105"/>
    </row>
    <row r="170" spans="1:38" s="6" customFormat="1" ht="15" customHeight="1" x14ac:dyDescent="0.2">
      <c r="A170" s="29" t="s">
        <v>824</v>
      </c>
      <c r="B170" s="2" t="s">
        <v>822</v>
      </c>
      <c r="C170" s="3"/>
      <c r="D170" s="2" t="s">
        <v>825</v>
      </c>
      <c r="E170" s="3" t="s">
        <v>18</v>
      </c>
      <c r="F170" s="2" t="s">
        <v>19</v>
      </c>
      <c r="G170" s="2"/>
      <c r="H170" s="2" t="s">
        <v>20</v>
      </c>
      <c r="I170" s="2" t="s">
        <v>1760</v>
      </c>
      <c r="J170" s="28" t="s">
        <v>548</v>
      </c>
      <c r="K170" s="28" t="s">
        <v>548</v>
      </c>
      <c r="L170" s="44" t="s">
        <v>596</v>
      </c>
      <c r="M170" s="4" t="s">
        <v>3</v>
      </c>
      <c r="N170" s="15">
        <v>27084941</v>
      </c>
      <c r="O170" s="88" t="s">
        <v>1305</v>
      </c>
      <c r="P170" s="38">
        <v>28887</v>
      </c>
      <c r="Q170" s="38"/>
      <c r="R170" s="38"/>
      <c r="S170" s="38"/>
      <c r="T170" s="38"/>
      <c r="U170" s="17" t="s">
        <v>215</v>
      </c>
      <c r="V170" s="17" t="s">
        <v>915</v>
      </c>
      <c r="W170" s="12">
        <v>40756</v>
      </c>
      <c r="X170" s="13"/>
      <c r="Y170" s="12">
        <v>42735</v>
      </c>
      <c r="Z170" s="2"/>
      <c r="AA170" s="2" t="s">
        <v>479</v>
      </c>
      <c r="AB170" s="7" t="s">
        <v>787</v>
      </c>
      <c r="AC170" s="5">
        <v>1000</v>
      </c>
      <c r="AD170" s="5">
        <f>+AC170</f>
        <v>1000</v>
      </c>
      <c r="AE170" s="5">
        <v>1170</v>
      </c>
      <c r="AF170" s="5">
        <f t="shared" si="158"/>
        <v>1310</v>
      </c>
      <c r="AG170" s="5">
        <f t="shared" si="164"/>
        <v>1310</v>
      </c>
      <c r="AH170" s="5">
        <f t="shared" si="164"/>
        <v>1310</v>
      </c>
      <c r="AI170" s="5">
        <f t="shared" ref="AI170:AJ170" si="179">+AH170</f>
        <v>1310</v>
      </c>
      <c r="AJ170" s="5">
        <f t="shared" si="179"/>
        <v>1310</v>
      </c>
      <c r="AK170" s="29"/>
      <c r="AL170" s="8"/>
    </row>
    <row r="171" spans="1:38" s="6" customFormat="1" ht="15" customHeight="1" x14ac:dyDescent="0.2">
      <c r="A171" s="29" t="s">
        <v>824</v>
      </c>
      <c r="B171" s="29" t="s">
        <v>822</v>
      </c>
      <c r="C171" s="14"/>
      <c r="D171" s="2" t="s">
        <v>1833</v>
      </c>
      <c r="E171" s="2"/>
      <c r="F171" s="3"/>
      <c r="G171" s="3"/>
      <c r="H171" s="2" t="s">
        <v>884</v>
      </c>
      <c r="I171" s="2" t="s">
        <v>1707</v>
      </c>
      <c r="J171" s="28"/>
      <c r="K171" s="28" t="s">
        <v>1765</v>
      </c>
      <c r="L171" s="41" t="s">
        <v>1696</v>
      </c>
      <c r="M171" s="7" t="s">
        <v>3</v>
      </c>
      <c r="N171" s="15">
        <v>33209881</v>
      </c>
      <c r="O171" s="88">
        <v>20332098811</v>
      </c>
      <c r="P171" s="38"/>
      <c r="Q171" s="38"/>
      <c r="R171" s="38"/>
      <c r="S171" s="38"/>
      <c r="T171" s="38"/>
      <c r="U171" s="17"/>
      <c r="V171" s="17" t="s">
        <v>915</v>
      </c>
      <c r="W171" s="12">
        <v>42572</v>
      </c>
      <c r="X171" s="48"/>
      <c r="Y171" s="12">
        <v>42735</v>
      </c>
      <c r="Z171" s="2"/>
      <c r="AA171" s="2" t="s">
        <v>479</v>
      </c>
      <c r="AB171" s="3"/>
      <c r="AC171" s="5"/>
      <c r="AD171" s="5"/>
      <c r="AE171" s="5">
        <v>1170</v>
      </c>
      <c r="AF171" s="5">
        <f t="shared" si="158"/>
        <v>0</v>
      </c>
      <c r="AG171" s="5">
        <f t="shared" si="164"/>
        <v>0</v>
      </c>
      <c r="AH171" s="5">
        <f t="shared" si="164"/>
        <v>0</v>
      </c>
      <c r="AI171" s="5">
        <f t="shared" ref="AI171:AJ171" si="180">+AH171</f>
        <v>0</v>
      </c>
      <c r="AJ171" s="5">
        <f t="shared" si="180"/>
        <v>0</v>
      </c>
      <c r="AK171" s="2" t="s">
        <v>43</v>
      </c>
      <c r="AL171" s="105" t="str">
        <f>+AK171</f>
        <v>A0</v>
      </c>
    </row>
    <row r="172" spans="1:38" s="6" customFormat="1" ht="15" customHeight="1" x14ac:dyDescent="0.2">
      <c r="A172" s="29" t="s">
        <v>824</v>
      </c>
      <c r="B172" s="29" t="s">
        <v>822</v>
      </c>
      <c r="C172" s="29" t="s">
        <v>823</v>
      </c>
      <c r="D172" s="2" t="s">
        <v>808</v>
      </c>
      <c r="E172" s="2" t="s">
        <v>503</v>
      </c>
      <c r="F172" s="2"/>
      <c r="G172" s="3"/>
      <c r="H172" s="2"/>
      <c r="I172" s="2" t="s">
        <v>1726</v>
      </c>
      <c r="J172" s="28"/>
      <c r="K172" s="28" t="s">
        <v>1765</v>
      </c>
      <c r="L172" s="43" t="s">
        <v>1103</v>
      </c>
      <c r="M172" s="7" t="s">
        <v>3</v>
      </c>
      <c r="N172" s="15">
        <v>32538637</v>
      </c>
      <c r="O172" s="88">
        <v>20325386372</v>
      </c>
      <c r="P172" s="38">
        <v>31712</v>
      </c>
      <c r="Q172" s="38"/>
      <c r="R172" s="38"/>
      <c r="S172" s="38"/>
      <c r="T172" s="38"/>
      <c r="U172" s="17" t="s">
        <v>215</v>
      </c>
      <c r="V172" s="17" t="s">
        <v>915</v>
      </c>
      <c r="W172" s="12">
        <v>42522</v>
      </c>
      <c r="X172" s="37"/>
      <c r="Y172" s="12">
        <v>42735</v>
      </c>
      <c r="Z172" s="2"/>
      <c r="AA172" s="2" t="s">
        <v>479</v>
      </c>
      <c r="AB172" s="14"/>
      <c r="AC172" s="5"/>
      <c r="AD172" s="5">
        <v>1070</v>
      </c>
      <c r="AE172" s="5">
        <v>1170</v>
      </c>
      <c r="AF172" s="5">
        <f t="shared" si="158"/>
        <v>0</v>
      </c>
      <c r="AG172" s="5">
        <f t="shared" si="164"/>
        <v>0</v>
      </c>
      <c r="AH172" s="5">
        <f t="shared" si="164"/>
        <v>0</v>
      </c>
      <c r="AI172" s="5">
        <f t="shared" ref="AI172:AJ172" si="181">+AH172</f>
        <v>0</v>
      </c>
      <c r="AJ172" s="5">
        <f t="shared" si="181"/>
        <v>0</v>
      </c>
      <c r="AK172" s="29" t="s">
        <v>42</v>
      </c>
      <c r="AL172" s="105" t="str">
        <f>+AK172</f>
        <v>C0</v>
      </c>
    </row>
    <row r="173" spans="1:38" s="6" customFormat="1" ht="15" customHeight="1" x14ac:dyDescent="0.2">
      <c r="A173" s="29" t="s">
        <v>824</v>
      </c>
      <c r="B173" s="29"/>
      <c r="C173" s="14"/>
      <c r="D173" s="2" t="s">
        <v>820</v>
      </c>
      <c r="E173" s="2" t="s">
        <v>809</v>
      </c>
      <c r="F173" s="3"/>
      <c r="G173" s="3"/>
      <c r="H173" s="2"/>
      <c r="I173" s="3"/>
      <c r="J173" s="28" t="s">
        <v>73</v>
      </c>
      <c r="K173" s="28"/>
      <c r="L173" s="45" t="s">
        <v>96</v>
      </c>
      <c r="M173" s="4" t="s">
        <v>3</v>
      </c>
      <c r="N173" s="15">
        <v>36949773</v>
      </c>
      <c r="O173" s="88">
        <v>20369497732</v>
      </c>
      <c r="P173" s="61"/>
      <c r="Q173" s="61"/>
      <c r="R173" s="61"/>
      <c r="S173" s="61"/>
      <c r="T173" s="61"/>
      <c r="U173" s="16" t="s">
        <v>796</v>
      </c>
      <c r="V173" s="16" t="s">
        <v>916</v>
      </c>
      <c r="W173" s="12">
        <v>42095</v>
      </c>
      <c r="X173" s="12">
        <v>42460</v>
      </c>
      <c r="Y173" s="12">
        <v>42735</v>
      </c>
      <c r="Z173" s="2" t="s">
        <v>24</v>
      </c>
      <c r="AA173" s="2"/>
      <c r="AB173" s="14"/>
      <c r="AC173" s="5">
        <v>1000</v>
      </c>
      <c r="AD173" s="5"/>
      <c r="AE173" s="5">
        <v>1170</v>
      </c>
      <c r="AF173" s="5">
        <f t="shared" si="158"/>
        <v>1310</v>
      </c>
      <c r="AG173" s="5">
        <f t="shared" si="164"/>
        <v>1310</v>
      </c>
      <c r="AH173" s="5">
        <f t="shared" si="164"/>
        <v>1310</v>
      </c>
      <c r="AI173" s="5">
        <f t="shared" ref="AI173:AJ173" si="182">+AH173</f>
        <v>1310</v>
      </c>
      <c r="AJ173" s="5">
        <f t="shared" si="182"/>
        <v>1310</v>
      </c>
      <c r="AK173" s="2"/>
      <c r="AL173" s="105" t="str">
        <f>+Z173</f>
        <v>D0</v>
      </c>
    </row>
    <row r="174" spans="1:38" s="6" customFormat="1" ht="15" customHeight="1" x14ac:dyDescent="0.2">
      <c r="A174" s="29" t="s">
        <v>824</v>
      </c>
      <c r="B174" s="29"/>
      <c r="C174" s="14"/>
      <c r="D174" s="2" t="s">
        <v>820</v>
      </c>
      <c r="E174" s="2" t="s">
        <v>818</v>
      </c>
      <c r="F174" s="3"/>
      <c r="G174" s="3"/>
      <c r="H174" s="2" t="s">
        <v>221</v>
      </c>
      <c r="I174" s="2" t="s">
        <v>221</v>
      </c>
      <c r="J174" s="28" t="s">
        <v>73</v>
      </c>
      <c r="K174" s="28" t="s">
        <v>1765</v>
      </c>
      <c r="L174" s="43" t="s">
        <v>97</v>
      </c>
      <c r="M174" s="4" t="s">
        <v>3</v>
      </c>
      <c r="N174" s="15">
        <v>36688481</v>
      </c>
      <c r="O174" s="88" t="s">
        <v>1517</v>
      </c>
      <c r="P174" s="38">
        <v>33620</v>
      </c>
      <c r="Q174" s="38"/>
      <c r="R174" s="38"/>
      <c r="S174" s="38"/>
      <c r="T174" s="38"/>
      <c r="U174" s="17" t="s">
        <v>215</v>
      </c>
      <c r="V174" s="17" t="s">
        <v>915</v>
      </c>
      <c r="W174" s="12">
        <v>41593</v>
      </c>
      <c r="X174" s="13"/>
      <c r="Y174" s="12">
        <v>42735</v>
      </c>
      <c r="Z174" s="2"/>
      <c r="AA174" s="2" t="s">
        <v>479</v>
      </c>
      <c r="AB174" s="2" t="s">
        <v>782</v>
      </c>
      <c r="AC174" s="5">
        <v>1000</v>
      </c>
      <c r="AD174" s="5">
        <f>+AC174*1.07</f>
        <v>1070</v>
      </c>
      <c r="AE174" s="5">
        <v>1170</v>
      </c>
      <c r="AF174" s="5">
        <f t="shared" si="158"/>
        <v>1310</v>
      </c>
      <c r="AG174" s="5">
        <f t="shared" si="164"/>
        <v>1310</v>
      </c>
      <c r="AH174" s="5">
        <f t="shared" si="164"/>
        <v>1310</v>
      </c>
      <c r="AI174" s="5">
        <f t="shared" ref="AI174:AJ174" si="183">+AH174</f>
        <v>1310</v>
      </c>
      <c r="AJ174" s="5">
        <f t="shared" si="183"/>
        <v>1310</v>
      </c>
      <c r="AK174" s="29" t="s">
        <v>42</v>
      </c>
      <c r="AL174" s="105" t="str">
        <f>+AK174</f>
        <v>C0</v>
      </c>
    </row>
    <row r="175" spans="1:38" s="6" customFormat="1" ht="15" customHeight="1" x14ac:dyDescent="0.2">
      <c r="A175" s="29" t="s">
        <v>824</v>
      </c>
      <c r="B175" s="2" t="s">
        <v>822</v>
      </c>
      <c r="C175" s="3"/>
      <c r="D175" s="2" t="s">
        <v>825</v>
      </c>
      <c r="E175" s="3" t="s">
        <v>18</v>
      </c>
      <c r="F175" s="2" t="s">
        <v>19</v>
      </c>
      <c r="G175" s="2"/>
      <c r="H175" s="2" t="s">
        <v>50</v>
      </c>
      <c r="I175" s="2" t="s">
        <v>1707</v>
      </c>
      <c r="J175" s="28" t="s">
        <v>548</v>
      </c>
      <c r="K175" s="28" t="s">
        <v>548</v>
      </c>
      <c r="L175" s="44" t="s">
        <v>597</v>
      </c>
      <c r="M175" s="4" t="s">
        <v>3</v>
      </c>
      <c r="N175" s="15">
        <v>28079864</v>
      </c>
      <c r="O175" s="88" t="s">
        <v>1325</v>
      </c>
      <c r="P175" s="38">
        <v>29322</v>
      </c>
      <c r="Q175" s="38"/>
      <c r="R175" s="38"/>
      <c r="S175" s="38"/>
      <c r="T175" s="38"/>
      <c r="U175" s="17" t="s">
        <v>215</v>
      </c>
      <c r="V175" s="17" t="s">
        <v>915</v>
      </c>
      <c r="W175" s="12">
        <v>41306</v>
      </c>
      <c r="X175" s="13"/>
      <c r="Y175" s="12">
        <v>42735</v>
      </c>
      <c r="Z175" s="2"/>
      <c r="AA175" s="2" t="s">
        <v>479</v>
      </c>
      <c r="AB175" s="7" t="s">
        <v>787</v>
      </c>
      <c r="AC175" s="5">
        <v>1000</v>
      </c>
      <c r="AD175" s="5">
        <f>+AC175</f>
        <v>1000</v>
      </c>
      <c r="AE175" s="5">
        <v>1170</v>
      </c>
      <c r="AF175" s="5">
        <f t="shared" si="158"/>
        <v>1310</v>
      </c>
      <c r="AG175" s="5">
        <f t="shared" ref="AG175:AH193" si="184">+AF175</f>
        <v>1310</v>
      </c>
      <c r="AH175" s="5">
        <f t="shared" si="184"/>
        <v>1310</v>
      </c>
      <c r="AI175" s="5">
        <f t="shared" ref="AI175:AJ175" si="185">+AH175</f>
        <v>1310</v>
      </c>
      <c r="AJ175" s="5">
        <f t="shared" si="185"/>
        <v>1310</v>
      </c>
      <c r="AK175" s="2"/>
      <c r="AL175" s="106"/>
    </row>
    <row r="176" spans="1:38" s="6" customFormat="1" ht="15" customHeight="1" x14ac:dyDescent="0.2">
      <c r="A176" s="29" t="s">
        <v>824</v>
      </c>
      <c r="B176" s="2" t="s">
        <v>822</v>
      </c>
      <c r="C176" s="2" t="s">
        <v>823</v>
      </c>
      <c r="D176" s="2" t="s">
        <v>808</v>
      </c>
      <c r="E176" s="2" t="s">
        <v>219</v>
      </c>
      <c r="F176" s="2"/>
      <c r="G176" s="2"/>
      <c r="H176" s="2" t="s">
        <v>28</v>
      </c>
      <c r="I176" s="2" t="s">
        <v>223</v>
      </c>
      <c r="J176" s="28" t="s">
        <v>73</v>
      </c>
      <c r="K176" s="28" t="s">
        <v>1765</v>
      </c>
      <c r="L176" s="41" t="s">
        <v>54</v>
      </c>
      <c r="M176" s="4" t="s">
        <v>3</v>
      </c>
      <c r="N176" s="15">
        <v>34870420</v>
      </c>
      <c r="O176" s="88" t="s">
        <v>1484</v>
      </c>
      <c r="P176" s="38">
        <v>32784</v>
      </c>
      <c r="Q176" s="38"/>
      <c r="R176" s="38"/>
      <c r="S176" s="38"/>
      <c r="T176" s="38"/>
      <c r="U176" s="17" t="s">
        <v>215</v>
      </c>
      <c r="V176" s="17" t="s">
        <v>915</v>
      </c>
      <c r="W176" s="12">
        <v>42191</v>
      </c>
      <c r="X176" s="13"/>
      <c r="Y176" s="12">
        <v>42735</v>
      </c>
      <c r="Z176" s="2"/>
      <c r="AA176" s="2" t="s">
        <v>479</v>
      </c>
      <c r="AB176" s="9" t="s">
        <v>10</v>
      </c>
      <c r="AC176" s="5">
        <v>1000</v>
      </c>
      <c r="AD176" s="5">
        <f>+AC176*1.07</f>
        <v>1070</v>
      </c>
      <c r="AE176" s="5">
        <v>1170</v>
      </c>
      <c r="AF176" s="5">
        <f t="shared" si="158"/>
        <v>1310</v>
      </c>
      <c r="AG176" s="5">
        <f t="shared" si="184"/>
        <v>1310</v>
      </c>
      <c r="AH176" s="5">
        <f t="shared" si="184"/>
        <v>1310</v>
      </c>
      <c r="AI176" s="5">
        <f t="shared" ref="AI176:AJ176" si="186">+AH176</f>
        <v>1310</v>
      </c>
      <c r="AJ176" s="5">
        <f t="shared" si="186"/>
        <v>1310</v>
      </c>
      <c r="AK176" s="29" t="s">
        <v>42</v>
      </c>
      <c r="AL176" s="105" t="str">
        <f>+AK176</f>
        <v>C0</v>
      </c>
    </row>
    <row r="177" spans="1:38" s="6" customFormat="1" ht="15" customHeight="1" x14ac:dyDescent="0.2">
      <c r="A177" s="29" t="s">
        <v>824</v>
      </c>
      <c r="B177" s="29" t="s">
        <v>822</v>
      </c>
      <c r="C177" s="29" t="s">
        <v>823</v>
      </c>
      <c r="D177" s="2" t="s">
        <v>800</v>
      </c>
      <c r="E177" s="7" t="s">
        <v>503</v>
      </c>
      <c r="F177" s="7"/>
      <c r="G177" s="7"/>
      <c r="H177" s="8"/>
      <c r="I177" s="3" t="s">
        <v>1726</v>
      </c>
      <c r="J177" s="28" t="s">
        <v>254</v>
      </c>
      <c r="K177" s="28" t="s">
        <v>1767</v>
      </c>
      <c r="L177" s="42" t="s">
        <v>475</v>
      </c>
      <c r="M177" s="4" t="s">
        <v>3</v>
      </c>
      <c r="N177" s="15">
        <v>31292992</v>
      </c>
      <c r="O177" s="88" t="s">
        <v>1392</v>
      </c>
      <c r="P177" s="38">
        <v>31051</v>
      </c>
      <c r="Q177" s="38"/>
      <c r="R177" s="38"/>
      <c r="S177" s="38"/>
      <c r="T177" s="38"/>
      <c r="U177" s="17" t="s">
        <v>215</v>
      </c>
      <c r="V177" s="17" t="s">
        <v>915</v>
      </c>
      <c r="W177" s="12">
        <v>42188</v>
      </c>
      <c r="X177" s="13"/>
      <c r="Y177" s="12">
        <v>42735</v>
      </c>
      <c r="Z177" s="2"/>
      <c r="AA177" s="2" t="s">
        <v>479</v>
      </c>
      <c r="AB177" s="24" t="s">
        <v>479</v>
      </c>
      <c r="AC177" s="5">
        <v>1000</v>
      </c>
      <c r="AD177" s="5">
        <f>+AC177*1.07</f>
        <v>1070</v>
      </c>
      <c r="AE177" s="5">
        <v>1170</v>
      </c>
      <c r="AF177" s="5">
        <f t="shared" si="158"/>
        <v>1310</v>
      </c>
      <c r="AG177" s="5">
        <f t="shared" si="184"/>
        <v>1310</v>
      </c>
      <c r="AH177" s="5">
        <f t="shared" si="184"/>
        <v>1310</v>
      </c>
      <c r="AI177" s="5">
        <f t="shared" ref="AI177:AJ177" si="187">+AH177</f>
        <v>1310</v>
      </c>
      <c r="AJ177" s="5">
        <f t="shared" si="187"/>
        <v>1310</v>
      </c>
      <c r="AK177" s="2" t="s">
        <v>53</v>
      </c>
      <c r="AL177" s="105" t="str">
        <f>+AK177</f>
        <v>B0</v>
      </c>
    </row>
    <row r="178" spans="1:38" s="6" customFormat="1" ht="15" customHeight="1" x14ac:dyDescent="0.2">
      <c r="A178" s="29" t="s">
        <v>824</v>
      </c>
      <c r="B178" s="29"/>
      <c r="C178" s="14"/>
      <c r="D178" s="2" t="s">
        <v>820</v>
      </c>
      <c r="E178" s="2" t="s">
        <v>921</v>
      </c>
      <c r="F178" s="2" t="s">
        <v>31</v>
      </c>
      <c r="G178" s="3"/>
      <c r="H178" s="2" t="s">
        <v>920</v>
      </c>
      <c r="I178" s="3"/>
      <c r="J178" s="28" t="s">
        <v>73</v>
      </c>
      <c r="K178" s="28"/>
      <c r="L178" s="45" t="s">
        <v>98</v>
      </c>
      <c r="M178" s="4" t="s">
        <v>3</v>
      </c>
      <c r="N178" s="15">
        <v>20007136</v>
      </c>
      <c r="O178" s="88">
        <v>20200071361</v>
      </c>
      <c r="P178" s="61"/>
      <c r="Q178" s="61"/>
      <c r="R178" s="61"/>
      <c r="S178" s="61"/>
      <c r="T178" s="61"/>
      <c r="U178" s="16" t="s">
        <v>796</v>
      </c>
      <c r="V178" s="16" t="s">
        <v>916</v>
      </c>
      <c r="W178" s="12">
        <v>39114</v>
      </c>
      <c r="X178" s="48">
        <v>42735</v>
      </c>
      <c r="Y178" s="12">
        <v>42735</v>
      </c>
      <c r="Z178" s="2" t="s">
        <v>69</v>
      </c>
      <c r="AA178" s="2"/>
      <c r="AB178" s="14"/>
      <c r="AC178" s="5">
        <v>1000</v>
      </c>
      <c r="AD178" s="5"/>
      <c r="AE178" s="5">
        <v>1170</v>
      </c>
      <c r="AF178" s="5">
        <f t="shared" si="158"/>
        <v>1310</v>
      </c>
      <c r="AG178" s="5">
        <f t="shared" si="184"/>
        <v>1310</v>
      </c>
      <c r="AH178" s="5">
        <f t="shared" si="184"/>
        <v>1310</v>
      </c>
      <c r="AI178" s="5">
        <f t="shared" ref="AI178:AJ178" si="188">+AH178</f>
        <v>1310</v>
      </c>
      <c r="AJ178" s="5">
        <f t="shared" si="188"/>
        <v>1310</v>
      </c>
      <c r="AK178" s="2"/>
      <c r="AL178" s="105" t="str">
        <f>+Z178</f>
        <v>B5</v>
      </c>
    </row>
    <row r="179" spans="1:38" s="6" customFormat="1" ht="15" customHeight="1" x14ac:dyDescent="0.2">
      <c r="A179" s="29" t="s">
        <v>824</v>
      </c>
      <c r="B179" s="29" t="s">
        <v>822</v>
      </c>
      <c r="C179" s="29" t="s">
        <v>823</v>
      </c>
      <c r="D179" s="2" t="s">
        <v>808</v>
      </c>
      <c r="E179" s="2" t="s">
        <v>909</v>
      </c>
      <c r="F179" s="2" t="s">
        <v>219</v>
      </c>
      <c r="G179" s="3"/>
      <c r="H179" s="2" t="s">
        <v>224</v>
      </c>
      <c r="I179" s="3"/>
      <c r="J179" s="28" t="s">
        <v>73</v>
      </c>
      <c r="K179" s="28"/>
      <c r="L179" s="43" t="s">
        <v>99</v>
      </c>
      <c r="M179" s="4" t="s">
        <v>3</v>
      </c>
      <c r="N179" s="15">
        <v>17968607</v>
      </c>
      <c r="O179" s="88">
        <v>20179686075</v>
      </c>
      <c r="P179" s="38"/>
      <c r="Q179" s="38"/>
      <c r="R179" s="38"/>
      <c r="S179" s="38"/>
      <c r="T179" s="38"/>
      <c r="U179" s="16" t="s">
        <v>796</v>
      </c>
      <c r="V179" s="16" t="s">
        <v>916</v>
      </c>
      <c r="W179" s="12">
        <v>42156</v>
      </c>
      <c r="X179" s="12">
        <v>42460</v>
      </c>
      <c r="Y179" s="12">
        <v>42735</v>
      </c>
      <c r="Z179" s="2" t="s">
        <v>17</v>
      </c>
      <c r="AA179" s="2"/>
      <c r="AB179" s="14"/>
      <c r="AC179" s="5">
        <v>1000</v>
      </c>
      <c r="AD179" s="5"/>
      <c r="AE179" s="5">
        <v>1170</v>
      </c>
      <c r="AF179" s="5">
        <f t="shared" si="158"/>
        <v>1310</v>
      </c>
      <c r="AG179" s="5">
        <f t="shared" si="184"/>
        <v>1310</v>
      </c>
      <c r="AH179" s="5">
        <f t="shared" si="184"/>
        <v>1310</v>
      </c>
      <c r="AI179" s="5">
        <f t="shared" ref="AI179:AJ179" si="189">+AH179</f>
        <v>1310</v>
      </c>
      <c r="AJ179" s="5">
        <f t="shared" si="189"/>
        <v>1310</v>
      </c>
      <c r="AK179" s="2" t="s">
        <v>43</v>
      </c>
      <c r="AL179" s="105" t="str">
        <f t="shared" ref="AL179:AL187" si="190">+AK179</f>
        <v>A0</v>
      </c>
    </row>
    <row r="180" spans="1:38" s="6" customFormat="1" ht="15" customHeight="1" x14ac:dyDescent="0.2">
      <c r="A180" s="29" t="s">
        <v>824</v>
      </c>
      <c r="B180" s="29" t="s">
        <v>822</v>
      </c>
      <c r="C180" s="29" t="s">
        <v>823</v>
      </c>
      <c r="D180" s="2" t="s">
        <v>808</v>
      </c>
      <c r="E180" s="2" t="s">
        <v>909</v>
      </c>
      <c r="F180" s="2" t="s">
        <v>813</v>
      </c>
      <c r="G180" s="3"/>
      <c r="H180" s="2" t="s">
        <v>220</v>
      </c>
      <c r="I180" s="2" t="s">
        <v>220</v>
      </c>
      <c r="J180" s="28" t="s">
        <v>73</v>
      </c>
      <c r="K180" s="28" t="s">
        <v>1765</v>
      </c>
      <c r="L180" s="43" t="s">
        <v>100</v>
      </c>
      <c r="M180" s="4" t="s">
        <v>3</v>
      </c>
      <c r="N180" s="15">
        <v>11293948</v>
      </c>
      <c r="O180" s="88">
        <v>20112939483</v>
      </c>
      <c r="P180" s="38">
        <v>19983</v>
      </c>
      <c r="Q180" s="38"/>
      <c r="R180" s="38"/>
      <c r="S180" s="38"/>
      <c r="T180" s="38"/>
      <c r="U180" s="17" t="s">
        <v>215</v>
      </c>
      <c r="V180" s="17" t="s">
        <v>915</v>
      </c>
      <c r="W180" s="12">
        <v>42129</v>
      </c>
      <c r="X180" s="13"/>
      <c r="Y180" s="12">
        <v>42735</v>
      </c>
      <c r="Z180" s="2"/>
      <c r="AA180" s="2" t="s">
        <v>479</v>
      </c>
      <c r="AB180" s="7" t="s">
        <v>61</v>
      </c>
      <c r="AC180" s="5">
        <v>1000</v>
      </c>
      <c r="AD180" s="5">
        <v>1070</v>
      </c>
      <c r="AE180" s="5">
        <v>1170</v>
      </c>
      <c r="AF180" s="5">
        <f t="shared" si="158"/>
        <v>1310</v>
      </c>
      <c r="AG180" s="5">
        <f t="shared" si="184"/>
        <v>1310</v>
      </c>
      <c r="AH180" s="5">
        <f t="shared" si="184"/>
        <v>1310</v>
      </c>
      <c r="AI180" s="5">
        <f t="shared" ref="AI180:AJ180" si="191">+AH180</f>
        <v>1310</v>
      </c>
      <c r="AJ180" s="5">
        <f t="shared" si="191"/>
        <v>1310</v>
      </c>
      <c r="AK180" s="2" t="s">
        <v>43</v>
      </c>
      <c r="AL180" s="105" t="str">
        <f t="shared" si="190"/>
        <v>A0</v>
      </c>
    </row>
    <row r="181" spans="1:38" s="6" customFormat="1" ht="15" customHeight="1" x14ac:dyDescent="0.2">
      <c r="A181" s="29" t="s">
        <v>824</v>
      </c>
      <c r="B181" s="29"/>
      <c r="C181" s="29"/>
      <c r="D181" s="2" t="s">
        <v>820</v>
      </c>
      <c r="E181" s="7" t="s">
        <v>809</v>
      </c>
      <c r="F181" s="7"/>
      <c r="G181" s="7"/>
      <c r="H181" s="2" t="s">
        <v>884</v>
      </c>
      <c r="I181" s="2" t="s">
        <v>229</v>
      </c>
      <c r="J181" s="28"/>
      <c r="K181" s="28" t="s">
        <v>1767</v>
      </c>
      <c r="L181" s="42" t="s">
        <v>1115</v>
      </c>
      <c r="M181" s="7" t="s">
        <v>3</v>
      </c>
      <c r="N181" s="15">
        <v>27507704</v>
      </c>
      <c r="O181" s="88">
        <v>27275077041</v>
      </c>
      <c r="P181" s="38">
        <v>28997</v>
      </c>
      <c r="Q181" s="38"/>
      <c r="R181" s="38"/>
      <c r="S181" s="38"/>
      <c r="T181" s="38"/>
      <c r="U181" s="17" t="s">
        <v>215</v>
      </c>
      <c r="V181" s="17" t="s">
        <v>915</v>
      </c>
      <c r="W181" s="12">
        <v>42461</v>
      </c>
      <c r="X181" s="20"/>
      <c r="Y181" s="12">
        <v>42735</v>
      </c>
      <c r="Z181" s="2"/>
      <c r="AA181" s="2" t="s">
        <v>479</v>
      </c>
      <c r="AB181" s="24"/>
      <c r="AC181" s="5">
        <v>1000</v>
      </c>
      <c r="AD181" s="5">
        <v>1070</v>
      </c>
      <c r="AE181" s="5">
        <v>1170</v>
      </c>
      <c r="AF181" s="5">
        <f t="shared" si="158"/>
        <v>1310</v>
      </c>
      <c r="AG181" s="5">
        <f t="shared" si="184"/>
        <v>1310</v>
      </c>
      <c r="AH181" s="5">
        <f t="shared" si="184"/>
        <v>1310</v>
      </c>
      <c r="AI181" s="5">
        <f t="shared" ref="AI181:AJ181" si="192">+AH181</f>
        <v>1310</v>
      </c>
      <c r="AJ181" s="5">
        <f t="shared" si="192"/>
        <v>1310</v>
      </c>
      <c r="AK181" s="29" t="s">
        <v>42</v>
      </c>
      <c r="AL181" s="105" t="str">
        <f t="shared" si="190"/>
        <v>C0</v>
      </c>
    </row>
    <row r="182" spans="1:38" s="6" customFormat="1" ht="15" customHeight="1" x14ac:dyDescent="0.2">
      <c r="A182" s="29" t="s">
        <v>824</v>
      </c>
      <c r="B182" s="29" t="s">
        <v>822</v>
      </c>
      <c r="C182" s="29" t="s">
        <v>823</v>
      </c>
      <c r="D182" s="2" t="s">
        <v>800</v>
      </c>
      <c r="E182" s="2" t="s">
        <v>488</v>
      </c>
      <c r="F182" s="2"/>
      <c r="G182" s="2"/>
      <c r="H182" s="2"/>
      <c r="I182" s="3" t="s">
        <v>1732</v>
      </c>
      <c r="J182" s="28" t="s">
        <v>254</v>
      </c>
      <c r="K182" s="28" t="s">
        <v>1767</v>
      </c>
      <c r="L182" s="42" t="s">
        <v>328</v>
      </c>
      <c r="M182" s="4" t="s">
        <v>3</v>
      </c>
      <c r="N182" s="15">
        <v>31091613</v>
      </c>
      <c r="O182" s="88" t="s">
        <v>1387</v>
      </c>
      <c r="P182" s="38">
        <v>30968</v>
      </c>
      <c r="Q182" s="38"/>
      <c r="R182" s="38"/>
      <c r="S182" s="38"/>
      <c r="T182" s="38"/>
      <c r="U182" s="17" t="s">
        <v>215</v>
      </c>
      <c r="V182" s="17" t="s">
        <v>915</v>
      </c>
      <c r="W182" s="12">
        <v>42248</v>
      </c>
      <c r="X182" s="13"/>
      <c r="Y182" s="12">
        <v>42735</v>
      </c>
      <c r="Z182" s="2"/>
      <c r="AA182" s="2" t="s">
        <v>479</v>
      </c>
      <c r="AB182" s="24" t="s">
        <v>479</v>
      </c>
      <c r="AC182" s="5">
        <v>1000</v>
      </c>
      <c r="AD182" s="5">
        <v>1070</v>
      </c>
      <c r="AE182" s="5">
        <v>1170</v>
      </c>
      <c r="AF182" s="5">
        <f t="shared" si="158"/>
        <v>1310</v>
      </c>
      <c r="AG182" s="5">
        <f t="shared" si="184"/>
        <v>1310</v>
      </c>
      <c r="AH182" s="5">
        <f t="shared" si="184"/>
        <v>1310</v>
      </c>
      <c r="AI182" s="5">
        <f t="shared" ref="AI182:AJ182" si="193">+AH182</f>
        <v>1310</v>
      </c>
      <c r="AJ182" s="5">
        <f t="shared" si="193"/>
        <v>1310</v>
      </c>
      <c r="AK182" s="29" t="s">
        <v>42</v>
      </c>
      <c r="AL182" s="105" t="str">
        <f t="shared" si="190"/>
        <v>C0</v>
      </c>
    </row>
    <row r="183" spans="1:38" s="6" customFormat="1" ht="15" customHeight="1" x14ac:dyDescent="0.2">
      <c r="A183" s="29" t="s">
        <v>824</v>
      </c>
      <c r="B183" s="29"/>
      <c r="C183" s="29"/>
      <c r="D183" s="2" t="s">
        <v>820</v>
      </c>
      <c r="E183" s="2"/>
      <c r="F183" s="2"/>
      <c r="G183" s="2"/>
      <c r="H183" s="2" t="s">
        <v>1111</v>
      </c>
      <c r="I183" s="2" t="s">
        <v>1707</v>
      </c>
      <c r="J183" s="28"/>
      <c r="K183" s="28" t="s">
        <v>1765</v>
      </c>
      <c r="L183" s="42" t="s">
        <v>1112</v>
      </c>
      <c r="M183" s="7" t="s">
        <v>3</v>
      </c>
      <c r="N183" s="15">
        <v>7374442</v>
      </c>
      <c r="O183" s="88">
        <v>20073744424</v>
      </c>
      <c r="P183" s="38">
        <v>17872</v>
      </c>
      <c r="Q183" s="38"/>
      <c r="R183" s="38"/>
      <c r="S183" s="38"/>
      <c r="T183" s="38"/>
      <c r="U183" s="17" t="s">
        <v>215</v>
      </c>
      <c r="V183" s="17" t="s">
        <v>915</v>
      </c>
      <c r="W183" s="12">
        <v>42522</v>
      </c>
      <c r="X183" s="13"/>
      <c r="Y183" s="12">
        <v>42735</v>
      </c>
      <c r="Z183" s="2"/>
      <c r="AA183" s="2" t="s">
        <v>479</v>
      </c>
      <c r="AB183" s="24"/>
      <c r="AC183" s="5"/>
      <c r="AD183" s="5">
        <v>1070</v>
      </c>
      <c r="AE183" s="5">
        <v>1170</v>
      </c>
      <c r="AF183" s="5">
        <f t="shared" si="158"/>
        <v>0</v>
      </c>
      <c r="AG183" s="5">
        <f t="shared" si="184"/>
        <v>0</v>
      </c>
      <c r="AH183" s="5">
        <f t="shared" si="184"/>
        <v>0</v>
      </c>
      <c r="AI183" s="5">
        <f t="shared" ref="AI183:AJ183" si="194">+AH183</f>
        <v>0</v>
      </c>
      <c r="AJ183" s="5">
        <f t="shared" si="194"/>
        <v>0</v>
      </c>
      <c r="AK183" s="2" t="s">
        <v>53</v>
      </c>
      <c r="AL183" s="105" t="str">
        <f t="shared" si="190"/>
        <v>B0</v>
      </c>
    </row>
    <row r="184" spans="1:38" s="6" customFormat="1" ht="15" customHeight="1" x14ac:dyDescent="0.2">
      <c r="A184" s="29" t="s">
        <v>824</v>
      </c>
      <c r="B184" s="29" t="s">
        <v>822</v>
      </c>
      <c r="C184" s="29" t="s">
        <v>823</v>
      </c>
      <c r="D184" s="2" t="s">
        <v>800</v>
      </c>
      <c r="E184" s="2" t="s">
        <v>489</v>
      </c>
      <c r="F184" s="2"/>
      <c r="G184" s="2"/>
      <c r="H184" s="2"/>
      <c r="I184" s="3" t="s">
        <v>1731</v>
      </c>
      <c r="J184" s="28" t="s">
        <v>254</v>
      </c>
      <c r="K184" s="28" t="s">
        <v>1767</v>
      </c>
      <c r="L184" s="42" t="s">
        <v>356</v>
      </c>
      <c r="M184" s="4" t="s">
        <v>3</v>
      </c>
      <c r="N184" s="15">
        <v>20341389</v>
      </c>
      <c r="O184" s="88" t="s">
        <v>1192</v>
      </c>
      <c r="P184" s="38">
        <v>31607</v>
      </c>
      <c r="Q184" s="38"/>
      <c r="R184" s="38"/>
      <c r="S184" s="38"/>
      <c r="T184" s="38"/>
      <c r="U184" s="17" t="s">
        <v>215</v>
      </c>
      <c r="V184" s="17" t="s">
        <v>915</v>
      </c>
      <c r="W184" s="12">
        <v>41091</v>
      </c>
      <c r="X184" s="13"/>
      <c r="Y184" s="12">
        <v>42735</v>
      </c>
      <c r="Z184" s="2"/>
      <c r="AA184" s="2" t="s">
        <v>479</v>
      </c>
      <c r="AB184" s="24" t="s">
        <v>479</v>
      </c>
      <c r="AC184" s="5">
        <v>1000</v>
      </c>
      <c r="AD184" s="5">
        <v>1070</v>
      </c>
      <c r="AE184" s="5">
        <v>1170</v>
      </c>
      <c r="AF184" s="5">
        <f t="shared" si="158"/>
        <v>1310</v>
      </c>
      <c r="AG184" s="5">
        <f t="shared" si="184"/>
        <v>1310</v>
      </c>
      <c r="AH184" s="5">
        <f t="shared" si="184"/>
        <v>1310</v>
      </c>
      <c r="AI184" s="5">
        <f t="shared" ref="AI184:AJ184" si="195">+AH184</f>
        <v>1310</v>
      </c>
      <c r="AJ184" s="5">
        <f t="shared" si="195"/>
        <v>1310</v>
      </c>
      <c r="AK184" s="29" t="s">
        <v>42</v>
      </c>
      <c r="AL184" s="105" t="str">
        <f t="shared" si="190"/>
        <v>C0</v>
      </c>
    </row>
    <row r="185" spans="1:38" s="6" customFormat="1" ht="15" customHeight="1" x14ac:dyDescent="0.2">
      <c r="A185" s="29" t="s">
        <v>824</v>
      </c>
      <c r="B185" s="29"/>
      <c r="C185" s="2"/>
      <c r="D185" s="2" t="s">
        <v>820</v>
      </c>
      <c r="E185" s="2" t="s">
        <v>818</v>
      </c>
      <c r="F185" s="2"/>
      <c r="G185" s="2"/>
      <c r="H185" s="2" t="s">
        <v>55</v>
      </c>
      <c r="I185" s="2" t="s">
        <v>221</v>
      </c>
      <c r="J185" s="28" t="s">
        <v>73</v>
      </c>
      <c r="K185" s="28" t="s">
        <v>1765</v>
      </c>
      <c r="L185" s="41" t="s">
        <v>598</v>
      </c>
      <c r="M185" s="4" t="s">
        <v>3</v>
      </c>
      <c r="N185" s="15">
        <v>25284962</v>
      </c>
      <c r="O185" s="88" t="s">
        <v>1262</v>
      </c>
      <c r="P185" s="38">
        <v>27908</v>
      </c>
      <c r="Q185" s="38"/>
      <c r="R185" s="38"/>
      <c r="S185" s="38"/>
      <c r="T185" s="38"/>
      <c r="U185" s="17" t="s">
        <v>215</v>
      </c>
      <c r="V185" s="17" t="s">
        <v>915</v>
      </c>
      <c r="W185" s="12"/>
      <c r="X185" s="13"/>
      <c r="Y185" s="12">
        <v>42735</v>
      </c>
      <c r="Z185" s="2"/>
      <c r="AA185" s="2" t="s">
        <v>479</v>
      </c>
      <c r="AB185" s="2" t="s">
        <v>782</v>
      </c>
      <c r="AC185" s="5">
        <v>1000</v>
      </c>
      <c r="AD185" s="5">
        <f>+AC185*1.07</f>
        <v>1070</v>
      </c>
      <c r="AE185" s="5">
        <v>1170</v>
      </c>
      <c r="AF185" s="5">
        <f t="shared" si="158"/>
        <v>1310</v>
      </c>
      <c r="AG185" s="5">
        <f t="shared" si="184"/>
        <v>1310</v>
      </c>
      <c r="AH185" s="5">
        <f t="shared" si="184"/>
        <v>1310</v>
      </c>
      <c r="AI185" s="5">
        <f t="shared" ref="AI185:AJ185" si="196">+AH185</f>
        <v>1310</v>
      </c>
      <c r="AJ185" s="5">
        <f t="shared" si="196"/>
        <v>1310</v>
      </c>
      <c r="AK185" s="29" t="s">
        <v>42</v>
      </c>
      <c r="AL185" s="105" t="str">
        <f t="shared" si="190"/>
        <v>C0</v>
      </c>
    </row>
    <row r="186" spans="1:38" s="6" customFormat="1" ht="15" customHeight="1" x14ac:dyDescent="0.2">
      <c r="A186" s="29" t="s">
        <v>824</v>
      </c>
      <c r="B186" s="29" t="s">
        <v>822</v>
      </c>
      <c r="C186" s="29" t="s">
        <v>823</v>
      </c>
      <c r="D186" s="2" t="s">
        <v>808</v>
      </c>
      <c r="E186" s="2" t="s">
        <v>503</v>
      </c>
      <c r="F186" s="2" t="s">
        <v>1130</v>
      </c>
      <c r="G186" s="3"/>
      <c r="H186" s="2"/>
      <c r="I186" s="2" t="s">
        <v>1707</v>
      </c>
      <c r="J186" s="28"/>
      <c r="K186" s="28" t="s">
        <v>1765</v>
      </c>
      <c r="L186" s="43" t="s">
        <v>1101</v>
      </c>
      <c r="M186" s="7" t="s">
        <v>3</v>
      </c>
      <c r="N186" s="15">
        <v>25051947</v>
      </c>
      <c r="O186" s="88">
        <v>20250519479</v>
      </c>
      <c r="P186" s="38">
        <v>27851</v>
      </c>
      <c r="Q186" s="38"/>
      <c r="R186" s="38"/>
      <c r="S186" s="38"/>
      <c r="T186" s="38"/>
      <c r="U186" s="17" t="s">
        <v>215</v>
      </c>
      <c r="V186" s="17" t="s">
        <v>915</v>
      </c>
      <c r="W186" s="12">
        <v>42522</v>
      </c>
      <c r="X186" s="37"/>
      <c r="Y186" s="12">
        <v>42735</v>
      </c>
      <c r="Z186" s="2"/>
      <c r="AA186" s="2" t="s">
        <v>479</v>
      </c>
      <c r="AB186" s="14"/>
      <c r="AC186" s="5"/>
      <c r="AD186" s="5">
        <v>1070</v>
      </c>
      <c r="AE186" s="5">
        <v>1170</v>
      </c>
      <c r="AF186" s="5">
        <f t="shared" si="158"/>
        <v>0</v>
      </c>
      <c r="AG186" s="5">
        <f t="shared" si="184"/>
        <v>0</v>
      </c>
      <c r="AH186" s="5">
        <f t="shared" si="184"/>
        <v>0</v>
      </c>
      <c r="AI186" s="5">
        <f t="shared" ref="AI186:AJ186" si="197">+AH186</f>
        <v>0</v>
      </c>
      <c r="AJ186" s="5">
        <f t="shared" si="197"/>
        <v>0</v>
      </c>
      <c r="AK186" s="2" t="s">
        <v>53</v>
      </c>
      <c r="AL186" s="105" t="str">
        <f t="shared" si="190"/>
        <v>B0</v>
      </c>
    </row>
    <row r="187" spans="1:38" s="6" customFormat="1" ht="15" customHeight="1" x14ac:dyDescent="0.2">
      <c r="A187" s="29" t="s">
        <v>824</v>
      </c>
      <c r="B187" s="29" t="s">
        <v>822</v>
      </c>
      <c r="C187" s="29" t="s">
        <v>823</v>
      </c>
      <c r="D187" s="2" t="s">
        <v>1820</v>
      </c>
      <c r="E187" s="7"/>
      <c r="F187" s="7"/>
      <c r="G187" s="7"/>
      <c r="H187" s="2" t="s">
        <v>884</v>
      </c>
      <c r="I187" s="2" t="s">
        <v>1707</v>
      </c>
      <c r="J187" s="28"/>
      <c r="K187" s="28" t="s">
        <v>1765</v>
      </c>
      <c r="L187" s="42" t="s">
        <v>1030</v>
      </c>
      <c r="M187" s="7" t="s">
        <v>3</v>
      </c>
      <c r="N187" s="15">
        <v>33022528</v>
      </c>
      <c r="O187" s="88">
        <v>27330225284</v>
      </c>
      <c r="P187" s="38">
        <v>31916</v>
      </c>
      <c r="Q187" s="38"/>
      <c r="R187" s="38"/>
      <c r="S187" s="38"/>
      <c r="T187" s="38"/>
      <c r="U187" s="17" t="s">
        <v>215</v>
      </c>
      <c r="V187" s="16" t="s">
        <v>915</v>
      </c>
      <c r="W187" s="12"/>
      <c r="X187" s="48"/>
      <c r="Y187" s="12">
        <v>42735</v>
      </c>
      <c r="Z187" s="2"/>
      <c r="AA187" s="2" t="s">
        <v>479</v>
      </c>
      <c r="AB187" s="18"/>
      <c r="AC187" s="5">
        <v>1000</v>
      </c>
      <c r="AD187" s="5">
        <f>+AC187*1.07</f>
        <v>1070</v>
      </c>
      <c r="AE187" s="5">
        <v>1170</v>
      </c>
      <c r="AF187" s="5">
        <f t="shared" si="158"/>
        <v>1310</v>
      </c>
      <c r="AG187" s="5">
        <f t="shared" si="184"/>
        <v>1310</v>
      </c>
      <c r="AH187" s="5">
        <f t="shared" si="184"/>
        <v>1310</v>
      </c>
      <c r="AI187" s="5">
        <f t="shared" ref="AI187:AJ187" si="198">+AH187</f>
        <v>1310</v>
      </c>
      <c r="AJ187" s="5">
        <f t="shared" si="198"/>
        <v>1310</v>
      </c>
      <c r="AK187" s="29" t="s">
        <v>42</v>
      </c>
      <c r="AL187" s="105" t="str">
        <f t="shared" si="190"/>
        <v>C0</v>
      </c>
    </row>
    <row r="188" spans="1:38" s="6" customFormat="1" ht="15" customHeight="1" x14ac:dyDescent="0.2">
      <c r="A188" s="29" t="s">
        <v>824</v>
      </c>
      <c r="B188" s="29"/>
      <c r="C188" s="14"/>
      <c r="D188" s="2" t="s">
        <v>820</v>
      </c>
      <c r="E188" s="2" t="s">
        <v>837</v>
      </c>
      <c r="F188" s="3"/>
      <c r="G188" s="3" t="s">
        <v>522</v>
      </c>
      <c r="H188" s="2" t="s">
        <v>232</v>
      </c>
      <c r="I188" s="3"/>
      <c r="J188" s="28" t="s">
        <v>73</v>
      </c>
      <c r="K188" s="28"/>
      <c r="L188" s="45" t="s">
        <v>101</v>
      </c>
      <c r="M188" s="4" t="s">
        <v>3</v>
      </c>
      <c r="N188" s="15">
        <v>28964645</v>
      </c>
      <c r="O188" s="88">
        <v>27289646456</v>
      </c>
      <c r="P188" s="61"/>
      <c r="Q188" s="61"/>
      <c r="R188" s="61"/>
      <c r="S188" s="61"/>
      <c r="T188" s="61"/>
      <c r="U188" s="16" t="s">
        <v>796</v>
      </c>
      <c r="V188" s="16" t="s">
        <v>916</v>
      </c>
      <c r="W188" s="12">
        <v>39753</v>
      </c>
      <c r="X188" s="48">
        <v>42735</v>
      </c>
      <c r="Y188" s="12">
        <v>42735</v>
      </c>
      <c r="Z188" s="2" t="s">
        <v>60</v>
      </c>
      <c r="AA188" s="2"/>
      <c r="AB188" s="14"/>
      <c r="AC188" s="5">
        <v>1000</v>
      </c>
      <c r="AD188" s="5"/>
      <c r="AE188" s="5">
        <v>1170</v>
      </c>
      <c r="AF188" s="5">
        <f t="shared" si="158"/>
        <v>1310</v>
      </c>
      <c r="AG188" s="5">
        <f t="shared" si="184"/>
        <v>1310</v>
      </c>
      <c r="AH188" s="5">
        <f t="shared" si="184"/>
        <v>1310</v>
      </c>
      <c r="AI188" s="5">
        <f t="shared" ref="AI188:AJ188" si="199">+AH188</f>
        <v>1310</v>
      </c>
      <c r="AJ188" s="5">
        <f t="shared" si="199"/>
        <v>1310</v>
      </c>
      <c r="AK188" s="2"/>
      <c r="AL188" s="105" t="str">
        <f>+Z188</f>
        <v>B2</v>
      </c>
    </row>
    <row r="189" spans="1:38" s="6" customFormat="1" ht="15" customHeight="1" x14ac:dyDescent="0.2">
      <c r="A189" s="29" t="s">
        <v>824</v>
      </c>
      <c r="B189" s="2" t="s">
        <v>822</v>
      </c>
      <c r="C189" s="3"/>
      <c r="D189" s="2" t="s">
        <v>825</v>
      </c>
      <c r="E189" s="3" t="s">
        <v>18</v>
      </c>
      <c r="F189" s="2" t="s">
        <v>1012</v>
      </c>
      <c r="G189" s="2"/>
      <c r="H189" s="2" t="s">
        <v>20</v>
      </c>
      <c r="I189" s="2" t="s">
        <v>1760</v>
      </c>
      <c r="J189" s="28" t="s">
        <v>548</v>
      </c>
      <c r="K189" s="28" t="s">
        <v>548</v>
      </c>
      <c r="L189" s="44" t="s">
        <v>999</v>
      </c>
      <c r="M189" s="7" t="s">
        <v>3</v>
      </c>
      <c r="N189" s="47">
        <v>23124300</v>
      </c>
      <c r="O189" s="88" t="s">
        <v>1220</v>
      </c>
      <c r="P189" s="38">
        <v>26675</v>
      </c>
      <c r="Q189" s="38"/>
      <c r="R189" s="38"/>
      <c r="S189" s="38"/>
      <c r="T189" s="38"/>
      <c r="U189" s="17" t="s">
        <v>215</v>
      </c>
      <c r="V189" s="17" t="s">
        <v>915</v>
      </c>
      <c r="W189" s="12">
        <v>42065</v>
      </c>
      <c r="X189" s="12"/>
      <c r="Y189" s="12">
        <v>42735</v>
      </c>
      <c r="Z189" s="2"/>
      <c r="AA189" s="2" t="s">
        <v>479</v>
      </c>
      <c r="AB189" s="7"/>
      <c r="AC189" s="5">
        <v>1000</v>
      </c>
      <c r="AD189" s="5">
        <f>+AC189</f>
        <v>1000</v>
      </c>
      <c r="AE189" s="5">
        <v>1170</v>
      </c>
      <c r="AF189" s="5">
        <f t="shared" si="158"/>
        <v>1310</v>
      </c>
      <c r="AG189" s="5">
        <f t="shared" si="184"/>
        <v>1310</v>
      </c>
      <c r="AH189" s="5">
        <f t="shared" si="184"/>
        <v>1310</v>
      </c>
      <c r="AI189" s="5">
        <f t="shared" ref="AI189:AJ189" si="200">+AH189</f>
        <v>1310</v>
      </c>
      <c r="AJ189" s="5">
        <f t="shared" si="200"/>
        <v>1310</v>
      </c>
      <c r="AK189" s="2"/>
      <c r="AL189" s="106"/>
    </row>
    <row r="190" spans="1:38" s="6" customFormat="1" ht="15" customHeight="1" x14ac:dyDescent="0.2">
      <c r="A190" s="29" t="s">
        <v>824</v>
      </c>
      <c r="B190" s="29" t="s">
        <v>822</v>
      </c>
      <c r="C190" s="29" t="s">
        <v>823</v>
      </c>
      <c r="D190" s="2" t="s">
        <v>808</v>
      </c>
      <c r="E190" s="2" t="s">
        <v>517</v>
      </c>
      <c r="F190" s="2"/>
      <c r="G190" s="2"/>
      <c r="H190" s="2"/>
      <c r="I190" s="3"/>
      <c r="J190" s="28" t="s">
        <v>73</v>
      </c>
      <c r="K190" s="28" t="s">
        <v>1765</v>
      </c>
      <c r="L190" s="42" t="s">
        <v>289</v>
      </c>
      <c r="M190" s="4" t="s">
        <v>3</v>
      </c>
      <c r="N190" s="15">
        <v>31829624</v>
      </c>
      <c r="O190" s="88">
        <v>27318296249</v>
      </c>
      <c r="P190" s="38"/>
      <c r="Q190" s="38"/>
      <c r="R190" s="38"/>
      <c r="S190" s="38"/>
      <c r="T190" s="38"/>
      <c r="U190" s="16" t="s">
        <v>796</v>
      </c>
      <c r="V190" s="16" t="s">
        <v>916</v>
      </c>
      <c r="W190" s="12">
        <v>41243</v>
      </c>
      <c r="X190" s="48">
        <v>42735</v>
      </c>
      <c r="Y190" s="12">
        <v>42735</v>
      </c>
      <c r="Z190" s="2" t="s">
        <v>42</v>
      </c>
      <c r="AA190" s="2"/>
      <c r="AB190" s="18"/>
      <c r="AC190" s="5">
        <v>1000</v>
      </c>
      <c r="AD190" s="5"/>
      <c r="AE190" s="5">
        <v>1170</v>
      </c>
      <c r="AF190" s="5">
        <f t="shared" si="158"/>
        <v>1310</v>
      </c>
      <c r="AG190" s="5">
        <f t="shared" si="184"/>
        <v>1310</v>
      </c>
      <c r="AH190" s="5">
        <f t="shared" si="184"/>
        <v>1310</v>
      </c>
      <c r="AI190" s="5">
        <f t="shared" ref="AI190:AJ190" si="201">+AH190</f>
        <v>1310</v>
      </c>
      <c r="AJ190" s="5">
        <f t="shared" si="201"/>
        <v>1310</v>
      </c>
      <c r="AK190" s="2"/>
      <c r="AL190" s="105" t="str">
        <f>+Z190</f>
        <v>C0</v>
      </c>
    </row>
    <row r="191" spans="1:38" s="6" customFormat="1" ht="15" customHeight="1" x14ac:dyDescent="0.2">
      <c r="A191" s="29" t="s">
        <v>824</v>
      </c>
      <c r="B191" s="29" t="s">
        <v>822</v>
      </c>
      <c r="C191" s="3"/>
      <c r="D191" s="2" t="s">
        <v>928</v>
      </c>
      <c r="E191" s="2" t="s">
        <v>11</v>
      </c>
      <c r="F191" s="2"/>
      <c r="G191" s="2"/>
      <c r="H191" s="2"/>
      <c r="I191" s="2" t="s">
        <v>1707</v>
      </c>
      <c r="J191" s="33"/>
      <c r="K191" s="28" t="s">
        <v>1765</v>
      </c>
      <c r="L191" s="44" t="s">
        <v>929</v>
      </c>
      <c r="M191" s="2" t="s">
        <v>3</v>
      </c>
      <c r="N191" s="15">
        <v>25701825</v>
      </c>
      <c r="O191" s="88" t="s">
        <v>1269</v>
      </c>
      <c r="P191" s="38">
        <v>28140</v>
      </c>
      <c r="Q191" s="38"/>
      <c r="R191" s="38"/>
      <c r="S191" s="38"/>
      <c r="T191" s="38"/>
      <c r="U191" s="17" t="s">
        <v>215</v>
      </c>
      <c r="V191" s="17" t="s">
        <v>915</v>
      </c>
      <c r="W191" s="12">
        <v>42430</v>
      </c>
      <c r="X191" s="13"/>
      <c r="Y191" s="12">
        <v>42735</v>
      </c>
      <c r="Z191" s="2"/>
      <c r="AA191" s="2" t="s">
        <v>479</v>
      </c>
      <c r="AB191" s="7"/>
      <c r="AC191" s="5">
        <v>1000</v>
      </c>
      <c r="AD191" s="5">
        <f>+AC191*1.07</f>
        <v>1070</v>
      </c>
      <c r="AE191" s="5">
        <v>1170</v>
      </c>
      <c r="AF191" s="5">
        <f t="shared" si="158"/>
        <v>1310</v>
      </c>
      <c r="AG191" s="5">
        <f t="shared" si="184"/>
        <v>1310</v>
      </c>
      <c r="AH191" s="5">
        <f t="shared" si="184"/>
        <v>1310</v>
      </c>
      <c r="AI191" s="5">
        <f t="shared" ref="AI191:AJ191" si="202">+AH191</f>
        <v>1310</v>
      </c>
      <c r="AJ191" s="5">
        <f t="shared" si="202"/>
        <v>1310</v>
      </c>
      <c r="AK191" s="2" t="s">
        <v>53</v>
      </c>
      <c r="AL191" s="105" t="str">
        <f>+AK191</f>
        <v>B0</v>
      </c>
    </row>
    <row r="192" spans="1:38" s="6" customFormat="1" ht="15" customHeight="1" x14ac:dyDescent="0.2">
      <c r="A192" s="29" t="s">
        <v>824</v>
      </c>
      <c r="B192" s="2" t="s">
        <v>822</v>
      </c>
      <c r="C192" s="29"/>
      <c r="D192" s="2" t="s">
        <v>825</v>
      </c>
      <c r="E192" s="3" t="s">
        <v>8</v>
      </c>
      <c r="F192" s="2" t="s">
        <v>913</v>
      </c>
      <c r="G192" s="2"/>
      <c r="H192" s="2" t="s">
        <v>28</v>
      </c>
      <c r="I192" s="2" t="s">
        <v>13</v>
      </c>
      <c r="J192" s="28" t="s">
        <v>549</v>
      </c>
      <c r="K192" s="28" t="s">
        <v>549</v>
      </c>
      <c r="L192" s="41" t="s">
        <v>599</v>
      </c>
      <c r="M192" s="4" t="s">
        <v>3</v>
      </c>
      <c r="N192" s="15">
        <v>30029488</v>
      </c>
      <c r="O192" s="88">
        <v>20300294880</v>
      </c>
      <c r="P192" s="38">
        <v>30610</v>
      </c>
      <c r="Q192" s="38"/>
      <c r="R192" s="38"/>
      <c r="S192" s="38"/>
      <c r="T192" s="38"/>
      <c r="U192" s="17" t="s">
        <v>215</v>
      </c>
      <c r="V192" s="17" t="s">
        <v>915</v>
      </c>
      <c r="W192" s="12">
        <v>42248</v>
      </c>
      <c r="X192" s="13"/>
      <c r="Y192" s="12">
        <v>42735</v>
      </c>
      <c r="Z192" s="2"/>
      <c r="AA192" s="2" t="s">
        <v>479</v>
      </c>
      <c r="AB192" s="3" t="s">
        <v>10</v>
      </c>
      <c r="AC192" s="5">
        <v>1000</v>
      </c>
      <c r="AD192" s="5">
        <f>+AC192*1.07</f>
        <v>1070</v>
      </c>
      <c r="AE192" s="5">
        <v>1170</v>
      </c>
      <c r="AF192" s="5">
        <f t="shared" si="158"/>
        <v>1310</v>
      </c>
      <c r="AG192" s="5">
        <f t="shared" si="184"/>
        <v>1310</v>
      </c>
      <c r="AH192" s="5">
        <f t="shared" si="184"/>
        <v>1310</v>
      </c>
      <c r="AI192" s="5">
        <f t="shared" ref="AI192:AJ192" si="203">+AH192</f>
        <v>1310</v>
      </c>
      <c r="AJ192" s="5">
        <f t="shared" si="203"/>
        <v>1310</v>
      </c>
      <c r="AK192" s="2" t="s">
        <v>1815</v>
      </c>
      <c r="AL192" s="106"/>
    </row>
    <row r="193" spans="1:38" s="6" customFormat="1" ht="15" customHeight="1" x14ac:dyDescent="0.2">
      <c r="A193" s="29" t="s">
        <v>824</v>
      </c>
      <c r="B193" s="29" t="s">
        <v>822</v>
      </c>
      <c r="C193" s="29" t="s">
        <v>823</v>
      </c>
      <c r="D193" s="2" t="s">
        <v>808</v>
      </c>
      <c r="E193" s="2" t="s">
        <v>909</v>
      </c>
      <c r="F193" s="2" t="s">
        <v>23</v>
      </c>
      <c r="G193" s="3" t="s">
        <v>521</v>
      </c>
      <c r="H193" s="2" t="s">
        <v>223</v>
      </c>
      <c r="I193" s="2" t="s">
        <v>223</v>
      </c>
      <c r="J193" s="28" t="s">
        <v>73</v>
      </c>
      <c r="K193" s="28" t="s">
        <v>1765</v>
      </c>
      <c r="L193" s="43" t="s">
        <v>102</v>
      </c>
      <c r="M193" s="4" t="s">
        <v>3</v>
      </c>
      <c r="N193" s="15">
        <v>37274121</v>
      </c>
      <c r="O193" s="88" t="s">
        <v>1527</v>
      </c>
      <c r="P193" s="38">
        <v>33966</v>
      </c>
      <c r="Q193" s="38"/>
      <c r="R193" s="38"/>
      <c r="S193" s="38"/>
      <c r="T193" s="38"/>
      <c r="U193" s="17" t="s">
        <v>215</v>
      </c>
      <c r="V193" s="17" t="s">
        <v>915</v>
      </c>
      <c r="W193" s="12">
        <v>42217</v>
      </c>
      <c r="X193" s="13"/>
      <c r="Y193" s="12">
        <v>42735</v>
      </c>
      <c r="Z193" s="2"/>
      <c r="AA193" s="2" t="s">
        <v>479</v>
      </c>
      <c r="AB193" s="7" t="s">
        <v>61</v>
      </c>
      <c r="AC193" s="5">
        <v>1000</v>
      </c>
      <c r="AD193" s="5">
        <f>+AC193*1.07</f>
        <v>1070</v>
      </c>
      <c r="AE193" s="5">
        <v>1170</v>
      </c>
      <c r="AF193" s="5">
        <f t="shared" si="158"/>
        <v>1310</v>
      </c>
      <c r="AG193" s="5">
        <f t="shared" si="184"/>
        <v>1310</v>
      </c>
      <c r="AH193" s="5">
        <f t="shared" si="184"/>
        <v>1310</v>
      </c>
      <c r="AI193" s="5">
        <f t="shared" ref="AI193:AJ193" si="204">+AH193</f>
        <v>1310</v>
      </c>
      <c r="AJ193" s="5">
        <f t="shared" si="204"/>
        <v>1310</v>
      </c>
      <c r="AK193" s="29" t="s">
        <v>42</v>
      </c>
      <c r="AL193" s="105" t="str">
        <f>+AK193</f>
        <v>C0</v>
      </c>
    </row>
    <row r="194" spans="1:38" s="6" customFormat="1" ht="15" customHeight="1" x14ac:dyDescent="0.2">
      <c r="A194" s="29" t="s">
        <v>824</v>
      </c>
      <c r="B194" s="29" t="s">
        <v>822</v>
      </c>
      <c r="C194" s="29" t="s">
        <v>823</v>
      </c>
      <c r="D194" s="2" t="s">
        <v>800</v>
      </c>
      <c r="E194" s="2"/>
      <c r="F194" s="2"/>
      <c r="G194" s="2"/>
      <c r="H194" s="2"/>
      <c r="I194" s="3" t="s">
        <v>1718</v>
      </c>
      <c r="J194" s="28"/>
      <c r="K194" s="28" t="s">
        <v>1767</v>
      </c>
      <c r="L194" s="41" t="s">
        <v>1059</v>
      </c>
      <c r="M194" s="7" t="s">
        <v>3</v>
      </c>
      <c r="N194" s="15">
        <v>38423281</v>
      </c>
      <c r="O194" s="88" t="s">
        <v>1547</v>
      </c>
      <c r="P194" s="38">
        <v>34535</v>
      </c>
      <c r="Q194" s="38"/>
      <c r="R194" s="38"/>
      <c r="S194" s="38"/>
      <c r="T194" s="38"/>
      <c r="U194" s="17" t="s">
        <v>215</v>
      </c>
      <c r="V194" s="16" t="s">
        <v>915</v>
      </c>
      <c r="W194" s="12"/>
      <c r="X194" s="12"/>
      <c r="Y194" s="12">
        <v>42735</v>
      </c>
      <c r="Z194" s="2"/>
      <c r="AA194" s="2" t="s">
        <v>479</v>
      </c>
      <c r="AB194" s="3"/>
      <c r="AC194" s="5"/>
      <c r="AD194" s="5">
        <v>1070</v>
      </c>
      <c r="AE194" s="5">
        <v>1170</v>
      </c>
      <c r="AF194" s="5">
        <f t="shared" si="158"/>
        <v>0</v>
      </c>
      <c r="AG194" s="5">
        <f t="shared" ref="AG194:AH198" si="205">+AF194</f>
        <v>0</v>
      </c>
      <c r="AH194" s="5">
        <f t="shared" si="205"/>
        <v>0</v>
      </c>
      <c r="AI194" s="5">
        <f t="shared" ref="AI194:AJ194" si="206">+AH194</f>
        <v>0</v>
      </c>
      <c r="AJ194" s="5">
        <f t="shared" si="206"/>
        <v>0</v>
      </c>
      <c r="AK194" s="29" t="s">
        <v>42</v>
      </c>
      <c r="AL194" s="105" t="str">
        <f>+AK194</f>
        <v>C0</v>
      </c>
    </row>
    <row r="195" spans="1:38" s="6" customFormat="1" ht="15" customHeight="1" x14ac:dyDescent="0.2">
      <c r="A195" s="29" t="s">
        <v>824</v>
      </c>
      <c r="B195" s="2" t="s">
        <v>822</v>
      </c>
      <c r="C195" s="3"/>
      <c r="D195" s="2" t="s">
        <v>825</v>
      </c>
      <c r="E195" s="3" t="s">
        <v>18</v>
      </c>
      <c r="F195" s="2" t="s">
        <v>19</v>
      </c>
      <c r="G195" s="2"/>
      <c r="H195" s="2" t="s">
        <v>20</v>
      </c>
      <c r="I195" s="2" t="s">
        <v>1760</v>
      </c>
      <c r="J195" s="28" t="s">
        <v>548</v>
      </c>
      <c r="K195" s="28" t="s">
        <v>548</v>
      </c>
      <c r="L195" s="44" t="s">
        <v>976</v>
      </c>
      <c r="M195" s="7" t="s">
        <v>3</v>
      </c>
      <c r="N195" s="47">
        <v>33305513</v>
      </c>
      <c r="O195" s="88" t="s">
        <v>1443</v>
      </c>
      <c r="P195" s="38">
        <v>31999</v>
      </c>
      <c r="Q195" s="38"/>
      <c r="R195" s="38"/>
      <c r="S195" s="38"/>
      <c r="T195" s="38"/>
      <c r="U195" s="17" t="s">
        <v>215</v>
      </c>
      <c r="V195" s="17" t="s">
        <v>915</v>
      </c>
      <c r="W195" s="12">
        <v>41030</v>
      </c>
      <c r="X195" s="12"/>
      <c r="Y195" s="12">
        <v>42735</v>
      </c>
      <c r="Z195" s="2"/>
      <c r="AA195" s="2" t="s">
        <v>479</v>
      </c>
      <c r="AB195" s="7"/>
      <c r="AC195" s="5">
        <v>1000</v>
      </c>
      <c r="AD195" s="5">
        <f>+AC195</f>
        <v>1000</v>
      </c>
      <c r="AE195" s="5">
        <v>1170</v>
      </c>
      <c r="AF195" s="5">
        <f t="shared" si="158"/>
        <v>1310</v>
      </c>
      <c r="AG195" s="5">
        <f t="shared" si="205"/>
        <v>1310</v>
      </c>
      <c r="AH195" s="5">
        <f t="shared" si="205"/>
        <v>1310</v>
      </c>
      <c r="AI195" s="5">
        <f t="shared" ref="AI195:AJ195" si="207">+AH195</f>
        <v>1310</v>
      </c>
      <c r="AJ195" s="5">
        <f t="shared" si="207"/>
        <v>1310</v>
      </c>
      <c r="AK195" s="2"/>
      <c r="AL195" s="106"/>
    </row>
    <row r="196" spans="1:38" s="6" customFormat="1" ht="15" customHeight="1" x14ac:dyDescent="0.2">
      <c r="A196" s="29" t="s">
        <v>824</v>
      </c>
      <c r="B196" s="29" t="s">
        <v>822</v>
      </c>
      <c r="C196" s="29" t="s">
        <v>823</v>
      </c>
      <c r="D196" s="2" t="s">
        <v>808</v>
      </c>
      <c r="E196" s="2" t="s">
        <v>11</v>
      </c>
      <c r="F196" s="2" t="s">
        <v>218</v>
      </c>
      <c r="G196" s="2"/>
      <c r="H196" s="2"/>
      <c r="I196" s="2" t="s">
        <v>1707</v>
      </c>
      <c r="J196" s="28"/>
      <c r="K196" s="28" t="s">
        <v>1765</v>
      </c>
      <c r="L196" s="44" t="s">
        <v>1075</v>
      </c>
      <c r="M196" s="7" t="s">
        <v>3</v>
      </c>
      <c r="N196" s="15">
        <v>23470508</v>
      </c>
      <c r="O196" s="88">
        <v>20234705084</v>
      </c>
      <c r="P196" s="38">
        <v>26895</v>
      </c>
      <c r="Q196" s="38"/>
      <c r="R196" s="38"/>
      <c r="S196" s="38"/>
      <c r="T196" s="38"/>
      <c r="U196" s="17" t="s">
        <v>215</v>
      </c>
      <c r="V196" s="17" t="s">
        <v>915</v>
      </c>
      <c r="W196" s="12">
        <v>42505</v>
      </c>
      <c r="X196" s="12"/>
      <c r="Y196" s="12">
        <v>42735</v>
      </c>
      <c r="Z196" s="2"/>
      <c r="AA196" s="2" t="s">
        <v>479</v>
      </c>
      <c r="AB196" s="7"/>
      <c r="AC196" s="5">
        <v>1000</v>
      </c>
      <c r="AD196" s="5">
        <f>+AC196*1.07</f>
        <v>1070</v>
      </c>
      <c r="AE196" s="5">
        <v>1170</v>
      </c>
      <c r="AF196" s="5">
        <f t="shared" si="158"/>
        <v>1310</v>
      </c>
      <c r="AG196" s="5">
        <f t="shared" si="205"/>
        <v>1310</v>
      </c>
      <c r="AH196" s="5">
        <f t="shared" si="205"/>
        <v>1310</v>
      </c>
      <c r="AI196" s="5">
        <f t="shared" ref="AI196:AJ196" si="208">+AH196</f>
        <v>1310</v>
      </c>
      <c r="AJ196" s="5">
        <f t="shared" si="208"/>
        <v>1310</v>
      </c>
      <c r="AK196" s="2" t="s">
        <v>53</v>
      </c>
      <c r="AL196" s="105" t="str">
        <f>+AK196</f>
        <v>B0</v>
      </c>
    </row>
    <row r="197" spans="1:38" s="6" customFormat="1" ht="15" customHeight="1" x14ac:dyDescent="0.2">
      <c r="A197" s="29" t="s">
        <v>824</v>
      </c>
      <c r="B197" s="2" t="s">
        <v>822</v>
      </c>
      <c r="C197" s="3"/>
      <c r="D197" s="2" t="s">
        <v>825</v>
      </c>
      <c r="E197" s="3" t="s">
        <v>18</v>
      </c>
      <c r="F197" s="2" t="s">
        <v>1012</v>
      </c>
      <c r="G197" s="2"/>
      <c r="H197" s="2" t="s">
        <v>37</v>
      </c>
      <c r="I197" s="2" t="s">
        <v>1707</v>
      </c>
      <c r="J197" s="28" t="s">
        <v>548</v>
      </c>
      <c r="K197" s="28" t="s">
        <v>548</v>
      </c>
      <c r="L197" s="44" t="s">
        <v>600</v>
      </c>
      <c r="M197" s="4" t="s">
        <v>3</v>
      </c>
      <c r="N197" s="15">
        <v>29721412</v>
      </c>
      <c r="O197" s="88" t="s">
        <v>1355</v>
      </c>
      <c r="P197" s="38">
        <v>30277</v>
      </c>
      <c r="Q197" s="38"/>
      <c r="R197" s="38"/>
      <c r="S197" s="38"/>
      <c r="T197" s="38"/>
      <c r="U197" s="17" t="s">
        <v>215</v>
      </c>
      <c r="V197" s="17" t="s">
        <v>915</v>
      </c>
      <c r="W197" s="12">
        <v>41015</v>
      </c>
      <c r="X197" s="13"/>
      <c r="Y197" s="12">
        <v>42735</v>
      </c>
      <c r="Z197" s="2"/>
      <c r="AA197" s="2" t="s">
        <v>479</v>
      </c>
      <c r="AB197" s="7" t="s">
        <v>787</v>
      </c>
      <c r="AC197" s="5">
        <v>1000</v>
      </c>
      <c r="AD197" s="5">
        <f>+AC197</f>
        <v>1000</v>
      </c>
      <c r="AE197" s="5">
        <v>1170</v>
      </c>
      <c r="AF197" s="5">
        <f t="shared" si="158"/>
        <v>1310</v>
      </c>
      <c r="AG197" s="5">
        <f t="shared" si="205"/>
        <v>1310</v>
      </c>
      <c r="AH197" s="5">
        <f t="shared" si="205"/>
        <v>1310</v>
      </c>
      <c r="AI197" s="5">
        <f t="shared" ref="AI197:AJ197" si="209">+AH197</f>
        <v>1310</v>
      </c>
      <c r="AJ197" s="5">
        <f t="shared" si="209"/>
        <v>1310</v>
      </c>
      <c r="AK197" s="2"/>
      <c r="AL197" s="106"/>
    </row>
    <row r="198" spans="1:38" s="6" customFormat="1" ht="15" customHeight="1" x14ac:dyDescent="0.2">
      <c r="A198" s="29" t="s">
        <v>824</v>
      </c>
      <c r="B198" s="29" t="s">
        <v>822</v>
      </c>
      <c r="C198" s="29" t="s">
        <v>823</v>
      </c>
      <c r="D198" s="2" t="s">
        <v>800</v>
      </c>
      <c r="E198" s="2" t="s">
        <v>484</v>
      </c>
      <c r="F198" s="2"/>
      <c r="G198" s="2"/>
      <c r="H198" s="2" t="s">
        <v>1707</v>
      </c>
      <c r="I198" s="2"/>
      <c r="J198" s="28" t="s">
        <v>254</v>
      </c>
      <c r="K198" s="28"/>
      <c r="L198" s="42" t="s">
        <v>272</v>
      </c>
      <c r="M198" s="4" t="s">
        <v>3</v>
      </c>
      <c r="N198" s="15">
        <v>36702151</v>
      </c>
      <c r="O198" s="88">
        <v>27367021514</v>
      </c>
      <c r="P198" s="38"/>
      <c r="Q198" s="38"/>
      <c r="R198" s="38"/>
      <c r="S198" s="38"/>
      <c r="T198" s="38"/>
      <c r="U198" s="16" t="s">
        <v>796</v>
      </c>
      <c r="V198" s="16" t="s">
        <v>916</v>
      </c>
      <c r="W198" s="12">
        <v>40483</v>
      </c>
      <c r="X198" s="48">
        <v>42735</v>
      </c>
      <c r="Y198" s="12">
        <v>42735</v>
      </c>
      <c r="Z198" s="2" t="s">
        <v>17</v>
      </c>
      <c r="AA198" s="2"/>
      <c r="AB198" s="18"/>
      <c r="AC198" s="5">
        <v>1000</v>
      </c>
      <c r="AD198" s="5"/>
      <c r="AE198" s="5">
        <v>1170</v>
      </c>
      <c r="AF198" s="5">
        <f t="shared" si="158"/>
        <v>1310</v>
      </c>
      <c r="AG198" s="5">
        <f t="shared" si="205"/>
        <v>1310</v>
      </c>
      <c r="AH198" s="5">
        <f t="shared" si="205"/>
        <v>1310</v>
      </c>
      <c r="AI198" s="5">
        <f t="shared" ref="AI198:AJ198" si="210">+AH198</f>
        <v>1310</v>
      </c>
      <c r="AJ198" s="5">
        <f t="shared" si="210"/>
        <v>1310</v>
      </c>
      <c r="AK198" s="2"/>
      <c r="AL198" s="105" t="str">
        <f>+Z198</f>
        <v>C1</v>
      </c>
    </row>
    <row r="199" spans="1:38" s="6" customFormat="1" ht="15" customHeight="1" x14ac:dyDescent="0.2">
      <c r="A199" s="29" t="s">
        <v>824</v>
      </c>
      <c r="B199" s="29" t="s">
        <v>822</v>
      </c>
      <c r="C199" s="29" t="s">
        <v>823</v>
      </c>
      <c r="D199" s="2" t="s">
        <v>808</v>
      </c>
      <c r="E199" s="2" t="s">
        <v>503</v>
      </c>
      <c r="F199" s="2"/>
      <c r="G199" s="3"/>
      <c r="H199" s="2"/>
      <c r="I199" s="2" t="s">
        <v>1726</v>
      </c>
      <c r="J199" s="28"/>
      <c r="K199" s="28" t="s">
        <v>1765</v>
      </c>
      <c r="L199" s="41" t="s">
        <v>1625</v>
      </c>
      <c r="M199" s="7" t="s">
        <v>3</v>
      </c>
      <c r="N199" s="15">
        <v>27627728</v>
      </c>
      <c r="O199" s="88">
        <v>20276277281</v>
      </c>
      <c r="P199" s="38">
        <v>29089</v>
      </c>
      <c r="Q199" s="38"/>
      <c r="R199" s="38"/>
      <c r="S199" s="38"/>
      <c r="T199" s="38"/>
      <c r="U199" s="17" t="s">
        <v>215</v>
      </c>
      <c r="V199" s="17" t="s">
        <v>915</v>
      </c>
      <c r="W199" s="12">
        <v>42552</v>
      </c>
      <c r="X199" s="48"/>
      <c r="Y199" s="48">
        <v>42613</v>
      </c>
      <c r="Z199" s="2"/>
      <c r="AA199" s="2" t="s">
        <v>479</v>
      </c>
      <c r="AB199" s="3"/>
      <c r="AC199" s="5"/>
      <c r="AD199" s="5"/>
      <c r="AE199" s="5">
        <v>1170</v>
      </c>
      <c r="AF199" s="5">
        <f t="shared" si="158"/>
        <v>0</v>
      </c>
      <c r="AG199" s="5"/>
      <c r="AH199" s="5"/>
      <c r="AI199" s="5">
        <f t="shared" ref="AI199:AJ199" si="211">+AH199</f>
        <v>0</v>
      </c>
      <c r="AJ199" s="5">
        <f t="shared" si="211"/>
        <v>0</v>
      </c>
      <c r="AK199" s="2"/>
      <c r="AL199" s="105"/>
    </row>
    <row r="200" spans="1:38" s="6" customFormat="1" ht="15" customHeight="1" x14ac:dyDescent="0.2">
      <c r="A200" s="29" t="s">
        <v>824</v>
      </c>
      <c r="B200" s="29" t="s">
        <v>822</v>
      </c>
      <c r="C200" s="29" t="s">
        <v>823</v>
      </c>
      <c r="D200" s="2" t="s">
        <v>808</v>
      </c>
      <c r="E200" s="2" t="s">
        <v>909</v>
      </c>
      <c r="F200" s="2" t="s">
        <v>23</v>
      </c>
      <c r="G200" s="3" t="s">
        <v>523</v>
      </c>
      <c r="H200" s="2" t="s">
        <v>223</v>
      </c>
      <c r="I200" s="2" t="s">
        <v>223</v>
      </c>
      <c r="J200" s="28" t="s">
        <v>73</v>
      </c>
      <c r="K200" s="28" t="s">
        <v>1765</v>
      </c>
      <c r="L200" s="43" t="s">
        <v>103</v>
      </c>
      <c r="M200" s="4" t="s">
        <v>3</v>
      </c>
      <c r="N200" s="15">
        <v>36948427</v>
      </c>
      <c r="O200" s="88" t="s">
        <v>1520</v>
      </c>
      <c r="P200" s="38">
        <v>33863</v>
      </c>
      <c r="Q200" s="38"/>
      <c r="R200" s="38"/>
      <c r="S200" s="38"/>
      <c r="T200" s="38"/>
      <c r="U200" s="17" t="s">
        <v>215</v>
      </c>
      <c r="V200" s="17" t="s">
        <v>915</v>
      </c>
      <c r="W200" s="12">
        <v>42217</v>
      </c>
      <c r="X200" s="13"/>
      <c r="Y200" s="12">
        <v>42735</v>
      </c>
      <c r="Z200" s="2"/>
      <c r="AA200" s="2" t="s">
        <v>479</v>
      </c>
      <c r="AB200" s="7" t="s">
        <v>61</v>
      </c>
      <c r="AC200" s="5">
        <v>1000</v>
      </c>
      <c r="AD200" s="5">
        <f>+AC200*1.07</f>
        <v>1070</v>
      </c>
      <c r="AE200" s="5">
        <v>1170</v>
      </c>
      <c r="AF200" s="5">
        <f t="shared" si="158"/>
        <v>1310</v>
      </c>
      <c r="AG200" s="5">
        <f t="shared" ref="AG200:AH218" si="212">+AF200</f>
        <v>1310</v>
      </c>
      <c r="AH200" s="5">
        <f t="shared" si="212"/>
        <v>1310</v>
      </c>
      <c r="AI200" s="5">
        <f t="shared" ref="AI200:AJ200" si="213">+AH200</f>
        <v>1310</v>
      </c>
      <c r="AJ200" s="5">
        <f t="shared" si="213"/>
        <v>1310</v>
      </c>
      <c r="AK200" s="29" t="s">
        <v>42</v>
      </c>
      <c r="AL200" s="105" t="str">
        <f>+AK200</f>
        <v>C0</v>
      </c>
    </row>
    <row r="201" spans="1:38" s="6" customFormat="1" ht="15" customHeight="1" x14ac:dyDescent="0.2">
      <c r="A201" s="29" t="s">
        <v>824</v>
      </c>
      <c r="B201" s="29" t="s">
        <v>822</v>
      </c>
      <c r="C201" s="29" t="s">
        <v>823</v>
      </c>
      <c r="D201" s="2" t="s">
        <v>800</v>
      </c>
      <c r="E201" s="2" t="s">
        <v>487</v>
      </c>
      <c r="F201" s="2"/>
      <c r="G201" s="2"/>
      <c r="H201" s="2" t="s">
        <v>1711</v>
      </c>
      <c r="I201" s="3" t="s">
        <v>1733</v>
      </c>
      <c r="J201" s="28" t="s">
        <v>254</v>
      </c>
      <c r="K201" s="28" t="s">
        <v>1767</v>
      </c>
      <c r="L201" s="42" t="s">
        <v>324</v>
      </c>
      <c r="M201" s="4" t="s">
        <v>3</v>
      </c>
      <c r="N201" s="15">
        <v>29582611</v>
      </c>
      <c r="O201" s="88" t="s">
        <v>1352</v>
      </c>
      <c r="P201" s="38">
        <v>30112</v>
      </c>
      <c r="Q201" s="38"/>
      <c r="R201" s="38"/>
      <c r="S201" s="38"/>
      <c r="T201" s="38"/>
      <c r="U201" s="17" t="s">
        <v>215</v>
      </c>
      <c r="V201" s="17" t="s">
        <v>915</v>
      </c>
      <c r="W201" s="12">
        <v>42186</v>
      </c>
      <c r="X201" s="13"/>
      <c r="Y201" s="12">
        <v>42735</v>
      </c>
      <c r="Z201" s="2"/>
      <c r="AA201" s="2" t="s">
        <v>479</v>
      </c>
      <c r="AB201" s="24" t="s">
        <v>479</v>
      </c>
      <c r="AC201" s="5">
        <v>1000</v>
      </c>
      <c r="AD201" s="5">
        <v>1070</v>
      </c>
      <c r="AE201" s="5">
        <v>1170</v>
      </c>
      <c r="AF201" s="5">
        <f t="shared" si="158"/>
        <v>1310</v>
      </c>
      <c r="AG201" s="5">
        <f t="shared" si="212"/>
        <v>1310</v>
      </c>
      <c r="AH201" s="5">
        <f t="shared" si="212"/>
        <v>1310</v>
      </c>
      <c r="AI201" s="5">
        <f t="shared" ref="AI201:AJ201" si="214">+AH201</f>
        <v>1310</v>
      </c>
      <c r="AJ201" s="5">
        <f t="shared" si="214"/>
        <v>1310</v>
      </c>
      <c r="AK201" s="2" t="s">
        <v>53</v>
      </c>
      <c r="AL201" s="105" t="str">
        <f>+AK201</f>
        <v>B0</v>
      </c>
    </row>
    <row r="202" spans="1:38" s="6" customFormat="1" ht="15" customHeight="1" x14ac:dyDescent="0.2">
      <c r="A202" s="29" t="s">
        <v>824</v>
      </c>
      <c r="B202" s="29" t="s">
        <v>822</v>
      </c>
      <c r="C202" s="29" t="s">
        <v>823</v>
      </c>
      <c r="D202" s="2" t="s">
        <v>808</v>
      </c>
      <c r="E202" s="2" t="s">
        <v>909</v>
      </c>
      <c r="F202" s="2" t="s">
        <v>500</v>
      </c>
      <c r="G202" s="3" t="s">
        <v>519</v>
      </c>
      <c r="H202" s="2" t="s">
        <v>233</v>
      </c>
      <c r="I202" s="2" t="s">
        <v>233</v>
      </c>
      <c r="J202" s="28" t="s">
        <v>73</v>
      </c>
      <c r="K202" s="28" t="s">
        <v>1765</v>
      </c>
      <c r="L202" s="43" t="s">
        <v>104</v>
      </c>
      <c r="M202" s="4" t="s">
        <v>3</v>
      </c>
      <c r="N202" s="50">
        <v>23490897</v>
      </c>
      <c r="O202" s="88">
        <v>20234908972</v>
      </c>
      <c r="P202" s="38">
        <v>33008</v>
      </c>
      <c r="Q202" s="38"/>
      <c r="R202" s="38"/>
      <c r="S202" s="38"/>
      <c r="T202" s="38"/>
      <c r="U202" s="17" t="s">
        <v>215</v>
      </c>
      <c r="V202" s="17" t="s">
        <v>915</v>
      </c>
      <c r="W202" s="12">
        <v>42188</v>
      </c>
      <c r="X202" s="13"/>
      <c r="Y202" s="12">
        <v>42735</v>
      </c>
      <c r="Z202" s="2"/>
      <c r="AA202" s="2" t="s">
        <v>479</v>
      </c>
      <c r="AB202" s="7" t="s">
        <v>61</v>
      </c>
      <c r="AC202" s="5">
        <v>1000</v>
      </c>
      <c r="AD202" s="5">
        <f>+AC202*1.07</f>
        <v>1070</v>
      </c>
      <c r="AE202" s="5">
        <v>1170</v>
      </c>
      <c r="AF202" s="5">
        <f t="shared" si="158"/>
        <v>1310</v>
      </c>
      <c r="AG202" s="5">
        <f t="shared" si="212"/>
        <v>1310</v>
      </c>
      <c r="AH202" s="5">
        <f t="shared" si="212"/>
        <v>1310</v>
      </c>
      <c r="AI202" s="5">
        <f t="shared" ref="AI202:AJ202" si="215">+AH202</f>
        <v>1310</v>
      </c>
      <c r="AJ202" s="5">
        <f t="shared" si="215"/>
        <v>1310</v>
      </c>
      <c r="AK202" s="29" t="s">
        <v>42</v>
      </c>
      <c r="AL202" s="105" t="str">
        <f>+AK202</f>
        <v>C0</v>
      </c>
    </row>
    <row r="203" spans="1:38" s="6" customFormat="1" ht="15" customHeight="1" x14ac:dyDescent="0.2">
      <c r="A203" s="29" t="s">
        <v>824</v>
      </c>
      <c r="B203" s="29" t="s">
        <v>822</v>
      </c>
      <c r="C203" s="29" t="s">
        <v>823</v>
      </c>
      <c r="D203" s="2" t="s">
        <v>800</v>
      </c>
      <c r="E203" s="2" t="s">
        <v>489</v>
      </c>
      <c r="F203" s="2"/>
      <c r="G203" s="2"/>
      <c r="H203" s="2"/>
      <c r="I203" s="3" t="s">
        <v>1715</v>
      </c>
      <c r="J203" s="28" t="s">
        <v>73</v>
      </c>
      <c r="K203" s="28" t="s">
        <v>1765</v>
      </c>
      <c r="L203" s="42" t="s">
        <v>357</v>
      </c>
      <c r="M203" s="4" t="s">
        <v>3</v>
      </c>
      <c r="N203" s="15">
        <v>13165661</v>
      </c>
      <c r="O203" s="88" t="s">
        <v>1156</v>
      </c>
      <c r="P203" s="38">
        <v>20917</v>
      </c>
      <c r="Q203" s="38"/>
      <c r="R203" s="38"/>
      <c r="S203" s="38"/>
      <c r="T203" s="38"/>
      <c r="U203" s="17" t="s">
        <v>215</v>
      </c>
      <c r="V203" s="17" t="s">
        <v>915</v>
      </c>
      <c r="W203" s="12">
        <v>41456</v>
      </c>
      <c r="X203" s="13"/>
      <c r="Y203" s="12">
        <v>42735</v>
      </c>
      <c r="Z203" s="2"/>
      <c r="AA203" s="2" t="s">
        <v>479</v>
      </c>
      <c r="AB203" s="24" t="s">
        <v>479</v>
      </c>
      <c r="AC203" s="5">
        <v>1000</v>
      </c>
      <c r="AD203" s="5">
        <v>1070</v>
      </c>
      <c r="AE203" s="5">
        <v>1170</v>
      </c>
      <c r="AF203" s="5">
        <f t="shared" si="158"/>
        <v>1310</v>
      </c>
      <c r="AG203" s="5">
        <f t="shared" si="212"/>
        <v>1310</v>
      </c>
      <c r="AH203" s="5">
        <f t="shared" si="212"/>
        <v>1310</v>
      </c>
      <c r="AI203" s="5">
        <f t="shared" ref="AI203:AJ203" si="216">+AH203</f>
        <v>1310</v>
      </c>
      <c r="AJ203" s="5">
        <f t="shared" si="216"/>
        <v>1310</v>
      </c>
      <c r="AK203" s="29" t="s">
        <v>42</v>
      </c>
      <c r="AL203" s="105" t="str">
        <f>+AK203</f>
        <v>C0</v>
      </c>
    </row>
    <row r="204" spans="1:38" s="6" customFormat="1" ht="15" customHeight="1" x14ac:dyDescent="0.2">
      <c r="A204" s="29" t="s">
        <v>824</v>
      </c>
      <c r="B204" s="2" t="s">
        <v>822</v>
      </c>
      <c r="C204" s="29"/>
      <c r="D204" s="2" t="s">
        <v>825</v>
      </c>
      <c r="E204" s="3" t="s">
        <v>8</v>
      </c>
      <c r="F204" s="2" t="s">
        <v>913</v>
      </c>
      <c r="G204" s="2"/>
      <c r="H204" s="2" t="s">
        <v>57</v>
      </c>
      <c r="I204" s="2" t="s">
        <v>13</v>
      </c>
      <c r="J204" s="28" t="s">
        <v>549</v>
      </c>
      <c r="K204" s="28" t="s">
        <v>549</v>
      </c>
      <c r="L204" s="41" t="s">
        <v>601</v>
      </c>
      <c r="M204" s="4" t="s">
        <v>3</v>
      </c>
      <c r="N204" s="15">
        <v>25287129</v>
      </c>
      <c r="O204" s="88">
        <v>20252871293</v>
      </c>
      <c r="P204" s="38">
        <v>27956</v>
      </c>
      <c r="Q204" s="38"/>
      <c r="R204" s="38"/>
      <c r="S204" s="38"/>
      <c r="T204" s="38"/>
      <c r="U204" s="17" t="s">
        <v>215</v>
      </c>
      <c r="V204" s="17" t="s">
        <v>915</v>
      </c>
      <c r="W204" s="12">
        <v>42248</v>
      </c>
      <c r="X204" s="13"/>
      <c r="Y204" s="12">
        <v>42735</v>
      </c>
      <c r="Z204" s="2"/>
      <c r="AA204" s="2" t="s">
        <v>479</v>
      </c>
      <c r="AB204" s="3" t="s">
        <v>10</v>
      </c>
      <c r="AC204" s="5">
        <v>1000</v>
      </c>
      <c r="AD204" s="5">
        <f>+AC204*1.07</f>
        <v>1070</v>
      </c>
      <c r="AE204" s="5">
        <v>1170</v>
      </c>
      <c r="AF204" s="5">
        <f t="shared" si="158"/>
        <v>1310</v>
      </c>
      <c r="AG204" s="5">
        <f t="shared" si="212"/>
        <v>1310</v>
      </c>
      <c r="AH204" s="5">
        <f t="shared" si="212"/>
        <v>1310</v>
      </c>
      <c r="AI204" s="5">
        <f t="shared" ref="AI204:AJ204" si="217">+AH204</f>
        <v>1310</v>
      </c>
      <c r="AJ204" s="5">
        <f t="shared" si="217"/>
        <v>1310</v>
      </c>
      <c r="AK204" s="2" t="s">
        <v>1815</v>
      </c>
      <c r="AL204" s="106"/>
    </row>
    <row r="205" spans="1:38" s="6" customFormat="1" ht="15" customHeight="1" x14ac:dyDescent="0.2">
      <c r="A205" s="29" t="s">
        <v>824</v>
      </c>
      <c r="B205" s="2" t="s">
        <v>822</v>
      </c>
      <c r="C205" s="3"/>
      <c r="D205" s="2" t="s">
        <v>825</v>
      </c>
      <c r="E205" s="3" t="s">
        <v>18</v>
      </c>
      <c r="F205" s="2" t="s">
        <v>19</v>
      </c>
      <c r="G205" s="2"/>
      <c r="H205" s="2" t="s">
        <v>36</v>
      </c>
      <c r="I205" s="2" t="s">
        <v>1707</v>
      </c>
      <c r="J205" s="28" t="s">
        <v>548</v>
      </c>
      <c r="K205" s="28" t="s">
        <v>548</v>
      </c>
      <c r="L205" s="44" t="s">
        <v>602</v>
      </c>
      <c r="M205" s="4" t="s">
        <v>3</v>
      </c>
      <c r="N205" s="15">
        <v>25325251</v>
      </c>
      <c r="O205" s="88" t="s">
        <v>1264</v>
      </c>
      <c r="P205" s="38">
        <v>27962</v>
      </c>
      <c r="Q205" s="38"/>
      <c r="R205" s="38"/>
      <c r="S205" s="38"/>
      <c r="T205" s="38"/>
      <c r="U205" s="17" t="s">
        <v>215</v>
      </c>
      <c r="V205" s="17" t="s">
        <v>915</v>
      </c>
      <c r="W205" s="12">
        <v>41334</v>
      </c>
      <c r="X205" s="13"/>
      <c r="Y205" s="12">
        <v>42735</v>
      </c>
      <c r="Z205" s="2"/>
      <c r="AA205" s="2" t="s">
        <v>479</v>
      </c>
      <c r="AB205" s="7" t="s">
        <v>787</v>
      </c>
      <c r="AC205" s="5">
        <v>1000</v>
      </c>
      <c r="AD205" s="5">
        <f>+AC205</f>
        <v>1000</v>
      </c>
      <c r="AE205" s="5">
        <v>1170</v>
      </c>
      <c r="AF205" s="5">
        <f t="shared" si="158"/>
        <v>1310</v>
      </c>
      <c r="AG205" s="5">
        <f t="shared" si="212"/>
        <v>1310</v>
      </c>
      <c r="AH205" s="5">
        <f t="shared" si="212"/>
        <v>1310</v>
      </c>
      <c r="AI205" s="5">
        <f t="shared" ref="AI205:AJ205" si="218">+AH205</f>
        <v>1310</v>
      </c>
      <c r="AJ205" s="5">
        <f t="shared" si="218"/>
        <v>1310</v>
      </c>
      <c r="AK205" s="2"/>
      <c r="AL205" s="106"/>
    </row>
    <row r="206" spans="1:38" s="6" customFormat="1" ht="15" customHeight="1" x14ac:dyDescent="0.2">
      <c r="A206" s="29" t="s">
        <v>824</v>
      </c>
      <c r="B206" s="29" t="s">
        <v>822</v>
      </c>
      <c r="C206" s="29" t="s">
        <v>823</v>
      </c>
      <c r="D206" s="2" t="s">
        <v>808</v>
      </c>
      <c r="E206" s="2" t="s">
        <v>517</v>
      </c>
      <c r="F206" s="2"/>
      <c r="G206" s="2"/>
      <c r="H206" s="2"/>
      <c r="I206" s="3"/>
      <c r="J206" s="28" t="s">
        <v>254</v>
      </c>
      <c r="K206" s="28"/>
      <c r="L206" s="42" t="s">
        <v>290</v>
      </c>
      <c r="M206" s="4" t="s">
        <v>3</v>
      </c>
      <c r="N206" s="15">
        <v>22885684</v>
      </c>
      <c r="O206" s="88">
        <v>20228856844</v>
      </c>
      <c r="P206" s="38"/>
      <c r="Q206" s="38"/>
      <c r="R206" s="38"/>
      <c r="S206" s="38"/>
      <c r="T206" s="38"/>
      <c r="U206" s="16" t="s">
        <v>796</v>
      </c>
      <c r="V206" s="16" t="s">
        <v>916</v>
      </c>
      <c r="W206" s="12">
        <v>40725</v>
      </c>
      <c r="X206" s="48">
        <v>42735</v>
      </c>
      <c r="Y206" s="12">
        <v>42735</v>
      </c>
      <c r="Z206" s="2" t="s">
        <v>42</v>
      </c>
      <c r="AA206" s="2"/>
      <c r="AB206" s="18"/>
      <c r="AC206" s="5">
        <v>1000</v>
      </c>
      <c r="AD206" s="5"/>
      <c r="AE206" s="5">
        <v>1170</v>
      </c>
      <c r="AF206" s="5">
        <f t="shared" si="158"/>
        <v>1310</v>
      </c>
      <c r="AG206" s="5">
        <f t="shared" si="212"/>
        <v>1310</v>
      </c>
      <c r="AH206" s="5">
        <f t="shared" si="212"/>
        <v>1310</v>
      </c>
      <c r="AI206" s="5">
        <f t="shared" ref="AI206:AJ206" si="219">+AH206</f>
        <v>1310</v>
      </c>
      <c r="AJ206" s="5">
        <f t="shared" si="219"/>
        <v>1310</v>
      </c>
      <c r="AK206" s="2"/>
      <c r="AL206" s="105" t="str">
        <f>+Z206</f>
        <v>C0</v>
      </c>
    </row>
    <row r="207" spans="1:38" s="6" customFormat="1" ht="15" customHeight="1" x14ac:dyDescent="0.2">
      <c r="A207" s="29" t="s">
        <v>824</v>
      </c>
      <c r="B207" s="2" t="s">
        <v>822</v>
      </c>
      <c r="C207" s="3"/>
      <c r="D207" s="2" t="s">
        <v>825</v>
      </c>
      <c r="E207" s="3" t="s">
        <v>18</v>
      </c>
      <c r="F207" s="2" t="s">
        <v>19</v>
      </c>
      <c r="G207" s="2"/>
      <c r="H207" s="2" t="s">
        <v>37</v>
      </c>
      <c r="I207" s="2" t="s">
        <v>1761</v>
      </c>
      <c r="J207" s="28" t="s">
        <v>548</v>
      </c>
      <c r="K207" s="28" t="s">
        <v>548</v>
      </c>
      <c r="L207" s="44" t="s">
        <v>603</v>
      </c>
      <c r="M207" s="4" t="s">
        <v>3</v>
      </c>
      <c r="N207" s="15">
        <v>30930552</v>
      </c>
      <c r="O207" s="88" t="s">
        <v>1381</v>
      </c>
      <c r="P207" s="38">
        <v>30783</v>
      </c>
      <c r="Q207" s="38"/>
      <c r="R207" s="38"/>
      <c r="S207" s="38"/>
      <c r="T207" s="38"/>
      <c r="U207" s="17" t="s">
        <v>215</v>
      </c>
      <c r="V207" s="17" t="s">
        <v>915</v>
      </c>
      <c r="W207" s="12">
        <v>41377</v>
      </c>
      <c r="X207" s="13"/>
      <c r="Y207" s="12">
        <v>42735</v>
      </c>
      <c r="Z207" s="2"/>
      <c r="AA207" s="2" t="s">
        <v>479</v>
      </c>
      <c r="AB207" s="7" t="s">
        <v>787</v>
      </c>
      <c r="AC207" s="5">
        <v>1000</v>
      </c>
      <c r="AD207" s="5">
        <f>+AC207</f>
        <v>1000</v>
      </c>
      <c r="AE207" s="5">
        <v>1170</v>
      </c>
      <c r="AF207" s="5">
        <f t="shared" si="158"/>
        <v>1310</v>
      </c>
      <c r="AG207" s="5">
        <f t="shared" si="212"/>
        <v>1310</v>
      </c>
      <c r="AH207" s="5">
        <f t="shared" si="212"/>
        <v>1310</v>
      </c>
      <c r="AI207" s="5">
        <f t="shared" ref="AI207:AJ207" si="220">+AH207</f>
        <v>1310</v>
      </c>
      <c r="AJ207" s="5">
        <f t="shared" si="220"/>
        <v>1310</v>
      </c>
      <c r="AK207" s="2"/>
      <c r="AL207" s="106"/>
    </row>
    <row r="208" spans="1:38" s="6" customFormat="1" ht="15" customHeight="1" x14ac:dyDescent="0.2">
      <c r="A208" s="29" t="s">
        <v>824</v>
      </c>
      <c r="B208" s="29" t="s">
        <v>822</v>
      </c>
      <c r="C208" s="29" t="s">
        <v>823</v>
      </c>
      <c r="D208" s="2" t="s">
        <v>808</v>
      </c>
      <c r="E208" s="2" t="s">
        <v>517</v>
      </c>
      <c r="F208" s="2"/>
      <c r="G208" s="2"/>
      <c r="H208" s="2"/>
      <c r="I208" s="3"/>
      <c r="J208" s="28" t="s">
        <v>73</v>
      </c>
      <c r="K208" s="28" t="s">
        <v>1765</v>
      </c>
      <c r="L208" s="42" t="s">
        <v>291</v>
      </c>
      <c r="M208" s="4" t="s">
        <v>3</v>
      </c>
      <c r="N208" s="15">
        <v>30862762</v>
      </c>
      <c r="O208" s="88">
        <v>20308627625</v>
      </c>
      <c r="P208" s="38"/>
      <c r="Q208" s="38"/>
      <c r="R208" s="38"/>
      <c r="S208" s="38"/>
      <c r="T208" s="38"/>
      <c r="U208" s="16" t="s">
        <v>796</v>
      </c>
      <c r="V208" s="16" t="s">
        <v>916</v>
      </c>
      <c r="W208" s="12">
        <v>41243</v>
      </c>
      <c r="X208" s="48">
        <v>42735</v>
      </c>
      <c r="Y208" s="12">
        <v>42735</v>
      </c>
      <c r="Z208" s="2" t="s">
        <v>24</v>
      </c>
      <c r="AA208" s="2"/>
      <c r="AB208" s="18"/>
      <c r="AC208" s="5">
        <v>1000</v>
      </c>
      <c r="AD208" s="5"/>
      <c r="AE208" s="5">
        <v>1170</v>
      </c>
      <c r="AF208" s="5">
        <f t="shared" si="158"/>
        <v>1310</v>
      </c>
      <c r="AG208" s="5">
        <f t="shared" si="212"/>
        <v>1310</v>
      </c>
      <c r="AH208" s="5">
        <f t="shared" si="212"/>
        <v>1310</v>
      </c>
      <c r="AI208" s="5">
        <f t="shared" ref="AI208:AJ208" si="221">+AH208</f>
        <v>1310</v>
      </c>
      <c r="AJ208" s="5">
        <f t="shared" si="221"/>
        <v>1310</v>
      </c>
      <c r="AK208" s="2"/>
      <c r="AL208" s="105" t="str">
        <f>+Z208</f>
        <v>D0</v>
      </c>
    </row>
    <row r="209" spans="1:38" s="6" customFormat="1" ht="15" customHeight="1" x14ac:dyDescent="0.2">
      <c r="A209" s="29" t="s">
        <v>824</v>
      </c>
      <c r="B209" s="29" t="s">
        <v>822</v>
      </c>
      <c r="C209" s="14"/>
      <c r="D209" s="2" t="s">
        <v>1106</v>
      </c>
      <c r="E209" s="2"/>
      <c r="F209" s="3"/>
      <c r="G209" s="3"/>
      <c r="H209" s="2" t="s">
        <v>1105</v>
      </c>
      <c r="I209" s="2" t="s">
        <v>1759</v>
      </c>
      <c r="J209" s="28"/>
      <c r="K209" s="28" t="s">
        <v>1765</v>
      </c>
      <c r="L209" s="41" t="s">
        <v>877</v>
      </c>
      <c r="M209" s="4" t="s">
        <v>3</v>
      </c>
      <c r="N209" s="15">
        <v>21588783</v>
      </c>
      <c r="O209" s="88">
        <v>27215887834</v>
      </c>
      <c r="P209" s="38">
        <v>25745</v>
      </c>
      <c r="Q209" s="38"/>
      <c r="R209" s="38"/>
      <c r="S209" s="38"/>
      <c r="T209" s="38"/>
      <c r="U209" s="17" t="s">
        <v>215</v>
      </c>
      <c r="V209" s="17" t="s">
        <v>915</v>
      </c>
      <c r="W209" s="12">
        <v>42370</v>
      </c>
      <c r="X209" s="48"/>
      <c r="Y209" s="12">
        <v>42735</v>
      </c>
      <c r="Z209" s="2"/>
      <c r="AA209" s="2" t="s">
        <v>479</v>
      </c>
      <c r="AB209" s="3" t="s">
        <v>10</v>
      </c>
      <c r="AC209" s="5">
        <v>1000</v>
      </c>
      <c r="AD209" s="5">
        <f>+AC209*1.07</f>
        <v>1070</v>
      </c>
      <c r="AE209" s="5">
        <v>1170</v>
      </c>
      <c r="AF209" s="5">
        <f t="shared" si="158"/>
        <v>1310</v>
      </c>
      <c r="AG209" s="5">
        <f t="shared" si="212"/>
        <v>1310</v>
      </c>
      <c r="AH209" s="5">
        <f t="shared" si="212"/>
        <v>1310</v>
      </c>
      <c r="AI209" s="5">
        <f t="shared" ref="AI209:AJ209" si="222">+AH209</f>
        <v>1310</v>
      </c>
      <c r="AJ209" s="5">
        <f t="shared" si="222"/>
        <v>1310</v>
      </c>
      <c r="AK209" s="2" t="s">
        <v>43</v>
      </c>
      <c r="AL209" s="105" t="str">
        <f>+AK209</f>
        <v>A0</v>
      </c>
    </row>
    <row r="210" spans="1:38" s="6" customFormat="1" ht="15" customHeight="1" x14ac:dyDescent="0.2">
      <c r="A210" s="29" t="s">
        <v>824</v>
      </c>
      <c r="B210" s="2" t="s">
        <v>822</v>
      </c>
      <c r="C210" s="14"/>
      <c r="D210" s="2" t="s">
        <v>1833</v>
      </c>
      <c r="E210" s="2"/>
      <c r="F210" s="3"/>
      <c r="G210" s="3"/>
      <c r="H210" s="2" t="s">
        <v>48</v>
      </c>
      <c r="I210" s="3"/>
      <c r="J210" s="28" t="s">
        <v>73</v>
      </c>
      <c r="K210" s="28"/>
      <c r="L210" s="42" t="s">
        <v>604</v>
      </c>
      <c r="M210" s="4" t="s">
        <v>3</v>
      </c>
      <c r="N210" s="15">
        <v>28792441</v>
      </c>
      <c r="O210" s="88">
        <v>20287924411</v>
      </c>
      <c r="P210" s="61"/>
      <c r="Q210" s="61"/>
      <c r="R210" s="61"/>
      <c r="S210" s="61"/>
      <c r="T210" s="61"/>
      <c r="U210" s="16" t="s">
        <v>796</v>
      </c>
      <c r="V210" s="16" t="s">
        <v>916</v>
      </c>
      <c r="W210" s="12">
        <v>42125</v>
      </c>
      <c r="X210" s="12">
        <v>42460</v>
      </c>
      <c r="Y210" s="12">
        <v>42735</v>
      </c>
      <c r="Z210" s="2" t="s">
        <v>53</v>
      </c>
      <c r="AA210" s="2"/>
      <c r="AB210" s="14"/>
      <c r="AC210" s="5">
        <v>1000</v>
      </c>
      <c r="AD210" s="5"/>
      <c r="AE210" s="5">
        <v>1170</v>
      </c>
      <c r="AF210" s="5">
        <f t="shared" si="158"/>
        <v>1310</v>
      </c>
      <c r="AG210" s="5">
        <f t="shared" si="212"/>
        <v>1310</v>
      </c>
      <c r="AH210" s="5">
        <f t="shared" si="212"/>
        <v>1310</v>
      </c>
      <c r="AI210" s="5">
        <f t="shared" ref="AI210:AJ210" si="223">+AH210</f>
        <v>1310</v>
      </c>
      <c r="AJ210" s="5">
        <f t="shared" si="223"/>
        <v>1310</v>
      </c>
      <c r="AK210" s="2"/>
      <c r="AL210" s="105" t="str">
        <f>+Z210</f>
        <v>B0</v>
      </c>
    </row>
    <row r="211" spans="1:38" s="6" customFormat="1" ht="15" customHeight="1" x14ac:dyDescent="0.2">
      <c r="A211" s="29" t="s">
        <v>824</v>
      </c>
      <c r="B211" s="29" t="s">
        <v>822</v>
      </c>
      <c r="C211" s="29" t="s">
        <v>823</v>
      </c>
      <c r="D211" s="2" t="s">
        <v>800</v>
      </c>
      <c r="E211" s="7" t="s">
        <v>541</v>
      </c>
      <c r="F211" s="7"/>
      <c r="G211" s="7"/>
      <c r="H211" s="8"/>
      <c r="I211" s="3" t="s">
        <v>1727</v>
      </c>
      <c r="J211" s="28" t="s">
        <v>254</v>
      </c>
      <c r="K211" s="28" t="s">
        <v>1767</v>
      </c>
      <c r="L211" s="42" t="s">
        <v>421</v>
      </c>
      <c r="M211" s="4" t="s">
        <v>3</v>
      </c>
      <c r="N211" s="15">
        <v>38854457</v>
      </c>
      <c r="O211" s="88" t="s">
        <v>1555</v>
      </c>
      <c r="P211" s="38">
        <v>34843</v>
      </c>
      <c r="Q211" s="38"/>
      <c r="R211" s="38"/>
      <c r="S211" s="38"/>
      <c r="T211" s="38"/>
      <c r="U211" s="17" t="s">
        <v>215</v>
      </c>
      <c r="V211" s="17" t="s">
        <v>915</v>
      </c>
      <c r="W211" s="12">
        <v>41487</v>
      </c>
      <c r="X211" s="13"/>
      <c r="Y211" s="12">
        <v>42735</v>
      </c>
      <c r="Z211" s="2"/>
      <c r="AA211" s="2" t="s">
        <v>479</v>
      </c>
      <c r="AB211" s="24" t="s">
        <v>479</v>
      </c>
      <c r="AC211" s="5">
        <v>1000</v>
      </c>
      <c r="AD211" s="5">
        <v>1070</v>
      </c>
      <c r="AE211" s="5">
        <v>1170</v>
      </c>
      <c r="AF211" s="5">
        <f t="shared" si="158"/>
        <v>1310</v>
      </c>
      <c r="AG211" s="5">
        <f t="shared" si="212"/>
        <v>1310</v>
      </c>
      <c r="AH211" s="5">
        <f t="shared" si="212"/>
        <v>1310</v>
      </c>
      <c r="AI211" s="5">
        <f t="shared" ref="AI211:AJ211" si="224">+AH211</f>
        <v>1310</v>
      </c>
      <c r="AJ211" s="5">
        <f t="shared" si="224"/>
        <v>1310</v>
      </c>
      <c r="AK211" s="29" t="s">
        <v>42</v>
      </c>
      <c r="AL211" s="105" t="str">
        <f>+AK211</f>
        <v>C0</v>
      </c>
    </row>
    <row r="212" spans="1:38" s="6" customFormat="1" ht="15" customHeight="1" x14ac:dyDescent="0.2">
      <c r="A212" s="29" t="s">
        <v>824</v>
      </c>
      <c r="B212" s="29"/>
      <c r="C212" s="14"/>
      <c r="D212" s="2" t="s">
        <v>820</v>
      </c>
      <c r="E212" s="2" t="s">
        <v>921</v>
      </c>
      <c r="F212" s="2" t="s">
        <v>31</v>
      </c>
      <c r="G212" s="3"/>
      <c r="H212" s="2" t="s">
        <v>231</v>
      </c>
      <c r="I212" s="2" t="s">
        <v>1707</v>
      </c>
      <c r="J212" s="28" t="s">
        <v>73</v>
      </c>
      <c r="K212" s="28" t="s">
        <v>1765</v>
      </c>
      <c r="L212" s="45" t="s">
        <v>58</v>
      </c>
      <c r="M212" s="4" t="s">
        <v>3</v>
      </c>
      <c r="N212" s="15">
        <v>27259209</v>
      </c>
      <c r="O212" s="88" t="s">
        <v>1310</v>
      </c>
      <c r="P212" s="38">
        <v>28964</v>
      </c>
      <c r="Q212" s="38"/>
      <c r="R212" s="38"/>
      <c r="S212" s="38"/>
      <c r="T212" s="38"/>
      <c r="U212" s="17" t="s">
        <v>215</v>
      </c>
      <c r="V212" s="17" t="s">
        <v>915</v>
      </c>
      <c r="W212" s="12">
        <v>42258</v>
      </c>
      <c r="X212" s="13"/>
      <c r="Y212" s="12">
        <v>42735</v>
      </c>
      <c r="Z212" s="2"/>
      <c r="AA212" s="2" t="s">
        <v>479</v>
      </c>
      <c r="AB212" s="7" t="s">
        <v>784</v>
      </c>
      <c r="AC212" s="5">
        <v>1000</v>
      </c>
      <c r="AD212" s="5">
        <f>+AC212*1.07</f>
        <v>1070</v>
      </c>
      <c r="AE212" s="5">
        <v>1170</v>
      </c>
      <c r="AF212" s="5">
        <f t="shared" si="158"/>
        <v>1310</v>
      </c>
      <c r="AG212" s="5">
        <f t="shared" si="212"/>
        <v>1310</v>
      </c>
      <c r="AH212" s="5">
        <f t="shared" si="212"/>
        <v>1310</v>
      </c>
      <c r="AI212" s="5">
        <f t="shared" ref="AI212:AJ212" si="225">+AH212</f>
        <v>1310</v>
      </c>
      <c r="AJ212" s="5">
        <f t="shared" si="225"/>
        <v>1310</v>
      </c>
      <c r="AK212" s="29" t="s">
        <v>42</v>
      </c>
      <c r="AL212" s="105" t="str">
        <f>+AK212</f>
        <v>C0</v>
      </c>
    </row>
    <row r="213" spans="1:38" s="6" customFormat="1" ht="15" customHeight="1" x14ac:dyDescent="0.2">
      <c r="A213" s="29" t="s">
        <v>824</v>
      </c>
      <c r="B213" s="2"/>
      <c r="C213" s="14"/>
      <c r="D213" s="2" t="s">
        <v>820</v>
      </c>
      <c r="E213" s="2" t="s">
        <v>818</v>
      </c>
      <c r="F213" s="2"/>
      <c r="G213" s="2"/>
      <c r="H213" s="2"/>
      <c r="I213" s="3"/>
      <c r="J213" s="28"/>
      <c r="K213" s="28"/>
      <c r="L213" s="41" t="s">
        <v>605</v>
      </c>
      <c r="M213" s="7" t="s">
        <v>3</v>
      </c>
      <c r="N213" s="47">
        <v>21915097</v>
      </c>
      <c r="O213" s="88">
        <v>20219150971</v>
      </c>
      <c r="P213" s="61"/>
      <c r="Q213" s="61"/>
      <c r="R213" s="61"/>
      <c r="S213" s="61"/>
      <c r="T213" s="61"/>
      <c r="U213" s="16" t="s">
        <v>796</v>
      </c>
      <c r="V213" s="16" t="s">
        <v>916</v>
      </c>
      <c r="W213" s="12">
        <v>42064</v>
      </c>
      <c r="X213" s="48">
        <v>42460</v>
      </c>
      <c r="Y213" s="12">
        <v>42735</v>
      </c>
      <c r="Z213" s="2" t="s">
        <v>30</v>
      </c>
      <c r="AA213" s="2"/>
      <c r="AB213" s="3"/>
      <c r="AC213" s="5">
        <v>1000</v>
      </c>
      <c r="AD213" s="5"/>
      <c r="AE213" s="5">
        <v>1170</v>
      </c>
      <c r="AF213" s="5">
        <f t="shared" si="158"/>
        <v>1310</v>
      </c>
      <c r="AG213" s="5">
        <f t="shared" si="212"/>
        <v>1310</v>
      </c>
      <c r="AH213" s="5">
        <f t="shared" si="212"/>
        <v>1310</v>
      </c>
      <c r="AI213" s="5">
        <f t="shared" ref="AI213:AJ213" si="226">+AH213</f>
        <v>1310</v>
      </c>
      <c r="AJ213" s="5">
        <f t="shared" si="226"/>
        <v>1310</v>
      </c>
      <c r="AK213" s="2"/>
      <c r="AL213" s="105" t="str">
        <f>+Z213</f>
        <v>B1</v>
      </c>
    </row>
    <row r="214" spans="1:38" s="6" customFormat="1" ht="15" customHeight="1" x14ac:dyDescent="0.2">
      <c r="A214" s="29" t="s">
        <v>824</v>
      </c>
      <c r="B214" s="29" t="s">
        <v>822</v>
      </c>
      <c r="C214" s="29" t="s">
        <v>823</v>
      </c>
      <c r="D214" s="2" t="s">
        <v>808</v>
      </c>
      <c r="E214" s="2" t="s">
        <v>216</v>
      </c>
      <c r="F214" s="3"/>
      <c r="G214" s="3"/>
      <c r="H214" s="2" t="s">
        <v>228</v>
      </c>
      <c r="I214" s="2" t="s">
        <v>225</v>
      </c>
      <c r="J214" s="28" t="s">
        <v>73</v>
      </c>
      <c r="K214" s="28" t="s">
        <v>1765</v>
      </c>
      <c r="L214" s="43" t="s">
        <v>105</v>
      </c>
      <c r="M214" s="4" t="s">
        <v>3</v>
      </c>
      <c r="N214" s="15">
        <v>35172281</v>
      </c>
      <c r="O214" s="88" t="s">
        <v>1488</v>
      </c>
      <c r="P214" s="38">
        <v>32973</v>
      </c>
      <c r="Q214" s="38"/>
      <c r="R214" s="38"/>
      <c r="S214" s="38"/>
      <c r="T214" s="38"/>
      <c r="U214" s="17" t="s">
        <v>215</v>
      </c>
      <c r="V214" s="17" t="s">
        <v>915</v>
      </c>
      <c r="W214" s="12">
        <v>41519</v>
      </c>
      <c r="X214" s="13"/>
      <c r="Y214" s="12">
        <v>42735</v>
      </c>
      <c r="Z214" s="2"/>
      <c r="AA214" s="2" t="s">
        <v>479</v>
      </c>
      <c r="AB214" s="29" t="s">
        <v>780</v>
      </c>
      <c r="AC214" s="5">
        <v>1000</v>
      </c>
      <c r="AD214" s="5">
        <f>+AC214*1.07</f>
        <v>1070</v>
      </c>
      <c r="AE214" s="5">
        <v>1170</v>
      </c>
      <c r="AF214" s="5">
        <f t="shared" si="158"/>
        <v>1310</v>
      </c>
      <c r="AG214" s="5">
        <f t="shared" si="212"/>
        <v>1310</v>
      </c>
      <c r="AH214" s="5">
        <f t="shared" si="212"/>
        <v>1310</v>
      </c>
      <c r="AI214" s="5">
        <f t="shared" ref="AI214:AJ214" si="227">+AH214</f>
        <v>1310</v>
      </c>
      <c r="AJ214" s="5">
        <f t="shared" si="227"/>
        <v>1310</v>
      </c>
      <c r="AK214" s="29" t="s">
        <v>42</v>
      </c>
      <c r="AL214" s="105" t="str">
        <f>+AK214</f>
        <v>C0</v>
      </c>
    </row>
    <row r="215" spans="1:38" s="6" customFormat="1" ht="15" customHeight="1" x14ac:dyDescent="0.2">
      <c r="A215" s="29" t="s">
        <v>824</v>
      </c>
      <c r="B215" s="2" t="s">
        <v>822</v>
      </c>
      <c r="C215" s="29" t="s">
        <v>823</v>
      </c>
      <c r="D215" s="2" t="s">
        <v>808</v>
      </c>
      <c r="E215" s="2" t="s">
        <v>216</v>
      </c>
      <c r="F215" s="2" t="s">
        <v>1066</v>
      </c>
      <c r="G215" s="2"/>
      <c r="H215" s="3"/>
      <c r="I215" s="2" t="s">
        <v>1066</v>
      </c>
      <c r="J215" s="28"/>
      <c r="K215" s="28" t="s">
        <v>1765</v>
      </c>
      <c r="L215" s="42" t="s">
        <v>1068</v>
      </c>
      <c r="M215" s="7" t="s">
        <v>3</v>
      </c>
      <c r="N215" s="15">
        <v>33761570</v>
      </c>
      <c r="O215" s="88">
        <v>27337615703</v>
      </c>
      <c r="P215" s="38">
        <v>32434</v>
      </c>
      <c r="Q215" s="38"/>
      <c r="R215" s="38"/>
      <c r="S215" s="38"/>
      <c r="T215" s="38"/>
      <c r="U215" s="17" t="s">
        <v>215</v>
      </c>
      <c r="V215" s="17" t="s">
        <v>915</v>
      </c>
      <c r="W215" s="12">
        <v>42491</v>
      </c>
      <c r="X215" s="19"/>
      <c r="Y215" s="12">
        <v>42735</v>
      </c>
      <c r="Z215" s="2"/>
      <c r="AA215" s="2" t="s">
        <v>479</v>
      </c>
      <c r="AB215" s="2"/>
      <c r="AC215" s="5">
        <v>1000</v>
      </c>
      <c r="AD215" s="5">
        <v>1070</v>
      </c>
      <c r="AE215" s="5">
        <v>1170</v>
      </c>
      <c r="AF215" s="5">
        <f t="shared" ref="AF215:AF278" si="228">+AC215*1.31</f>
        <v>1310</v>
      </c>
      <c r="AG215" s="5">
        <f t="shared" si="212"/>
        <v>1310</v>
      </c>
      <c r="AH215" s="5">
        <f t="shared" si="212"/>
        <v>1310</v>
      </c>
      <c r="AI215" s="5">
        <f t="shared" ref="AI215:AJ215" si="229">+AH215</f>
        <v>1310</v>
      </c>
      <c r="AJ215" s="5">
        <f t="shared" si="229"/>
        <v>1310</v>
      </c>
      <c r="AK215" s="2" t="s">
        <v>42</v>
      </c>
      <c r="AL215" s="105" t="str">
        <f>+AK215</f>
        <v>C0</v>
      </c>
    </row>
    <row r="216" spans="1:38" s="6" customFormat="1" ht="15" customHeight="1" x14ac:dyDescent="0.2">
      <c r="A216" s="29" t="s">
        <v>824</v>
      </c>
      <c r="B216" s="2" t="s">
        <v>822</v>
      </c>
      <c r="C216" s="29"/>
      <c r="D216" s="2" t="s">
        <v>825</v>
      </c>
      <c r="E216" s="3" t="s">
        <v>8</v>
      </c>
      <c r="F216" s="2" t="s">
        <v>913</v>
      </c>
      <c r="G216" s="2"/>
      <c r="H216" s="2" t="s">
        <v>28</v>
      </c>
      <c r="I216" s="2" t="s">
        <v>13</v>
      </c>
      <c r="J216" s="28" t="s">
        <v>549</v>
      </c>
      <c r="K216" s="28" t="s">
        <v>549</v>
      </c>
      <c r="L216" s="41" t="s">
        <v>606</v>
      </c>
      <c r="M216" s="4" t="s">
        <v>3</v>
      </c>
      <c r="N216" s="15">
        <v>30012181</v>
      </c>
      <c r="O216" s="88">
        <v>20300121811</v>
      </c>
      <c r="P216" s="38">
        <v>30434</v>
      </c>
      <c r="Q216" s="38"/>
      <c r="R216" s="38"/>
      <c r="S216" s="38"/>
      <c r="T216" s="38"/>
      <c r="U216" s="17" t="s">
        <v>215</v>
      </c>
      <c r="V216" s="17" t="s">
        <v>915</v>
      </c>
      <c r="W216" s="12">
        <v>42248</v>
      </c>
      <c r="X216" s="13"/>
      <c r="Y216" s="12">
        <v>42735</v>
      </c>
      <c r="Z216" s="2"/>
      <c r="AA216" s="2" t="s">
        <v>479</v>
      </c>
      <c r="AB216" s="3" t="s">
        <v>10</v>
      </c>
      <c r="AC216" s="5">
        <v>1000</v>
      </c>
      <c r="AD216" s="5">
        <f>+AC216*1.07</f>
        <v>1070</v>
      </c>
      <c r="AE216" s="5">
        <v>1170</v>
      </c>
      <c r="AF216" s="5">
        <f t="shared" si="228"/>
        <v>1310</v>
      </c>
      <c r="AG216" s="5">
        <f t="shared" si="212"/>
        <v>1310</v>
      </c>
      <c r="AH216" s="5">
        <f t="shared" si="212"/>
        <v>1310</v>
      </c>
      <c r="AI216" s="5">
        <f t="shared" ref="AI216:AJ216" si="230">+AH216</f>
        <v>1310</v>
      </c>
      <c r="AJ216" s="5">
        <f t="shared" si="230"/>
        <v>1310</v>
      </c>
      <c r="AK216" s="2" t="s">
        <v>1815</v>
      </c>
      <c r="AL216" s="106"/>
    </row>
    <row r="217" spans="1:38" s="6" customFormat="1" ht="15" customHeight="1" x14ac:dyDescent="0.2">
      <c r="A217" s="29" t="s">
        <v>824</v>
      </c>
      <c r="B217" s="29" t="s">
        <v>822</v>
      </c>
      <c r="C217" s="29" t="s">
        <v>823</v>
      </c>
      <c r="D217" s="2" t="s">
        <v>800</v>
      </c>
      <c r="E217" s="7" t="s">
        <v>498</v>
      </c>
      <c r="F217" s="7"/>
      <c r="G217" s="7"/>
      <c r="H217" s="8"/>
      <c r="I217" s="3"/>
      <c r="J217" s="28" t="s">
        <v>254</v>
      </c>
      <c r="K217" s="28"/>
      <c r="L217" s="42" t="s">
        <v>401</v>
      </c>
      <c r="M217" s="4" t="s">
        <v>3</v>
      </c>
      <c r="N217" s="15">
        <v>28620660</v>
      </c>
      <c r="O217" s="88">
        <v>27286206609</v>
      </c>
      <c r="P217" s="38"/>
      <c r="Q217" s="38"/>
      <c r="R217" s="38"/>
      <c r="S217" s="38"/>
      <c r="T217" s="38"/>
      <c r="U217" s="16" t="s">
        <v>796</v>
      </c>
      <c r="V217" s="16" t="s">
        <v>916</v>
      </c>
      <c r="W217" s="12">
        <v>41243</v>
      </c>
      <c r="X217" s="48">
        <v>42735</v>
      </c>
      <c r="Y217" s="12">
        <v>42735</v>
      </c>
      <c r="Z217" s="2" t="s">
        <v>24</v>
      </c>
      <c r="AA217" s="2"/>
      <c r="AB217" s="18"/>
      <c r="AC217" s="5">
        <v>1000</v>
      </c>
      <c r="AD217" s="5"/>
      <c r="AE217" s="5">
        <v>1170</v>
      </c>
      <c r="AF217" s="5">
        <f t="shared" si="228"/>
        <v>1310</v>
      </c>
      <c r="AG217" s="5">
        <f t="shared" si="212"/>
        <v>1310</v>
      </c>
      <c r="AH217" s="5">
        <f t="shared" si="212"/>
        <v>1310</v>
      </c>
      <c r="AI217" s="5">
        <f t="shared" ref="AI217:AJ217" si="231">+AH217</f>
        <v>1310</v>
      </c>
      <c r="AJ217" s="5">
        <f t="shared" si="231"/>
        <v>1310</v>
      </c>
      <c r="AK217" s="2"/>
      <c r="AL217" s="105" t="str">
        <f>+Z217</f>
        <v>D0</v>
      </c>
    </row>
    <row r="218" spans="1:38" s="6" customFormat="1" ht="15" customHeight="1" x14ac:dyDescent="0.2">
      <c r="A218" s="29" t="s">
        <v>824</v>
      </c>
      <c r="B218" s="29" t="s">
        <v>822</v>
      </c>
      <c r="C218" s="29" t="s">
        <v>823</v>
      </c>
      <c r="D218" s="2" t="s">
        <v>800</v>
      </c>
      <c r="E218" s="7" t="s">
        <v>503</v>
      </c>
      <c r="F218" s="7"/>
      <c r="G218" s="7"/>
      <c r="H218" s="8"/>
      <c r="I218" s="3" t="s">
        <v>1734</v>
      </c>
      <c r="J218" s="28" t="s">
        <v>254</v>
      </c>
      <c r="K218" s="28" t="s">
        <v>1767</v>
      </c>
      <c r="L218" s="42" t="s">
        <v>607</v>
      </c>
      <c r="M218" s="4" t="s">
        <v>3</v>
      </c>
      <c r="N218" s="15">
        <v>17110640</v>
      </c>
      <c r="O218" s="88" t="s">
        <v>1171</v>
      </c>
      <c r="P218" s="38">
        <v>23724</v>
      </c>
      <c r="Q218" s="38"/>
      <c r="R218" s="38"/>
      <c r="S218" s="38"/>
      <c r="T218" s="38"/>
      <c r="U218" s="17" t="s">
        <v>215</v>
      </c>
      <c r="V218" s="17" t="s">
        <v>915</v>
      </c>
      <c r="W218" s="12">
        <v>41339</v>
      </c>
      <c r="X218" s="13"/>
      <c r="Y218" s="12">
        <v>42735</v>
      </c>
      <c r="Z218" s="2"/>
      <c r="AA218" s="2" t="s">
        <v>479</v>
      </c>
      <c r="AB218" s="24" t="s">
        <v>479</v>
      </c>
      <c r="AC218" s="5">
        <v>1000</v>
      </c>
      <c r="AD218" s="5">
        <v>1070</v>
      </c>
      <c r="AE218" s="5">
        <v>1170</v>
      </c>
      <c r="AF218" s="5">
        <f t="shared" si="228"/>
        <v>1310</v>
      </c>
      <c r="AG218" s="5">
        <f t="shared" si="212"/>
        <v>1310</v>
      </c>
      <c r="AH218" s="5">
        <f t="shared" si="212"/>
        <v>1310</v>
      </c>
      <c r="AI218" s="5">
        <f t="shared" ref="AI218:AJ218" si="232">+AH218</f>
        <v>1310</v>
      </c>
      <c r="AJ218" s="5">
        <f t="shared" si="232"/>
        <v>1310</v>
      </c>
      <c r="AK218" s="2" t="s">
        <v>53</v>
      </c>
      <c r="AL218" s="105" t="str">
        <f>+AK218</f>
        <v>B0</v>
      </c>
    </row>
    <row r="219" spans="1:38" s="6" customFormat="1" ht="15" customHeight="1" x14ac:dyDescent="0.2">
      <c r="A219" s="29" t="s">
        <v>824</v>
      </c>
      <c r="B219" s="29" t="s">
        <v>822</v>
      </c>
      <c r="C219" s="29" t="s">
        <v>823</v>
      </c>
      <c r="D219" s="2" t="s">
        <v>800</v>
      </c>
      <c r="E219" s="7" t="s">
        <v>501</v>
      </c>
      <c r="F219" s="7"/>
      <c r="G219" s="7"/>
      <c r="H219" s="8"/>
      <c r="I219" s="3"/>
      <c r="J219" s="28" t="s">
        <v>254</v>
      </c>
      <c r="K219" s="28"/>
      <c r="L219" s="42" t="s">
        <v>439</v>
      </c>
      <c r="M219" s="4" t="s">
        <v>3</v>
      </c>
      <c r="N219" s="15">
        <v>38128842</v>
      </c>
      <c r="O219" s="88">
        <v>27381288426</v>
      </c>
      <c r="P219" s="38"/>
      <c r="Q219" s="38"/>
      <c r="R219" s="38"/>
      <c r="S219" s="38"/>
      <c r="T219" s="38"/>
      <c r="U219" s="16" t="s">
        <v>796</v>
      </c>
      <c r="V219" s="16" t="s">
        <v>916</v>
      </c>
      <c r="W219" s="12">
        <v>41243</v>
      </c>
      <c r="X219" s="48">
        <v>42735</v>
      </c>
      <c r="Y219" s="12">
        <v>42735</v>
      </c>
      <c r="Z219" s="2" t="s">
        <v>42</v>
      </c>
      <c r="AA219" s="2"/>
      <c r="AB219" s="18"/>
      <c r="AC219" s="5">
        <v>1000</v>
      </c>
      <c r="AD219" s="5"/>
      <c r="AE219" s="5">
        <v>1170</v>
      </c>
      <c r="AF219" s="5">
        <f t="shared" si="228"/>
        <v>1310</v>
      </c>
      <c r="AG219" s="5">
        <f t="shared" ref="AG219:AH240" si="233">+AF219</f>
        <v>1310</v>
      </c>
      <c r="AH219" s="5">
        <f t="shared" si="233"/>
        <v>1310</v>
      </c>
      <c r="AI219" s="5">
        <f t="shared" ref="AI219:AJ219" si="234">+AH219</f>
        <v>1310</v>
      </c>
      <c r="AJ219" s="5">
        <f t="shared" si="234"/>
        <v>1310</v>
      </c>
      <c r="AK219" s="2"/>
      <c r="AL219" s="105" t="str">
        <f>+Z219</f>
        <v>C0</v>
      </c>
    </row>
    <row r="220" spans="1:38" s="6" customFormat="1" ht="15" customHeight="1" x14ac:dyDescent="0.2">
      <c r="A220" s="29" t="s">
        <v>824</v>
      </c>
      <c r="B220" s="29" t="s">
        <v>822</v>
      </c>
      <c r="C220" s="29" t="s">
        <v>823</v>
      </c>
      <c r="D220" s="2" t="s">
        <v>808</v>
      </c>
      <c r="E220" s="2" t="s">
        <v>909</v>
      </c>
      <c r="F220" s="2" t="s">
        <v>811</v>
      </c>
      <c r="G220" s="3" t="s">
        <v>516</v>
      </c>
      <c r="H220" s="2" t="s">
        <v>223</v>
      </c>
      <c r="I220" s="2" t="s">
        <v>811</v>
      </c>
      <c r="J220" s="28" t="s">
        <v>73</v>
      </c>
      <c r="K220" s="28" t="s">
        <v>1765</v>
      </c>
      <c r="L220" s="43" t="s">
        <v>106</v>
      </c>
      <c r="M220" s="4" t="s">
        <v>3</v>
      </c>
      <c r="N220" s="15">
        <v>34435620</v>
      </c>
      <c r="O220" s="88" t="s">
        <v>1473</v>
      </c>
      <c r="P220" s="38">
        <v>28798</v>
      </c>
      <c r="Q220" s="38"/>
      <c r="R220" s="38"/>
      <c r="S220" s="38"/>
      <c r="T220" s="38"/>
      <c r="U220" s="17" t="s">
        <v>215</v>
      </c>
      <c r="V220" s="17" t="s">
        <v>915</v>
      </c>
      <c r="W220" s="12">
        <v>42165</v>
      </c>
      <c r="X220" s="13"/>
      <c r="Y220" s="12">
        <v>42735</v>
      </c>
      <c r="Z220" s="2"/>
      <c r="AA220" s="2" t="s">
        <v>479</v>
      </c>
      <c r="AB220" s="14" t="s">
        <v>479</v>
      </c>
      <c r="AC220" s="5">
        <v>1000</v>
      </c>
      <c r="AD220" s="5">
        <f>+AC220*1.07</f>
        <v>1070</v>
      </c>
      <c r="AE220" s="5">
        <v>1170</v>
      </c>
      <c r="AF220" s="5">
        <f t="shared" si="228"/>
        <v>1310</v>
      </c>
      <c r="AG220" s="5">
        <f t="shared" si="233"/>
        <v>1310</v>
      </c>
      <c r="AH220" s="5">
        <f t="shared" si="233"/>
        <v>1310</v>
      </c>
      <c r="AI220" s="5">
        <f t="shared" ref="AI220:AJ220" si="235">+AH220</f>
        <v>1310</v>
      </c>
      <c r="AJ220" s="5">
        <f t="shared" si="235"/>
        <v>1310</v>
      </c>
      <c r="AK220" s="29" t="s">
        <v>42</v>
      </c>
      <c r="AL220" s="105" t="str">
        <f>+AK220</f>
        <v>C0</v>
      </c>
    </row>
    <row r="221" spans="1:38" s="6" customFormat="1" ht="15" customHeight="1" x14ac:dyDescent="0.2">
      <c r="A221" s="29" t="s">
        <v>824</v>
      </c>
      <c r="B221" s="2" t="s">
        <v>822</v>
      </c>
      <c r="C221" s="3"/>
      <c r="D221" s="2" t="s">
        <v>825</v>
      </c>
      <c r="E221" s="3" t="s">
        <v>18</v>
      </c>
      <c r="F221" s="2" t="s">
        <v>19</v>
      </c>
      <c r="G221" s="2"/>
      <c r="H221" s="2" t="s">
        <v>45</v>
      </c>
      <c r="I221" s="2" t="s">
        <v>1760</v>
      </c>
      <c r="J221" s="28" t="s">
        <v>548</v>
      </c>
      <c r="K221" s="28" t="s">
        <v>548</v>
      </c>
      <c r="L221" s="44" t="s">
        <v>608</v>
      </c>
      <c r="M221" s="4" t="s">
        <v>3</v>
      </c>
      <c r="N221" s="15">
        <v>27108257</v>
      </c>
      <c r="O221" s="88" t="s">
        <v>1306</v>
      </c>
      <c r="P221" s="38">
        <v>28941</v>
      </c>
      <c r="Q221" s="38"/>
      <c r="R221" s="38"/>
      <c r="S221" s="38"/>
      <c r="T221" s="38"/>
      <c r="U221" s="17" t="s">
        <v>215</v>
      </c>
      <c r="V221" s="17" t="s">
        <v>915</v>
      </c>
      <c r="W221" s="12">
        <v>40812</v>
      </c>
      <c r="X221" s="13"/>
      <c r="Y221" s="12">
        <v>42735</v>
      </c>
      <c r="Z221" s="2"/>
      <c r="AA221" s="2" t="s">
        <v>479</v>
      </c>
      <c r="AB221" s="7" t="s">
        <v>787</v>
      </c>
      <c r="AC221" s="5">
        <v>1000</v>
      </c>
      <c r="AD221" s="5">
        <f>+AC221</f>
        <v>1000</v>
      </c>
      <c r="AE221" s="5">
        <v>1170</v>
      </c>
      <c r="AF221" s="5">
        <f t="shared" si="228"/>
        <v>1310</v>
      </c>
      <c r="AG221" s="5">
        <f t="shared" si="233"/>
        <v>1310</v>
      </c>
      <c r="AH221" s="5">
        <f t="shared" si="233"/>
        <v>1310</v>
      </c>
      <c r="AI221" s="5">
        <f t="shared" ref="AI221:AJ221" si="236">+AH221</f>
        <v>1310</v>
      </c>
      <c r="AJ221" s="5">
        <f t="shared" si="236"/>
        <v>1310</v>
      </c>
      <c r="AK221" s="2"/>
      <c r="AL221" s="8"/>
    </row>
    <row r="222" spans="1:38" s="6" customFormat="1" ht="15" customHeight="1" x14ac:dyDescent="0.2">
      <c r="A222" s="29" t="s">
        <v>824</v>
      </c>
      <c r="B222" s="29" t="s">
        <v>822</v>
      </c>
      <c r="C222" s="29" t="s">
        <v>823</v>
      </c>
      <c r="D222" s="2" t="s">
        <v>800</v>
      </c>
      <c r="E222" s="2" t="s">
        <v>485</v>
      </c>
      <c r="F222" s="2"/>
      <c r="G222" s="2"/>
      <c r="H222" s="2"/>
      <c r="I222" s="3"/>
      <c r="J222" s="28" t="s">
        <v>254</v>
      </c>
      <c r="K222" s="28"/>
      <c r="L222" s="42" t="s">
        <v>279</v>
      </c>
      <c r="M222" s="4" t="s">
        <v>3</v>
      </c>
      <c r="N222" s="15">
        <v>11230423</v>
      </c>
      <c r="O222" s="88">
        <v>20112304232</v>
      </c>
      <c r="P222" s="38"/>
      <c r="Q222" s="38"/>
      <c r="R222" s="38"/>
      <c r="S222" s="38"/>
      <c r="T222" s="38"/>
      <c r="U222" s="16" t="s">
        <v>796</v>
      </c>
      <c r="V222" s="16" t="s">
        <v>916</v>
      </c>
      <c r="W222" s="12">
        <v>41244</v>
      </c>
      <c r="X222" s="48">
        <v>42735</v>
      </c>
      <c r="Y222" s="12">
        <v>42735</v>
      </c>
      <c r="Z222" s="2" t="s">
        <v>69</v>
      </c>
      <c r="AA222" s="2"/>
      <c r="AB222" s="18"/>
      <c r="AC222" s="5">
        <v>1000</v>
      </c>
      <c r="AD222" s="5"/>
      <c r="AE222" s="5">
        <v>1170</v>
      </c>
      <c r="AF222" s="5">
        <f t="shared" si="228"/>
        <v>1310</v>
      </c>
      <c r="AG222" s="5">
        <f t="shared" si="233"/>
        <v>1310</v>
      </c>
      <c r="AH222" s="5">
        <f t="shared" si="233"/>
        <v>1310</v>
      </c>
      <c r="AI222" s="5">
        <f t="shared" ref="AI222:AJ222" si="237">+AH222</f>
        <v>1310</v>
      </c>
      <c r="AJ222" s="5">
        <f t="shared" si="237"/>
        <v>1310</v>
      </c>
      <c r="AK222" s="2"/>
      <c r="AL222" s="105" t="str">
        <f>+Z222</f>
        <v>B5</v>
      </c>
    </row>
    <row r="223" spans="1:38" s="6" customFormat="1" ht="15" customHeight="1" x14ac:dyDescent="0.2">
      <c r="A223" s="29" t="s">
        <v>824</v>
      </c>
      <c r="B223" s="2" t="s">
        <v>822</v>
      </c>
      <c r="C223" s="3"/>
      <c r="D223" s="2" t="s">
        <v>825</v>
      </c>
      <c r="E223" s="3" t="s">
        <v>18</v>
      </c>
      <c r="F223" s="2" t="s">
        <v>19</v>
      </c>
      <c r="G223" s="2"/>
      <c r="H223" s="2" t="s">
        <v>27</v>
      </c>
      <c r="I223" s="3"/>
      <c r="J223" s="28" t="s">
        <v>548</v>
      </c>
      <c r="K223" s="28"/>
      <c r="L223" s="41" t="s">
        <v>609</v>
      </c>
      <c r="M223" s="4" t="s">
        <v>3</v>
      </c>
      <c r="N223" s="15">
        <v>30220115</v>
      </c>
      <c r="O223" s="88">
        <v>27302201159</v>
      </c>
      <c r="P223" s="61"/>
      <c r="Q223" s="61"/>
      <c r="R223" s="61"/>
      <c r="S223" s="61"/>
      <c r="T223" s="61"/>
      <c r="U223" s="16" t="s">
        <v>796</v>
      </c>
      <c r="V223" s="16" t="s">
        <v>916</v>
      </c>
      <c r="W223" s="12">
        <v>41244</v>
      </c>
      <c r="X223" s="48">
        <v>42735</v>
      </c>
      <c r="Y223" s="12">
        <v>42735</v>
      </c>
      <c r="Z223" s="2" t="s">
        <v>17</v>
      </c>
      <c r="AA223" s="2"/>
      <c r="AB223" s="3"/>
      <c r="AC223" s="5">
        <v>1000</v>
      </c>
      <c r="AD223" s="5"/>
      <c r="AE223" s="5">
        <v>1170</v>
      </c>
      <c r="AF223" s="5">
        <f t="shared" si="228"/>
        <v>1310</v>
      </c>
      <c r="AG223" s="5">
        <f t="shared" si="233"/>
        <v>1310</v>
      </c>
      <c r="AH223" s="5">
        <f t="shared" si="233"/>
        <v>1310</v>
      </c>
      <c r="AI223" s="5">
        <f t="shared" ref="AI223:AJ223" si="238">+AH223</f>
        <v>1310</v>
      </c>
      <c r="AJ223" s="5">
        <f t="shared" si="238"/>
        <v>1310</v>
      </c>
      <c r="AK223" s="2"/>
      <c r="AL223" s="105" t="str">
        <f>+Z223</f>
        <v>C1</v>
      </c>
    </row>
    <row r="224" spans="1:38" s="6" customFormat="1" ht="15" customHeight="1" x14ac:dyDescent="0.2">
      <c r="A224" s="29" t="s">
        <v>824</v>
      </c>
      <c r="B224" s="2" t="s">
        <v>822</v>
      </c>
      <c r="C224" s="3"/>
      <c r="D224" s="2" t="s">
        <v>825</v>
      </c>
      <c r="E224" s="3" t="s">
        <v>18</v>
      </c>
      <c r="F224" s="2" t="s">
        <v>19</v>
      </c>
      <c r="G224" s="2"/>
      <c r="H224" s="2" t="s">
        <v>35</v>
      </c>
      <c r="I224" s="2" t="s">
        <v>1707</v>
      </c>
      <c r="J224" s="28" t="s">
        <v>548</v>
      </c>
      <c r="K224" s="28" t="s">
        <v>548</v>
      </c>
      <c r="L224" s="44" t="s">
        <v>610</v>
      </c>
      <c r="M224" s="4" t="s">
        <v>3</v>
      </c>
      <c r="N224" s="15">
        <v>36086015</v>
      </c>
      <c r="O224" s="88" t="s">
        <v>1507</v>
      </c>
      <c r="P224" s="38">
        <v>33512</v>
      </c>
      <c r="Q224" s="38"/>
      <c r="R224" s="38"/>
      <c r="S224" s="38"/>
      <c r="T224" s="38"/>
      <c r="U224" s="17" t="s">
        <v>215</v>
      </c>
      <c r="V224" s="17" t="s">
        <v>915</v>
      </c>
      <c r="W224" s="12">
        <v>41334</v>
      </c>
      <c r="X224" s="13"/>
      <c r="Y224" s="12">
        <v>42735</v>
      </c>
      <c r="Z224" s="2"/>
      <c r="AA224" s="2" t="s">
        <v>479</v>
      </c>
      <c r="AB224" s="7" t="s">
        <v>787</v>
      </c>
      <c r="AC224" s="5">
        <v>1000</v>
      </c>
      <c r="AD224" s="5">
        <f>+AC224</f>
        <v>1000</v>
      </c>
      <c r="AE224" s="5">
        <v>1170</v>
      </c>
      <c r="AF224" s="5">
        <f t="shared" si="228"/>
        <v>1310</v>
      </c>
      <c r="AG224" s="5">
        <f t="shared" si="233"/>
        <v>1310</v>
      </c>
      <c r="AH224" s="5">
        <f t="shared" si="233"/>
        <v>1310</v>
      </c>
      <c r="AI224" s="5">
        <f t="shared" ref="AI224:AJ224" si="239">+AH224</f>
        <v>1310</v>
      </c>
      <c r="AJ224" s="5">
        <f t="shared" si="239"/>
        <v>1310</v>
      </c>
      <c r="AK224" s="2"/>
      <c r="AL224" s="106"/>
    </row>
    <row r="225" spans="1:38" s="6" customFormat="1" ht="15" customHeight="1" x14ac:dyDescent="0.2">
      <c r="A225" s="29" t="s">
        <v>824</v>
      </c>
      <c r="B225" s="29"/>
      <c r="C225" s="14"/>
      <c r="D225" s="2" t="s">
        <v>819</v>
      </c>
      <c r="E225" s="2"/>
      <c r="F225" s="3"/>
      <c r="G225" s="3"/>
      <c r="H225" s="2" t="s">
        <v>884</v>
      </c>
      <c r="I225" s="2" t="s">
        <v>1707</v>
      </c>
      <c r="J225" s="28"/>
      <c r="K225" s="28" t="s">
        <v>1765</v>
      </c>
      <c r="L225" s="41" t="s">
        <v>866</v>
      </c>
      <c r="M225" s="4" t="s">
        <v>3</v>
      </c>
      <c r="N225" s="15">
        <v>16975219</v>
      </c>
      <c r="O225" s="88" t="s">
        <v>1170</v>
      </c>
      <c r="P225" s="38">
        <v>23484</v>
      </c>
      <c r="Q225" s="38"/>
      <c r="R225" s="38"/>
      <c r="S225" s="38"/>
      <c r="T225" s="38"/>
      <c r="U225" s="17" t="s">
        <v>215</v>
      </c>
      <c r="V225" s="17" t="s">
        <v>915</v>
      </c>
      <c r="W225" s="12">
        <v>42370</v>
      </c>
      <c r="X225" s="48"/>
      <c r="Y225" s="12">
        <v>42735</v>
      </c>
      <c r="Z225" s="2"/>
      <c r="AA225" s="2" t="s">
        <v>479</v>
      </c>
      <c r="AB225" s="3" t="s">
        <v>10</v>
      </c>
      <c r="AC225" s="5">
        <v>1000</v>
      </c>
      <c r="AD225" s="5">
        <f>+AC225*1.07</f>
        <v>1070</v>
      </c>
      <c r="AE225" s="5">
        <v>1170</v>
      </c>
      <c r="AF225" s="5">
        <f t="shared" si="228"/>
        <v>1310</v>
      </c>
      <c r="AG225" s="5">
        <f t="shared" si="233"/>
        <v>1310</v>
      </c>
      <c r="AH225" s="5">
        <f t="shared" si="233"/>
        <v>1310</v>
      </c>
      <c r="AI225" s="5">
        <f t="shared" ref="AI225:AJ225" si="240">+AH225</f>
        <v>1310</v>
      </c>
      <c r="AJ225" s="5">
        <f t="shared" si="240"/>
        <v>1310</v>
      </c>
      <c r="AK225" s="2" t="s">
        <v>53</v>
      </c>
      <c r="AL225" s="105" t="str">
        <f>+AK225</f>
        <v>B0</v>
      </c>
    </row>
    <row r="226" spans="1:38" s="6" customFormat="1" ht="15" customHeight="1" x14ac:dyDescent="0.2">
      <c r="A226" s="29" t="s">
        <v>824</v>
      </c>
      <c r="B226" s="29" t="s">
        <v>822</v>
      </c>
      <c r="C226" s="29" t="s">
        <v>823</v>
      </c>
      <c r="D226" s="2" t="s">
        <v>808</v>
      </c>
      <c r="E226" s="2" t="s">
        <v>909</v>
      </c>
      <c r="F226" s="2" t="s">
        <v>524</v>
      </c>
      <c r="G226" s="3"/>
      <c r="H226" s="2" t="s">
        <v>223</v>
      </c>
      <c r="I226" s="2" t="s">
        <v>223</v>
      </c>
      <c r="J226" s="28" t="s">
        <v>73</v>
      </c>
      <c r="K226" s="28" t="s">
        <v>1765</v>
      </c>
      <c r="L226" s="43" t="s">
        <v>107</v>
      </c>
      <c r="M226" s="4" t="s">
        <v>3</v>
      </c>
      <c r="N226" s="15">
        <v>18882003</v>
      </c>
      <c r="O226" s="88" t="s">
        <v>1189</v>
      </c>
      <c r="P226" s="38">
        <v>32638</v>
      </c>
      <c r="Q226" s="38"/>
      <c r="R226" s="38"/>
      <c r="S226" s="38"/>
      <c r="T226" s="38"/>
      <c r="U226" s="17" t="s">
        <v>215</v>
      </c>
      <c r="V226" s="17" t="s">
        <v>915</v>
      </c>
      <c r="W226" s="12">
        <v>41671</v>
      </c>
      <c r="X226" s="13"/>
      <c r="Y226" s="12">
        <v>42735</v>
      </c>
      <c r="Z226" s="2"/>
      <c r="AA226" s="2" t="s">
        <v>479</v>
      </c>
      <c r="AB226" s="14" t="s">
        <v>539</v>
      </c>
      <c r="AC226" s="5">
        <v>1000</v>
      </c>
      <c r="AD226" s="5">
        <f>+AC226*1.07</f>
        <v>1070</v>
      </c>
      <c r="AE226" s="5">
        <v>1170</v>
      </c>
      <c r="AF226" s="5">
        <f t="shared" si="228"/>
        <v>1310</v>
      </c>
      <c r="AG226" s="5">
        <f t="shared" si="233"/>
        <v>1310</v>
      </c>
      <c r="AH226" s="5">
        <f t="shared" si="233"/>
        <v>1310</v>
      </c>
      <c r="AI226" s="5">
        <f t="shared" ref="AI226:AJ226" si="241">+AH226</f>
        <v>1310</v>
      </c>
      <c r="AJ226" s="5">
        <f t="shared" si="241"/>
        <v>1310</v>
      </c>
      <c r="AK226" s="29" t="s">
        <v>42</v>
      </c>
      <c r="AL226" s="105" t="str">
        <f>+AK226</f>
        <v>C0</v>
      </c>
    </row>
    <row r="227" spans="1:38" s="6" customFormat="1" ht="15" customHeight="1" x14ac:dyDescent="0.2">
      <c r="A227" s="29" t="s">
        <v>824</v>
      </c>
      <c r="B227" s="2" t="s">
        <v>822</v>
      </c>
      <c r="C227" s="29" t="s">
        <v>823</v>
      </c>
      <c r="D227" s="2" t="s">
        <v>808</v>
      </c>
      <c r="E227" s="2" t="s">
        <v>20</v>
      </c>
      <c r="F227" s="3"/>
      <c r="G227" s="3"/>
      <c r="H227" s="2" t="s">
        <v>925</v>
      </c>
      <c r="I227" s="2" t="s">
        <v>235</v>
      </c>
      <c r="J227" s="28" t="s">
        <v>73</v>
      </c>
      <c r="K227" s="28" t="s">
        <v>1765</v>
      </c>
      <c r="L227" s="41" t="s">
        <v>849</v>
      </c>
      <c r="M227" s="4" t="s">
        <v>3</v>
      </c>
      <c r="N227" s="15">
        <v>16975165</v>
      </c>
      <c r="O227" s="88" t="s">
        <v>1169</v>
      </c>
      <c r="P227" s="38">
        <v>23538</v>
      </c>
      <c r="Q227" s="38"/>
      <c r="R227" s="38"/>
      <c r="S227" s="38"/>
      <c r="T227" s="38"/>
      <c r="U227" s="17" t="s">
        <v>215</v>
      </c>
      <c r="V227" s="17" t="s">
        <v>915</v>
      </c>
      <c r="W227" s="12">
        <v>42339</v>
      </c>
      <c r="X227" s="48"/>
      <c r="Y227" s="12">
        <v>42735</v>
      </c>
      <c r="Z227" s="2"/>
      <c r="AA227" s="2" t="s">
        <v>479</v>
      </c>
      <c r="AB227" s="3" t="s">
        <v>10</v>
      </c>
      <c r="AC227" s="5">
        <v>1000</v>
      </c>
      <c r="AD227" s="5">
        <f>+AC227*1.07</f>
        <v>1070</v>
      </c>
      <c r="AE227" s="5">
        <v>1170</v>
      </c>
      <c r="AF227" s="5">
        <f t="shared" si="228"/>
        <v>1310</v>
      </c>
      <c r="AG227" s="5">
        <f t="shared" si="233"/>
        <v>1310</v>
      </c>
      <c r="AH227" s="5">
        <f t="shared" si="233"/>
        <v>1310</v>
      </c>
      <c r="AI227" s="5">
        <f t="shared" ref="AI227:AJ227" si="242">+AH227</f>
        <v>1310</v>
      </c>
      <c r="AJ227" s="5">
        <f t="shared" si="242"/>
        <v>1310</v>
      </c>
      <c r="AK227" s="2" t="s">
        <v>43</v>
      </c>
      <c r="AL227" s="105" t="str">
        <f>+AK227</f>
        <v>A0</v>
      </c>
    </row>
    <row r="228" spans="1:38" s="6" customFormat="1" ht="15" customHeight="1" x14ac:dyDescent="0.2">
      <c r="A228" s="29" t="s">
        <v>824</v>
      </c>
      <c r="B228" s="29" t="s">
        <v>822</v>
      </c>
      <c r="C228" s="29" t="s">
        <v>823</v>
      </c>
      <c r="D228" s="2" t="s">
        <v>800</v>
      </c>
      <c r="E228" s="2"/>
      <c r="F228" s="3"/>
      <c r="G228" s="3"/>
      <c r="H228" s="2" t="s">
        <v>884</v>
      </c>
      <c r="I228" s="2" t="s">
        <v>1707</v>
      </c>
      <c r="J228" s="28"/>
      <c r="K228" s="28" t="s">
        <v>1767</v>
      </c>
      <c r="L228" s="41" t="s">
        <v>906</v>
      </c>
      <c r="M228" s="7" t="s">
        <v>3</v>
      </c>
      <c r="N228" s="15">
        <v>26934949</v>
      </c>
      <c r="O228" s="88">
        <v>27269349498</v>
      </c>
      <c r="P228" s="38">
        <v>28784</v>
      </c>
      <c r="Q228" s="38"/>
      <c r="R228" s="38"/>
      <c r="S228" s="38"/>
      <c r="T228" s="38"/>
      <c r="U228" s="17" t="s">
        <v>215</v>
      </c>
      <c r="V228" s="17" t="s">
        <v>915</v>
      </c>
      <c r="W228" s="12">
        <v>42430</v>
      </c>
      <c r="X228" s="48"/>
      <c r="Y228" s="12">
        <v>42735</v>
      </c>
      <c r="Z228" s="2"/>
      <c r="AA228" s="2" t="s">
        <v>479</v>
      </c>
      <c r="AB228" s="3"/>
      <c r="AC228" s="5">
        <v>1000</v>
      </c>
      <c r="AD228" s="5">
        <f>+AC228*1.07</f>
        <v>1070</v>
      </c>
      <c r="AE228" s="5">
        <v>1170</v>
      </c>
      <c r="AF228" s="5">
        <f t="shared" si="228"/>
        <v>1310</v>
      </c>
      <c r="AG228" s="5">
        <f t="shared" si="233"/>
        <v>1310</v>
      </c>
      <c r="AH228" s="5">
        <f t="shared" si="233"/>
        <v>1310</v>
      </c>
      <c r="AI228" s="5">
        <f t="shared" ref="AI228:AJ228" si="243">+AH228</f>
        <v>1310</v>
      </c>
      <c r="AJ228" s="5">
        <f t="shared" si="243"/>
        <v>1310</v>
      </c>
      <c r="AK228" s="29" t="s">
        <v>42</v>
      </c>
      <c r="AL228" s="105" t="str">
        <f>+AK228</f>
        <v>C0</v>
      </c>
    </row>
    <row r="229" spans="1:38" s="6" customFormat="1" ht="15" customHeight="1" x14ac:dyDescent="0.2">
      <c r="A229" s="29" t="s">
        <v>824</v>
      </c>
      <c r="B229" s="2" t="s">
        <v>822</v>
      </c>
      <c r="C229" s="3"/>
      <c r="D229" s="2" t="s">
        <v>825</v>
      </c>
      <c r="E229" s="3" t="s">
        <v>18</v>
      </c>
      <c r="F229" s="2" t="s">
        <v>19</v>
      </c>
      <c r="G229" s="2"/>
      <c r="H229" s="2" t="s">
        <v>50</v>
      </c>
      <c r="I229" s="2" t="s">
        <v>1707</v>
      </c>
      <c r="J229" s="28" t="s">
        <v>548</v>
      </c>
      <c r="K229" s="28" t="s">
        <v>548</v>
      </c>
      <c r="L229" s="44" t="s">
        <v>611</v>
      </c>
      <c r="M229" s="4" t="s">
        <v>3</v>
      </c>
      <c r="N229" s="15">
        <v>26364795</v>
      </c>
      <c r="O229" s="88" t="s">
        <v>1286</v>
      </c>
      <c r="P229" s="38">
        <v>28534</v>
      </c>
      <c r="Q229" s="38"/>
      <c r="R229" s="38"/>
      <c r="S229" s="38"/>
      <c r="T229" s="38"/>
      <c r="U229" s="17" t="s">
        <v>215</v>
      </c>
      <c r="V229" s="17" t="s">
        <v>915</v>
      </c>
      <c r="W229" s="12">
        <v>40742</v>
      </c>
      <c r="X229" s="13"/>
      <c r="Y229" s="12">
        <v>42735</v>
      </c>
      <c r="Z229" s="2"/>
      <c r="AA229" s="2" t="s">
        <v>479</v>
      </c>
      <c r="AB229" s="7" t="s">
        <v>787</v>
      </c>
      <c r="AC229" s="5">
        <v>1000</v>
      </c>
      <c r="AD229" s="5">
        <f>+AC229</f>
        <v>1000</v>
      </c>
      <c r="AE229" s="5">
        <v>1170</v>
      </c>
      <c r="AF229" s="5">
        <f t="shared" si="228"/>
        <v>1310</v>
      </c>
      <c r="AG229" s="5">
        <f t="shared" si="233"/>
        <v>1310</v>
      </c>
      <c r="AH229" s="5">
        <f t="shared" si="233"/>
        <v>1310</v>
      </c>
      <c r="AI229" s="5">
        <f t="shared" ref="AI229:AJ229" si="244">+AH229</f>
        <v>1310</v>
      </c>
      <c r="AJ229" s="5">
        <f t="shared" si="244"/>
        <v>1310</v>
      </c>
      <c r="AK229" s="2"/>
      <c r="AL229" s="106"/>
    </row>
    <row r="230" spans="1:38" s="6" customFormat="1" ht="15" customHeight="1" x14ac:dyDescent="0.2">
      <c r="A230" s="29" t="s">
        <v>824</v>
      </c>
      <c r="B230" s="2" t="s">
        <v>822</v>
      </c>
      <c r="C230" s="3"/>
      <c r="D230" s="2" t="s">
        <v>825</v>
      </c>
      <c r="E230" s="3" t="s">
        <v>18</v>
      </c>
      <c r="F230" s="2" t="s">
        <v>1012</v>
      </c>
      <c r="G230" s="2"/>
      <c r="H230" s="2" t="s">
        <v>20</v>
      </c>
      <c r="I230" s="2" t="s">
        <v>1760</v>
      </c>
      <c r="J230" s="28" t="s">
        <v>548</v>
      </c>
      <c r="K230" s="28" t="s">
        <v>548</v>
      </c>
      <c r="L230" s="44" t="s">
        <v>612</v>
      </c>
      <c r="M230" s="4" t="s">
        <v>3</v>
      </c>
      <c r="N230" s="15">
        <v>31174675</v>
      </c>
      <c r="O230" s="88" t="s">
        <v>1388</v>
      </c>
      <c r="P230" s="38">
        <v>30929</v>
      </c>
      <c r="Q230" s="38"/>
      <c r="R230" s="38"/>
      <c r="S230" s="38"/>
      <c r="T230" s="38"/>
      <c r="U230" s="17" t="s">
        <v>215</v>
      </c>
      <c r="V230" s="17" t="s">
        <v>915</v>
      </c>
      <c r="W230" s="12">
        <v>42217</v>
      </c>
      <c r="X230" s="13"/>
      <c r="Y230" s="12">
        <v>42735</v>
      </c>
      <c r="Z230" s="2"/>
      <c r="AA230" s="2" t="s">
        <v>479</v>
      </c>
      <c r="AB230" s="7" t="s">
        <v>787</v>
      </c>
      <c r="AC230" s="5">
        <v>1000</v>
      </c>
      <c r="AD230" s="5">
        <f>+AC230</f>
        <v>1000</v>
      </c>
      <c r="AE230" s="5">
        <v>1170</v>
      </c>
      <c r="AF230" s="5">
        <f t="shared" si="228"/>
        <v>1310</v>
      </c>
      <c r="AG230" s="5">
        <f t="shared" si="233"/>
        <v>1310</v>
      </c>
      <c r="AH230" s="5">
        <f t="shared" si="233"/>
        <v>1310</v>
      </c>
      <c r="AI230" s="5">
        <f t="shared" ref="AI230:AJ230" si="245">+AH230</f>
        <v>1310</v>
      </c>
      <c r="AJ230" s="5">
        <f t="shared" si="245"/>
        <v>1310</v>
      </c>
      <c r="AK230" s="2"/>
      <c r="AL230" s="106"/>
    </row>
    <row r="231" spans="1:38" s="6" customFormat="1" ht="15" customHeight="1" x14ac:dyDescent="0.2">
      <c r="A231" s="29" t="s">
        <v>824</v>
      </c>
      <c r="B231" s="29" t="s">
        <v>822</v>
      </c>
      <c r="C231" s="29" t="s">
        <v>823</v>
      </c>
      <c r="D231" s="2" t="s">
        <v>800</v>
      </c>
      <c r="E231" s="2" t="s">
        <v>483</v>
      </c>
      <c r="F231" s="2"/>
      <c r="G231" s="2"/>
      <c r="H231" s="2" t="s">
        <v>1707</v>
      </c>
      <c r="I231" s="2"/>
      <c r="J231" s="28" t="s">
        <v>254</v>
      </c>
      <c r="K231" s="28"/>
      <c r="L231" s="42" t="s">
        <v>267</v>
      </c>
      <c r="M231" s="4" t="s">
        <v>3</v>
      </c>
      <c r="N231" s="15">
        <v>29919350</v>
      </c>
      <c r="O231" s="88">
        <v>27109341202</v>
      </c>
      <c r="P231" s="38"/>
      <c r="Q231" s="38"/>
      <c r="R231" s="38"/>
      <c r="S231" s="38"/>
      <c r="T231" s="38"/>
      <c r="U231" s="16" t="s">
        <v>796</v>
      </c>
      <c r="V231" s="16" t="s">
        <v>916</v>
      </c>
      <c r="W231" s="12">
        <v>41671</v>
      </c>
      <c r="X231" s="12">
        <v>42460</v>
      </c>
      <c r="Y231" s="12">
        <v>42735</v>
      </c>
      <c r="Z231" s="2" t="s">
        <v>17</v>
      </c>
      <c r="AA231" s="2"/>
      <c r="AB231" s="18"/>
      <c r="AC231" s="5">
        <v>1000</v>
      </c>
      <c r="AD231" s="5"/>
      <c r="AE231" s="5">
        <v>1170</v>
      </c>
      <c r="AF231" s="5">
        <f t="shared" si="228"/>
        <v>1310</v>
      </c>
      <c r="AG231" s="5">
        <f t="shared" si="233"/>
        <v>1310</v>
      </c>
      <c r="AH231" s="5">
        <f t="shared" si="233"/>
        <v>1310</v>
      </c>
      <c r="AI231" s="5">
        <f t="shared" ref="AI231:AJ231" si="246">+AH231</f>
        <v>1310</v>
      </c>
      <c r="AJ231" s="5">
        <f t="shared" si="246"/>
        <v>1310</v>
      </c>
      <c r="AK231" s="2"/>
      <c r="AL231" s="105" t="str">
        <f>+Z231</f>
        <v>C1</v>
      </c>
    </row>
    <row r="232" spans="1:38" s="6" customFormat="1" ht="15" customHeight="1" x14ac:dyDescent="0.2">
      <c r="A232" s="29" t="s">
        <v>824</v>
      </c>
      <c r="B232" s="2" t="s">
        <v>822</v>
      </c>
      <c r="C232" s="29" t="s">
        <v>823</v>
      </c>
      <c r="D232" s="2" t="s">
        <v>808</v>
      </c>
      <c r="E232" s="2" t="s">
        <v>216</v>
      </c>
      <c r="F232" s="2" t="s">
        <v>1066</v>
      </c>
      <c r="G232" s="2"/>
      <c r="H232" s="3"/>
      <c r="I232" s="2" t="s">
        <v>1066</v>
      </c>
      <c r="J232" s="28"/>
      <c r="K232" s="28" t="s">
        <v>1765</v>
      </c>
      <c r="L232" s="42" t="s">
        <v>1084</v>
      </c>
      <c r="M232" s="7" t="s">
        <v>3</v>
      </c>
      <c r="N232" s="15">
        <v>39245263</v>
      </c>
      <c r="O232" s="88">
        <v>27392452635</v>
      </c>
      <c r="P232" s="38">
        <v>34953</v>
      </c>
      <c r="Q232" s="38"/>
      <c r="R232" s="38"/>
      <c r="S232" s="38"/>
      <c r="T232" s="38"/>
      <c r="U232" s="17" t="s">
        <v>215</v>
      </c>
      <c r="V232" s="17" t="s">
        <v>915</v>
      </c>
      <c r="W232" s="12">
        <v>42505</v>
      </c>
      <c r="X232" s="19"/>
      <c r="Y232" s="12">
        <v>42735</v>
      </c>
      <c r="Z232" s="2"/>
      <c r="AA232" s="2" t="s">
        <v>479</v>
      </c>
      <c r="AB232" s="2"/>
      <c r="AC232" s="5">
        <v>1000</v>
      </c>
      <c r="AD232" s="5">
        <v>1070</v>
      </c>
      <c r="AE232" s="5">
        <v>1170</v>
      </c>
      <c r="AF232" s="5">
        <f t="shared" si="228"/>
        <v>1310</v>
      </c>
      <c r="AG232" s="5">
        <f t="shared" si="233"/>
        <v>1310</v>
      </c>
      <c r="AH232" s="5">
        <f t="shared" si="233"/>
        <v>1310</v>
      </c>
      <c r="AI232" s="5">
        <f t="shared" ref="AI232:AJ232" si="247">+AH232</f>
        <v>1310</v>
      </c>
      <c r="AJ232" s="5">
        <f t="shared" si="247"/>
        <v>1310</v>
      </c>
      <c r="AK232" s="2" t="s">
        <v>42</v>
      </c>
      <c r="AL232" s="105" t="str">
        <f>+AK232</f>
        <v>C0</v>
      </c>
    </row>
    <row r="233" spans="1:38" s="6" customFormat="1" ht="15" customHeight="1" x14ac:dyDescent="0.2">
      <c r="A233" s="29" t="s">
        <v>824</v>
      </c>
      <c r="B233" s="2" t="s">
        <v>822</v>
      </c>
      <c r="C233" s="29" t="s">
        <v>823</v>
      </c>
      <c r="D233" s="2" t="s">
        <v>808</v>
      </c>
      <c r="E233" s="2" t="s">
        <v>895</v>
      </c>
      <c r="F233" s="3"/>
      <c r="G233" s="3"/>
      <c r="H233" s="2" t="s">
        <v>896</v>
      </c>
      <c r="I233" s="2" t="s">
        <v>223</v>
      </c>
      <c r="J233" s="28" t="s">
        <v>73</v>
      </c>
      <c r="K233" s="28" t="s">
        <v>1765</v>
      </c>
      <c r="L233" s="41" t="s">
        <v>847</v>
      </c>
      <c r="M233" s="4" t="s">
        <v>3</v>
      </c>
      <c r="N233" s="15">
        <v>22896765</v>
      </c>
      <c r="O233" s="88" t="s">
        <v>1215</v>
      </c>
      <c r="P233" s="38">
        <v>26667</v>
      </c>
      <c r="Q233" s="38"/>
      <c r="R233" s="38"/>
      <c r="S233" s="38"/>
      <c r="T233" s="38"/>
      <c r="U233" s="17" t="s">
        <v>215</v>
      </c>
      <c r="V233" s="17" t="s">
        <v>915</v>
      </c>
      <c r="W233" s="12">
        <v>42370</v>
      </c>
      <c r="X233" s="48"/>
      <c r="Y233" s="12">
        <v>42735</v>
      </c>
      <c r="Z233" s="2"/>
      <c r="AA233" s="2" t="s">
        <v>479</v>
      </c>
      <c r="AB233" s="3" t="s">
        <v>10</v>
      </c>
      <c r="AC233" s="5">
        <v>1000</v>
      </c>
      <c r="AD233" s="5">
        <f>+AC233*1.07</f>
        <v>1070</v>
      </c>
      <c r="AE233" s="5">
        <v>1170</v>
      </c>
      <c r="AF233" s="5">
        <f t="shared" si="228"/>
        <v>1310</v>
      </c>
      <c r="AG233" s="5">
        <f t="shared" si="233"/>
        <v>1310</v>
      </c>
      <c r="AH233" s="5">
        <f t="shared" si="233"/>
        <v>1310</v>
      </c>
      <c r="AI233" s="5">
        <f t="shared" ref="AI233:AJ233" si="248">+AH233</f>
        <v>1310</v>
      </c>
      <c r="AJ233" s="5">
        <f t="shared" si="248"/>
        <v>1310</v>
      </c>
      <c r="AK233" s="2" t="s">
        <v>43</v>
      </c>
      <c r="AL233" s="105" t="str">
        <f>+AK233</f>
        <v>A0</v>
      </c>
    </row>
    <row r="234" spans="1:38" s="6" customFormat="1" ht="15" customHeight="1" x14ac:dyDescent="0.2">
      <c r="A234" s="29" t="s">
        <v>824</v>
      </c>
      <c r="B234" s="29"/>
      <c r="C234" s="14"/>
      <c r="D234" s="2" t="s">
        <v>820</v>
      </c>
      <c r="E234" s="2"/>
      <c r="F234" s="3"/>
      <c r="G234" s="3"/>
      <c r="H234" s="2" t="s">
        <v>884</v>
      </c>
      <c r="I234" s="2" t="s">
        <v>1707</v>
      </c>
      <c r="J234" s="28"/>
      <c r="K234" s="28" t="s">
        <v>1765</v>
      </c>
      <c r="L234" s="41" t="s">
        <v>1033</v>
      </c>
      <c r="M234" s="4" t="s">
        <v>3</v>
      </c>
      <c r="N234" s="15">
        <v>12945483</v>
      </c>
      <c r="O234" s="88" t="s">
        <v>1155</v>
      </c>
      <c r="P234" s="38">
        <v>21470</v>
      </c>
      <c r="Q234" s="38"/>
      <c r="R234" s="38"/>
      <c r="S234" s="38"/>
      <c r="T234" s="38"/>
      <c r="U234" s="17" t="s">
        <v>215</v>
      </c>
      <c r="V234" s="17" t="s">
        <v>915</v>
      </c>
      <c r="W234" s="12">
        <v>42370</v>
      </c>
      <c r="X234" s="48"/>
      <c r="Y234" s="12">
        <v>42735</v>
      </c>
      <c r="Z234" s="2"/>
      <c r="AA234" s="2" t="s">
        <v>479</v>
      </c>
      <c r="AB234" s="3" t="s">
        <v>10</v>
      </c>
      <c r="AC234" s="5">
        <v>1000</v>
      </c>
      <c r="AD234" s="5">
        <f>+AC234*1.07</f>
        <v>1070</v>
      </c>
      <c r="AE234" s="5">
        <v>1170</v>
      </c>
      <c r="AF234" s="5">
        <f t="shared" si="228"/>
        <v>1310</v>
      </c>
      <c r="AG234" s="5">
        <f t="shared" si="233"/>
        <v>1310</v>
      </c>
      <c r="AH234" s="5">
        <f t="shared" si="233"/>
        <v>1310</v>
      </c>
      <c r="AI234" s="5">
        <f t="shared" ref="AI234:AJ234" si="249">+AH234</f>
        <v>1310</v>
      </c>
      <c r="AJ234" s="5">
        <f t="shared" si="249"/>
        <v>1310</v>
      </c>
      <c r="AK234" s="2" t="s">
        <v>53</v>
      </c>
      <c r="AL234" s="105" t="str">
        <f>+AK234</f>
        <v>B0</v>
      </c>
    </row>
    <row r="235" spans="1:38" s="6" customFormat="1" ht="15" customHeight="1" x14ac:dyDescent="0.2">
      <c r="A235" s="29" t="s">
        <v>824</v>
      </c>
      <c r="B235" s="29" t="s">
        <v>822</v>
      </c>
      <c r="C235" s="29" t="s">
        <v>823</v>
      </c>
      <c r="D235" s="2" t="s">
        <v>800</v>
      </c>
      <c r="E235" s="2"/>
      <c r="F235" s="3"/>
      <c r="G235" s="3"/>
      <c r="H235" s="2" t="s">
        <v>884</v>
      </c>
      <c r="I235" s="2" t="s">
        <v>1707</v>
      </c>
      <c r="J235" s="28" t="s">
        <v>254</v>
      </c>
      <c r="K235" s="28" t="s">
        <v>1767</v>
      </c>
      <c r="L235" s="41" t="s">
        <v>1034</v>
      </c>
      <c r="M235" s="4" t="s">
        <v>3</v>
      </c>
      <c r="N235" s="15">
        <v>29041166</v>
      </c>
      <c r="O235" s="88" t="s">
        <v>1579</v>
      </c>
      <c r="P235" s="38">
        <v>29831</v>
      </c>
      <c r="Q235" s="38"/>
      <c r="R235" s="38"/>
      <c r="S235" s="38"/>
      <c r="T235" s="38"/>
      <c r="U235" s="17" t="s">
        <v>215</v>
      </c>
      <c r="V235" s="17" t="s">
        <v>915</v>
      </c>
      <c r="W235" s="12">
        <v>42370</v>
      </c>
      <c r="X235" s="48"/>
      <c r="Y235" s="12">
        <v>42735</v>
      </c>
      <c r="Z235" s="2"/>
      <c r="AA235" s="2" t="s">
        <v>479</v>
      </c>
      <c r="AB235" s="3" t="s">
        <v>10</v>
      </c>
      <c r="AC235" s="5">
        <v>1000</v>
      </c>
      <c r="AD235" s="5">
        <v>1070</v>
      </c>
      <c r="AE235" s="5">
        <v>1170</v>
      </c>
      <c r="AF235" s="5">
        <f t="shared" si="228"/>
        <v>1310</v>
      </c>
      <c r="AG235" s="5">
        <f t="shared" si="233"/>
        <v>1310</v>
      </c>
      <c r="AH235" s="5">
        <f t="shared" si="233"/>
        <v>1310</v>
      </c>
      <c r="AI235" s="5">
        <f t="shared" ref="AI235:AJ235" si="250">+AH235</f>
        <v>1310</v>
      </c>
      <c r="AJ235" s="5">
        <f t="shared" si="250"/>
        <v>1310</v>
      </c>
      <c r="AK235" s="2" t="s">
        <v>43</v>
      </c>
      <c r="AL235" s="105" t="str">
        <f>+AK235</f>
        <v>A0</v>
      </c>
    </row>
    <row r="236" spans="1:38" s="6" customFormat="1" ht="15" customHeight="1" x14ac:dyDescent="0.2">
      <c r="A236" s="29" t="s">
        <v>824</v>
      </c>
      <c r="B236" s="2" t="s">
        <v>822</v>
      </c>
      <c r="C236" s="3"/>
      <c r="D236" s="2" t="s">
        <v>825</v>
      </c>
      <c r="E236" s="3" t="s">
        <v>18</v>
      </c>
      <c r="F236" s="2" t="s">
        <v>19</v>
      </c>
      <c r="G236" s="2"/>
      <c r="H236" s="2" t="s">
        <v>37</v>
      </c>
      <c r="I236" s="2" t="s">
        <v>1761</v>
      </c>
      <c r="J236" s="28" t="s">
        <v>548</v>
      </c>
      <c r="K236" s="28" t="s">
        <v>548</v>
      </c>
      <c r="L236" s="44" t="s">
        <v>613</v>
      </c>
      <c r="M236" s="4" t="s">
        <v>3</v>
      </c>
      <c r="N236" s="15">
        <v>31912459</v>
      </c>
      <c r="O236" s="88" t="s">
        <v>1401</v>
      </c>
      <c r="P236" s="38">
        <v>31347</v>
      </c>
      <c r="Q236" s="38"/>
      <c r="R236" s="38"/>
      <c r="S236" s="38"/>
      <c r="T236" s="38"/>
      <c r="U236" s="17" t="s">
        <v>215</v>
      </c>
      <c r="V236" s="17" t="s">
        <v>915</v>
      </c>
      <c r="W236" s="12">
        <v>41555</v>
      </c>
      <c r="X236" s="13"/>
      <c r="Y236" s="12">
        <v>42735</v>
      </c>
      <c r="Z236" s="2"/>
      <c r="AA236" s="2" t="s">
        <v>479</v>
      </c>
      <c r="AB236" s="7" t="s">
        <v>787</v>
      </c>
      <c r="AC236" s="5">
        <v>1000</v>
      </c>
      <c r="AD236" s="5">
        <f>+AC236</f>
        <v>1000</v>
      </c>
      <c r="AE236" s="5">
        <v>1170</v>
      </c>
      <c r="AF236" s="5">
        <f t="shared" si="228"/>
        <v>1310</v>
      </c>
      <c r="AG236" s="5">
        <f t="shared" si="233"/>
        <v>1310</v>
      </c>
      <c r="AH236" s="5">
        <f t="shared" si="233"/>
        <v>1310</v>
      </c>
      <c r="AI236" s="5">
        <f t="shared" ref="AI236:AJ236" si="251">+AH236</f>
        <v>1310</v>
      </c>
      <c r="AJ236" s="5">
        <f t="shared" si="251"/>
        <v>1310</v>
      </c>
      <c r="AK236" s="2"/>
      <c r="AL236" s="106"/>
    </row>
    <row r="237" spans="1:38" s="6" customFormat="1" ht="15" customHeight="1" x14ac:dyDescent="0.2">
      <c r="A237" s="29" t="s">
        <v>824</v>
      </c>
      <c r="B237" s="29" t="s">
        <v>822</v>
      </c>
      <c r="C237" s="29" t="s">
        <v>823</v>
      </c>
      <c r="D237" s="2" t="s">
        <v>800</v>
      </c>
      <c r="E237" s="3"/>
      <c r="F237" s="2"/>
      <c r="G237" s="2"/>
      <c r="H237" s="2" t="s">
        <v>884</v>
      </c>
      <c r="I237" s="2"/>
      <c r="J237" s="28" t="s">
        <v>254</v>
      </c>
      <c r="K237" s="28"/>
      <c r="L237" s="44" t="s">
        <v>1835</v>
      </c>
      <c r="M237" s="7" t="s">
        <v>3</v>
      </c>
      <c r="N237" s="15">
        <v>37206132</v>
      </c>
      <c r="O237" s="88">
        <v>20372061325</v>
      </c>
      <c r="P237" s="38"/>
      <c r="Q237" s="38"/>
      <c r="R237" s="38"/>
      <c r="S237" s="38"/>
      <c r="T237" s="38"/>
      <c r="U237" s="17" t="s">
        <v>215</v>
      </c>
      <c r="V237" s="17" t="s">
        <v>915</v>
      </c>
      <c r="W237" s="12"/>
      <c r="X237" s="13"/>
      <c r="Y237" s="12"/>
      <c r="Z237" s="2"/>
      <c r="AA237" s="2"/>
      <c r="AB237" s="7"/>
      <c r="AC237" s="5"/>
      <c r="AD237" s="5"/>
      <c r="AE237" s="5">
        <v>1170</v>
      </c>
      <c r="AF237" s="5">
        <f t="shared" si="228"/>
        <v>0</v>
      </c>
      <c r="AG237" s="5">
        <f>+AF237</f>
        <v>0</v>
      </c>
      <c r="AH237" s="5">
        <f>+AG237</f>
        <v>0</v>
      </c>
      <c r="AI237" s="5">
        <f t="shared" ref="AI237:AJ237" si="252">+AH237</f>
        <v>0</v>
      </c>
      <c r="AJ237" s="5">
        <f t="shared" si="252"/>
        <v>0</v>
      </c>
      <c r="AK237" s="2"/>
      <c r="AL237" s="106"/>
    </row>
    <row r="238" spans="1:38" s="6" customFormat="1" ht="15" customHeight="1" x14ac:dyDescent="0.2">
      <c r="A238" s="29" t="s">
        <v>824</v>
      </c>
      <c r="B238" s="29" t="s">
        <v>822</v>
      </c>
      <c r="C238" s="29" t="s">
        <v>823</v>
      </c>
      <c r="D238" s="2" t="s">
        <v>800</v>
      </c>
      <c r="E238" s="3"/>
      <c r="F238" s="2"/>
      <c r="G238" s="2"/>
      <c r="H238" s="2" t="s">
        <v>884</v>
      </c>
      <c r="I238" s="2"/>
      <c r="J238" s="28" t="s">
        <v>254</v>
      </c>
      <c r="K238" s="28"/>
      <c r="L238" s="44" t="s">
        <v>1836</v>
      </c>
      <c r="M238" s="7" t="s">
        <v>3</v>
      </c>
      <c r="N238" s="15">
        <v>25539605</v>
      </c>
      <c r="O238" s="88"/>
      <c r="P238" s="38"/>
      <c r="Q238" s="38"/>
      <c r="R238" s="38"/>
      <c r="S238" s="38"/>
      <c r="T238" s="38"/>
      <c r="U238" s="17" t="s">
        <v>215</v>
      </c>
      <c r="V238" s="17" t="s">
        <v>915</v>
      </c>
      <c r="W238" s="12"/>
      <c r="X238" s="13"/>
      <c r="Y238" s="12"/>
      <c r="Z238" s="2"/>
      <c r="AA238" s="2"/>
      <c r="AB238" s="7"/>
      <c r="AC238" s="5"/>
      <c r="AD238" s="5"/>
      <c r="AE238" s="5">
        <v>1170</v>
      </c>
      <c r="AF238" s="5">
        <f t="shared" si="228"/>
        <v>0</v>
      </c>
      <c r="AG238" s="5">
        <f>+AF238</f>
        <v>0</v>
      </c>
      <c r="AH238" s="5"/>
      <c r="AI238" s="5">
        <f t="shared" ref="AI238:AJ238" si="253">+AH238</f>
        <v>0</v>
      </c>
      <c r="AJ238" s="5">
        <f t="shared" si="253"/>
        <v>0</v>
      </c>
      <c r="AK238" s="2"/>
      <c r="AL238" s="106"/>
    </row>
    <row r="239" spans="1:38" s="6" customFormat="1" ht="15" customHeight="1" x14ac:dyDescent="0.2">
      <c r="A239" s="29" t="s">
        <v>824</v>
      </c>
      <c r="B239" s="29" t="s">
        <v>822</v>
      </c>
      <c r="C239" s="29" t="s">
        <v>823</v>
      </c>
      <c r="D239" s="2" t="s">
        <v>800</v>
      </c>
      <c r="E239" s="7" t="s">
        <v>503</v>
      </c>
      <c r="F239" s="7"/>
      <c r="G239" s="7"/>
      <c r="H239" s="8"/>
      <c r="I239" s="3" t="s">
        <v>1726</v>
      </c>
      <c r="J239" s="28" t="s">
        <v>254</v>
      </c>
      <c r="K239" s="28" t="s">
        <v>1767</v>
      </c>
      <c r="L239" s="42" t="s">
        <v>476</v>
      </c>
      <c r="M239" s="4" t="s">
        <v>3</v>
      </c>
      <c r="N239" s="15">
        <v>27287977</v>
      </c>
      <c r="O239" s="88" t="s">
        <v>1313</v>
      </c>
      <c r="P239" s="38">
        <v>29009</v>
      </c>
      <c r="Q239" s="38"/>
      <c r="R239" s="38"/>
      <c r="S239" s="38"/>
      <c r="T239" s="38"/>
      <c r="U239" s="17" t="s">
        <v>215</v>
      </c>
      <c r="V239" s="17" t="s">
        <v>915</v>
      </c>
      <c r="W239" s="12">
        <v>41365</v>
      </c>
      <c r="X239" s="13"/>
      <c r="Y239" s="12">
        <v>42735</v>
      </c>
      <c r="Z239" s="2"/>
      <c r="AA239" s="2" t="s">
        <v>479</v>
      </c>
      <c r="AB239" s="24" t="s">
        <v>479</v>
      </c>
      <c r="AC239" s="5">
        <v>1000</v>
      </c>
      <c r="AD239" s="5">
        <v>1070</v>
      </c>
      <c r="AE239" s="5">
        <v>1170</v>
      </c>
      <c r="AF239" s="5">
        <f t="shared" si="228"/>
        <v>1310</v>
      </c>
      <c r="AG239" s="5">
        <f t="shared" si="233"/>
        <v>1310</v>
      </c>
      <c r="AH239" s="5">
        <f t="shared" si="233"/>
        <v>1310</v>
      </c>
      <c r="AI239" s="5">
        <f t="shared" ref="AI239:AJ239" si="254">+AH239</f>
        <v>1310</v>
      </c>
      <c r="AJ239" s="5">
        <f t="shared" si="254"/>
        <v>1310</v>
      </c>
      <c r="AK239" s="2" t="s">
        <v>43</v>
      </c>
      <c r="AL239" s="105" t="str">
        <f>+AK239</f>
        <v>A0</v>
      </c>
    </row>
    <row r="240" spans="1:38" s="6" customFormat="1" ht="15" customHeight="1" x14ac:dyDescent="0.2">
      <c r="A240" s="29" t="s">
        <v>824</v>
      </c>
      <c r="B240" s="2" t="s">
        <v>822</v>
      </c>
      <c r="C240" s="29" t="s">
        <v>823</v>
      </c>
      <c r="D240" s="2" t="s">
        <v>808</v>
      </c>
      <c r="E240" s="2" t="s">
        <v>216</v>
      </c>
      <c r="F240" s="2" t="s">
        <v>1066</v>
      </c>
      <c r="G240" s="7"/>
      <c r="H240" s="8"/>
      <c r="I240" s="2" t="s">
        <v>1066</v>
      </c>
      <c r="J240" s="28"/>
      <c r="K240" s="28" t="s">
        <v>1765</v>
      </c>
      <c r="L240" s="42" t="s">
        <v>1134</v>
      </c>
      <c r="M240" s="7" t="s">
        <v>3</v>
      </c>
      <c r="N240" s="15">
        <v>39372628</v>
      </c>
      <c r="O240" s="88">
        <v>20393726289</v>
      </c>
      <c r="P240" s="38">
        <v>35006</v>
      </c>
      <c r="Q240" s="38"/>
      <c r="R240" s="38"/>
      <c r="S240" s="38"/>
      <c r="T240" s="38"/>
      <c r="U240" s="17" t="s">
        <v>215</v>
      </c>
      <c r="V240" s="16" t="s">
        <v>915</v>
      </c>
      <c r="W240" s="12">
        <v>42522</v>
      </c>
      <c r="X240" s="48"/>
      <c r="Y240" s="12">
        <v>42735</v>
      </c>
      <c r="Z240" s="2"/>
      <c r="AA240" s="2" t="s">
        <v>479</v>
      </c>
      <c r="AB240" s="18"/>
      <c r="AC240" s="5"/>
      <c r="AD240" s="5">
        <v>1070</v>
      </c>
      <c r="AE240" s="5">
        <v>1170</v>
      </c>
      <c r="AF240" s="5">
        <f t="shared" si="228"/>
        <v>0</v>
      </c>
      <c r="AG240" s="5">
        <f t="shared" si="233"/>
        <v>0</v>
      </c>
      <c r="AH240" s="5">
        <f t="shared" si="233"/>
        <v>0</v>
      </c>
      <c r="AI240" s="5">
        <f t="shared" ref="AI240:AJ240" si="255">+AH240</f>
        <v>0</v>
      </c>
      <c r="AJ240" s="5">
        <f t="shared" si="255"/>
        <v>0</v>
      </c>
      <c r="AK240" s="2" t="s">
        <v>42</v>
      </c>
      <c r="AL240" s="105" t="str">
        <f>+AK240</f>
        <v>C0</v>
      </c>
    </row>
    <row r="241" spans="1:38" s="6" customFormat="1" ht="15" customHeight="1" x14ac:dyDescent="0.2">
      <c r="A241" s="29" t="s">
        <v>824</v>
      </c>
      <c r="B241" s="29" t="s">
        <v>822</v>
      </c>
      <c r="C241" s="29" t="s">
        <v>823</v>
      </c>
      <c r="D241" s="2" t="s">
        <v>800</v>
      </c>
      <c r="E241" s="2" t="s">
        <v>489</v>
      </c>
      <c r="F241" s="2"/>
      <c r="G241" s="2"/>
      <c r="H241" s="2"/>
      <c r="I241" s="3"/>
      <c r="J241" s="28" t="s">
        <v>254</v>
      </c>
      <c r="K241" s="28"/>
      <c r="L241" s="42" t="s">
        <v>332</v>
      </c>
      <c r="M241" s="4" t="s">
        <v>3</v>
      </c>
      <c r="N241" s="15">
        <v>20688117</v>
      </c>
      <c r="O241" s="88">
        <v>27206881173</v>
      </c>
      <c r="P241" s="38"/>
      <c r="Q241" s="38"/>
      <c r="R241" s="38"/>
      <c r="S241" s="38"/>
      <c r="T241" s="38"/>
      <c r="U241" s="16" t="s">
        <v>796</v>
      </c>
      <c r="V241" s="16" t="s">
        <v>916</v>
      </c>
      <c r="W241" s="12">
        <v>40909</v>
      </c>
      <c r="X241" s="48">
        <v>42735</v>
      </c>
      <c r="Y241" s="12">
        <v>42735</v>
      </c>
      <c r="Z241" s="2" t="s">
        <v>42</v>
      </c>
      <c r="AA241" s="2"/>
      <c r="AB241" s="18"/>
      <c r="AC241" s="5">
        <v>1000</v>
      </c>
      <c r="AD241" s="5"/>
      <c r="AE241" s="5">
        <v>1170</v>
      </c>
      <c r="AF241" s="5">
        <f t="shared" si="228"/>
        <v>1310</v>
      </c>
      <c r="AG241" s="5">
        <f t="shared" ref="AG241:AH260" si="256">+AF241</f>
        <v>1310</v>
      </c>
      <c r="AH241" s="5">
        <f t="shared" si="256"/>
        <v>1310</v>
      </c>
      <c r="AI241" s="5">
        <f t="shared" ref="AI241:AJ241" si="257">+AH241</f>
        <v>1310</v>
      </c>
      <c r="AJ241" s="5">
        <f t="shared" si="257"/>
        <v>1310</v>
      </c>
      <c r="AK241" s="2"/>
      <c r="AL241" s="105" t="str">
        <f>+Z241</f>
        <v>C0</v>
      </c>
    </row>
    <row r="242" spans="1:38" s="6" customFormat="1" ht="15" customHeight="1" x14ac:dyDescent="0.2">
      <c r="A242" s="29" t="s">
        <v>824</v>
      </c>
      <c r="B242" s="29"/>
      <c r="C242" s="29"/>
      <c r="D242" s="2" t="s">
        <v>820</v>
      </c>
      <c r="E242" s="2" t="s">
        <v>921</v>
      </c>
      <c r="F242" s="2" t="s">
        <v>525</v>
      </c>
      <c r="G242" s="3" t="s">
        <v>520</v>
      </c>
      <c r="H242" s="2" t="s">
        <v>234</v>
      </c>
      <c r="I242" s="3"/>
      <c r="J242" s="28"/>
      <c r="K242" s="28"/>
      <c r="L242" s="42" t="s">
        <v>815</v>
      </c>
      <c r="M242" s="7" t="s">
        <v>3</v>
      </c>
      <c r="N242" s="15">
        <v>22305941</v>
      </c>
      <c r="O242" s="88">
        <v>23223059414</v>
      </c>
      <c r="P242" s="61"/>
      <c r="Q242" s="61"/>
      <c r="R242" s="61"/>
      <c r="S242" s="61"/>
      <c r="T242" s="61"/>
      <c r="U242" s="16" t="s">
        <v>796</v>
      </c>
      <c r="V242" s="16" t="s">
        <v>916</v>
      </c>
      <c r="W242" s="12">
        <v>41974</v>
      </c>
      <c r="X242" s="12">
        <v>42460</v>
      </c>
      <c r="Y242" s="12">
        <v>42735</v>
      </c>
      <c r="Z242" s="2" t="s">
        <v>24</v>
      </c>
      <c r="AA242" s="2"/>
      <c r="AB242" s="24"/>
      <c r="AC242" s="5">
        <v>1000</v>
      </c>
      <c r="AD242" s="5"/>
      <c r="AE242" s="5">
        <v>1170</v>
      </c>
      <c r="AF242" s="5">
        <f t="shared" si="228"/>
        <v>1310</v>
      </c>
      <c r="AG242" s="5">
        <f t="shared" si="256"/>
        <v>1310</v>
      </c>
      <c r="AH242" s="5">
        <f t="shared" si="256"/>
        <v>1310</v>
      </c>
      <c r="AI242" s="5">
        <f t="shared" ref="AI242:AJ242" si="258">+AH242</f>
        <v>1310</v>
      </c>
      <c r="AJ242" s="5">
        <f t="shared" si="258"/>
        <v>1310</v>
      </c>
      <c r="AK242" s="2"/>
      <c r="AL242" s="105" t="str">
        <f>+Z242</f>
        <v>D0</v>
      </c>
    </row>
    <row r="243" spans="1:38" s="6" customFormat="1" ht="15" customHeight="1" x14ac:dyDescent="0.2">
      <c r="A243" s="29" t="s">
        <v>824</v>
      </c>
      <c r="B243" s="2" t="s">
        <v>822</v>
      </c>
      <c r="C243" s="29" t="s">
        <v>823</v>
      </c>
      <c r="D243" s="2" t="s">
        <v>808</v>
      </c>
      <c r="E243" s="2" t="s">
        <v>11</v>
      </c>
      <c r="F243" s="2" t="s">
        <v>218</v>
      </c>
      <c r="G243" s="2"/>
      <c r="H243" s="3"/>
      <c r="I243" s="2" t="s">
        <v>1707</v>
      </c>
      <c r="J243" s="28"/>
      <c r="K243" s="28" t="s">
        <v>1765</v>
      </c>
      <c r="L243" s="42" t="s">
        <v>1092</v>
      </c>
      <c r="M243" s="7" t="s">
        <v>3</v>
      </c>
      <c r="N243" s="15">
        <v>20593034</v>
      </c>
      <c r="O243" s="88">
        <v>27205930340</v>
      </c>
      <c r="P243" s="38">
        <v>25122</v>
      </c>
      <c r="Q243" s="38"/>
      <c r="R243" s="38"/>
      <c r="S243" s="38"/>
      <c r="T243" s="38"/>
      <c r="U243" s="17" t="s">
        <v>215</v>
      </c>
      <c r="V243" s="17" t="s">
        <v>915</v>
      </c>
      <c r="W243" s="12">
        <v>42522</v>
      </c>
      <c r="X243" s="19"/>
      <c r="Y243" s="12">
        <v>42735</v>
      </c>
      <c r="Z243" s="2"/>
      <c r="AA243" s="2" t="s">
        <v>479</v>
      </c>
      <c r="AB243" s="2"/>
      <c r="AC243" s="5"/>
      <c r="AD243" s="5">
        <v>1070</v>
      </c>
      <c r="AE243" s="5">
        <v>1170</v>
      </c>
      <c r="AF243" s="5">
        <f t="shared" si="228"/>
        <v>0</v>
      </c>
      <c r="AG243" s="5">
        <f t="shared" si="256"/>
        <v>0</v>
      </c>
      <c r="AH243" s="5">
        <f t="shared" si="256"/>
        <v>0</v>
      </c>
      <c r="AI243" s="5">
        <f t="shared" ref="AI243:AJ243" si="259">+AH243</f>
        <v>0</v>
      </c>
      <c r="AJ243" s="5">
        <f t="shared" si="259"/>
        <v>0</v>
      </c>
      <c r="AK243" s="2" t="s">
        <v>53</v>
      </c>
      <c r="AL243" s="105" t="str">
        <f>+AK243</f>
        <v>B0</v>
      </c>
    </row>
    <row r="244" spans="1:38" s="6" customFormat="1" ht="15" customHeight="1" x14ac:dyDescent="0.2">
      <c r="A244" s="29" t="s">
        <v>824</v>
      </c>
      <c r="B244" s="29" t="s">
        <v>822</v>
      </c>
      <c r="C244" s="29" t="s">
        <v>823</v>
      </c>
      <c r="D244" s="2" t="s">
        <v>800</v>
      </c>
      <c r="E244" s="7" t="s">
        <v>500</v>
      </c>
      <c r="F244" s="7"/>
      <c r="G244" s="7"/>
      <c r="H244" s="8"/>
      <c r="I244" s="3"/>
      <c r="J244" s="28" t="s">
        <v>254</v>
      </c>
      <c r="K244" s="28"/>
      <c r="L244" s="42" t="s">
        <v>434</v>
      </c>
      <c r="M244" s="4" t="s">
        <v>3</v>
      </c>
      <c r="N244" s="15">
        <v>17233895</v>
      </c>
      <c r="O244" s="88">
        <v>20172338950</v>
      </c>
      <c r="P244" s="38"/>
      <c r="Q244" s="38"/>
      <c r="R244" s="38"/>
      <c r="S244" s="38"/>
      <c r="T244" s="38"/>
      <c r="U244" s="16" t="s">
        <v>796</v>
      </c>
      <c r="V244" s="16" t="s">
        <v>916</v>
      </c>
      <c r="W244" s="12">
        <v>40725</v>
      </c>
      <c r="X244" s="48">
        <v>42735</v>
      </c>
      <c r="Y244" s="12">
        <v>42735</v>
      </c>
      <c r="Z244" s="2" t="s">
        <v>42</v>
      </c>
      <c r="AA244" s="2"/>
      <c r="AB244" s="18"/>
      <c r="AC244" s="5">
        <v>1000</v>
      </c>
      <c r="AD244" s="5"/>
      <c r="AE244" s="5">
        <v>1170</v>
      </c>
      <c r="AF244" s="5">
        <f t="shared" si="228"/>
        <v>1310</v>
      </c>
      <c r="AG244" s="5">
        <f t="shared" si="256"/>
        <v>1310</v>
      </c>
      <c r="AH244" s="5">
        <f t="shared" si="256"/>
        <v>1310</v>
      </c>
      <c r="AI244" s="5">
        <f t="shared" ref="AI244:AJ244" si="260">+AH244</f>
        <v>1310</v>
      </c>
      <c r="AJ244" s="5">
        <f t="shared" si="260"/>
        <v>1310</v>
      </c>
      <c r="AK244" s="2"/>
      <c r="AL244" s="105" t="str">
        <f>+Z244</f>
        <v>C0</v>
      </c>
    </row>
    <row r="245" spans="1:38" s="6" customFormat="1" ht="15" customHeight="1" x14ac:dyDescent="0.2">
      <c r="A245" s="29" t="s">
        <v>824</v>
      </c>
      <c r="B245" s="29" t="s">
        <v>822</v>
      </c>
      <c r="C245" s="29" t="s">
        <v>823</v>
      </c>
      <c r="D245" s="2" t="s">
        <v>808</v>
      </c>
      <c r="E245" s="2" t="s">
        <v>517</v>
      </c>
      <c r="F245" s="2"/>
      <c r="G245" s="2"/>
      <c r="H245" s="2"/>
      <c r="I245" s="3"/>
      <c r="J245" s="28" t="s">
        <v>73</v>
      </c>
      <c r="K245" s="28" t="s">
        <v>1765</v>
      </c>
      <c r="L245" s="42" t="s">
        <v>292</v>
      </c>
      <c r="M245" s="4" t="s">
        <v>3</v>
      </c>
      <c r="N245" s="15">
        <v>30366685</v>
      </c>
      <c r="O245" s="88">
        <v>27303666856</v>
      </c>
      <c r="P245" s="38"/>
      <c r="Q245" s="38"/>
      <c r="R245" s="38"/>
      <c r="S245" s="38"/>
      <c r="T245" s="38"/>
      <c r="U245" s="16" t="s">
        <v>796</v>
      </c>
      <c r="V245" s="16" t="s">
        <v>916</v>
      </c>
      <c r="W245" s="12">
        <v>41213</v>
      </c>
      <c r="X245" s="48">
        <v>42735</v>
      </c>
      <c r="Y245" s="12">
        <v>42735</v>
      </c>
      <c r="Z245" s="2" t="s">
        <v>42</v>
      </c>
      <c r="AA245" s="2"/>
      <c r="AB245" s="18"/>
      <c r="AC245" s="5">
        <v>1000</v>
      </c>
      <c r="AD245" s="5"/>
      <c r="AE245" s="5">
        <v>1170</v>
      </c>
      <c r="AF245" s="5">
        <f t="shared" si="228"/>
        <v>1310</v>
      </c>
      <c r="AG245" s="5">
        <f t="shared" si="256"/>
        <v>1310</v>
      </c>
      <c r="AH245" s="5">
        <f t="shared" si="256"/>
        <v>1310</v>
      </c>
      <c r="AI245" s="5">
        <f t="shared" ref="AI245:AJ245" si="261">+AH245</f>
        <v>1310</v>
      </c>
      <c r="AJ245" s="5">
        <f t="shared" si="261"/>
        <v>1310</v>
      </c>
      <c r="AK245" s="2"/>
      <c r="AL245" s="105" t="str">
        <f>+Z245</f>
        <v>C0</v>
      </c>
    </row>
    <row r="246" spans="1:38" s="6" customFormat="1" ht="15" customHeight="1" x14ac:dyDescent="0.2">
      <c r="A246" s="29" t="s">
        <v>824</v>
      </c>
      <c r="B246" s="2" t="s">
        <v>822</v>
      </c>
      <c r="C246" s="29"/>
      <c r="D246" s="2" t="s">
        <v>825</v>
      </c>
      <c r="E246" s="3" t="s">
        <v>8</v>
      </c>
      <c r="F246" s="2" t="s">
        <v>913</v>
      </c>
      <c r="G246" s="2"/>
      <c r="H246" s="2" t="s">
        <v>38</v>
      </c>
      <c r="I246" s="2" t="s">
        <v>13</v>
      </c>
      <c r="J246" s="28" t="s">
        <v>549</v>
      </c>
      <c r="K246" s="28" t="s">
        <v>549</v>
      </c>
      <c r="L246" s="41" t="s">
        <v>614</v>
      </c>
      <c r="M246" s="4" t="s">
        <v>3</v>
      </c>
      <c r="N246" s="15">
        <v>30666242</v>
      </c>
      <c r="O246" s="88">
        <v>20306662423</v>
      </c>
      <c r="P246" s="38">
        <v>30824</v>
      </c>
      <c r="Q246" s="38"/>
      <c r="R246" s="38"/>
      <c r="S246" s="38"/>
      <c r="T246" s="38"/>
      <c r="U246" s="17" t="s">
        <v>215</v>
      </c>
      <c r="V246" s="17" t="s">
        <v>915</v>
      </c>
      <c r="W246" s="12">
        <v>42248</v>
      </c>
      <c r="X246" s="13"/>
      <c r="Y246" s="12">
        <v>42735</v>
      </c>
      <c r="Z246" s="2"/>
      <c r="AA246" s="2" t="s">
        <v>479</v>
      </c>
      <c r="AB246" s="3" t="s">
        <v>10</v>
      </c>
      <c r="AC246" s="5">
        <v>1000</v>
      </c>
      <c r="AD246" s="5">
        <f>+AC246*1.07</f>
        <v>1070</v>
      </c>
      <c r="AE246" s="5">
        <v>1170</v>
      </c>
      <c r="AF246" s="5">
        <f t="shared" si="228"/>
        <v>1310</v>
      </c>
      <c r="AG246" s="5">
        <f t="shared" si="256"/>
        <v>1310</v>
      </c>
      <c r="AH246" s="5">
        <f t="shared" si="256"/>
        <v>1310</v>
      </c>
      <c r="AI246" s="5">
        <f t="shared" ref="AI246:AJ246" si="262">+AH246</f>
        <v>1310</v>
      </c>
      <c r="AJ246" s="5">
        <f t="shared" si="262"/>
        <v>1310</v>
      </c>
      <c r="AK246" s="2" t="s">
        <v>1815</v>
      </c>
      <c r="AL246" s="106"/>
    </row>
    <row r="247" spans="1:38" s="6" customFormat="1" ht="15" customHeight="1" x14ac:dyDescent="0.2">
      <c r="A247" s="29" t="s">
        <v>824</v>
      </c>
      <c r="B247" s="2" t="s">
        <v>822</v>
      </c>
      <c r="C247" s="3"/>
      <c r="D247" s="2" t="s">
        <v>825</v>
      </c>
      <c r="E247" s="3" t="s">
        <v>18</v>
      </c>
      <c r="F247" s="2" t="s">
        <v>19</v>
      </c>
      <c r="G247" s="2"/>
      <c r="H247" s="2" t="s">
        <v>50</v>
      </c>
      <c r="I247" s="3"/>
      <c r="J247" s="28" t="s">
        <v>548</v>
      </c>
      <c r="K247" s="28"/>
      <c r="L247" s="41" t="s">
        <v>615</v>
      </c>
      <c r="M247" s="4" t="s">
        <v>3</v>
      </c>
      <c r="N247" s="15">
        <v>24940117</v>
      </c>
      <c r="O247" s="88">
        <v>27249401175</v>
      </c>
      <c r="P247" s="61"/>
      <c r="Q247" s="61"/>
      <c r="R247" s="61"/>
      <c r="S247" s="61"/>
      <c r="T247" s="61"/>
      <c r="U247" s="16" t="s">
        <v>796</v>
      </c>
      <c r="V247" s="16" t="s">
        <v>916</v>
      </c>
      <c r="W247" s="12">
        <v>41609</v>
      </c>
      <c r="X247" s="12">
        <v>42460</v>
      </c>
      <c r="Y247" s="12">
        <v>42735</v>
      </c>
      <c r="Z247" s="2" t="s">
        <v>30</v>
      </c>
      <c r="AA247" s="2"/>
      <c r="AB247" s="3"/>
      <c r="AC247" s="5">
        <v>1000</v>
      </c>
      <c r="AD247" s="5"/>
      <c r="AE247" s="5">
        <v>1170</v>
      </c>
      <c r="AF247" s="5">
        <f t="shared" si="228"/>
        <v>1310</v>
      </c>
      <c r="AG247" s="5">
        <f t="shared" si="256"/>
        <v>1310</v>
      </c>
      <c r="AH247" s="5">
        <f t="shared" si="256"/>
        <v>1310</v>
      </c>
      <c r="AI247" s="5">
        <f t="shared" ref="AI247:AJ247" si="263">+AH247</f>
        <v>1310</v>
      </c>
      <c r="AJ247" s="5">
        <f t="shared" si="263"/>
        <v>1310</v>
      </c>
      <c r="AK247" s="2"/>
      <c r="AL247" s="105" t="str">
        <f>+Z247</f>
        <v>B1</v>
      </c>
    </row>
    <row r="248" spans="1:38" s="6" customFormat="1" ht="15" customHeight="1" x14ac:dyDescent="0.2">
      <c r="A248" s="29" t="s">
        <v>824</v>
      </c>
      <c r="B248" s="29" t="s">
        <v>822</v>
      </c>
      <c r="C248" s="29" t="s">
        <v>823</v>
      </c>
      <c r="D248" s="2" t="s">
        <v>800</v>
      </c>
      <c r="E248" s="7" t="s">
        <v>501</v>
      </c>
      <c r="F248" s="7"/>
      <c r="G248" s="7"/>
      <c r="H248" s="8"/>
      <c r="I248" s="3"/>
      <c r="J248" s="28" t="s">
        <v>254</v>
      </c>
      <c r="K248" s="28"/>
      <c r="L248" s="42" t="s">
        <v>440</v>
      </c>
      <c r="M248" s="4" t="s">
        <v>3</v>
      </c>
      <c r="N248" s="15">
        <v>36644944</v>
      </c>
      <c r="O248" s="88">
        <v>20366449443</v>
      </c>
      <c r="P248" s="38"/>
      <c r="Q248" s="38"/>
      <c r="R248" s="38"/>
      <c r="S248" s="38"/>
      <c r="T248" s="38"/>
      <c r="U248" s="16" t="s">
        <v>796</v>
      </c>
      <c r="V248" s="16" t="s">
        <v>916</v>
      </c>
      <c r="W248" s="12">
        <v>40969</v>
      </c>
      <c r="X248" s="48">
        <v>42735</v>
      </c>
      <c r="Y248" s="12">
        <v>42735</v>
      </c>
      <c r="Z248" s="2" t="s">
        <v>24</v>
      </c>
      <c r="AA248" s="2"/>
      <c r="AB248" s="18"/>
      <c r="AC248" s="5">
        <v>1000</v>
      </c>
      <c r="AD248" s="5"/>
      <c r="AE248" s="5">
        <v>1170</v>
      </c>
      <c r="AF248" s="5">
        <f t="shared" si="228"/>
        <v>1310</v>
      </c>
      <c r="AG248" s="5">
        <f t="shared" si="256"/>
        <v>1310</v>
      </c>
      <c r="AH248" s="5">
        <f t="shared" si="256"/>
        <v>1310</v>
      </c>
      <c r="AI248" s="5">
        <f t="shared" ref="AI248:AJ248" si="264">+AH248</f>
        <v>1310</v>
      </c>
      <c r="AJ248" s="5">
        <f t="shared" si="264"/>
        <v>1310</v>
      </c>
      <c r="AK248" s="2"/>
      <c r="AL248" s="105" t="str">
        <f>+Z248</f>
        <v>D0</v>
      </c>
    </row>
    <row r="249" spans="1:38" s="6" customFormat="1" ht="15" customHeight="1" x14ac:dyDescent="0.2">
      <c r="A249" s="29" t="s">
        <v>824</v>
      </c>
      <c r="B249" s="29"/>
      <c r="C249" s="14"/>
      <c r="D249" s="2" t="s">
        <v>820</v>
      </c>
      <c r="E249" s="2" t="s">
        <v>921</v>
      </c>
      <c r="F249" s="2" t="s">
        <v>217</v>
      </c>
      <c r="G249" s="3"/>
      <c r="H249" s="2" t="s">
        <v>230</v>
      </c>
      <c r="I249" s="2" t="s">
        <v>1707</v>
      </c>
      <c r="J249" s="28"/>
      <c r="K249" s="28" t="s">
        <v>1765</v>
      </c>
      <c r="L249" s="41" t="s">
        <v>1646</v>
      </c>
      <c r="M249" s="7" t="s">
        <v>3</v>
      </c>
      <c r="N249" s="15">
        <v>14799602</v>
      </c>
      <c r="O249" s="88">
        <v>27147996026</v>
      </c>
      <c r="P249" s="38">
        <v>22882</v>
      </c>
      <c r="Q249" s="38"/>
      <c r="R249" s="38"/>
      <c r="S249" s="38"/>
      <c r="T249" s="38"/>
      <c r="U249" s="17" t="s">
        <v>215</v>
      </c>
      <c r="V249" s="17" t="s">
        <v>915</v>
      </c>
      <c r="W249" s="12">
        <v>42565</v>
      </c>
      <c r="X249" s="48"/>
      <c r="Y249" s="48">
        <v>42735</v>
      </c>
      <c r="Z249" s="2"/>
      <c r="AA249" s="2" t="s">
        <v>479</v>
      </c>
      <c r="AB249" s="3"/>
      <c r="AC249" s="5"/>
      <c r="AD249" s="5"/>
      <c r="AE249" s="5">
        <v>1170</v>
      </c>
      <c r="AF249" s="5">
        <f t="shared" si="228"/>
        <v>0</v>
      </c>
      <c r="AG249" s="5">
        <f t="shared" si="256"/>
        <v>0</v>
      </c>
      <c r="AH249" s="5">
        <f t="shared" si="256"/>
        <v>0</v>
      </c>
      <c r="AI249" s="5">
        <f t="shared" ref="AI249:AJ249" si="265">+AH249</f>
        <v>0</v>
      </c>
      <c r="AJ249" s="5">
        <f t="shared" si="265"/>
        <v>0</v>
      </c>
      <c r="AK249" s="2" t="s">
        <v>42</v>
      </c>
      <c r="AL249" s="105" t="str">
        <f>+AK249</f>
        <v>C0</v>
      </c>
    </row>
    <row r="250" spans="1:38" s="6" customFormat="1" ht="15" customHeight="1" x14ac:dyDescent="0.2">
      <c r="A250" s="29" t="s">
        <v>824</v>
      </c>
      <c r="B250" s="29"/>
      <c r="C250" s="29"/>
      <c r="D250" s="2" t="s">
        <v>820</v>
      </c>
      <c r="E250" s="2" t="s">
        <v>921</v>
      </c>
      <c r="F250" s="2" t="s">
        <v>525</v>
      </c>
      <c r="G250" s="3" t="s">
        <v>520</v>
      </c>
      <c r="H250" s="2" t="s">
        <v>234</v>
      </c>
      <c r="I250" s="3"/>
      <c r="J250" s="28" t="s">
        <v>73</v>
      </c>
      <c r="K250" s="28"/>
      <c r="L250" s="45" t="s">
        <v>788</v>
      </c>
      <c r="M250" s="4" t="s">
        <v>3</v>
      </c>
      <c r="N250" s="15">
        <v>18315881</v>
      </c>
      <c r="O250" s="88">
        <v>20183158814</v>
      </c>
      <c r="P250" s="61"/>
      <c r="Q250" s="61"/>
      <c r="R250" s="61"/>
      <c r="S250" s="61"/>
      <c r="T250" s="61"/>
      <c r="U250" s="16" t="s">
        <v>796</v>
      </c>
      <c r="V250" s="16" t="s">
        <v>916</v>
      </c>
      <c r="W250" s="12">
        <v>41974</v>
      </c>
      <c r="X250" s="12">
        <v>42460</v>
      </c>
      <c r="Y250" s="12">
        <v>42735</v>
      </c>
      <c r="Z250" s="2" t="s">
        <v>24</v>
      </c>
      <c r="AA250" s="2"/>
      <c r="AB250" s="14"/>
      <c r="AC250" s="5">
        <v>1000</v>
      </c>
      <c r="AD250" s="5"/>
      <c r="AE250" s="5">
        <v>1170</v>
      </c>
      <c r="AF250" s="5">
        <f t="shared" si="228"/>
        <v>1310</v>
      </c>
      <c r="AG250" s="5">
        <f t="shared" si="256"/>
        <v>1310</v>
      </c>
      <c r="AH250" s="5">
        <f t="shared" si="256"/>
        <v>1310</v>
      </c>
      <c r="AI250" s="5">
        <f t="shared" ref="AI250:AJ250" si="266">+AH250</f>
        <v>1310</v>
      </c>
      <c r="AJ250" s="5">
        <f t="shared" si="266"/>
        <v>1310</v>
      </c>
      <c r="AK250" s="2"/>
      <c r="AL250" s="105" t="str">
        <f>+Z250</f>
        <v>D0</v>
      </c>
    </row>
    <row r="251" spans="1:38" s="6" customFormat="1" ht="15" customHeight="1" x14ac:dyDescent="0.2">
      <c r="A251" s="29" t="s">
        <v>824</v>
      </c>
      <c r="B251" s="29" t="s">
        <v>822</v>
      </c>
      <c r="C251" s="29" t="s">
        <v>823</v>
      </c>
      <c r="D251" s="2" t="s">
        <v>800</v>
      </c>
      <c r="E251" s="2"/>
      <c r="F251" s="3"/>
      <c r="G251" s="3"/>
      <c r="H251" s="2" t="s">
        <v>884</v>
      </c>
      <c r="I251" s="2" t="s">
        <v>1707</v>
      </c>
      <c r="J251" s="28" t="s">
        <v>254</v>
      </c>
      <c r="K251" s="28" t="s">
        <v>1767</v>
      </c>
      <c r="L251" s="41" t="s">
        <v>881</v>
      </c>
      <c r="M251" s="4" t="s">
        <v>3</v>
      </c>
      <c r="N251" s="15">
        <v>24753217</v>
      </c>
      <c r="O251" s="88" t="s">
        <v>1580</v>
      </c>
      <c r="P251" s="38">
        <v>27598</v>
      </c>
      <c r="Q251" s="38"/>
      <c r="R251" s="38"/>
      <c r="S251" s="38"/>
      <c r="T251" s="38"/>
      <c r="U251" s="17" t="s">
        <v>215</v>
      </c>
      <c r="V251" s="17" t="s">
        <v>915</v>
      </c>
      <c r="W251" s="12">
        <v>42370</v>
      </c>
      <c r="X251" s="48"/>
      <c r="Y251" s="12">
        <v>42735</v>
      </c>
      <c r="Z251" s="2"/>
      <c r="AA251" s="2" t="s">
        <v>479</v>
      </c>
      <c r="AB251" s="3" t="s">
        <v>10</v>
      </c>
      <c r="AC251" s="5">
        <v>1000</v>
      </c>
      <c r="AD251" s="5">
        <v>1070</v>
      </c>
      <c r="AE251" s="5">
        <v>1170</v>
      </c>
      <c r="AF251" s="5">
        <f t="shared" si="228"/>
        <v>1310</v>
      </c>
      <c r="AG251" s="5">
        <f t="shared" si="256"/>
        <v>1310</v>
      </c>
      <c r="AH251" s="5">
        <f t="shared" si="256"/>
        <v>1310</v>
      </c>
      <c r="AI251" s="5">
        <f t="shared" ref="AI251:AJ251" si="267">+AH251</f>
        <v>1310</v>
      </c>
      <c r="AJ251" s="5">
        <f t="shared" si="267"/>
        <v>1310</v>
      </c>
      <c r="AK251" s="2" t="s">
        <v>43</v>
      </c>
      <c r="AL251" s="105" t="str">
        <f>+AK251</f>
        <v>A0</v>
      </c>
    </row>
    <row r="252" spans="1:38" s="6" customFormat="1" ht="15" customHeight="1" x14ac:dyDescent="0.2">
      <c r="A252" s="29" t="s">
        <v>824</v>
      </c>
      <c r="B252" s="2" t="s">
        <v>822</v>
      </c>
      <c r="C252" s="3"/>
      <c r="D252" s="2" t="s">
        <v>825</v>
      </c>
      <c r="E252" s="3" t="s">
        <v>18</v>
      </c>
      <c r="F252" s="2" t="s">
        <v>19</v>
      </c>
      <c r="G252" s="2"/>
      <c r="H252" s="2" t="s">
        <v>50</v>
      </c>
      <c r="I252" s="2" t="s">
        <v>1707</v>
      </c>
      <c r="J252" s="28" t="s">
        <v>548</v>
      </c>
      <c r="K252" s="28" t="s">
        <v>548</v>
      </c>
      <c r="L252" s="44" t="s">
        <v>616</v>
      </c>
      <c r="M252" s="4" t="s">
        <v>3</v>
      </c>
      <c r="N252" s="15">
        <v>94614938</v>
      </c>
      <c r="O252" s="88" t="s">
        <v>1576</v>
      </c>
      <c r="P252" s="38">
        <v>26907</v>
      </c>
      <c r="Q252" s="38"/>
      <c r="R252" s="38"/>
      <c r="S252" s="38"/>
      <c r="T252" s="38"/>
      <c r="U252" s="17" t="s">
        <v>215</v>
      </c>
      <c r="V252" s="17" t="s">
        <v>915</v>
      </c>
      <c r="W252" s="12">
        <v>40808</v>
      </c>
      <c r="X252" s="13"/>
      <c r="Y252" s="12">
        <v>42735</v>
      </c>
      <c r="Z252" s="2"/>
      <c r="AA252" s="2" t="s">
        <v>479</v>
      </c>
      <c r="AB252" s="7" t="s">
        <v>787</v>
      </c>
      <c r="AC252" s="5">
        <v>1000</v>
      </c>
      <c r="AD252" s="5">
        <f>+AC252</f>
        <v>1000</v>
      </c>
      <c r="AE252" s="5">
        <v>1170</v>
      </c>
      <c r="AF252" s="5">
        <f t="shared" si="228"/>
        <v>1310</v>
      </c>
      <c r="AG252" s="5">
        <f t="shared" si="256"/>
        <v>1310</v>
      </c>
      <c r="AH252" s="5">
        <f t="shared" si="256"/>
        <v>1310</v>
      </c>
      <c r="AI252" s="5">
        <f t="shared" ref="AI252:AJ252" si="268">+AH252</f>
        <v>1310</v>
      </c>
      <c r="AJ252" s="5">
        <f t="shared" si="268"/>
        <v>1310</v>
      </c>
      <c r="AK252" s="29"/>
      <c r="AL252" s="8"/>
    </row>
    <row r="253" spans="1:38" s="6" customFormat="1" ht="15" customHeight="1" x14ac:dyDescent="0.2">
      <c r="A253" s="29" t="s">
        <v>824</v>
      </c>
      <c r="B253" s="29" t="s">
        <v>822</v>
      </c>
      <c r="C253" s="29" t="s">
        <v>823</v>
      </c>
      <c r="D253" s="2" t="s">
        <v>800</v>
      </c>
      <c r="E253" s="2" t="s">
        <v>488</v>
      </c>
      <c r="F253" s="2"/>
      <c r="G253" s="2"/>
      <c r="H253" s="2"/>
      <c r="I253" s="3" t="s">
        <v>1735</v>
      </c>
      <c r="J253" s="28" t="s">
        <v>254</v>
      </c>
      <c r="K253" s="28" t="s">
        <v>1767</v>
      </c>
      <c r="L253" s="42" t="s">
        <v>329</v>
      </c>
      <c r="M253" s="4" t="s">
        <v>3</v>
      </c>
      <c r="N253" s="15">
        <v>23652019</v>
      </c>
      <c r="O253" s="88" t="s">
        <v>1234</v>
      </c>
      <c r="P253" s="38">
        <v>27039</v>
      </c>
      <c r="Q253" s="38"/>
      <c r="R253" s="38"/>
      <c r="S253" s="38"/>
      <c r="T253" s="38"/>
      <c r="U253" s="17" t="s">
        <v>215</v>
      </c>
      <c r="V253" s="17" t="s">
        <v>915</v>
      </c>
      <c r="W253" s="12">
        <v>41426</v>
      </c>
      <c r="X253" s="13"/>
      <c r="Y253" s="12">
        <v>42735</v>
      </c>
      <c r="Z253" s="2"/>
      <c r="AA253" s="2" t="s">
        <v>479</v>
      </c>
      <c r="AB253" s="24" t="s">
        <v>479</v>
      </c>
      <c r="AC253" s="5">
        <v>1000</v>
      </c>
      <c r="AD253" s="5">
        <v>1070</v>
      </c>
      <c r="AE253" s="5">
        <v>1170</v>
      </c>
      <c r="AF253" s="5">
        <f t="shared" si="228"/>
        <v>1310</v>
      </c>
      <c r="AG253" s="5">
        <f t="shared" si="256"/>
        <v>1310</v>
      </c>
      <c r="AH253" s="5">
        <f t="shared" si="256"/>
        <v>1310</v>
      </c>
      <c r="AI253" s="5">
        <f t="shared" ref="AI253:AJ253" si="269">+AH253</f>
        <v>1310</v>
      </c>
      <c r="AJ253" s="5">
        <f t="shared" si="269"/>
        <v>1310</v>
      </c>
      <c r="AK253" s="29" t="s">
        <v>42</v>
      </c>
      <c r="AL253" s="105" t="str">
        <f>+AK253</f>
        <v>C0</v>
      </c>
    </row>
    <row r="254" spans="1:38" s="6" customFormat="1" ht="15" customHeight="1" x14ac:dyDescent="0.2">
      <c r="A254" s="29" t="s">
        <v>824</v>
      </c>
      <c r="B254" s="29" t="s">
        <v>822</v>
      </c>
      <c r="C254" s="29" t="s">
        <v>823</v>
      </c>
      <c r="D254" s="2" t="s">
        <v>800</v>
      </c>
      <c r="E254" s="2" t="s">
        <v>492</v>
      </c>
      <c r="F254" s="2"/>
      <c r="G254" s="2"/>
      <c r="H254" s="2"/>
      <c r="I254" s="3"/>
      <c r="J254" s="28" t="s">
        <v>254</v>
      </c>
      <c r="K254" s="28"/>
      <c r="L254" s="42" t="s">
        <v>617</v>
      </c>
      <c r="M254" s="4" t="s">
        <v>3</v>
      </c>
      <c r="N254" s="15">
        <v>26263263</v>
      </c>
      <c r="O254" s="88">
        <v>27262632631</v>
      </c>
      <c r="P254" s="38"/>
      <c r="Q254" s="38"/>
      <c r="R254" s="38"/>
      <c r="S254" s="38"/>
      <c r="T254" s="38"/>
      <c r="U254" s="16" t="s">
        <v>796</v>
      </c>
      <c r="V254" s="16" t="s">
        <v>916</v>
      </c>
      <c r="W254" s="12">
        <v>40878</v>
      </c>
      <c r="X254" s="48">
        <v>42735</v>
      </c>
      <c r="Y254" s="12">
        <v>42735</v>
      </c>
      <c r="Z254" s="2" t="s">
        <v>24</v>
      </c>
      <c r="AA254" s="2"/>
      <c r="AB254" s="18"/>
      <c r="AC254" s="5">
        <v>1000</v>
      </c>
      <c r="AD254" s="5"/>
      <c r="AE254" s="5">
        <v>1170</v>
      </c>
      <c r="AF254" s="5">
        <f t="shared" si="228"/>
        <v>1310</v>
      </c>
      <c r="AG254" s="5">
        <f t="shared" si="256"/>
        <v>1310</v>
      </c>
      <c r="AH254" s="5">
        <f t="shared" si="256"/>
        <v>1310</v>
      </c>
      <c r="AI254" s="5">
        <f t="shared" ref="AI254:AJ254" si="270">+AH254</f>
        <v>1310</v>
      </c>
      <c r="AJ254" s="5">
        <f t="shared" si="270"/>
        <v>1310</v>
      </c>
      <c r="AK254" s="2"/>
      <c r="AL254" s="105" t="str">
        <f>+Z254</f>
        <v>D0</v>
      </c>
    </row>
    <row r="255" spans="1:38" s="6" customFormat="1" ht="15" customHeight="1" x14ac:dyDescent="0.2">
      <c r="A255" s="29" t="s">
        <v>824</v>
      </c>
      <c r="B255" s="2" t="s">
        <v>822</v>
      </c>
      <c r="C255" s="3"/>
      <c r="D255" s="2" t="s">
        <v>825</v>
      </c>
      <c r="E255" s="3" t="s">
        <v>18</v>
      </c>
      <c r="F255" s="2" t="s">
        <v>19</v>
      </c>
      <c r="G255" s="2"/>
      <c r="H255" s="2" t="s">
        <v>20</v>
      </c>
      <c r="I255" s="2" t="s">
        <v>1760</v>
      </c>
      <c r="J255" s="28" t="s">
        <v>548</v>
      </c>
      <c r="K255" s="28" t="s">
        <v>548</v>
      </c>
      <c r="L255" s="44" t="s">
        <v>977</v>
      </c>
      <c r="M255" s="7" t="s">
        <v>3</v>
      </c>
      <c r="N255" s="47">
        <v>62695520</v>
      </c>
      <c r="O255" s="88" t="s">
        <v>1569</v>
      </c>
      <c r="P255" s="38">
        <v>29314</v>
      </c>
      <c r="Q255" s="38"/>
      <c r="R255" s="38"/>
      <c r="S255" s="38"/>
      <c r="T255" s="38"/>
      <c r="U255" s="17" t="s">
        <v>215</v>
      </c>
      <c r="V255" s="17" t="s">
        <v>915</v>
      </c>
      <c r="W255" s="12">
        <v>42186</v>
      </c>
      <c r="X255" s="12"/>
      <c r="Y255" s="12">
        <v>42735</v>
      </c>
      <c r="Z255" s="2"/>
      <c r="AA255" s="2" t="s">
        <v>479</v>
      </c>
      <c r="AB255" s="7"/>
      <c r="AC255" s="5">
        <v>1000</v>
      </c>
      <c r="AD255" s="5">
        <f>+AC255</f>
        <v>1000</v>
      </c>
      <c r="AE255" s="5">
        <v>1170</v>
      </c>
      <c r="AF255" s="5">
        <f t="shared" si="228"/>
        <v>1310</v>
      </c>
      <c r="AG255" s="5">
        <f t="shared" si="256"/>
        <v>1310</v>
      </c>
      <c r="AH255" s="5">
        <f t="shared" si="256"/>
        <v>1310</v>
      </c>
      <c r="AI255" s="5">
        <f t="shared" ref="AI255:AJ255" si="271">+AH255</f>
        <v>1310</v>
      </c>
      <c r="AJ255" s="5">
        <f t="shared" si="271"/>
        <v>1310</v>
      </c>
      <c r="AK255" s="2"/>
      <c r="AL255" s="106"/>
    </row>
    <row r="256" spans="1:38" s="6" customFormat="1" ht="15" customHeight="1" x14ac:dyDescent="0.2">
      <c r="A256" s="29" t="s">
        <v>824</v>
      </c>
      <c r="B256" s="2" t="s">
        <v>822</v>
      </c>
      <c r="C256" s="3"/>
      <c r="D256" s="2" t="s">
        <v>825</v>
      </c>
      <c r="E256" s="3" t="s">
        <v>18</v>
      </c>
      <c r="F256" s="2" t="s">
        <v>19</v>
      </c>
      <c r="G256" s="2"/>
      <c r="H256" s="2" t="s">
        <v>36</v>
      </c>
      <c r="I256" s="2" t="s">
        <v>1707</v>
      </c>
      <c r="J256" s="28" t="s">
        <v>548</v>
      </c>
      <c r="K256" s="28" t="s">
        <v>548</v>
      </c>
      <c r="L256" s="44" t="s">
        <v>618</v>
      </c>
      <c r="M256" s="4" t="s">
        <v>3</v>
      </c>
      <c r="N256" s="15">
        <v>28800211</v>
      </c>
      <c r="O256" s="88" t="s">
        <v>1336</v>
      </c>
      <c r="P256" s="38">
        <v>29673</v>
      </c>
      <c r="Q256" s="38"/>
      <c r="R256" s="38"/>
      <c r="S256" s="38"/>
      <c r="T256" s="38"/>
      <c r="U256" s="17" t="s">
        <v>215</v>
      </c>
      <c r="V256" s="17" t="s">
        <v>915</v>
      </c>
      <c r="W256" s="12">
        <v>41334</v>
      </c>
      <c r="X256" s="13"/>
      <c r="Y256" s="12">
        <v>42735</v>
      </c>
      <c r="Z256" s="2"/>
      <c r="AA256" s="2" t="s">
        <v>479</v>
      </c>
      <c r="AB256" s="7" t="s">
        <v>787</v>
      </c>
      <c r="AC256" s="5">
        <v>1000</v>
      </c>
      <c r="AD256" s="5">
        <f>+AC256</f>
        <v>1000</v>
      </c>
      <c r="AE256" s="5">
        <v>1170</v>
      </c>
      <c r="AF256" s="5">
        <f t="shared" si="228"/>
        <v>1310</v>
      </c>
      <c r="AG256" s="5">
        <f t="shared" si="256"/>
        <v>1310</v>
      </c>
      <c r="AH256" s="5">
        <f t="shared" si="256"/>
        <v>1310</v>
      </c>
      <c r="AI256" s="5">
        <f t="shared" ref="AI256:AJ256" si="272">+AH256</f>
        <v>1310</v>
      </c>
      <c r="AJ256" s="5">
        <f t="shared" si="272"/>
        <v>1310</v>
      </c>
      <c r="AK256" s="2"/>
      <c r="AL256" s="106"/>
    </row>
    <row r="257" spans="1:38" s="6" customFormat="1" ht="15" customHeight="1" x14ac:dyDescent="0.2">
      <c r="A257" s="29" t="s">
        <v>824</v>
      </c>
      <c r="B257" s="29"/>
      <c r="C257" s="3"/>
      <c r="D257" s="2" t="s">
        <v>820</v>
      </c>
      <c r="E257" s="2" t="s">
        <v>63</v>
      </c>
      <c r="F257" s="2"/>
      <c r="G257" s="2"/>
      <c r="H257" s="2" t="s">
        <v>27</v>
      </c>
      <c r="I257" s="2" t="s">
        <v>1707</v>
      </c>
      <c r="J257" s="28"/>
      <c r="K257" s="28" t="s">
        <v>1765</v>
      </c>
      <c r="L257" s="44" t="s">
        <v>836</v>
      </c>
      <c r="M257" s="7" t="s">
        <v>3</v>
      </c>
      <c r="N257" s="15">
        <v>32628904</v>
      </c>
      <c r="O257" s="88" t="s">
        <v>1428</v>
      </c>
      <c r="P257" s="38">
        <v>31765</v>
      </c>
      <c r="Q257" s="38"/>
      <c r="R257" s="38"/>
      <c r="S257" s="38"/>
      <c r="T257" s="38"/>
      <c r="U257" s="17" t="s">
        <v>215</v>
      </c>
      <c r="V257" s="17" t="s">
        <v>915</v>
      </c>
      <c r="W257" s="12"/>
      <c r="X257" s="12"/>
      <c r="Y257" s="12">
        <v>42735</v>
      </c>
      <c r="Z257" s="2"/>
      <c r="AA257" s="2" t="s">
        <v>479</v>
      </c>
      <c r="AB257" s="7"/>
      <c r="AC257" s="5">
        <v>1000</v>
      </c>
      <c r="AD257" s="5">
        <f>+AC257*1.07</f>
        <v>1070</v>
      </c>
      <c r="AE257" s="5">
        <v>1170</v>
      </c>
      <c r="AF257" s="5">
        <f t="shared" si="228"/>
        <v>1310</v>
      </c>
      <c r="AG257" s="5">
        <f t="shared" si="256"/>
        <v>1310</v>
      </c>
      <c r="AH257" s="5">
        <f t="shared" si="256"/>
        <v>1310</v>
      </c>
      <c r="AI257" s="5">
        <f t="shared" ref="AI257:AJ257" si="273">+AH257</f>
        <v>1310</v>
      </c>
      <c r="AJ257" s="5">
        <f t="shared" si="273"/>
        <v>1310</v>
      </c>
      <c r="AK257" s="2" t="s">
        <v>53</v>
      </c>
      <c r="AL257" s="105" t="str">
        <f>+AK257</f>
        <v>B0</v>
      </c>
    </row>
    <row r="258" spans="1:38" s="6" customFormat="1" ht="15" customHeight="1" x14ac:dyDescent="0.2">
      <c r="A258" s="29" t="s">
        <v>824</v>
      </c>
      <c r="B258" s="2"/>
      <c r="C258" s="3"/>
      <c r="D258" s="2" t="s">
        <v>820</v>
      </c>
      <c r="E258" s="2" t="s">
        <v>63</v>
      </c>
      <c r="F258" s="2"/>
      <c r="G258" s="2"/>
      <c r="H258" s="2"/>
      <c r="I258" s="3"/>
      <c r="J258" s="28"/>
      <c r="K258" s="28"/>
      <c r="L258" s="41" t="s">
        <v>833</v>
      </c>
      <c r="M258" s="7" t="s">
        <v>3</v>
      </c>
      <c r="N258" s="15">
        <v>34783483</v>
      </c>
      <c r="O258" s="88">
        <v>20347834832</v>
      </c>
      <c r="P258" s="61"/>
      <c r="Q258" s="61"/>
      <c r="R258" s="61"/>
      <c r="S258" s="61"/>
      <c r="T258" s="61"/>
      <c r="U258" s="17" t="s">
        <v>796</v>
      </c>
      <c r="V258" s="16" t="s">
        <v>916</v>
      </c>
      <c r="W258" s="12">
        <v>39539</v>
      </c>
      <c r="X258" s="48">
        <v>42735</v>
      </c>
      <c r="Y258" s="12">
        <v>42735</v>
      </c>
      <c r="Z258" s="2" t="s">
        <v>43</v>
      </c>
      <c r="AA258" s="2"/>
      <c r="AB258" s="3"/>
      <c r="AC258" s="5">
        <v>1000</v>
      </c>
      <c r="AD258" s="5"/>
      <c r="AE258" s="5">
        <v>1170</v>
      </c>
      <c r="AF258" s="5">
        <f t="shared" si="228"/>
        <v>1310</v>
      </c>
      <c r="AG258" s="5">
        <f t="shared" si="256"/>
        <v>1310</v>
      </c>
      <c r="AH258" s="5">
        <f t="shared" si="256"/>
        <v>1310</v>
      </c>
      <c r="AI258" s="5">
        <f t="shared" ref="AI258:AJ258" si="274">+AH258</f>
        <v>1310</v>
      </c>
      <c r="AJ258" s="5">
        <f t="shared" si="274"/>
        <v>1310</v>
      </c>
      <c r="AK258" s="2"/>
      <c r="AL258" s="105" t="str">
        <f>+Z258</f>
        <v>A0</v>
      </c>
    </row>
    <row r="259" spans="1:38" s="6" customFormat="1" ht="15" customHeight="1" x14ac:dyDescent="0.2">
      <c r="A259" s="29" t="s">
        <v>824</v>
      </c>
      <c r="B259" s="29"/>
      <c r="C259" s="29"/>
      <c r="D259" s="2" t="s">
        <v>820</v>
      </c>
      <c r="E259" s="2" t="s">
        <v>912</v>
      </c>
      <c r="F259" s="2"/>
      <c r="G259" s="3"/>
      <c r="H259" s="2" t="s">
        <v>223</v>
      </c>
      <c r="I259" s="2" t="s">
        <v>223</v>
      </c>
      <c r="J259" s="28" t="s">
        <v>73</v>
      </c>
      <c r="K259" s="28" t="s">
        <v>1765</v>
      </c>
      <c r="L259" s="43" t="s">
        <v>108</v>
      </c>
      <c r="M259" s="4" t="s">
        <v>3</v>
      </c>
      <c r="N259" s="15">
        <v>35378165</v>
      </c>
      <c r="O259" s="88" t="s">
        <v>1497</v>
      </c>
      <c r="P259" s="38">
        <v>33236</v>
      </c>
      <c r="Q259" s="38"/>
      <c r="R259" s="38"/>
      <c r="S259" s="38"/>
      <c r="T259" s="38"/>
      <c r="U259" s="17" t="s">
        <v>215</v>
      </c>
      <c r="V259" s="17" t="s">
        <v>915</v>
      </c>
      <c r="W259" s="12">
        <v>42217</v>
      </c>
      <c r="X259" s="13"/>
      <c r="Y259" s="12">
        <v>42735</v>
      </c>
      <c r="Z259" s="2"/>
      <c r="AA259" s="2" t="s">
        <v>479</v>
      </c>
      <c r="AB259" s="7" t="s">
        <v>61</v>
      </c>
      <c r="AC259" s="5">
        <v>1000</v>
      </c>
      <c r="AD259" s="5">
        <f>+AC259*1.07</f>
        <v>1070</v>
      </c>
      <c r="AE259" s="5">
        <v>1170</v>
      </c>
      <c r="AF259" s="5">
        <f t="shared" si="228"/>
        <v>1310</v>
      </c>
      <c r="AG259" s="5">
        <f t="shared" si="256"/>
        <v>1310</v>
      </c>
      <c r="AH259" s="5">
        <f t="shared" si="256"/>
        <v>1310</v>
      </c>
      <c r="AI259" s="5">
        <f t="shared" ref="AI259:AJ259" si="275">+AH259</f>
        <v>1310</v>
      </c>
      <c r="AJ259" s="5">
        <f t="shared" si="275"/>
        <v>1310</v>
      </c>
      <c r="AK259" s="29" t="s">
        <v>42</v>
      </c>
      <c r="AL259" s="105" t="str">
        <f>+AK259</f>
        <v>C0</v>
      </c>
    </row>
    <row r="260" spans="1:38" s="6" customFormat="1" ht="15" customHeight="1" x14ac:dyDescent="0.2">
      <c r="A260" s="29" t="s">
        <v>824</v>
      </c>
      <c r="B260" s="29" t="s">
        <v>822</v>
      </c>
      <c r="C260" s="29" t="s">
        <v>823</v>
      </c>
      <c r="D260" s="2" t="s">
        <v>800</v>
      </c>
      <c r="E260" s="7" t="s">
        <v>501</v>
      </c>
      <c r="F260" s="7"/>
      <c r="G260" s="7"/>
      <c r="H260" s="8"/>
      <c r="I260" s="3"/>
      <c r="J260" s="28" t="s">
        <v>254</v>
      </c>
      <c r="K260" s="28"/>
      <c r="L260" s="42" t="s">
        <v>441</v>
      </c>
      <c r="M260" s="4" t="s">
        <v>3</v>
      </c>
      <c r="N260" s="15">
        <v>33530306</v>
      </c>
      <c r="O260" s="88">
        <v>20335303068</v>
      </c>
      <c r="P260" s="38"/>
      <c r="Q260" s="38"/>
      <c r="R260" s="38"/>
      <c r="S260" s="38"/>
      <c r="T260" s="38"/>
      <c r="U260" s="16" t="s">
        <v>796</v>
      </c>
      <c r="V260" s="16" t="s">
        <v>916</v>
      </c>
      <c r="W260" s="12">
        <v>40725</v>
      </c>
      <c r="X260" s="48">
        <v>42735</v>
      </c>
      <c r="Y260" s="12">
        <v>42735</v>
      </c>
      <c r="Z260" s="2" t="s">
        <v>49</v>
      </c>
      <c r="AA260" s="2"/>
      <c r="AB260" s="27"/>
      <c r="AC260" s="5">
        <v>1000</v>
      </c>
      <c r="AD260" s="5"/>
      <c r="AE260" s="5">
        <v>1170</v>
      </c>
      <c r="AF260" s="5">
        <f t="shared" si="228"/>
        <v>1310</v>
      </c>
      <c r="AG260" s="5">
        <f t="shared" si="256"/>
        <v>1310</v>
      </c>
      <c r="AH260" s="5">
        <f t="shared" si="256"/>
        <v>1310</v>
      </c>
      <c r="AI260" s="5">
        <f t="shared" ref="AI260:AJ260" si="276">+AH260</f>
        <v>1310</v>
      </c>
      <c r="AJ260" s="5">
        <f t="shared" si="276"/>
        <v>1310</v>
      </c>
      <c r="AK260" s="2"/>
      <c r="AL260" s="105" t="str">
        <f>+Z260</f>
        <v>D1</v>
      </c>
    </row>
    <row r="261" spans="1:38" s="6" customFormat="1" ht="15" customHeight="1" x14ac:dyDescent="0.2">
      <c r="A261" s="29" t="s">
        <v>824</v>
      </c>
      <c r="B261" s="29" t="s">
        <v>822</v>
      </c>
      <c r="C261" s="29" t="s">
        <v>823</v>
      </c>
      <c r="D261" s="2" t="s">
        <v>808</v>
      </c>
      <c r="E261" s="2" t="s">
        <v>909</v>
      </c>
      <c r="F261" s="2" t="s">
        <v>23</v>
      </c>
      <c r="G261" s="3" t="s">
        <v>526</v>
      </c>
      <c r="H261" s="2" t="s">
        <v>235</v>
      </c>
      <c r="I261" s="2" t="s">
        <v>222</v>
      </c>
      <c r="J261" s="28" t="s">
        <v>73</v>
      </c>
      <c r="K261" s="28" t="s">
        <v>1765</v>
      </c>
      <c r="L261" s="43" t="s">
        <v>619</v>
      </c>
      <c r="M261" s="4" t="s">
        <v>3</v>
      </c>
      <c r="N261" s="15">
        <v>93355924</v>
      </c>
      <c r="O261" s="88" t="s">
        <v>1572</v>
      </c>
      <c r="P261" s="38">
        <v>33176</v>
      </c>
      <c r="Q261" s="38"/>
      <c r="R261" s="38"/>
      <c r="S261" s="38"/>
      <c r="T261" s="38"/>
      <c r="U261" s="17" t="s">
        <v>215</v>
      </c>
      <c r="V261" s="17" t="s">
        <v>915</v>
      </c>
      <c r="W261" s="12">
        <v>42205</v>
      </c>
      <c r="X261" s="13"/>
      <c r="Y261" s="12">
        <v>42735</v>
      </c>
      <c r="Z261" s="2"/>
      <c r="AA261" s="2" t="s">
        <v>479</v>
      </c>
      <c r="AB261" s="7" t="s">
        <v>61</v>
      </c>
      <c r="AC261" s="5">
        <v>1000</v>
      </c>
      <c r="AD261" s="5">
        <v>1070</v>
      </c>
      <c r="AE261" s="5">
        <v>1170</v>
      </c>
      <c r="AF261" s="5">
        <f t="shared" si="228"/>
        <v>1310</v>
      </c>
      <c r="AG261" s="5">
        <f t="shared" ref="AG261:AH279" si="277">+AF261</f>
        <v>1310</v>
      </c>
      <c r="AH261" s="5">
        <f t="shared" si="277"/>
        <v>1310</v>
      </c>
      <c r="AI261" s="5">
        <f t="shared" ref="AI261:AJ261" si="278">+AH261</f>
        <v>1310</v>
      </c>
      <c r="AJ261" s="5">
        <f t="shared" si="278"/>
        <v>1310</v>
      </c>
      <c r="AK261" s="2" t="s">
        <v>53</v>
      </c>
      <c r="AL261" s="105" t="str">
        <f>+AK261</f>
        <v>B0</v>
      </c>
    </row>
    <row r="262" spans="1:38" s="6" customFormat="1" ht="15" customHeight="1" x14ac:dyDescent="0.2">
      <c r="A262" s="29" t="s">
        <v>824</v>
      </c>
      <c r="B262" s="29" t="s">
        <v>822</v>
      </c>
      <c r="C262" s="29"/>
      <c r="D262" s="2" t="s">
        <v>956</v>
      </c>
      <c r="E262" s="2" t="s">
        <v>956</v>
      </c>
      <c r="F262" s="2"/>
      <c r="G262" s="2"/>
      <c r="H262" s="2"/>
      <c r="I262" s="2" t="s">
        <v>1707</v>
      </c>
      <c r="J262" s="28"/>
      <c r="K262" s="28" t="s">
        <v>1765</v>
      </c>
      <c r="L262" s="42" t="s">
        <v>1024</v>
      </c>
      <c r="M262" s="4" t="s">
        <v>3</v>
      </c>
      <c r="N262" s="15">
        <v>6398055</v>
      </c>
      <c r="O262" s="88">
        <v>27063980558</v>
      </c>
      <c r="P262" s="38">
        <v>18490</v>
      </c>
      <c r="Q262" s="38"/>
      <c r="R262" s="38"/>
      <c r="S262" s="38"/>
      <c r="T262" s="38"/>
      <c r="U262" s="17" t="s">
        <v>215</v>
      </c>
      <c r="V262" s="17" t="s">
        <v>915</v>
      </c>
      <c r="W262" s="12"/>
      <c r="X262" s="20"/>
      <c r="Y262" s="12">
        <v>42735</v>
      </c>
      <c r="Z262" s="2"/>
      <c r="AA262" s="2" t="s">
        <v>479</v>
      </c>
      <c r="AB262" s="24"/>
      <c r="AC262" s="5">
        <v>1000</v>
      </c>
      <c r="AD262" s="5">
        <f>+AC262*1.07</f>
        <v>1070</v>
      </c>
      <c r="AE262" s="5">
        <v>1170</v>
      </c>
      <c r="AF262" s="5">
        <f t="shared" si="228"/>
        <v>1310</v>
      </c>
      <c r="AG262" s="5">
        <f t="shared" si="277"/>
        <v>1310</v>
      </c>
      <c r="AH262" s="5">
        <f t="shared" si="277"/>
        <v>1310</v>
      </c>
      <c r="AI262" s="5">
        <f t="shared" ref="AI262:AJ262" si="279">+AH262</f>
        <v>1310</v>
      </c>
      <c r="AJ262" s="5">
        <f t="shared" si="279"/>
        <v>1310</v>
      </c>
      <c r="AK262" s="2" t="s">
        <v>53</v>
      </c>
      <c r="AL262" s="105" t="str">
        <f>+AK262</f>
        <v>B0</v>
      </c>
    </row>
    <row r="263" spans="1:38" s="6" customFormat="1" ht="15" customHeight="1" x14ac:dyDescent="0.2">
      <c r="A263" s="29" t="s">
        <v>824</v>
      </c>
      <c r="B263" s="29" t="s">
        <v>822</v>
      </c>
      <c r="C263" s="29" t="s">
        <v>823</v>
      </c>
      <c r="D263" s="2" t="s">
        <v>800</v>
      </c>
      <c r="E263" s="7" t="s">
        <v>501</v>
      </c>
      <c r="F263" s="7"/>
      <c r="G263" s="7"/>
      <c r="H263" s="8"/>
      <c r="I263" s="3"/>
      <c r="J263" s="28" t="s">
        <v>254</v>
      </c>
      <c r="K263" s="28"/>
      <c r="L263" s="42" t="s">
        <v>442</v>
      </c>
      <c r="M263" s="4" t="s">
        <v>3</v>
      </c>
      <c r="N263" s="15">
        <v>36949353</v>
      </c>
      <c r="O263" s="88">
        <v>20369493532</v>
      </c>
      <c r="P263" s="38"/>
      <c r="Q263" s="38"/>
      <c r="R263" s="38"/>
      <c r="S263" s="38"/>
      <c r="T263" s="38"/>
      <c r="U263" s="16" t="s">
        <v>796</v>
      </c>
      <c r="V263" s="16" t="s">
        <v>916</v>
      </c>
      <c r="W263" s="12">
        <v>41395</v>
      </c>
      <c r="X263" s="12">
        <v>42460</v>
      </c>
      <c r="Y263" s="12">
        <v>42735</v>
      </c>
      <c r="Z263" s="2" t="s">
        <v>49</v>
      </c>
      <c r="AA263" s="2"/>
      <c r="AB263" s="18"/>
      <c r="AC263" s="5">
        <v>1000</v>
      </c>
      <c r="AD263" s="5"/>
      <c r="AE263" s="5">
        <v>1170</v>
      </c>
      <c r="AF263" s="5">
        <f t="shared" si="228"/>
        <v>1310</v>
      </c>
      <c r="AG263" s="5">
        <f t="shared" si="277"/>
        <v>1310</v>
      </c>
      <c r="AH263" s="5">
        <f t="shared" si="277"/>
        <v>1310</v>
      </c>
      <c r="AI263" s="5">
        <f t="shared" ref="AI263:AJ263" si="280">+AH263</f>
        <v>1310</v>
      </c>
      <c r="AJ263" s="5">
        <f t="shared" si="280"/>
        <v>1310</v>
      </c>
      <c r="AK263" s="2"/>
      <c r="AL263" s="105" t="str">
        <f>+Z263</f>
        <v>D1</v>
      </c>
    </row>
    <row r="264" spans="1:38" s="6" customFormat="1" ht="15" customHeight="1" x14ac:dyDescent="0.2">
      <c r="A264" s="29" t="s">
        <v>824</v>
      </c>
      <c r="B264" s="29" t="s">
        <v>822</v>
      </c>
      <c r="C264" s="29"/>
      <c r="D264" s="2" t="s">
        <v>956</v>
      </c>
      <c r="E264" s="2" t="s">
        <v>956</v>
      </c>
      <c r="F264" s="2"/>
      <c r="G264" s="2"/>
      <c r="H264" s="2"/>
      <c r="I264" s="2" t="s">
        <v>1707</v>
      </c>
      <c r="J264" s="28"/>
      <c r="K264" s="28" t="s">
        <v>1765</v>
      </c>
      <c r="L264" s="41" t="s">
        <v>887</v>
      </c>
      <c r="M264" s="4" t="s">
        <v>3</v>
      </c>
      <c r="N264" s="15">
        <v>34434699</v>
      </c>
      <c r="O264" s="88" t="s">
        <v>1472</v>
      </c>
      <c r="P264" s="38">
        <v>32563</v>
      </c>
      <c r="Q264" s="38"/>
      <c r="R264" s="38"/>
      <c r="S264" s="38"/>
      <c r="T264" s="38"/>
      <c r="U264" s="17" t="s">
        <v>215</v>
      </c>
      <c r="V264" s="17" t="s">
        <v>915</v>
      </c>
      <c r="W264" s="12">
        <v>42370</v>
      </c>
      <c r="X264" s="12"/>
      <c r="Y264" s="12">
        <v>42735</v>
      </c>
      <c r="Z264" s="2"/>
      <c r="AA264" s="2" t="s">
        <v>479</v>
      </c>
      <c r="AB264" s="3"/>
      <c r="AC264" s="5">
        <v>1000</v>
      </c>
      <c r="AD264" s="5">
        <f>+AC264*1.07</f>
        <v>1070</v>
      </c>
      <c r="AE264" s="5">
        <v>1170</v>
      </c>
      <c r="AF264" s="5">
        <f t="shared" si="228"/>
        <v>1310</v>
      </c>
      <c r="AG264" s="5">
        <f t="shared" si="277"/>
        <v>1310</v>
      </c>
      <c r="AH264" s="5">
        <f t="shared" si="277"/>
        <v>1310</v>
      </c>
      <c r="AI264" s="5">
        <f t="shared" ref="AI264:AJ264" si="281">+AH264</f>
        <v>1310</v>
      </c>
      <c r="AJ264" s="5">
        <f t="shared" si="281"/>
        <v>1310</v>
      </c>
      <c r="AK264" s="29" t="s">
        <v>42</v>
      </c>
      <c r="AL264" s="105" t="str">
        <f>+AK264</f>
        <v>C0</v>
      </c>
    </row>
    <row r="265" spans="1:38" s="6" customFormat="1" ht="15" customHeight="1" x14ac:dyDescent="0.2">
      <c r="A265" s="29" t="s">
        <v>824</v>
      </c>
      <c r="B265" s="2" t="s">
        <v>822</v>
      </c>
      <c r="C265" s="29" t="s">
        <v>823</v>
      </c>
      <c r="D265" s="2" t="s">
        <v>808</v>
      </c>
      <c r="E265" s="2" t="s">
        <v>20</v>
      </c>
      <c r="F265" s="2"/>
      <c r="G265" s="3" t="s">
        <v>522</v>
      </c>
      <c r="H265" s="2"/>
      <c r="I265" s="3"/>
      <c r="J265" s="28" t="s">
        <v>73</v>
      </c>
      <c r="K265" s="28"/>
      <c r="L265" s="42" t="s">
        <v>109</v>
      </c>
      <c r="M265" s="4" t="s">
        <v>3</v>
      </c>
      <c r="N265" s="15">
        <v>26068613</v>
      </c>
      <c r="O265" s="88">
        <v>27260686130</v>
      </c>
      <c r="P265" s="38"/>
      <c r="Q265" s="38"/>
      <c r="R265" s="38"/>
      <c r="S265" s="38"/>
      <c r="T265" s="38"/>
      <c r="U265" s="16" t="s">
        <v>796</v>
      </c>
      <c r="V265" s="16" t="s">
        <v>916</v>
      </c>
      <c r="W265" s="12">
        <v>40826</v>
      </c>
      <c r="X265" s="48">
        <v>42735</v>
      </c>
      <c r="Y265" s="12">
        <v>42735</v>
      </c>
      <c r="Z265" s="2" t="s">
        <v>43</v>
      </c>
      <c r="AA265" s="2"/>
      <c r="AB265" s="14"/>
      <c r="AC265" s="5">
        <v>1000</v>
      </c>
      <c r="AD265" s="5"/>
      <c r="AE265" s="5">
        <v>1170</v>
      </c>
      <c r="AF265" s="5">
        <f t="shared" si="228"/>
        <v>1310</v>
      </c>
      <c r="AG265" s="5">
        <f t="shared" si="277"/>
        <v>1310</v>
      </c>
      <c r="AH265" s="5">
        <f t="shared" si="277"/>
        <v>1310</v>
      </c>
      <c r="AI265" s="5">
        <f t="shared" ref="AI265:AJ265" si="282">+AH265</f>
        <v>1310</v>
      </c>
      <c r="AJ265" s="5">
        <f t="shared" si="282"/>
        <v>1310</v>
      </c>
      <c r="AK265" s="2"/>
      <c r="AL265" s="105" t="str">
        <f>+Z265</f>
        <v>A0</v>
      </c>
    </row>
    <row r="266" spans="1:38" s="6" customFormat="1" ht="15" customHeight="1" x14ac:dyDescent="0.2">
      <c r="A266" s="29" t="s">
        <v>824</v>
      </c>
      <c r="B266" s="2"/>
      <c r="C266" s="3"/>
      <c r="D266" s="2" t="s">
        <v>819</v>
      </c>
      <c r="E266" s="2" t="s">
        <v>928</v>
      </c>
      <c r="F266" s="2"/>
      <c r="G266" s="2"/>
      <c r="H266" s="2" t="s">
        <v>26</v>
      </c>
      <c r="I266" s="3"/>
      <c r="J266" s="28" t="s">
        <v>73</v>
      </c>
      <c r="K266" s="28"/>
      <c r="L266" s="41" t="s">
        <v>1684</v>
      </c>
      <c r="M266" s="4" t="s">
        <v>3</v>
      </c>
      <c r="N266" s="15">
        <v>94251427</v>
      </c>
      <c r="O266" s="88">
        <v>20942514272</v>
      </c>
      <c r="P266" s="61"/>
      <c r="Q266" s="61"/>
      <c r="R266" s="61"/>
      <c r="S266" s="61"/>
      <c r="T266" s="61"/>
      <c r="U266" s="16" t="s">
        <v>796</v>
      </c>
      <c r="V266" s="16" t="s">
        <v>916</v>
      </c>
      <c r="W266" s="12">
        <v>41244</v>
      </c>
      <c r="X266" s="48">
        <v>42735</v>
      </c>
      <c r="Y266" s="12">
        <v>42735</v>
      </c>
      <c r="Z266" s="2" t="s">
        <v>60</v>
      </c>
      <c r="AA266" s="2"/>
      <c r="AB266" s="3"/>
      <c r="AC266" s="5">
        <v>1000</v>
      </c>
      <c r="AD266" s="5"/>
      <c r="AE266" s="5">
        <v>1170</v>
      </c>
      <c r="AF266" s="5">
        <f t="shared" si="228"/>
        <v>1310</v>
      </c>
      <c r="AG266" s="5">
        <f t="shared" si="277"/>
        <v>1310</v>
      </c>
      <c r="AH266" s="5">
        <f t="shared" si="277"/>
        <v>1310</v>
      </c>
      <c r="AI266" s="5">
        <f t="shared" ref="AI266:AJ266" si="283">+AH266</f>
        <v>1310</v>
      </c>
      <c r="AJ266" s="5">
        <f t="shared" si="283"/>
        <v>1310</v>
      </c>
      <c r="AK266" s="2"/>
      <c r="AL266" s="105" t="str">
        <f>+Z266</f>
        <v>B2</v>
      </c>
    </row>
    <row r="267" spans="1:38" s="6" customFormat="1" ht="15" customHeight="1" x14ac:dyDescent="0.2">
      <c r="A267" s="29" t="s">
        <v>824</v>
      </c>
      <c r="B267" s="29" t="s">
        <v>822</v>
      </c>
      <c r="C267" s="29" t="s">
        <v>823</v>
      </c>
      <c r="D267" s="2" t="s">
        <v>1820</v>
      </c>
      <c r="E267" s="2"/>
      <c r="F267" s="2"/>
      <c r="G267" s="2"/>
      <c r="H267" s="2" t="s">
        <v>884</v>
      </c>
      <c r="I267" s="2" t="s">
        <v>1707</v>
      </c>
      <c r="J267" s="28"/>
      <c r="K267" s="28" t="s">
        <v>1765</v>
      </c>
      <c r="L267" s="41" t="s">
        <v>1609</v>
      </c>
      <c r="M267" s="7" t="s">
        <v>3</v>
      </c>
      <c r="N267" s="15">
        <v>22061547</v>
      </c>
      <c r="O267" s="88">
        <v>27220615478</v>
      </c>
      <c r="P267" s="38">
        <v>26028</v>
      </c>
      <c r="Q267" s="38"/>
      <c r="R267" s="38"/>
      <c r="S267" s="38"/>
      <c r="T267" s="38"/>
      <c r="U267" s="17" t="s">
        <v>215</v>
      </c>
      <c r="V267" s="16" t="s">
        <v>915</v>
      </c>
      <c r="W267" s="12">
        <v>42522</v>
      </c>
      <c r="X267" s="48"/>
      <c r="Y267" s="12">
        <v>42735</v>
      </c>
      <c r="Z267" s="2"/>
      <c r="AA267" s="2" t="s">
        <v>479</v>
      </c>
      <c r="AB267" s="3"/>
      <c r="AC267" s="5"/>
      <c r="AD267" s="5">
        <v>1070</v>
      </c>
      <c r="AE267" s="5">
        <v>1170</v>
      </c>
      <c r="AF267" s="5">
        <f t="shared" si="228"/>
        <v>0</v>
      </c>
      <c r="AG267" s="5">
        <f t="shared" si="277"/>
        <v>0</v>
      </c>
      <c r="AH267" s="5">
        <f t="shared" si="277"/>
        <v>0</v>
      </c>
      <c r="AI267" s="5">
        <f t="shared" ref="AI267:AJ267" si="284">+AH267</f>
        <v>0</v>
      </c>
      <c r="AJ267" s="5">
        <f t="shared" si="284"/>
        <v>0</v>
      </c>
      <c r="AK267" s="2" t="s">
        <v>53</v>
      </c>
      <c r="AL267" s="105" t="str">
        <f t="shared" ref="AL267:AL273" si="285">+AK267</f>
        <v>B0</v>
      </c>
    </row>
    <row r="268" spans="1:38" s="6" customFormat="1" ht="15" customHeight="1" x14ac:dyDescent="0.2">
      <c r="A268" s="29" t="s">
        <v>824</v>
      </c>
      <c r="B268" s="29" t="s">
        <v>822</v>
      </c>
      <c r="C268" s="29" t="s">
        <v>823</v>
      </c>
      <c r="D268" s="2" t="s">
        <v>800</v>
      </c>
      <c r="E268" s="2" t="s">
        <v>482</v>
      </c>
      <c r="F268" s="2"/>
      <c r="G268" s="2"/>
      <c r="H268" s="2" t="s">
        <v>1709</v>
      </c>
      <c r="I268" s="3" t="s">
        <v>1717</v>
      </c>
      <c r="J268" s="28" t="s">
        <v>254</v>
      </c>
      <c r="K268" s="28" t="s">
        <v>1767</v>
      </c>
      <c r="L268" s="42" t="s">
        <v>266</v>
      </c>
      <c r="M268" s="4" t="s">
        <v>3</v>
      </c>
      <c r="N268" s="15">
        <v>28927088</v>
      </c>
      <c r="O268" s="88" t="s">
        <v>1340</v>
      </c>
      <c r="P268" s="38">
        <v>29761</v>
      </c>
      <c r="Q268" s="38"/>
      <c r="R268" s="38"/>
      <c r="S268" s="38"/>
      <c r="T268" s="38"/>
      <c r="U268" s="17" t="s">
        <v>215</v>
      </c>
      <c r="V268" s="17" t="s">
        <v>915</v>
      </c>
      <c r="W268" s="12">
        <v>41821</v>
      </c>
      <c r="X268" s="13"/>
      <c r="Y268" s="12">
        <v>42735</v>
      </c>
      <c r="Z268" s="2"/>
      <c r="AA268" s="2" t="s">
        <v>479</v>
      </c>
      <c r="AB268" s="24" t="s">
        <v>479</v>
      </c>
      <c r="AC268" s="5">
        <v>1000</v>
      </c>
      <c r="AD268" s="5">
        <v>1070</v>
      </c>
      <c r="AE268" s="5">
        <v>1170</v>
      </c>
      <c r="AF268" s="5">
        <f t="shared" si="228"/>
        <v>1310</v>
      </c>
      <c r="AG268" s="5">
        <f t="shared" si="277"/>
        <v>1310</v>
      </c>
      <c r="AH268" s="5">
        <f t="shared" si="277"/>
        <v>1310</v>
      </c>
      <c r="AI268" s="5">
        <f t="shared" ref="AI268:AJ268" si="286">+AH268</f>
        <v>1310</v>
      </c>
      <c r="AJ268" s="5">
        <f t="shared" si="286"/>
        <v>1310</v>
      </c>
      <c r="AK268" s="29" t="s">
        <v>42</v>
      </c>
      <c r="AL268" s="105" t="str">
        <f t="shared" si="285"/>
        <v>C0</v>
      </c>
    </row>
    <row r="269" spans="1:38" s="6" customFormat="1" ht="15" customHeight="1" x14ac:dyDescent="0.2">
      <c r="A269" s="29" t="s">
        <v>824</v>
      </c>
      <c r="B269" s="2" t="s">
        <v>822</v>
      </c>
      <c r="C269" s="29" t="s">
        <v>823</v>
      </c>
      <c r="D269" s="2" t="s">
        <v>808</v>
      </c>
      <c r="E269" s="2" t="s">
        <v>20</v>
      </c>
      <c r="F269" s="2" t="s">
        <v>503</v>
      </c>
      <c r="G269" s="2"/>
      <c r="H269" s="2" t="s">
        <v>936</v>
      </c>
      <c r="I269" s="2" t="s">
        <v>235</v>
      </c>
      <c r="J269" s="28"/>
      <c r="K269" s="28" t="s">
        <v>1765</v>
      </c>
      <c r="L269" s="44" t="s">
        <v>937</v>
      </c>
      <c r="M269" s="7" t="s">
        <v>3</v>
      </c>
      <c r="N269" s="15">
        <v>25940510</v>
      </c>
      <c r="O269" s="88" t="s">
        <v>1277</v>
      </c>
      <c r="P269" s="38">
        <v>28203</v>
      </c>
      <c r="Q269" s="38"/>
      <c r="R269" s="38"/>
      <c r="S269" s="38"/>
      <c r="T269" s="38"/>
      <c r="U269" s="17" t="s">
        <v>215</v>
      </c>
      <c r="V269" s="17" t="s">
        <v>915</v>
      </c>
      <c r="W269" s="12">
        <v>42475</v>
      </c>
      <c r="X269" s="13"/>
      <c r="Y269" s="12">
        <v>42735</v>
      </c>
      <c r="Z269" s="2"/>
      <c r="AA269" s="2" t="s">
        <v>479</v>
      </c>
      <c r="AB269" s="7"/>
      <c r="AC269" s="5">
        <v>1000</v>
      </c>
      <c r="AD269" s="5">
        <f>+AC269*1.07</f>
        <v>1070</v>
      </c>
      <c r="AE269" s="5">
        <v>1170</v>
      </c>
      <c r="AF269" s="5">
        <f t="shared" si="228"/>
        <v>1310</v>
      </c>
      <c r="AG269" s="5">
        <f t="shared" si="277"/>
        <v>1310</v>
      </c>
      <c r="AH269" s="5">
        <f t="shared" si="277"/>
        <v>1310</v>
      </c>
      <c r="AI269" s="5">
        <f t="shared" ref="AI269:AJ269" si="287">+AH269</f>
        <v>1310</v>
      </c>
      <c r="AJ269" s="5">
        <f t="shared" si="287"/>
        <v>1310</v>
      </c>
      <c r="AK269" s="2" t="s">
        <v>53</v>
      </c>
      <c r="AL269" s="105" t="str">
        <f t="shared" si="285"/>
        <v>B0</v>
      </c>
    </row>
    <row r="270" spans="1:38" s="6" customFormat="1" ht="15" customHeight="1" x14ac:dyDescent="0.2">
      <c r="A270" s="29" t="s">
        <v>824</v>
      </c>
      <c r="B270" s="29" t="s">
        <v>822</v>
      </c>
      <c r="C270" s="29" t="s">
        <v>823</v>
      </c>
      <c r="D270" s="2" t="s">
        <v>800</v>
      </c>
      <c r="E270" s="2"/>
      <c r="F270" s="3"/>
      <c r="G270" s="3"/>
      <c r="H270" s="2" t="s">
        <v>884</v>
      </c>
      <c r="I270" s="2" t="s">
        <v>1707</v>
      </c>
      <c r="J270" s="28"/>
      <c r="K270" s="28" t="s">
        <v>1767</v>
      </c>
      <c r="L270" s="41" t="s">
        <v>905</v>
      </c>
      <c r="M270" s="7" t="s">
        <v>3</v>
      </c>
      <c r="N270" s="15">
        <v>26621498</v>
      </c>
      <c r="O270" s="88">
        <v>27266214982</v>
      </c>
      <c r="P270" s="38">
        <v>28650</v>
      </c>
      <c r="Q270" s="38"/>
      <c r="R270" s="38"/>
      <c r="S270" s="38"/>
      <c r="T270" s="38"/>
      <c r="U270" s="17" t="s">
        <v>215</v>
      </c>
      <c r="V270" s="17" t="s">
        <v>915</v>
      </c>
      <c r="W270" s="12">
        <v>42430</v>
      </c>
      <c r="X270" s="48"/>
      <c r="Y270" s="12">
        <v>42735</v>
      </c>
      <c r="Z270" s="2"/>
      <c r="AA270" s="2" t="s">
        <v>479</v>
      </c>
      <c r="AB270" s="3"/>
      <c r="AC270" s="5">
        <v>1000</v>
      </c>
      <c r="AD270" s="5">
        <f>+AC270*1.07</f>
        <v>1070</v>
      </c>
      <c r="AE270" s="5">
        <v>1170</v>
      </c>
      <c r="AF270" s="5">
        <f t="shared" si="228"/>
        <v>1310</v>
      </c>
      <c r="AG270" s="5">
        <f t="shared" si="277"/>
        <v>1310</v>
      </c>
      <c r="AH270" s="5">
        <f t="shared" si="277"/>
        <v>1310</v>
      </c>
      <c r="AI270" s="5">
        <f t="shared" ref="AI270:AJ270" si="288">+AH270</f>
        <v>1310</v>
      </c>
      <c r="AJ270" s="5">
        <f t="shared" si="288"/>
        <v>1310</v>
      </c>
      <c r="AK270" s="2" t="s">
        <v>53</v>
      </c>
      <c r="AL270" s="105" t="str">
        <f t="shared" si="285"/>
        <v>B0</v>
      </c>
    </row>
    <row r="271" spans="1:38" s="6" customFormat="1" ht="15" customHeight="1" x14ac:dyDescent="0.2">
      <c r="A271" s="29" t="s">
        <v>824</v>
      </c>
      <c r="B271" s="29" t="s">
        <v>822</v>
      </c>
      <c r="C271" s="29" t="s">
        <v>823</v>
      </c>
      <c r="D271" s="2" t="s">
        <v>800</v>
      </c>
      <c r="E271" s="7" t="s">
        <v>503</v>
      </c>
      <c r="F271" s="7"/>
      <c r="G271" s="7"/>
      <c r="H271" s="8"/>
      <c r="I271" s="3" t="s">
        <v>1726</v>
      </c>
      <c r="J271" s="28" t="s">
        <v>254</v>
      </c>
      <c r="K271" s="28" t="s">
        <v>1767</v>
      </c>
      <c r="L271" s="42" t="s">
        <v>477</v>
      </c>
      <c r="M271" s="4" t="s">
        <v>3</v>
      </c>
      <c r="N271" s="15">
        <v>28916369</v>
      </c>
      <c r="O271" s="88" t="s">
        <v>1339</v>
      </c>
      <c r="P271" s="38">
        <v>29776</v>
      </c>
      <c r="Q271" s="38"/>
      <c r="R271" s="38"/>
      <c r="S271" s="38"/>
      <c r="T271" s="38"/>
      <c r="U271" s="17" t="s">
        <v>215</v>
      </c>
      <c r="V271" s="17" t="s">
        <v>915</v>
      </c>
      <c r="W271" s="12">
        <v>42005</v>
      </c>
      <c r="X271" s="13"/>
      <c r="Y271" s="12">
        <v>42735</v>
      </c>
      <c r="Z271" s="2"/>
      <c r="AA271" s="2" t="s">
        <v>479</v>
      </c>
      <c r="AB271" s="24" t="s">
        <v>479</v>
      </c>
      <c r="AC271" s="5">
        <v>1000</v>
      </c>
      <c r="AD271" s="5">
        <f>+AC271*1.07</f>
        <v>1070</v>
      </c>
      <c r="AE271" s="5">
        <v>1170</v>
      </c>
      <c r="AF271" s="5">
        <f t="shared" si="228"/>
        <v>1310</v>
      </c>
      <c r="AG271" s="5">
        <f t="shared" si="277"/>
        <v>1310</v>
      </c>
      <c r="AH271" s="5">
        <f t="shared" si="277"/>
        <v>1310</v>
      </c>
      <c r="AI271" s="5">
        <f t="shared" ref="AI271:AJ271" si="289">+AH271</f>
        <v>1310</v>
      </c>
      <c r="AJ271" s="5">
        <f t="shared" si="289"/>
        <v>1310</v>
      </c>
      <c r="AK271" s="29" t="s">
        <v>42</v>
      </c>
      <c r="AL271" s="105" t="str">
        <f t="shared" si="285"/>
        <v>C0</v>
      </c>
    </row>
    <row r="272" spans="1:38" s="6" customFormat="1" ht="15" customHeight="1" x14ac:dyDescent="0.2">
      <c r="A272" s="29" t="s">
        <v>824</v>
      </c>
      <c r="B272" s="29" t="s">
        <v>822</v>
      </c>
      <c r="C272" s="29" t="s">
        <v>823</v>
      </c>
      <c r="D272" s="2" t="s">
        <v>800</v>
      </c>
      <c r="E272" s="2" t="s">
        <v>489</v>
      </c>
      <c r="F272" s="2"/>
      <c r="G272" s="2"/>
      <c r="H272" s="2"/>
      <c r="I272" s="3" t="s">
        <v>1731</v>
      </c>
      <c r="J272" s="28" t="s">
        <v>254</v>
      </c>
      <c r="K272" s="28" t="s">
        <v>1767</v>
      </c>
      <c r="L272" s="42" t="s">
        <v>358</v>
      </c>
      <c r="M272" s="4" t="s">
        <v>3</v>
      </c>
      <c r="N272" s="15">
        <v>5930366</v>
      </c>
      <c r="O272" s="88" t="s">
        <v>1141</v>
      </c>
      <c r="P272" s="38">
        <v>17781</v>
      </c>
      <c r="Q272" s="38"/>
      <c r="R272" s="38"/>
      <c r="S272" s="38"/>
      <c r="T272" s="38"/>
      <c r="U272" s="17" t="s">
        <v>215</v>
      </c>
      <c r="V272" s="17" t="s">
        <v>915</v>
      </c>
      <c r="W272" s="12">
        <v>41091</v>
      </c>
      <c r="X272" s="13"/>
      <c r="Y272" s="12">
        <v>42735</v>
      </c>
      <c r="Z272" s="2"/>
      <c r="AA272" s="2" t="s">
        <v>479</v>
      </c>
      <c r="AB272" s="24" t="s">
        <v>479</v>
      </c>
      <c r="AC272" s="5">
        <v>1000</v>
      </c>
      <c r="AD272" s="5">
        <v>1070</v>
      </c>
      <c r="AE272" s="5">
        <v>1170</v>
      </c>
      <c r="AF272" s="5">
        <f t="shared" si="228"/>
        <v>1310</v>
      </c>
      <c r="AG272" s="5">
        <f t="shared" si="277"/>
        <v>1310</v>
      </c>
      <c r="AH272" s="5">
        <f t="shared" si="277"/>
        <v>1310</v>
      </c>
      <c r="AI272" s="5">
        <f t="shared" ref="AI272:AJ272" si="290">+AH272</f>
        <v>1310</v>
      </c>
      <c r="AJ272" s="5">
        <f t="shared" si="290"/>
        <v>1310</v>
      </c>
      <c r="AK272" s="29" t="s">
        <v>42</v>
      </c>
      <c r="AL272" s="105" t="str">
        <f t="shared" si="285"/>
        <v>C0</v>
      </c>
    </row>
    <row r="273" spans="1:38" s="6" customFormat="1" ht="15" customHeight="1" x14ac:dyDescent="0.2">
      <c r="A273" s="29" t="s">
        <v>824</v>
      </c>
      <c r="B273" s="29"/>
      <c r="C273" s="14"/>
      <c r="D273" s="2" t="s">
        <v>820</v>
      </c>
      <c r="E273" s="2" t="s">
        <v>912</v>
      </c>
      <c r="F273" s="3"/>
      <c r="G273" s="3"/>
      <c r="H273" s="2" t="s">
        <v>221</v>
      </c>
      <c r="I273" s="2" t="s">
        <v>223</v>
      </c>
      <c r="J273" s="28" t="s">
        <v>73</v>
      </c>
      <c r="K273" s="28" t="s">
        <v>1765</v>
      </c>
      <c r="L273" s="42" t="s">
        <v>110</v>
      </c>
      <c r="M273" s="4" t="s">
        <v>3</v>
      </c>
      <c r="N273" s="15">
        <v>31198044</v>
      </c>
      <c r="O273" s="88" t="s">
        <v>1389</v>
      </c>
      <c r="P273" s="38">
        <v>30931</v>
      </c>
      <c r="Q273" s="38"/>
      <c r="R273" s="38"/>
      <c r="S273" s="38"/>
      <c r="T273" s="38"/>
      <c r="U273" s="17" t="s">
        <v>215</v>
      </c>
      <c r="V273" s="17" t="s">
        <v>915</v>
      </c>
      <c r="W273" s="12">
        <v>42065</v>
      </c>
      <c r="X273" s="13"/>
      <c r="Y273" s="12">
        <v>42735</v>
      </c>
      <c r="Z273" s="2"/>
      <c r="AA273" s="2" t="s">
        <v>479</v>
      </c>
      <c r="AB273" s="2" t="s">
        <v>546</v>
      </c>
      <c r="AC273" s="5">
        <v>1000</v>
      </c>
      <c r="AD273" s="5">
        <f>+AC273*1.07</f>
        <v>1070</v>
      </c>
      <c r="AE273" s="5">
        <v>1170</v>
      </c>
      <c r="AF273" s="5">
        <f t="shared" si="228"/>
        <v>1310</v>
      </c>
      <c r="AG273" s="5">
        <f t="shared" si="277"/>
        <v>1310</v>
      </c>
      <c r="AH273" s="5">
        <f t="shared" si="277"/>
        <v>1310</v>
      </c>
      <c r="AI273" s="5">
        <f t="shared" ref="AI273:AJ273" si="291">+AH273</f>
        <v>1310</v>
      </c>
      <c r="AJ273" s="5">
        <f t="shared" si="291"/>
        <v>1310</v>
      </c>
      <c r="AK273" s="29" t="s">
        <v>42</v>
      </c>
      <c r="AL273" s="105" t="str">
        <f t="shared" si="285"/>
        <v>C0</v>
      </c>
    </row>
    <row r="274" spans="1:38" s="6" customFormat="1" ht="15" customHeight="1" x14ac:dyDescent="0.2">
      <c r="A274" s="29" t="s">
        <v>824</v>
      </c>
      <c r="B274" s="2" t="s">
        <v>822</v>
      </c>
      <c r="C274" s="3"/>
      <c r="D274" s="2" t="s">
        <v>825</v>
      </c>
      <c r="E274" s="3" t="s">
        <v>18</v>
      </c>
      <c r="F274" s="2" t="s">
        <v>19</v>
      </c>
      <c r="G274" s="2"/>
      <c r="H274" s="2" t="s">
        <v>20</v>
      </c>
      <c r="I274" s="2" t="s">
        <v>1760</v>
      </c>
      <c r="J274" s="28" t="s">
        <v>548</v>
      </c>
      <c r="K274" s="28" t="s">
        <v>548</v>
      </c>
      <c r="L274" s="44" t="s">
        <v>620</v>
      </c>
      <c r="M274" s="3" t="s">
        <v>3</v>
      </c>
      <c r="N274" s="15">
        <v>26953105</v>
      </c>
      <c r="O274" s="88" t="s">
        <v>1301</v>
      </c>
      <c r="P274" s="38">
        <v>28717</v>
      </c>
      <c r="Q274" s="38"/>
      <c r="R274" s="38"/>
      <c r="S274" s="38"/>
      <c r="T274" s="38"/>
      <c r="U274" s="17" t="s">
        <v>215</v>
      </c>
      <c r="V274" s="17" t="s">
        <v>915</v>
      </c>
      <c r="W274" s="12">
        <v>41000</v>
      </c>
      <c r="X274" s="13"/>
      <c r="Y274" s="12">
        <v>42735</v>
      </c>
      <c r="Z274" s="2"/>
      <c r="AA274" s="2" t="s">
        <v>479</v>
      </c>
      <c r="AB274" s="7" t="s">
        <v>787</v>
      </c>
      <c r="AC274" s="5">
        <v>1000</v>
      </c>
      <c r="AD274" s="5">
        <f>+AC274</f>
        <v>1000</v>
      </c>
      <c r="AE274" s="5">
        <v>1170</v>
      </c>
      <c r="AF274" s="5">
        <f t="shared" si="228"/>
        <v>1310</v>
      </c>
      <c r="AG274" s="5">
        <f t="shared" si="277"/>
        <v>1310</v>
      </c>
      <c r="AH274" s="5">
        <f t="shared" si="277"/>
        <v>1310</v>
      </c>
      <c r="AI274" s="5">
        <f t="shared" ref="AI274:AJ274" si="292">+AH274</f>
        <v>1310</v>
      </c>
      <c r="AJ274" s="5">
        <f t="shared" si="292"/>
        <v>1310</v>
      </c>
      <c r="AK274" s="2"/>
      <c r="AL274" s="106"/>
    </row>
    <row r="275" spans="1:38" s="6" customFormat="1" ht="15" customHeight="1" x14ac:dyDescent="0.2">
      <c r="A275" s="29" t="s">
        <v>824</v>
      </c>
      <c r="B275" s="2" t="s">
        <v>822</v>
      </c>
      <c r="C275" s="3"/>
      <c r="D275" s="2" t="s">
        <v>825</v>
      </c>
      <c r="E275" s="3" t="s">
        <v>18</v>
      </c>
      <c r="F275" s="2" t="s">
        <v>19</v>
      </c>
      <c r="G275" s="2"/>
      <c r="H275" s="2" t="s">
        <v>44</v>
      </c>
      <c r="I275" s="2" t="s">
        <v>1707</v>
      </c>
      <c r="J275" s="28" t="s">
        <v>548</v>
      </c>
      <c r="K275" s="28" t="s">
        <v>548</v>
      </c>
      <c r="L275" s="44" t="s">
        <v>621</v>
      </c>
      <c r="M275" s="4" t="s">
        <v>3</v>
      </c>
      <c r="N275" s="15">
        <v>30566485</v>
      </c>
      <c r="O275" s="88" t="s">
        <v>1374</v>
      </c>
      <c r="P275" s="38">
        <v>31059</v>
      </c>
      <c r="Q275" s="38"/>
      <c r="R275" s="38"/>
      <c r="S275" s="38"/>
      <c r="T275" s="38"/>
      <c r="U275" s="17" t="s">
        <v>215</v>
      </c>
      <c r="V275" s="17" t="s">
        <v>915</v>
      </c>
      <c r="W275" s="12">
        <v>41395</v>
      </c>
      <c r="X275" s="13"/>
      <c r="Y275" s="12">
        <v>42735</v>
      </c>
      <c r="Z275" s="2"/>
      <c r="AA275" s="2" t="s">
        <v>479</v>
      </c>
      <c r="AB275" s="7" t="s">
        <v>787</v>
      </c>
      <c r="AC275" s="5">
        <v>1000</v>
      </c>
      <c r="AD275" s="5">
        <f>+AC275</f>
        <v>1000</v>
      </c>
      <c r="AE275" s="5">
        <v>1170</v>
      </c>
      <c r="AF275" s="5">
        <f t="shared" si="228"/>
        <v>1310</v>
      </c>
      <c r="AG275" s="5">
        <f t="shared" si="277"/>
        <v>1310</v>
      </c>
      <c r="AH275" s="5">
        <f t="shared" si="277"/>
        <v>1310</v>
      </c>
      <c r="AI275" s="5">
        <f t="shared" ref="AI275:AJ275" si="293">+AH275</f>
        <v>1310</v>
      </c>
      <c r="AJ275" s="5">
        <f t="shared" si="293"/>
        <v>1310</v>
      </c>
      <c r="AK275" s="2"/>
      <c r="AL275" s="8"/>
    </row>
    <row r="276" spans="1:38" s="6" customFormat="1" ht="15" customHeight="1" x14ac:dyDescent="0.2">
      <c r="A276" s="29" t="s">
        <v>824</v>
      </c>
      <c r="B276" s="29" t="s">
        <v>822</v>
      </c>
      <c r="C276" s="29" t="s">
        <v>823</v>
      </c>
      <c r="D276" s="2" t="s">
        <v>800</v>
      </c>
      <c r="E276" s="2" t="s">
        <v>486</v>
      </c>
      <c r="F276" s="2"/>
      <c r="G276" s="2"/>
      <c r="H276" s="2" t="s">
        <v>1710</v>
      </c>
      <c r="I276" s="3" t="s">
        <v>1754</v>
      </c>
      <c r="J276" s="28" t="s">
        <v>254</v>
      </c>
      <c r="K276" s="28"/>
      <c r="L276" s="42" t="s">
        <v>306</v>
      </c>
      <c r="M276" s="4" t="s">
        <v>3</v>
      </c>
      <c r="N276" s="15">
        <v>20375995</v>
      </c>
      <c r="O276" s="88">
        <v>27203759954</v>
      </c>
      <c r="P276" s="38">
        <v>25067</v>
      </c>
      <c r="Q276" s="38"/>
      <c r="R276" s="38"/>
      <c r="S276" s="38"/>
      <c r="T276" s="38"/>
      <c r="U276" s="17" t="s">
        <v>215</v>
      </c>
      <c r="V276" s="17" t="s">
        <v>1698</v>
      </c>
      <c r="W276" s="12"/>
      <c r="X276" s="13"/>
      <c r="Y276" s="12">
        <v>42735</v>
      </c>
      <c r="Z276" s="2"/>
      <c r="AA276" s="2" t="s">
        <v>479</v>
      </c>
      <c r="AB276" s="25" t="s">
        <v>479</v>
      </c>
      <c r="AC276" s="5">
        <v>1000</v>
      </c>
      <c r="AD276" s="5">
        <f>+AC276*1.07</f>
        <v>1070</v>
      </c>
      <c r="AE276" s="5">
        <v>1170</v>
      </c>
      <c r="AF276" s="5">
        <f t="shared" si="228"/>
        <v>1310</v>
      </c>
      <c r="AG276" s="5">
        <f t="shared" si="277"/>
        <v>1310</v>
      </c>
      <c r="AH276" s="5">
        <f t="shared" si="277"/>
        <v>1310</v>
      </c>
      <c r="AI276" s="5">
        <f t="shared" ref="AI276:AJ276" si="294">+AH276</f>
        <v>1310</v>
      </c>
      <c r="AJ276" s="5">
        <f t="shared" si="294"/>
        <v>1310</v>
      </c>
      <c r="AK276" s="2"/>
      <c r="AL276" s="107" t="s">
        <v>1818</v>
      </c>
    </row>
    <row r="277" spans="1:38" s="6" customFormat="1" ht="15" customHeight="1" x14ac:dyDescent="0.2">
      <c r="A277" s="29" t="s">
        <v>824</v>
      </c>
      <c r="B277" s="29"/>
      <c r="C277" s="29"/>
      <c r="D277" s="2" t="s">
        <v>820</v>
      </c>
      <c r="E277" s="2" t="s">
        <v>63</v>
      </c>
      <c r="F277" s="2"/>
      <c r="G277" s="2"/>
      <c r="H277" s="2"/>
      <c r="I277" s="2" t="s">
        <v>1707</v>
      </c>
      <c r="J277" s="28"/>
      <c r="K277" s="28" t="s">
        <v>1765</v>
      </c>
      <c r="L277" s="42" t="s">
        <v>1610</v>
      </c>
      <c r="M277" s="7" t="s">
        <v>3</v>
      </c>
      <c r="N277" s="15">
        <v>31413340</v>
      </c>
      <c r="O277" s="88">
        <v>23314133404</v>
      </c>
      <c r="P277" s="38">
        <v>31141</v>
      </c>
      <c r="Q277" s="38"/>
      <c r="R277" s="38"/>
      <c r="S277" s="38"/>
      <c r="T277" s="38"/>
      <c r="U277" s="17" t="s">
        <v>215</v>
      </c>
      <c r="V277" s="17" t="s">
        <v>915</v>
      </c>
      <c r="W277" s="12">
        <v>42563</v>
      </c>
      <c r="X277" s="13"/>
      <c r="Y277" s="12">
        <v>42735</v>
      </c>
      <c r="Z277" s="2"/>
      <c r="AA277" s="2" t="s">
        <v>479</v>
      </c>
      <c r="AB277" s="24"/>
      <c r="AC277" s="5" t="s">
        <v>1611</v>
      </c>
      <c r="AD277" s="5" t="s">
        <v>1611</v>
      </c>
      <c r="AE277" s="5">
        <v>1170</v>
      </c>
      <c r="AF277" s="5">
        <v>1310</v>
      </c>
      <c r="AG277" s="5">
        <f t="shared" si="277"/>
        <v>1310</v>
      </c>
      <c r="AH277" s="5">
        <f t="shared" si="277"/>
        <v>1310</v>
      </c>
      <c r="AI277" s="5">
        <f t="shared" ref="AI277:AJ277" si="295">+AH277</f>
        <v>1310</v>
      </c>
      <c r="AJ277" s="5">
        <f t="shared" si="295"/>
        <v>1310</v>
      </c>
      <c r="AK277" s="29" t="s">
        <v>42</v>
      </c>
      <c r="AL277" s="105" t="str">
        <f>+AK277</f>
        <v>C0</v>
      </c>
    </row>
    <row r="278" spans="1:38" s="6" customFormat="1" ht="15" customHeight="1" x14ac:dyDescent="0.2">
      <c r="A278" s="29" t="s">
        <v>824</v>
      </c>
      <c r="B278" s="29" t="s">
        <v>822</v>
      </c>
      <c r="C278" s="29" t="s">
        <v>823</v>
      </c>
      <c r="D278" s="2" t="s">
        <v>800</v>
      </c>
      <c r="E278" s="7" t="s">
        <v>541</v>
      </c>
      <c r="F278" s="7"/>
      <c r="G278" s="7"/>
      <c r="H278" s="8"/>
      <c r="I278" s="3" t="s">
        <v>1736</v>
      </c>
      <c r="J278" s="28" t="s">
        <v>254</v>
      </c>
      <c r="K278" s="28" t="s">
        <v>1767</v>
      </c>
      <c r="L278" s="42" t="s">
        <v>422</v>
      </c>
      <c r="M278" s="4" t="s">
        <v>3</v>
      </c>
      <c r="N278" s="15">
        <v>32036474</v>
      </c>
      <c r="O278" s="88" t="s">
        <v>1406</v>
      </c>
      <c r="P278" s="38">
        <v>31388</v>
      </c>
      <c r="Q278" s="38"/>
      <c r="R278" s="38"/>
      <c r="S278" s="38"/>
      <c r="T278" s="38"/>
      <c r="U278" s="17" t="s">
        <v>215</v>
      </c>
      <c r="V278" s="17" t="s">
        <v>915</v>
      </c>
      <c r="W278" s="12">
        <v>41821</v>
      </c>
      <c r="X278" s="13"/>
      <c r="Y278" s="12">
        <v>42735</v>
      </c>
      <c r="Z278" s="2"/>
      <c r="AA278" s="2" t="s">
        <v>479</v>
      </c>
      <c r="AB278" s="24" t="s">
        <v>479</v>
      </c>
      <c r="AC278" s="5">
        <v>1000</v>
      </c>
      <c r="AD278" s="5">
        <v>1070</v>
      </c>
      <c r="AE278" s="5">
        <v>1170</v>
      </c>
      <c r="AF278" s="5">
        <f t="shared" si="228"/>
        <v>1310</v>
      </c>
      <c r="AG278" s="5">
        <f t="shared" si="277"/>
        <v>1310</v>
      </c>
      <c r="AH278" s="5">
        <f t="shared" si="277"/>
        <v>1310</v>
      </c>
      <c r="AI278" s="5">
        <f t="shared" ref="AI278:AJ278" si="296">+AH278</f>
        <v>1310</v>
      </c>
      <c r="AJ278" s="5">
        <f t="shared" si="296"/>
        <v>1310</v>
      </c>
      <c r="AK278" s="29" t="s">
        <v>42</v>
      </c>
      <c r="AL278" s="105" t="str">
        <f>+AK278</f>
        <v>C0</v>
      </c>
    </row>
    <row r="279" spans="1:38" s="6" customFormat="1" ht="15" customHeight="1" x14ac:dyDescent="0.2">
      <c r="A279" s="29" t="s">
        <v>824</v>
      </c>
      <c r="B279" s="29" t="s">
        <v>822</v>
      </c>
      <c r="C279" s="29" t="s">
        <v>823</v>
      </c>
      <c r="D279" s="2" t="s">
        <v>808</v>
      </c>
      <c r="E279" s="2" t="s">
        <v>909</v>
      </c>
      <c r="F279" s="2" t="s">
        <v>23</v>
      </c>
      <c r="G279" s="3" t="s">
        <v>516</v>
      </c>
      <c r="H279" s="2" t="s">
        <v>222</v>
      </c>
      <c r="I279" s="2" t="s">
        <v>222</v>
      </c>
      <c r="J279" s="28" t="s">
        <v>73</v>
      </c>
      <c r="K279" s="28" t="s">
        <v>1765</v>
      </c>
      <c r="L279" s="43" t="s">
        <v>111</v>
      </c>
      <c r="M279" s="4" t="s">
        <v>3</v>
      </c>
      <c r="N279" s="15">
        <v>37041079</v>
      </c>
      <c r="O279" s="88" t="s">
        <v>1523</v>
      </c>
      <c r="P279" s="38">
        <v>33758</v>
      </c>
      <c r="Q279" s="38"/>
      <c r="R279" s="38"/>
      <c r="S279" s="38"/>
      <c r="T279" s="38"/>
      <c r="U279" s="17" t="s">
        <v>215</v>
      </c>
      <c r="V279" s="17" t="s">
        <v>915</v>
      </c>
      <c r="W279" s="12">
        <v>42165</v>
      </c>
      <c r="X279" s="13"/>
      <c r="Y279" s="12">
        <v>42735</v>
      </c>
      <c r="Z279" s="2"/>
      <c r="AA279" s="2" t="s">
        <v>479</v>
      </c>
      <c r="AB279" s="14" t="s">
        <v>479</v>
      </c>
      <c r="AC279" s="5">
        <v>1000</v>
      </c>
      <c r="AD279" s="5">
        <f>+AC279*1.07</f>
        <v>1070</v>
      </c>
      <c r="AE279" s="5">
        <v>1170</v>
      </c>
      <c r="AF279" s="5">
        <f t="shared" ref="AF279:AF313" si="297">+AC279*1.31</f>
        <v>1310</v>
      </c>
      <c r="AG279" s="5">
        <f t="shared" si="277"/>
        <v>1310</v>
      </c>
      <c r="AH279" s="5">
        <f t="shared" si="277"/>
        <v>1310</v>
      </c>
      <c r="AI279" s="5">
        <f t="shared" ref="AI279:AJ279" si="298">+AH279</f>
        <v>1310</v>
      </c>
      <c r="AJ279" s="5">
        <f t="shared" si="298"/>
        <v>1310</v>
      </c>
      <c r="AK279" s="29" t="s">
        <v>42</v>
      </c>
      <c r="AL279" s="105" t="str">
        <f>+AK279</f>
        <v>C0</v>
      </c>
    </row>
    <row r="280" spans="1:38" s="6" customFormat="1" ht="15" customHeight="1" x14ac:dyDescent="0.2">
      <c r="A280" s="29" t="s">
        <v>824</v>
      </c>
      <c r="B280" s="29" t="s">
        <v>822</v>
      </c>
      <c r="C280" s="29" t="s">
        <v>823</v>
      </c>
      <c r="D280" s="2" t="s">
        <v>808</v>
      </c>
      <c r="E280" s="7" t="s">
        <v>20</v>
      </c>
      <c r="F280" s="7"/>
      <c r="G280" s="7"/>
      <c r="H280" s="8"/>
      <c r="I280" s="2" t="s">
        <v>235</v>
      </c>
      <c r="J280" s="28"/>
      <c r="K280" s="28" t="s">
        <v>1765</v>
      </c>
      <c r="L280" s="42" t="s">
        <v>1021</v>
      </c>
      <c r="M280" s="7" t="s">
        <v>3</v>
      </c>
      <c r="N280" s="15">
        <v>25997290</v>
      </c>
      <c r="O280" s="88" t="s">
        <v>1278</v>
      </c>
      <c r="P280" s="38">
        <v>28308</v>
      </c>
      <c r="Q280" s="38"/>
      <c r="R280" s="38"/>
      <c r="S280" s="38"/>
      <c r="T280" s="38"/>
      <c r="U280" s="17" t="s">
        <v>215</v>
      </c>
      <c r="V280" s="17" t="s">
        <v>915</v>
      </c>
      <c r="W280" s="12">
        <v>42461</v>
      </c>
      <c r="X280" s="20"/>
      <c r="Y280" s="12">
        <v>42735</v>
      </c>
      <c r="Z280" s="2"/>
      <c r="AA280" s="2" t="s">
        <v>479</v>
      </c>
      <c r="AB280" s="24"/>
      <c r="AC280" s="5">
        <v>1000</v>
      </c>
      <c r="AD280" s="5">
        <f>+AC280*1.07</f>
        <v>1070</v>
      </c>
      <c r="AE280" s="5">
        <v>1170</v>
      </c>
      <c r="AF280" s="5">
        <f t="shared" si="297"/>
        <v>1310</v>
      </c>
      <c r="AG280" s="5">
        <f t="shared" ref="AG280:AH299" si="299">+AF280</f>
        <v>1310</v>
      </c>
      <c r="AH280" s="5">
        <f t="shared" si="299"/>
        <v>1310</v>
      </c>
      <c r="AI280" s="5">
        <f t="shared" ref="AI280:AJ280" si="300">+AH280</f>
        <v>1310</v>
      </c>
      <c r="AJ280" s="5">
        <f t="shared" si="300"/>
        <v>1310</v>
      </c>
      <c r="AK280" s="2" t="s">
        <v>53</v>
      </c>
      <c r="AL280" s="105" t="str">
        <f>+AK280</f>
        <v>B0</v>
      </c>
    </row>
    <row r="281" spans="1:38" s="6" customFormat="1" ht="15" customHeight="1" x14ac:dyDescent="0.2">
      <c r="A281" s="29" t="s">
        <v>824</v>
      </c>
      <c r="B281" s="29"/>
      <c r="C281" s="14"/>
      <c r="D281" s="2" t="s">
        <v>820</v>
      </c>
      <c r="E281" s="2" t="s">
        <v>921</v>
      </c>
      <c r="F281" s="2" t="s">
        <v>31</v>
      </c>
      <c r="G281" s="3"/>
      <c r="H281" s="2" t="s">
        <v>220</v>
      </c>
      <c r="I281" s="2" t="s">
        <v>34</v>
      </c>
      <c r="J281" s="28" t="s">
        <v>73</v>
      </c>
      <c r="K281" s="28" t="s">
        <v>1765</v>
      </c>
      <c r="L281" s="45" t="s">
        <v>112</v>
      </c>
      <c r="M281" s="4" t="s">
        <v>3</v>
      </c>
      <c r="N281" s="15">
        <v>20350247</v>
      </c>
      <c r="O281" s="88">
        <v>20203502479</v>
      </c>
      <c r="P281" s="38">
        <v>25018</v>
      </c>
      <c r="Q281" s="38"/>
      <c r="R281" s="38"/>
      <c r="S281" s="38"/>
      <c r="T281" s="38"/>
      <c r="U281" s="17" t="s">
        <v>215</v>
      </c>
      <c r="V281" s="17" t="s">
        <v>915</v>
      </c>
      <c r="W281" s="12">
        <v>42156</v>
      </c>
      <c r="X281" s="13"/>
      <c r="Y281" s="12">
        <v>42735</v>
      </c>
      <c r="Z281" s="2"/>
      <c r="AA281" s="2" t="s">
        <v>479</v>
      </c>
      <c r="AB281" s="2" t="s">
        <v>546</v>
      </c>
      <c r="AC281" s="5">
        <v>1000</v>
      </c>
      <c r="AD281" s="5">
        <f>+AC281*1.07</f>
        <v>1070</v>
      </c>
      <c r="AE281" s="5">
        <v>1170</v>
      </c>
      <c r="AF281" s="5">
        <f t="shared" si="297"/>
        <v>1310</v>
      </c>
      <c r="AG281" s="5">
        <f t="shared" si="299"/>
        <v>1310</v>
      </c>
      <c r="AH281" s="5">
        <f t="shared" si="299"/>
        <v>1310</v>
      </c>
      <c r="AI281" s="5">
        <f t="shared" ref="AI281:AJ281" si="301">+AH281</f>
        <v>1310</v>
      </c>
      <c r="AJ281" s="5">
        <f t="shared" si="301"/>
        <v>1310</v>
      </c>
      <c r="AK281" s="2" t="s">
        <v>43</v>
      </c>
      <c r="AL281" s="105" t="str">
        <f>+AK281</f>
        <v>A0</v>
      </c>
    </row>
    <row r="282" spans="1:38" s="6" customFormat="1" ht="15" customHeight="1" x14ac:dyDescent="0.2">
      <c r="A282" s="29" t="s">
        <v>824</v>
      </c>
      <c r="B282" s="2" t="s">
        <v>822</v>
      </c>
      <c r="C282" s="3"/>
      <c r="D282" s="2" t="s">
        <v>825</v>
      </c>
      <c r="E282" s="3" t="s">
        <v>18</v>
      </c>
      <c r="F282" s="2" t="s">
        <v>19</v>
      </c>
      <c r="G282" s="2"/>
      <c r="H282" s="2" t="s">
        <v>44</v>
      </c>
      <c r="I282" s="2" t="s">
        <v>1707</v>
      </c>
      <c r="J282" s="28" t="s">
        <v>548</v>
      </c>
      <c r="K282" s="28" t="s">
        <v>548</v>
      </c>
      <c r="L282" s="44" t="s">
        <v>622</v>
      </c>
      <c r="M282" s="4" t="s">
        <v>3</v>
      </c>
      <c r="N282" s="15">
        <v>30407450</v>
      </c>
      <c r="O282" s="88" t="s">
        <v>1369</v>
      </c>
      <c r="P282" s="38">
        <v>30513</v>
      </c>
      <c r="Q282" s="38"/>
      <c r="R282" s="38"/>
      <c r="S282" s="38"/>
      <c r="T282" s="38"/>
      <c r="U282" s="17" t="s">
        <v>215</v>
      </c>
      <c r="V282" s="17" t="s">
        <v>915</v>
      </c>
      <c r="W282" s="12">
        <v>41596</v>
      </c>
      <c r="X282" s="13"/>
      <c r="Y282" s="12">
        <v>42735</v>
      </c>
      <c r="Z282" s="2"/>
      <c r="AA282" s="2" t="s">
        <v>479</v>
      </c>
      <c r="AB282" s="7" t="s">
        <v>787</v>
      </c>
      <c r="AC282" s="5">
        <v>1000</v>
      </c>
      <c r="AD282" s="5">
        <f>+AC282</f>
        <v>1000</v>
      </c>
      <c r="AE282" s="5">
        <v>1170</v>
      </c>
      <c r="AF282" s="5">
        <f t="shared" si="297"/>
        <v>1310</v>
      </c>
      <c r="AG282" s="5">
        <f t="shared" si="299"/>
        <v>1310</v>
      </c>
      <c r="AH282" s="5">
        <f t="shared" si="299"/>
        <v>1310</v>
      </c>
      <c r="AI282" s="5">
        <f t="shared" ref="AI282:AJ282" si="302">+AH282</f>
        <v>1310</v>
      </c>
      <c r="AJ282" s="5">
        <f t="shared" si="302"/>
        <v>1310</v>
      </c>
      <c r="AK282" s="2"/>
      <c r="AL282" s="8"/>
    </row>
    <row r="283" spans="1:38" s="6" customFormat="1" ht="15" customHeight="1" x14ac:dyDescent="0.2">
      <c r="A283" s="29" t="s">
        <v>824</v>
      </c>
      <c r="B283" s="2" t="s">
        <v>822</v>
      </c>
      <c r="C283" s="2" t="s">
        <v>823</v>
      </c>
      <c r="D283" s="2" t="s">
        <v>1820</v>
      </c>
      <c r="E283" s="2"/>
      <c r="F283" s="2"/>
      <c r="G283" s="2"/>
      <c r="H283" s="2" t="s">
        <v>59</v>
      </c>
      <c r="I283" s="2" t="s">
        <v>48</v>
      </c>
      <c r="J283" s="28" t="s">
        <v>73</v>
      </c>
      <c r="K283" s="28" t="s">
        <v>1765</v>
      </c>
      <c r="L283" s="41" t="s">
        <v>1822</v>
      </c>
      <c r="M283" s="4" t="s">
        <v>3</v>
      </c>
      <c r="N283" s="15">
        <v>33300296</v>
      </c>
      <c r="O283" s="88" t="s">
        <v>1442</v>
      </c>
      <c r="P283" s="38">
        <v>32078</v>
      </c>
      <c r="Q283" s="38"/>
      <c r="R283" s="38"/>
      <c r="S283" s="38"/>
      <c r="T283" s="38"/>
      <c r="U283" s="17" t="s">
        <v>215</v>
      </c>
      <c r="V283" s="17" t="s">
        <v>915</v>
      </c>
      <c r="W283" s="12">
        <v>41477</v>
      </c>
      <c r="X283" s="13"/>
      <c r="Y283" s="12">
        <v>42735</v>
      </c>
      <c r="Z283" s="2"/>
      <c r="AA283" s="2" t="s">
        <v>479</v>
      </c>
      <c r="AB283" s="3" t="s">
        <v>10</v>
      </c>
      <c r="AC283" s="5">
        <v>1000</v>
      </c>
      <c r="AD283" s="5">
        <f>+AC283*1.07</f>
        <v>1070</v>
      </c>
      <c r="AE283" s="5">
        <v>1170</v>
      </c>
      <c r="AF283" s="5">
        <f t="shared" si="297"/>
        <v>1310</v>
      </c>
      <c r="AG283" s="5">
        <f t="shared" si="299"/>
        <v>1310</v>
      </c>
      <c r="AH283" s="5">
        <f t="shared" si="299"/>
        <v>1310</v>
      </c>
      <c r="AI283" s="5">
        <f t="shared" ref="AI283:AJ283" si="303">+AH283</f>
        <v>1310</v>
      </c>
      <c r="AJ283" s="5">
        <f t="shared" si="303"/>
        <v>1310</v>
      </c>
      <c r="AK283" s="2" t="s">
        <v>43</v>
      </c>
      <c r="AL283" s="105" t="str">
        <f>+AK283</f>
        <v>A0</v>
      </c>
    </row>
    <row r="284" spans="1:38" s="6" customFormat="1" ht="15" customHeight="1" x14ac:dyDescent="0.2">
      <c r="A284" s="29" t="s">
        <v>824</v>
      </c>
      <c r="B284" s="29"/>
      <c r="C284" s="14"/>
      <c r="D284" s="2" t="s">
        <v>820</v>
      </c>
      <c r="E284" s="2" t="s">
        <v>817</v>
      </c>
      <c r="F284" s="3"/>
      <c r="G284" s="3"/>
      <c r="H284" s="2" t="s">
        <v>223</v>
      </c>
      <c r="I284" s="3"/>
      <c r="J284" s="28" t="s">
        <v>73</v>
      </c>
      <c r="K284" s="28"/>
      <c r="L284" s="45" t="s">
        <v>113</v>
      </c>
      <c r="M284" s="4" t="s">
        <v>3</v>
      </c>
      <c r="N284" s="15">
        <v>21801576</v>
      </c>
      <c r="O284" s="88">
        <v>27218015765</v>
      </c>
      <c r="P284" s="61"/>
      <c r="Q284" s="61"/>
      <c r="R284" s="61"/>
      <c r="S284" s="61"/>
      <c r="T284" s="61"/>
      <c r="U284" s="16" t="s">
        <v>796</v>
      </c>
      <c r="V284" s="16" t="s">
        <v>916</v>
      </c>
      <c r="W284" s="12">
        <v>40695</v>
      </c>
      <c r="X284" s="48">
        <v>42735</v>
      </c>
      <c r="Y284" s="12">
        <v>42735</v>
      </c>
      <c r="Z284" s="2" t="s">
        <v>17</v>
      </c>
      <c r="AA284" s="2"/>
      <c r="AB284" s="14"/>
      <c r="AC284" s="5">
        <v>1000</v>
      </c>
      <c r="AD284" s="5"/>
      <c r="AE284" s="5">
        <v>1170</v>
      </c>
      <c r="AF284" s="5">
        <f t="shared" si="297"/>
        <v>1310</v>
      </c>
      <c r="AG284" s="5">
        <f t="shared" si="299"/>
        <v>1310</v>
      </c>
      <c r="AH284" s="5">
        <f t="shared" si="299"/>
        <v>1310</v>
      </c>
      <c r="AI284" s="5">
        <f t="shared" ref="AI284:AJ284" si="304">+AH284</f>
        <v>1310</v>
      </c>
      <c r="AJ284" s="5">
        <f t="shared" si="304"/>
        <v>1310</v>
      </c>
      <c r="AK284" s="2"/>
      <c r="AL284" s="105" t="str">
        <f>+Z284</f>
        <v>C1</v>
      </c>
    </row>
    <row r="285" spans="1:38" s="6" customFormat="1" ht="15" customHeight="1" x14ac:dyDescent="0.2">
      <c r="A285" s="29" t="s">
        <v>824</v>
      </c>
      <c r="B285" s="29" t="s">
        <v>822</v>
      </c>
      <c r="C285" s="29" t="s">
        <v>823</v>
      </c>
      <c r="D285" s="2" t="s">
        <v>800</v>
      </c>
      <c r="E285" s="2" t="s">
        <v>489</v>
      </c>
      <c r="F285" s="2"/>
      <c r="G285" s="2"/>
      <c r="H285" s="2"/>
      <c r="I285" s="3" t="s">
        <v>1713</v>
      </c>
      <c r="J285" s="28" t="s">
        <v>254</v>
      </c>
      <c r="K285" s="28" t="s">
        <v>1767</v>
      </c>
      <c r="L285" s="42" t="s">
        <v>359</v>
      </c>
      <c r="M285" s="4" t="s">
        <v>3</v>
      </c>
      <c r="N285" s="15">
        <v>25906662</v>
      </c>
      <c r="O285" s="88" t="s">
        <v>1274</v>
      </c>
      <c r="P285" s="38">
        <v>28229</v>
      </c>
      <c r="Q285" s="38"/>
      <c r="R285" s="38"/>
      <c r="S285" s="38"/>
      <c r="T285" s="38"/>
      <c r="U285" s="17" t="s">
        <v>215</v>
      </c>
      <c r="V285" s="17" t="s">
        <v>915</v>
      </c>
      <c r="W285" s="12">
        <v>42125</v>
      </c>
      <c r="X285" s="13"/>
      <c r="Y285" s="12">
        <v>42735</v>
      </c>
      <c r="Z285" s="2"/>
      <c r="AA285" s="2" t="s">
        <v>479</v>
      </c>
      <c r="AB285" s="24" t="s">
        <v>479</v>
      </c>
      <c r="AC285" s="5">
        <v>1000</v>
      </c>
      <c r="AD285" s="5">
        <v>1070</v>
      </c>
      <c r="AE285" s="5">
        <v>1170</v>
      </c>
      <c r="AF285" s="5">
        <f t="shared" si="297"/>
        <v>1310</v>
      </c>
      <c r="AG285" s="5">
        <f t="shared" si="299"/>
        <v>1310</v>
      </c>
      <c r="AH285" s="5">
        <f t="shared" si="299"/>
        <v>1310</v>
      </c>
      <c r="AI285" s="5">
        <f t="shared" ref="AI285:AJ285" si="305">+AH285</f>
        <v>1310</v>
      </c>
      <c r="AJ285" s="5">
        <f t="shared" si="305"/>
        <v>1310</v>
      </c>
      <c r="AK285" s="29" t="s">
        <v>42</v>
      </c>
      <c r="AL285" s="105" t="str">
        <f>+AK285</f>
        <v>C0</v>
      </c>
    </row>
    <row r="286" spans="1:38" s="6" customFormat="1" ht="15" customHeight="1" x14ac:dyDescent="0.2">
      <c r="A286" s="29" t="s">
        <v>824</v>
      </c>
      <c r="B286" s="2" t="s">
        <v>822</v>
      </c>
      <c r="C286" s="29" t="s">
        <v>823</v>
      </c>
      <c r="D286" s="2" t="s">
        <v>808</v>
      </c>
      <c r="E286" s="2" t="s">
        <v>216</v>
      </c>
      <c r="F286" s="2"/>
      <c r="G286" s="2"/>
      <c r="H286" s="44"/>
      <c r="I286" s="2" t="s">
        <v>225</v>
      </c>
      <c r="J286" s="28"/>
      <c r="K286" s="28" t="s">
        <v>1765</v>
      </c>
      <c r="L286" s="44" t="s">
        <v>1138</v>
      </c>
      <c r="M286" s="7" t="s">
        <v>3</v>
      </c>
      <c r="N286" s="15">
        <v>24962686</v>
      </c>
      <c r="O286" s="88">
        <v>20249626865</v>
      </c>
      <c r="P286" s="38">
        <v>27677</v>
      </c>
      <c r="Q286" s="38"/>
      <c r="R286" s="38"/>
      <c r="S286" s="38"/>
      <c r="T286" s="38"/>
      <c r="U286" s="17" t="s">
        <v>215</v>
      </c>
      <c r="V286" s="17" t="s">
        <v>915</v>
      </c>
      <c r="W286" s="12">
        <v>42536</v>
      </c>
      <c r="X286" s="13"/>
      <c r="Y286" s="12">
        <v>42735</v>
      </c>
      <c r="Z286" s="2"/>
      <c r="AA286" s="2" t="s">
        <v>479</v>
      </c>
      <c r="AB286" s="7"/>
      <c r="AC286" s="5"/>
      <c r="AD286" s="5">
        <v>1070</v>
      </c>
      <c r="AE286" s="5">
        <v>1170</v>
      </c>
      <c r="AF286" s="5">
        <f t="shared" si="297"/>
        <v>0</v>
      </c>
      <c r="AG286" s="5">
        <f t="shared" si="299"/>
        <v>0</v>
      </c>
      <c r="AH286" s="5">
        <f t="shared" si="299"/>
        <v>0</v>
      </c>
      <c r="AI286" s="5">
        <f t="shared" ref="AI286:AJ286" si="306">+AH286</f>
        <v>0</v>
      </c>
      <c r="AJ286" s="5">
        <f t="shared" si="306"/>
        <v>0</v>
      </c>
      <c r="AK286" s="2" t="s">
        <v>53</v>
      </c>
      <c r="AL286" s="105" t="str">
        <f>+AK286</f>
        <v>B0</v>
      </c>
    </row>
    <row r="287" spans="1:38" s="6" customFormat="1" ht="15" customHeight="1" x14ac:dyDescent="0.2">
      <c r="A287" s="29" t="s">
        <v>824</v>
      </c>
      <c r="B287" s="29" t="s">
        <v>822</v>
      </c>
      <c r="C287" s="29" t="s">
        <v>823</v>
      </c>
      <c r="D287" s="2" t="s">
        <v>800</v>
      </c>
      <c r="E287" s="2" t="s">
        <v>20</v>
      </c>
      <c r="F287" s="7"/>
      <c r="G287" s="7"/>
      <c r="H287" s="8"/>
      <c r="I287" s="3"/>
      <c r="J287" s="28" t="s">
        <v>254</v>
      </c>
      <c r="K287" s="28"/>
      <c r="L287" s="42" t="s">
        <v>456</v>
      </c>
      <c r="M287" s="4" t="s">
        <v>3</v>
      </c>
      <c r="N287" s="15">
        <v>24837596</v>
      </c>
      <c r="O287" s="88">
        <v>20248375966</v>
      </c>
      <c r="P287" s="38"/>
      <c r="Q287" s="38"/>
      <c r="R287" s="38"/>
      <c r="S287" s="38"/>
      <c r="T287" s="38"/>
      <c r="U287" s="16" t="s">
        <v>796</v>
      </c>
      <c r="V287" s="16" t="s">
        <v>916</v>
      </c>
      <c r="W287" s="12">
        <v>40179</v>
      </c>
      <c r="X287" s="48">
        <v>42735</v>
      </c>
      <c r="Y287" s="12">
        <v>42735</v>
      </c>
      <c r="Z287" s="2" t="s">
        <v>17</v>
      </c>
      <c r="AA287" s="2"/>
      <c r="AB287" s="18"/>
      <c r="AC287" s="5">
        <v>1000</v>
      </c>
      <c r="AD287" s="5"/>
      <c r="AE287" s="5">
        <v>1170</v>
      </c>
      <c r="AF287" s="5">
        <f t="shared" si="297"/>
        <v>1310</v>
      </c>
      <c r="AG287" s="5">
        <f t="shared" si="299"/>
        <v>1310</v>
      </c>
      <c r="AH287" s="5">
        <f t="shared" si="299"/>
        <v>1310</v>
      </c>
      <c r="AI287" s="5">
        <f t="shared" ref="AI287:AJ287" si="307">+AH287</f>
        <v>1310</v>
      </c>
      <c r="AJ287" s="5">
        <f t="shared" si="307"/>
        <v>1310</v>
      </c>
      <c r="AK287" s="2"/>
      <c r="AL287" s="105" t="str">
        <f>+Z287</f>
        <v>C1</v>
      </c>
    </row>
    <row r="288" spans="1:38" s="6" customFormat="1" ht="15" customHeight="1" x14ac:dyDescent="0.2">
      <c r="A288" s="29" t="s">
        <v>824</v>
      </c>
      <c r="B288" s="29" t="s">
        <v>822</v>
      </c>
      <c r="C288" s="29" t="s">
        <v>823</v>
      </c>
      <c r="D288" s="2" t="s">
        <v>808</v>
      </c>
      <c r="E288" s="2" t="s">
        <v>909</v>
      </c>
      <c r="F288" s="2" t="s">
        <v>23</v>
      </c>
      <c r="G288" s="3" t="s">
        <v>516</v>
      </c>
      <c r="H288" s="2" t="s">
        <v>222</v>
      </c>
      <c r="I288" s="2" t="s">
        <v>222</v>
      </c>
      <c r="J288" s="28" t="s">
        <v>73</v>
      </c>
      <c r="K288" s="28" t="s">
        <v>1765</v>
      </c>
      <c r="L288" s="43" t="s">
        <v>114</v>
      </c>
      <c r="M288" s="4" t="s">
        <v>3</v>
      </c>
      <c r="N288" s="15">
        <v>25865315</v>
      </c>
      <c r="O288" s="88" t="s">
        <v>1272</v>
      </c>
      <c r="P288" s="38">
        <v>28278</v>
      </c>
      <c r="Q288" s="38"/>
      <c r="R288" s="38"/>
      <c r="S288" s="38"/>
      <c r="T288" s="38"/>
      <c r="U288" s="17" t="s">
        <v>215</v>
      </c>
      <c r="V288" s="17" t="s">
        <v>915</v>
      </c>
      <c r="W288" s="12">
        <v>42165</v>
      </c>
      <c r="X288" s="13"/>
      <c r="Y288" s="12">
        <v>42735</v>
      </c>
      <c r="Z288" s="2"/>
      <c r="AA288" s="2" t="s">
        <v>479</v>
      </c>
      <c r="AB288" s="14" t="s">
        <v>479</v>
      </c>
      <c r="AC288" s="5">
        <v>1000</v>
      </c>
      <c r="AD288" s="5">
        <f>+AC288*1.07</f>
        <v>1070</v>
      </c>
      <c r="AE288" s="5">
        <v>1170</v>
      </c>
      <c r="AF288" s="5">
        <f t="shared" si="297"/>
        <v>1310</v>
      </c>
      <c r="AG288" s="5">
        <f t="shared" si="299"/>
        <v>1310</v>
      </c>
      <c r="AH288" s="5">
        <f t="shared" si="299"/>
        <v>1310</v>
      </c>
      <c r="AI288" s="5">
        <f t="shared" ref="AI288:AJ288" si="308">+AH288</f>
        <v>1310</v>
      </c>
      <c r="AJ288" s="5">
        <f t="shared" si="308"/>
        <v>1310</v>
      </c>
      <c r="AK288" s="29" t="s">
        <v>42</v>
      </c>
      <c r="AL288" s="105" t="str">
        <f>+AK288</f>
        <v>C0</v>
      </c>
    </row>
    <row r="289" spans="1:38" s="6" customFormat="1" ht="15" customHeight="1" x14ac:dyDescent="0.2">
      <c r="A289" s="29" t="s">
        <v>824</v>
      </c>
      <c r="B289" s="2" t="s">
        <v>822</v>
      </c>
      <c r="C289" s="29" t="s">
        <v>823</v>
      </c>
      <c r="D289" s="2" t="s">
        <v>808</v>
      </c>
      <c r="E289" s="2" t="s">
        <v>20</v>
      </c>
      <c r="F289" s="2"/>
      <c r="G289" s="2"/>
      <c r="H289" s="2"/>
      <c r="I289" s="2" t="s">
        <v>235</v>
      </c>
      <c r="J289" s="28"/>
      <c r="K289" s="28" t="s">
        <v>1765</v>
      </c>
      <c r="L289" s="44" t="s">
        <v>939</v>
      </c>
      <c r="M289" s="7" t="s">
        <v>3</v>
      </c>
      <c r="N289" s="15">
        <v>24963203</v>
      </c>
      <c r="O289" s="88" t="s">
        <v>1254</v>
      </c>
      <c r="P289" s="38">
        <v>27675</v>
      </c>
      <c r="Q289" s="38"/>
      <c r="R289" s="38"/>
      <c r="S289" s="38"/>
      <c r="T289" s="38"/>
      <c r="U289" s="17" t="s">
        <v>215</v>
      </c>
      <c r="V289" s="17" t="s">
        <v>915</v>
      </c>
      <c r="W289" s="12">
        <v>42491</v>
      </c>
      <c r="X289" s="13"/>
      <c r="Y289" s="12">
        <v>42735</v>
      </c>
      <c r="Z289" s="2"/>
      <c r="AA289" s="2" t="s">
        <v>479</v>
      </c>
      <c r="AB289" s="7"/>
      <c r="AC289" s="5">
        <v>1000</v>
      </c>
      <c r="AD289" s="5">
        <f>+AC289*1.07</f>
        <v>1070</v>
      </c>
      <c r="AE289" s="5">
        <v>1170</v>
      </c>
      <c r="AF289" s="5">
        <f t="shared" si="297"/>
        <v>1310</v>
      </c>
      <c r="AG289" s="5">
        <f t="shared" si="299"/>
        <v>1310</v>
      </c>
      <c r="AH289" s="5">
        <f t="shared" si="299"/>
        <v>1310</v>
      </c>
      <c r="AI289" s="5">
        <f t="shared" ref="AI289:AJ289" si="309">+AH289</f>
        <v>1310</v>
      </c>
      <c r="AJ289" s="5">
        <f t="shared" si="309"/>
        <v>1310</v>
      </c>
      <c r="AK289" s="2" t="s">
        <v>53</v>
      </c>
      <c r="AL289" s="105" t="str">
        <f>+AK289</f>
        <v>B0</v>
      </c>
    </row>
    <row r="290" spans="1:38" s="6" customFormat="1" ht="15" customHeight="1" x14ac:dyDescent="0.2">
      <c r="A290" s="29" t="s">
        <v>824</v>
      </c>
      <c r="B290" s="29"/>
      <c r="C290" s="14"/>
      <c r="D290" s="2" t="s">
        <v>820</v>
      </c>
      <c r="E290" s="2" t="s">
        <v>818</v>
      </c>
      <c r="F290" s="3"/>
      <c r="G290" s="3"/>
      <c r="H290" s="2" t="s">
        <v>236</v>
      </c>
      <c r="I290" s="3"/>
      <c r="J290" s="28" t="s">
        <v>73</v>
      </c>
      <c r="K290" s="28"/>
      <c r="L290" s="45" t="s">
        <v>115</v>
      </c>
      <c r="M290" s="4" t="s">
        <v>3</v>
      </c>
      <c r="N290" s="15">
        <v>27273858</v>
      </c>
      <c r="O290" s="88">
        <v>20272738581</v>
      </c>
      <c r="P290" s="61"/>
      <c r="Q290" s="61"/>
      <c r="R290" s="61"/>
      <c r="S290" s="61"/>
      <c r="T290" s="61"/>
      <c r="U290" s="16" t="s">
        <v>796</v>
      </c>
      <c r="V290" s="16" t="s">
        <v>916</v>
      </c>
      <c r="W290" s="12">
        <v>38384</v>
      </c>
      <c r="X290" s="48">
        <v>42735</v>
      </c>
      <c r="Y290" s="12">
        <v>42735</v>
      </c>
      <c r="Z290" s="2" t="s">
        <v>60</v>
      </c>
      <c r="AA290" s="2"/>
      <c r="AB290" s="14"/>
      <c r="AC290" s="5">
        <v>1000</v>
      </c>
      <c r="AD290" s="5"/>
      <c r="AE290" s="5">
        <v>1170</v>
      </c>
      <c r="AF290" s="5">
        <f t="shared" si="297"/>
        <v>1310</v>
      </c>
      <c r="AG290" s="5">
        <f t="shared" si="299"/>
        <v>1310</v>
      </c>
      <c r="AH290" s="5">
        <f t="shared" si="299"/>
        <v>1310</v>
      </c>
      <c r="AI290" s="5">
        <f t="shared" ref="AI290:AJ290" si="310">+AH290</f>
        <v>1310</v>
      </c>
      <c r="AJ290" s="5">
        <f t="shared" si="310"/>
        <v>1310</v>
      </c>
      <c r="AK290" s="2"/>
      <c r="AL290" s="105" t="str">
        <f>+Z290</f>
        <v>B2</v>
      </c>
    </row>
    <row r="291" spans="1:38" s="6" customFormat="1" ht="15" customHeight="1" x14ac:dyDescent="0.2">
      <c r="A291" s="29" t="s">
        <v>824</v>
      </c>
      <c r="B291" s="2" t="s">
        <v>822</v>
      </c>
      <c r="C291" s="29" t="s">
        <v>823</v>
      </c>
      <c r="D291" s="2" t="s">
        <v>808</v>
      </c>
      <c r="E291" s="2" t="s">
        <v>59</v>
      </c>
      <c r="F291" s="2"/>
      <c r="G291" s="3"/>
      <c r="H291" s="2"/>
      <c r="I291" s="3"/>
      <c r="J291" s="28"/>
      <c r="K291" s="28"/>
      <c r="L291" s="45" t="s">
        <v>832</v>
      </c>
      <c r="M291" s="7" t="s">
        <v>3</v>
      </c>
      <c r="N291" s="15">
        <v>31009442</v>
      </c>
      <c r="O291" s="88">
        <v>27310094426</v>
      </c>
      <c r="P291" s="38"/>
      <c r="Q291" s="38"/>
      <c r="R291" s="38"/>
      <c r="S291" s="38"/>
      <c r="T291" s="38"/>
      <c r="U291" s="16" t="s">
        <v>796</v>
      </c>
      <c r="V291" s="16" t="s">
        <v>916</v>
      </c>
      <c r="W291" s="12">
        <v>41244</v>
      </c>
      <c r="X291" s="48">
        <v>42735</v>
      </c>
      <c r="Y291" s="12">
        <v>42735</v>
      </c>
      <c r="Z291" s="2" t="s">
        <v>24</v>
      </c>
      <c r="AA291" s="2"/>
      <c r="AB291" s="14"/>
      <c r="AC291" s="5">
        <v>1000</v>
      </c>
      <c r="AD291" s="5"/>
      <c r="AE291" s="5">
        <v>1170</v>
      </c>
      <c r="AF291" s="5">
        <f t="shared" si="297"/>
        <v>1310</v>
      </c>
      <c r="AG291" s="5">
        <f t="shared" si="299"/>
        <v>1310</v>
      </c>
      <c r="AH291" s="5">
        <f t="shared" si="299"/>
        <v>1310</v>
      </c>
      <c r="AI291" s="5">
        <f t="shared" ref="AI291:AJ291" si="311">+AH291</f>
        <v>1310</v>
      </c>
      <c r="AJ291" s="5">
        <f t="shared" si="311"/>
        <v>1310</v>
      </c>
      <c r="AK291" s="2"/>
      <c r="AL291" s="105" t="str">
        <f>+Z291</f>
        <v>D0</v>
      </c>
    </row>
    <row r="292" spans="1:38" s="6" customFormat="1" ht="15" customHeight="1" x14ac:dyDescent="0.2">
      <c r="A292" s="29" t="s">
        <v>824</v>
      </c>
      <c r="B292" s="29" t="s">
        <v>822</v>
      </c>
      <c r="C292" s="29" t="s">
        <v>823</v>
      </c>
      <c r="D292" s="2" t="s">
        <v>808</v>
      </c>
      <c r="E292" s="2" t="s">
        <v>20</v>
      </c>
      <c r="F292" s="3"/>
      <c r="G292" s="3"/>
      <c r="H292" s="2" t="s">
        <v>237</v>
      </c>
      <c r="I292" s="2" t="s">
        <v>235</v>
      </c>
      <c r="J292" s="28" t="s">
        <v>73</v>
      </c>
      <c r="K292" s="28" t="s">
        <v>1765</v>
      </c>
      <c r="L292" s="42" t="s">
        <v>116</v>
      </c>
      <c r="M292" s="4" t="s">
        <v>3</v>
      </c>
      <c r="N292" s="15">
        <v>24856633</v>
      </c>
      <c r="O292" s="88" t="s">
        <v>1248</v>
      </c>
      <c r="P292" s="38">
        <v>27691</v>
      </c>
      <c r="Q292" s="38"/>
      <c r="R292" s="38"/>
      <c r="S292" s="38"/>
      <c r="T292" s="38"/>
      <c r="U292" s="17" t="s">
        <v>215</v>
      </c>
      <c r="V292" s="17" t="s">
        <v>915</v>
      </c>
      <c r="W292" s="12">
        <v>41365</v>
      </c>
      <c r="X292" s="13"/>
      <c r="Y292" s="12">
        <v>42735</v>
      </c>
      <c r="Z292" s="2"/>
      <c r="AA292" s="2" t="s">
        <v>479</v>
      </c>
      <c r="AB292" s="14" t="s">
        <v>506</v>
      </c>
      <c r="AC292" s="5">
        <v>1000</v>
      </c>
      <c r="AD292" s="5">
        <f>+AC292*1.07</f>
        <v>1070</v>
      </c>
      <c r="AE292" s="5">
        <v>1170</v>
      </c>
      <c r="AF292" s="5">
        <f t="shared" si="297"/>
        <v>1310</v>
      </c>
      <c r="AG292" s="5">
        <f t="shared" si="299"/>
        <v>1310</v>
      </c>
      <c r="AH292" s="5">
        <f t="shared" si="299"/>
        <v>1310</v>
      </c>
      <c r="AI292" s="5">
        <f t="shared" ref="AI292:AJ292" si="312">+AH292</f>
        <v>1310</v>
      </c>
      <c r="AJ292" s="5">
        <f t="shared" si="312"/>
        <v>1310</v>
      </c>
      <c r="AK292" s="2" t="s">
        <v>53</v>
      </c>
      <c r="AL292" s="105" t="str">
        <f>+AK292</f>
        <v>B0</v>
      </c>
    </row>
    <row r="293" spans="1:38" s="6" customFormat="1" ht="15" customHeight="1" x14ac:dyDescent="0.2">
      <c r="A293" s="29" t="s">
        <v>824</v>
      </c>
      <c r="B293" s="29" t="s">
        <v>822</v>
      </c>
      <c r="C293" s="29" t="s">
        <v>823</v>
      </c>
      <c r="D293" s="2" t="s">
        <v>800</v>
      </c>
      <c r="E293" s="2" t="s">
        <v>485</v>
      </c>
      <c r="F293" s="2"/>
      <c r="G293" s="2"/>
      <c r="H293" s="2"/>
      <c r="I293" s="3"/>
      <c r="J293" s="28" t="s">
        <v>254</v>
      </c>
      <c r="K293" s="28"/>
      <c r="L293" s="42" t="s">
        <v>280</v>
      </c>
      <c r="M293" s="4" t="s">
        <v>3</v>
      </c>
      <c r="N293" s="15">
        <v>20742183</v>
      </c>
      <c r="O293" s="88">
        <v>27207421834</v>
      </c>
      <c r="P293" s="38"/>
      <c r="Q293" s="38"/>
      <c r="R293" s="38"/>
      <c r="S293" s="38"/>
      <c r="T293" s="38"/>
      <c r="U293" s="16" t="s">
        <v>796</v>
      </c>
      <c r="V293" s="16" t="s">
        <v>916</v>
      </c>
      <c r="W293" s="12">
        <v>41244</v>
      </c>
      <c r="X293" s="48">
        <v>42735</v>
      </c>
      <c r="Y293" s="12">
        <v>42735</v>
      </c>
      <c r="Z293" s="2" t="s">
        <v>69</v>
      </c>
      <c r="AA293" s="2"/>
      <c r="AB293" s="18"/>
      <c r="AC293" s="5">
        <v>1000</v>
      </c>
      <c r="AD293" s="5"/>
      <c r="AE293" s="5">
        <v>1170</v>
      </c>
      <c r="AF293" s="5">
        <f t="shared" si="297"/>
        <v>1310</v>
      </c>
      <c r="AG293" s="5">
        <f t="shared" si="299"/>
        <v>1310</v>
      </c>
      <c r="AH293" s="5">
        <f t="shared" si="299"/>
        <v>1310</v>
      </c>
      <c r="AI293" s="5">
        <f t="shared" ref="AI293:AJ293" si="313">+AH293</f>
        <v>1310</v>
      </c>
      <c r="AJ293" s="5">
        <f t="shared" si="313"/>
        <v>1310</v>
      </c>
      <c r="AK293" s="2"/>
      <c r="AL293" s="105" t="str">
        <f>+Z293</f>
        <v>B5</v>
      </c>
    </row>
    <row r="294" spans="1:38" s="6" customFormat="1" ht="15" customHeight="1" x14ac:dyDescent="0.2">
      <c r="A294" s="29" t="s">
        <v>824</v>
      </c>
      <c r="B294" s="29" t="s">
        <v>822</v>
      </c>
      <c r="C294" s="29" t="s">
        <v>823</v>
      </c>
      <c r="D294" s="2" t="s">
        <v>800</v>
      </c>
      <c r="E294" s="2" t="s">
        <v>488</v>
      </c>
      <c r="F294" s="2"/>
      <c r="G294" s="2"/>
      <c r="H294" s="2"/>
      <c r="I294" s="3" t="s">
        <v>1737</v>
      </c>
      <c r="J294" s="28" t="s">
        <v>254</v>
      </c>
      <c r="K294" s="28" t="s">
        <v>1767</v>
      </c>
      <c r="L294" s="42" t="s">
        <v>330</v>
      </c>
      <c r="M294" s="4" t="s">
        <v>3</v>
      </c>
      <c r="N294" s="15">
        <v>18220453</v>
      </c>
      <c r="O294" s="88">
        <v>20182204537</v>
      </c>
      <c r="P294" s="38">
        <v>28070</v>
      </c>
      <c r="Q294" s="38"/>
      <c r="R294" s="38"/>
      <c r="S294" s="38"/>
      <c r="T294" s="38"/>
      <c r="U294" s="17" t="s">
        <v>215</v>
      </c>
      <c r="V294" s="17" t="s">
        <v>915</v>
      </c>
      <c r="W294" s="12">
        <v>41426</v>
      </c>
      <c r="X294" s="13"/>
      <c r="Y294" s="12">
        <v>42735</v>
      </c>
      <c r="Z294" s="2"/>
      <c r="AA294" s="2" t="s">
        <v>479</v>
      </c>
      <c r="AB294" s="24" t="s">
        <v>479</v>
      </c>
      <c r="AC294" s="5">
        <v>1000</v>
      </c>
      <c r="AD294" s="5">
        <v>1070</v>
      </c>
      <c r="AE294" s="5">
        <v>1170</v>
      </c>
      <c r="AF294" s="5">
        <f t="shared" si="297"/>
        <v>1310</v>
      </c>
      <c r="AG294" s="5">
        <f t="shared" si="299"/>
        <v>1310</v>
      </c>
      <c r="AH294" s="5">
        <f t="shared" si="299"/>
        <v>1310</v>
      </c>
      <c r="AI294" s="5">
        <f t="shared" ref="AI294:AJ294" si="314">+AH294</f>
        <v>1310</v>
      </c>
      <c r="AJ294" s="5">
        <f t="shared" si="314"/>
        <v>1310</v>
      </c>
      <c r="AK294" s="29" t="s">
        <v>42</v>
      </c>
      <c r="AL294" s="105" t="str">
        <f>+AK294</f>
        <v>C0</v>
      </c>
    </row>
    <row r="295" spans="1:38" s="6" customFormat="1" ht="15" customHeight="1" x14ac:dyDescent="0.2">
      <c r="A295" s="29" t="s">
        <v>824</v>
      </c>
      <c r="B295" s="2" t="s">
        <v>822</v>
      </c>
      <c r="C295" s="29"/>
      <c r="D295" s="2" t="s">
        <v>825</v>
      </c>
      <c r="E295" s="3" t="s">
        <v>8</v>
      </c>
      <c r="F295" s="2" t="s">
        <v>913</v>
      </c>
      <c r="G295" s="2"/>
      <c r="H295" s="2" t="s">
        <v>57</v>
      </c>
      <c r="I295" s="2" t="s">
        <v>13</v>
      </c>
      <c r="J295" s="28" t="s">
        <v>549</v>
      </c>
      <c r="K295" s="28" t="s">
        <v>549</v>
      </c>
      <c r="L295" s="41" t="s">
        <v>623</v>
      </c>
      <c r="M295" s="4" t="s">
        <v>3</v>
      </c>
      <c r="N295" s="15">
        <v>31858106</v>
      </c>
      <c r="O295" s="88">
        <v>20318581062</v>
      </c>
      <c r="P295" s="38">
        <v>31291</v>
      </c>
      <c r="Q295" s="38"/>
      <c r="R295" s="38"/>
      <c r="S295" s="38"/>
      <c r="T295" s="38"/>
      <c r="U295" s="17" t="s">
        <v>215</v>
      </c>
      <c r="V295" s="17" t="s">
        <v>915</v>
      </c>
      <c r="W295" s="12">
        <v>42248</v>
      </c>
      <c r="X295" s="13"/>
      <c r="Y295" s="12">
        <v>42735</v>
      </c>
      <c r="Z295" s="2"/>
      <c r="AA295" s="2" t="s">
        <v>479</v>
      </c>
      <c r="AB295" s="3" t="s">
        <v>10</v>
      </c>
      <c r="AC295" s="5">
        <v>1000</v>
      </c>
      <c r="AD295" s="5">
        <f>+AC295*1.07</f>
        <v>1070</v>
      </c>
      <c r="AE295" s="5">
        <v>1170</v>
      </c>
      <c r="AF295" s="5">
        <f t="shared" si="297"/>
        <v>1310</v>
      </c>
      <c r="AG295" s="5">
        <f t="shared" si="299"/>
        <v>1310</v>
      </c>
      <c r="AH295" s="5">
        <f t="shared" si="299"/>
        <v>1310</v>
      </c>
      <c r="AI295" s="5">
        <f t="shared" ref="AI295:AJ295" si="315">+AH295</f>
        <v>1310</v>
      </c>
      <c r="AJ295" s="5">
        <f t="shared" si="315"/>
        <v>1310</v>
      </c>
      <c r="AK295" s="2" t="s">
        <v>1815</v>
      </c>
      <c r="AL295" s="106"/>
    </row>
    <row r="296" spans="1:38" s="6" customFormat="1" ht="15" customHeight="1" x14ac:dyDescent="0.2">
      <c r="A296" s="29" t="s">
        <v>824</v>
      </c>
      <c r="B296" s="2" t="s">
        <v>822</v>
      </c>
      <c r="C296" s="3"/>
      <c r="D296" s="2" t="s">
        <v>825</v>
      </c>
      <c r="E296" s="3" t="s">
        <v>18</v>
      </c>
      <c r="F296" s="2" t="s">
        <v>19</v>
      </c>
      <c r="G296" s="2"/>
      <c r="H296" s="2" t="s">
        <v>45</v>
      </c>
      <c r="I296" s="2" t="s">
        <v>1707</v>
      </c>
      <c r="J296" s="28" t="s">
        <v>548</v>
      </c>
      <c r="K296" s="28" t="s">
        <v>548</v>
      </c>
      <c r="L296" s="44" t="s">
        <v>624</v>
      </c>
      <c r="M296" s="4" t="s">
        <v>3</v>
      </c>
      <c r="N296" s="15">
        <v>20956958</v>
      </c>
      <c r="O296" s="88" t="s">
        <v>1198</v>
      </c>
      <c r="P296" s="38">
        <v>25443</v>
      </c>
      <c r="Q296" s="38"/>
      <c r="R296" s="38"/>
      <c r="S296" s="38"/>
      <c r="T296" s="38"/>
      <c r="U296" s="17" t="s">
        <v>215</v>
      </c>
      <c r="V296" s="17" t="s">
        <v>915</v>
      </c>
      <c r="W296" s="12">
        <v>41770</v>
      </c>
      <c r="X296" s="13"/>
      <c r="Y296" s="12">
        <v>42735</v>
      </c>
      <c r="Z296" s="2"/>
      <c r="AA296" s="2" t="s">
        <v>479</v>
      </c>
      <c r="AB296" s="7" t="s">
        <v>787</v>
      </c>
      <c r="AC296" s="5">
        <v>1000</v>
      </c>
      <c r="AD296" s="5">
        <f>+AC296</f>
        <v>1000</v>
      </c>
      <c r="AE296" s="5">
        <v>1170</v>
      </c>
      <c r="AF296" s="5">
        <f t="shared" si="297"/>
        <v>1310</v>
      </c>
      <c r="AG296" s="5">
        <f t="shared" si="299"/>
        <v>1310</v>
      </c>
      <c r="AH296" s="5">
        <f t="shared" si="299"/>
        <v>1310</v>
      </c>
      <c r="AI296" s="5">
        <f t="shared" ref="AI296:AJ296" si="316">+AH296</f>
        <v>1310</v>
      </c>
      <c r="AJ296" s="5">
        <f t="shared" si="316"/>
        <v>1310</v>
      </c>
      <c r="AK296" s="2"/>
      <c r="AL296" s="106"/>
    </row>
    <row r="297" spans="1:38" s="6" customFormat="1" ht="15" customHeight="1" x14ac:dyDescent="0.2">
      <c r="A297" s="29" t="s">
        <v>824</v>
      </c>
      <c r="B297" s="2" t="s">
        <v>822</v>
      </c>
      <c r="C297" s="29"/>
      <c r="D297" s="2" t="s">
        <v>825</v>
      </c>
      <c r="E297" s="3" t="s">
        <v>8</v>
      </c>
      <c r="F297" s="2" t="s">
        <v>913</v>
      </c>
      <c r="G297" s="2"/>
      <c r="H297" s="2" t="s">
        <v>38</v>
      </c>
      <c r="I297" s="2" t="s">
        <v>13</v>
      </c>
      <c r="J297" s="28" t="s">
        <v>549</v>
      </c>
      <c r="K297" s="28" t="s">
        <v>549</v>
      </c>
      <c r="L297" s="41" t="s">
        <v>625</v>
      </c>
      <c r="M297" s="4" t="s">
        <v>3</v>
      </c>
      <c r="N297" s="15">
        <v>29942530</v>
      </c>
      <c r="O297" s="88">
        <v>20299425305</v>
      </c>
      <c r="P297" s="38">
        <v>30308</v>
      </c>
      <c r="Q297" s="38"/>
      <c r="R297" s="38"/>
      <c r="S297" s="38"/>
      <c r="T297" s="38"/>
      <c r="U297" s="17" t="s">
        <v>215</v>
      </c>
      <c r="V297" s="17" t="s">
        <v>915</v>
      </c>
      <c r="W297" s="12">
        <v>42248</v>
      </c>
      <c r="X297" s="13"/>
      <c r="Y297" s="12">
        <v>42735</v>
      </c>
      <c r="Z297" s="2"/>
      <c r="AA297" s="2" t="s">
        <v>479</v>
      </c>
      <c r="AB297" s="3" t="s">
        <v>10</v>
      </c>
      <c r="AC297" s="5">
        <v>1000</v>
      </c>
      <c r="AD297" s="5">
        <f>+AC297*1.07</f>
        <v>1070</v>
      </c>
      <c r="AE297" s="5">
        <v>1170</v>
      </c>
      <c r="AF297" s="5">
        <f t="shared" si="297"/>
        <v>1310</v>
      </c>
      <c r="AG297" s="5">
        <f t="shared" si="299"/>
        <v>1310</v>
      </c>
      <c r="AH297" s="5">
        <f t="shared" si="299"/>
        <v>1310</v>
      </c>
      <c r="AI297" s="5">
        <f t="shared" ref="AI297:AJ297" si="317">+AH297</f>
        <v>1310</v>
      </c>
      <c r="AJ297" s="5">
        <f t="shared" si="317"/>
        <v>1310</v>
      </c>
      <c r="AK297" s="2" t="s">
        <v>1815</v>
      </c>
      <c r="AL297" s="106"/>
    </row>
    <row r="298" spans="1:38" s="6" customFormat="1" ht="15" customHeight="1" x14ac:dyDescent="0.2">
      <c r="A298" s="29" t="s">
        <v>824</v>
      </c>
      <c r="B298" s="2" t="s">
        <v>822</v>
      </c>
      <c r="C298" s="2" t="s">
        <v>823</v>
      </c>
      <c r="D298" s="2" t="s">
        <v>808</v>
      </c>
      <c r="E298" s="2" t="s">
        <v>216</v>
      </c>
      <c r="F298" s="2"/>
      <c r="G298" s="2"/>
      <c r="H298" s="2"/>
      <c r="I298" s="3"/>
      <c r="J298" s="28"/>
      <c r="K298" s="28"/>
      <c r="L298" s="41" t="s">
        <v>1064</v>
      </c>
      <c r="M298" s="2" t="s">
        <v>3</v>
      </c>
      <c r="N298" s="47">
        <v>30593086</v>
      </c>
      <c r="O298" s="88">
        <v>20305930866</v>
      </c>
      <c r="P298" s="38"/>
      <c r="Q298" s="38"/>
      <c r="R298" s="38"/>
      <c r="S298" s="38"/>
      <c r="T298" s="38"/>
      <c r="U298" s="17"/>
      <c r="V298" s="17" t="s">
        <v>916</v>
      </c>
      <c r="W298" s="13">
        <v>38565</v>
      </c>
      <c r="X298" s="13"/>
      <c r="Y298" s="12">
        <v>42735</v>
      </c>
      <c r="Z298" s="2" t="s">
        <v>42</v>
      </c>
      <c r="AA298" s="2"/>
      <c r="AB298" s="3"/>
      <c r="AC298" s="5"/>
      <c r="AD298" s="5"/>
      <c r="AE298" s="5">
        <v>1170</v>
      </c>
      <c r="AF298" s="5">
        <f t="shared" si="297"/>
        <v>0</v>
      </c>
      <c r="AG298" s="5">
        <f t="shared" si="299"/>
        <v>0</v>
      </c>
      <c r="AH298" s="5">
        <f t="shared" si="299"/>
        <v>0</v>
      </c>
      <c r="AI298" s="5">
        <f t="shared" ref="AI298:AJ298" si="318">+AH298</f>
        <v>0</v>
      </c>
      <c r="AJ298" s="5">
        <f t="shared" si="318"/>
        <v>0</v>
      </c>
      <c r="AK298" s="2"/>
      <c r="AL298" s="105" t="str">
        <f>+Z298</f>
        <v>C0</v>
      </c>
    </row>
    <row r="299" spans="1:38" s="6" customFormat="1" ht="15" customHeight="1" x14ac:dyDescent="0.2">
      <c r="A299" s="29" t="s">
        <v>824</v>
      </c>
      <c r="B299" s="2" t="s">
        <v>822</v>
      </c>
      <c r="C299" s="3"/>
      <c r="D299" s="2" t="s">
        <v>825</v>
      </c>
      <c r="E299" s="3" t="s">
        <v>18</v>
      </c>
      <c r="F299" s="2" t="s">
        <v>19</v>
      </c>
      <c r="G299" s="2"/>
      <c r="H299" s="2" t="s">
        <v>36</v>
      </c>
      <c r="I299" s="2" t="s">
        <v>1707</v>
      </c>
      <c r="J299" s="28" t="s">
        <v>548</v>
      </c>
      <c r="K299" s="28" t="s">
        <v>548</v>
      </c>
      <c r="L299" s="44" t="s">
        <v>626</v>
      </c>
      <c r="M299" s="4" t="s">
        <v>3</v>
      </c>
      <c r="N299" s="15">
        <v>32188347</v>
      </c>
      <c r="O299" s="88" t="s">
        <v>1409</v>
      </c>
      <c r="P299" s="38">
        <v>31480</v>
      </c>
      <c r="Q299" s="38"/>
      <c r="R299" s="38"/>
      <c r="S299" s="38"/>
      <c r="T299" s="38"/>
      <c r="U299" s="17" t="s">
        <v>215</v>
      </c>
      <c r="V299" s="17" t="s">
        <v>915</v>
      </c>
      <c r="W299" s="12">
        <v>42186</v>
      </c>
      <c r="X299" s="13"/>
      <c r="Y299" s="12">
        <v>42735</v>
      </c>
      <c r="Z299" s="2"/>
      <c r="AA299" s="2" t="s">
        <v>479</v>
      </c>
      <c r="AB299" s="7" t="s">
        <v>787</v>
      </c>
      <c r="AC299" s="5">
        <v>1000</v>
      </c>
      <c r="AD299" s="5">
        <f>+AC299</f>
        <v>1000</v>
      </c>
      <c r="AE299" s="5">
        <v>1170</v>
      </c>
      <c r="AF299" s="5">
        <f t="shared" si="297"/>
        <v>1310</v>
      </c>
      <c r="AG299" s="5">
        <f t="shared" si="299"/>
        <v>1310</v>
      </c>
      <c r="AH299" s="5">
        <f t="shared" si="299"/>
        <v>1310</v>
      </c>
      <c r="AI299" s="5">
        <f t="shared" ref="AI299:AJ299" si="319">+AH299</f>
        <v>1310</v>
      </c>
      <c r="AJ299" s="5">
        <f t="shared" si="319"/>
        <v>1310</v>
      </c>
      <c r="AK299" s="2"/>
      <c r="AL299" s="106"/>
    </row>
    <row r="300" spans="1:38" s="6" customFormat="1" ht="15" customHeight="1" x14ac:dyDescent="0.2">
      <c r="A300" s="29" t="s">
        <v>824</v>
      </c>
      <c r="B300" s="29"/>
      <c r="C300" s="3"/>
      <c r="D300" s="2" t="s">
        <v>820</v>
      </c>
      <c r="E300" s="2" t="s">
        <v>817</v>
      </c>
      <c r="F300" s="2"/>
      <c r="G300" s="2"/>
      <c r="H300" s="2" t="s">
        <v>14</v>
      </c>
      <c r="I300" s="2" t="s">
        <v>1707</v>
      </c>
      <c r="J300" s="33"/>
      <c r="K300" s="97" t="s">
        <v>1765</v>
      </c>
      <c r="L300" s="44" t="s">
        <v>627</v>
      </c>
      <c r="M300" s="3" t="s">
        <v>3</v>
      </c>
      <c r="N300" s="15">
        <v>34207982</v>
      </c>
      <c r="O300" s="88" t="s">
        <v>1581</v>
      </c>
      <c r="P300" s="38">
        <v>32531</v>
      </c>
      <c r="Q300" s="38"/>
      <c r="R300" s="38"/>
      <c r="S300" s="38"/>
      <c r="T300" s="38"/>
      <c r="U300" s="17" t="s">
        <v>215</v>
      </c>
      <c r="V300" s="17" t="s">
        <v>915</v>
      </c>
      <c r="W300" s="12">
        <v>42064</v>
      </c>
      <c r="X300" s="13"/>
      <c r="Y300" s="12">
        <v>42735</v>
      </c>
      <c r="Z300" s="2"/>
      <c r="AA300" s="2" t="s">
        <v>479</v>
      </c>
      <c r="AB300" s="7" t="s">
        <v>784</v>
      </c>
      <c r="AC300" s="5">
        <v>1000</v>
      </c>
      <c r="AD300" s="5">
        <f>+AC300*1.07</f>
        <v>1070</v>
      </c>
      <c r="AE300" s="5">
        <v>1170</v>
      </c>
      <c r="AF300" s="5">
        <f t="shared" si="297"/>
        <v>1310</v>
      </c>
      <c r="AG300" s="5">
        <f t="shared" ref="AG300:AH319" si="320">+AF300</f>
        <v>1310</v>
      </c>
      <c r="AH300" s="5">
        <f t="shared" si="320"/>
        <v>1310</v>
      </c>
      <c r="AI300" s="5">
        <f t="shared" ref="AI300:AJ300" si="321">+AH300</f>
        <v>1310</v>
      </c>
      <c r="AJ300" s="5">
        <f t="shared" si="321"/>
        <v>1310</v>
      </c>
      <c r="AK300" s="2" t="s">
        <v>53</v>
      </c>
      <c r="AL300" s="105" t="str">
        <f>+AK300</f>
        <v>B0</v>
      </c>
    </row>
    <row r="301" spans="1:38" s="6" customFormat="1" ht="15" customHeight="1" x14ac:dyDescent="0.2">
      <c r="A301" s="29" t="s">
        <v>824</v>
      </c>
      <c r="B301" s="29" t="s">
        <v>822</v>
      </c>
      <c r="C301" s="29" t="s">
        <v>823</v>
      </c>
      <c r="D301" s="2" t="s">
        <v>808</v>
      </c>
      <c r="E301" s="7" t="s">
        <v>20</v>
      </c>
      <c r="F301" s="7"/>
      <c r="G301" s="7"/>
      <c r="H301" s="8"/>
      <c r="I301" s="2" t="s">
        <v>235</v>
      </c>
      <c r="J301" s="28"/>
      <c r="K301" s="28" t="s">
        <v>1765</v>
      </c>
      <c r="L301" s="42" t="s">
        <v>1020</v>
      </c>
      <c r="M301" s="7" t="s">
        <v>3</v>
      </c>
      <c r="N301" s="15">
        <v>17454322</v>
      </c>
      <c r="O301" s="88">
        <v>20174543225</v>
      </c>
      <c r="P301" s="38">
        <v>24034</v>
      </c>
      <c r="Q301" s="38"/>
      <c r="R301" s="38"/>
      <c r="S301" s="38"/>
      <c r="T301" s="38"/>
      <c r="U301" s="17" t="s">
        <v>215</v>
      </c>
      <c r="V301" s="17" t="s">
        <v>915</v>
      </c>
      <c r="W301" s="12">
        <v>42461</v>
      </c>
      <c r="X301" s="20"/>
      <c r="Y301" s="12">
        <v>42735</v>
      </c>
      <c r="Z301" s="2"/>
      <c r="AA301" s="2" t="s">
        <v>479</v>
      </c>
      <c r="AB301" s="24"/>
      <c r="AC301" s="5">
        <v>1000</v>
      </c>
      <c r="AD301" s="5">
        <f>+AC301*1.07</f>
        <v>1070</v>
      </c>
      <c r="AE301" s="5">
        <v>1170</v>
      </c>
      <c r="AF301" s="5">
        <f t="shared" si="297"/>
        <v>1310</v>
      </c>
      <c r="AG301" s="5">
        <f t="shared" si="320"/>
        <v>1310</v>
      </c>
      <c r="AH301" s="5">
        <f t="shared" si="320"/>
        <v>1310</v>
      </c>
      <c r="AI301" s="5">
        <f t="shared" ref="AI301:AJ301" si="322">+AH301</f>
        <v>1310</v>
      </c>
      <c r="AJ301" s="5">
        <f t="shared" si="322"/>
        <v>1310</v>
      </c>
      <c r="AK301" s="2" t="s">
        <v>43</v>
      </c>
      <c r="AL301" s="105" t="str">
        <f>+AK301</f>
        <v>A0</v>
      </c>
    </row>
    <row r="302" spans="1:38" s="6" customFormat="1" ht="15" customHeight="1" x14ac:dyDescent="0.2">
      <c r="A302" s="29" t="s">
        <v>824</v>
      </c>
      <c r="B302" s="2" t="s">
        <v>822</v>
      </c>
      <c r="C302" s="3"/>
      <c r="D302" s="2" t="s">
        <v>825</v>
      </c>
      <c r="E302" s="3" t="s">
        <v>18</v>
      </c>
      <c r="F302" s="2" t="s">
        <v>19</v>
      </c>
      <c r="G302" s="2"/>
      <c r="H302" s="2" t="s">
        <v>39</v>
      </c>
      <c r="I302" s="2" t="s">
        <v>1707</v>
      </c>
      <c r="J302" s="28" t="s">
        <v>548</v>
      </c>
      <c r="K302" s="28" t="s">
        <v>548</v>
      </c>
      <c r="L302" s="44" t="s">
        <v>628</v>
      </c>
      <c r="M302" s="4" t="s">
        <v>3</v>
      </c>
      <c r="N302" s="15">
        <v>32783953</v>
      </c>
      <c r="O302" s="88" t="s">
        <v>1430</v>
      </c>
      <c r="P302" s="38">
        <v>31774</v>
      </c>
      <c r="Q302" s="38"/>
      <c r="R302" s="38"/>
      <c r="S302" s="38"/>
      <c r="T302" s="38"/>
      <c r="U302" s="17" t="s">
        <v>215</v>
      </c>
      <c r="V302" s="17" t="s">
        <v>915</v>
      </c>
      <c r="W302" s="12">
        <v>42186</v>
      </c>
      <c r="X302" s="13"/>
      <c r="Y302" s="12">
        <v>42735</v>
      </c>
      <c r="Z302" s="2"/>
      <c r="AA302" s="2" t="s">
        <v>479</v>
      </c>
      <c r="AB302" s="7" t="s">
        <v>787</v>
      </c>
      <c r="AC302" s="5">
        <v>1000</v>
      </c>
      <c r="AD302" s="5">
        <f>+AC302</f>
        <v>1000</v>
      </c>
      <c r="AE302" s="5">
        <v>1170</v>
      </c>
      <c r="AF302" s="5">
        <f t="shared" si="297"/>
        <v>1310</v>
      </c>
      <c r="AG302" s="5">
        <f t="shared" si="320"/>
        <v>1310</v>
      </c>
      <c r="AH302" s="5">
        <f t="shared" si="320"/>
        <v>1310</v>
      </c>
      <c r="AI302" s="5">
        <f t="shared" ref="AI302:AJ302" si="323">+AH302</f>
        <v>1310</v>
      </c>
      <c r="AJ302" s="5">
        <f t="shared" si="323"/>
        <v>1310</v>
      </c>
      <c r="AK302" s="2"/>
      <c r="AL302" s="106"/>
    </row>
    <row r="303" spans="1:38" s="6" customFormat="1" ht="15" customHeight="1" x14ac:dyDescent="0.2">
      <c r="A303" s="29" t="s">
        <v>824</v>
      </c>
      <c r="B303" s="29" t="s">
        <v>822</v>
      </c>
      <c r="C303" s="14"/>
      <c r="D303" s="2" t="s">
        <v>928</v>
      </c>
      <c r="E303" s="2" t="s">
        <v>11</v>
      </c>
      <c r="F303" s="2"/>
      <c r="G303" s="2"/>
      <c r="H303" s="2"/>
      <c r="I303" s="2" t="s">
        <v>1707</v>
      </c>
      <c r="J303" s="28"/>
      <c r="K303" s="28" t="s">
        <v>1765</v>
      </c>
      <c r="L303" s="41" t="s">
        <v>949</v>
      </c>
      <c r="M303" s="4" t="s">
        <v>3</v>
      </c>
      <c r="N303" s="15">
        <v>24903622</v>
      </c>
      <c r="O303" s="88" t="s">
        <v>1250</v>
      </c>
      <c r="P303" s="38">
        <v>27829</v>
      </c>
      <c r="Q303" s="38"/>
      <c r="R303" s="38"/>
      <c r="S303" s="38"/>
      <c r="T303" s="38"/>
      <c r="U303" s="17" t="s">
        <v>215</v>
      </c>
      <c r="V303" s="17" t="s">
        <v>915</v>
      </c>
      <c r="W303" s="12"/>
      <c r="X303" s="12"/>
      <c r="Y303" s="12">
        <v>42735</v>
      </c>
      <c r="Z303" s="2"/>
      <c r="AA303" s="2" t="s">
        <v>479</v>
      </c>
      <c r="AB303" s="3"/>
      <c r="AC303" s="5">
        <v>1000</v>
      </c>
      <c r="AD303" s="5">
        <f>+AC303*1.07</f>
        <v>1070</v>
      </c>
      <c r="AE303" s="5">
        <v>1170</v>
      </c>
      <c r="AF303" s="5">
        <f t="shared" si="297"/>
        <v>1310</v>
      </c>
      <c r="AG303" s="5">
        <f t="shared" si="320"/>
        <v>1310</v>
      </c>
      <c r="AH303" s="5">
        <f t="shared" si="320"/>
        <v>1310</v>
      </c>
      <c r="AI303" s="5">
        <f t="shared" ref="AI303:AJ303" si="324">+AH303</f>
        <v>1310</v>
      </c>
      <c r="AJ303" s="5">
        <f t="shared" si="324"/>
        <v>1310</v>
      </c>
      <c r="AK303" s="2" t="s">
        <v>53</v>
      </c>
      <c r="AL303" s="105" t="str">
        <f>+AK303</f>
        <v>B0</v>
      </c>
    </row>
    <row r="304" spans="1:38" s="6" customFormat="1" ht="15" customHeight="1" x14ac:dyDescent="0.2">
      <c r="A304" s="29" t="s">
        <v>824</v>
      </c>
      <c r="B304" s="2" t="s">
        <v>822</v>
      </c>
      <c r="C304" s="3"/>
      <c r="D304" s="2" t="s">
        <v>825</v>
      </c>
      <c r="E304" s="3" t="s">
        <v>18</v>
      </c>
      <c r="F304" s="2" t="s">
        <v>19</v>
      </c>
      <c r="G304" s="2" t="s">
        <v>73</v>
      </c>
      <c r="H304" s="2" t="s">
        <v>29</v>
      </c>
      <c r="I304" s="3"/>
      <c r="J304" s="28" t="s">
        <v>548</v>
      </c>
      <c r="K304" s="28"/>
      <c r="L304" s="41" t="s">
        <v>629</v>
      </c>
      <c r="M304" s="4" t="s">
        <v>3</v>
      </c>
      <c r="N304" s="15">
        <v>12633838</v>
      </c>
      <c r="O304" s="88">
        <v>23126338384</v>
      </c>
      <c r="P304" s="61"/>
      <c r="Q304" s="61"/>
      <c r="R304" s="61"/>
      <c r="S304" s="61"/>
      <c r="T304" s="61"/>
      <c r="U304" s="16" t="s">
        <v>796</v>
      </c>
      <c r="V304" s="16" t="s">
        <v>916</v>
      </c>
      <c r="W304" s="12">
        <v>41913</v>
      </c>
      <c r="X304" s="12">
        <v>42460</v>
      </c>
      <c r="Y304" s="12">
        <v>42735</v>
      </c>
      <c r="Z304" s="2" t="s">
        <v>53</v>
      </c>
      <c r="AA304" s="2"/>
      <c r="AB304" s="3"/>
      <c r="AC304" s="5">
        <v>1000</v>
      </c>
      <c r="AD304" s="5"/>
      <c r="AE304" s="5">
        <v>1170</v>
      </c>
      <c r="AF304" s="5">
        <f t="shared" si="297"/>
        <v>1310</v>
      </c>
      <c r="AG304" s="5">
        <f t="shared" si="320"/>
        <v>1310</v>
      </c>
      <c r="AH304" s="5">
        <f t="shared" si="320"/>
        <v>1310</v>
      </c>
      <c r="AI304" s="5">
        <f t="shared" ref="AI304:AJ304" si="325">+AH304</f>
        <v>1310</v>
      </c>
      <c r="AJ304" s="5">
        <f t="shared" si="325"/>
        <v>1310</v>
      </c>
      <c r="AK304" s="2"/>
      <c r="AL304" s="105" t="str">
        <f>+Z304</f>
        <v>B0</v>
      </c>
    </row>
    <row r="305" spans="1:38" s="6" customFormat="1" ht="15" customHeight="1" x14ac:dyDescent="0.2">
      <c r="A305" s="29" t="s">
        <v>824</v>
      </c>
      <c r="B305" s="29" t="s">
        <v>822</v>
      </c>
      <c r="C305" s="29" t="s">
        <v>823</v>
      </c>
      <c r="D305" s="2" t="s">
        <v>800</v>
      </c>
      <c r="E305" s="2"/>
      <c r="F305" s="3"/>
      <c r="G305" s="3"/>
      <c r="H305" s="2" t="s">
        <v>884</v>
      </c>
      <c r="I305" s="2" t="s">
        <v>1707</v>
      </c>
      <c r="J305" s="28" t="s">
        <v>254</v>
      </c>
      <c r="K305" s="28" t="s">
        <v>1767</v>
      </c>
      <c r="L305" s="41" t="s">
        <v>882</v>
      </c>
      <c r="M305" s="4" t="s">
        <v>3</v>
      </c>
      <c r="N305" s="15">
        <v>28233579</v>
      </c>
      <c r="O305" s="88" t="s">
        <v>1582</v>
      </c>
      <c r="P305" s="38">
        <v>29404</v>
      </c>
      <c r="Q305" s="38"/>
      <c r="R305" s="38"/>
      <c r="S305" s="38"/>
      <c r="T305" s="38"/>
      <c r="U305" s="17" t="s">
        <v>215</v>
      </c>
      <c r="V305" s="17" t="s">
        <v>915</v>
      </c>
      <c r="W305" s="12">
        <v>42370</v>
      </c>
      <c r="X305" s="48"/>
      <c r="Y305" s="12">
        <v>42735</v>
      </c>
      <c r="Z305" s="2"/>
      <c r="AA305" s="2" t="s">
        <v>479</v>
      </c>
      <c r="AB305" s="3" t="s">
        <v>10</v>
      </c>
      <c r="AC305" s="5">
        <v>1000</v>
      </c>
      <c r="AD305" s="5">
        <v>1070</v>
      </c>
      <c r="AE305" s="5">
        <v>1170</v>
      </c>
      <c r="AF305" s="5">
        <f t="shared" si="297"/>
        <v>1310</v>
      </c>
      <c r="AG305" s="5">
        <f t="shared" si="320"/>
        <v>1310</v>
      </c>
      <c r="AH305" s="5">
        <f t="shared" si="320"/>
        <v>1310</v>
      </c>
      <c r="AI305" s="5">
        <f t="shared" ref="AI305:AJ305" si="326">+AH305</f>
        <v>1310</v>
      </c>
      <c r="AJ305" s="5">
        <f t="shared" si="326"/>
        <v>1310</v>
      </c>
      <c r="AK305" s="2" t="s">
        <v>53</v>
      </c>
      <c r="AL305" s="105" t="str">
        <f>+AK305</f>
        <v>B0</v>
      </c>
    </row>
    <row r="306" spans="1:38" s="6" customFormat="1" ht="15" customHeight="1" x14ac:dyDescent="0.2">
      <c r="A306" s="29" t="s">
        <v>824</v>
      </c>
      <c r="B306" s="2" t="s">
        <v>822</v>
      </c>
      <c r="C306" s="3"/>
      <c r="D306" s="2" t="s">
        <v>825</v>
      </c>
      <c r="E306" s="3" t="s">
        <v>18</v>
      </c>
      <c r="F306" s="2" t="s">
        <v>19</v>
      </c>
      <c r="G306" s="2"/>
      <c r="H306" s="2" t="s">
        <v>36</v>
      </c>
      <c r="I306" s="2" t="s">
        <v>1707</v>
      </c>
      <c r="J306" s="28" t="s">
        <v>548</v>
      </c>
      <c r="K306" s="28" t="s">
        <v>548</v>
      </c>
      <c r="L306" s="44" t="s">
        <v>630</v>
      </c>
      <c r="M306" s="4" t="s">
        <v>3</v>
      </c>
      <c r="N306" s="15">
        <v>23195541</v>
      </c>
      <c r="O306" s="88" t="s">
        <v>1223</v>
      </c>
      <c r="P306" s="38">
        <v>26714</v>
      </c>
      <c r="Q306" s="38"/>
      <c r="R306" s="38"/>
      <c r="S306" s="38"/>
      <c r="T306" s="38"/>
      <c r="U306" s="17" t="s">
        <v>215</v>
      </c>
      <c r="V306" s="17" t="s">
        <v>915</v>
      </c>
      <c r="W306" s="12">
        <v>41334</v>
      </c>
      <c r="X306" s="13"/>
      <c r="Y306" s="12">
        <v>42735</v>
      </c>
      <c r="Z306" s="2"/>
      <c r="AA306" s="2" t="s">
        <v>479</v>
      </c>
      <c r="AB306" s="7" t="s">
        <v>787</v>
      </c>
      <c r="AC306" s="5">
        <v>1000</v>
      </c>
      <c r="AD306" s="5">
        <f>+AC306</f>
        <v>1000</v>
      </c>
      <c r="AE306" s="5">
        <v>1170</v>
      </c>
      <c r="AF306" s="5">
        <f t="shared" si="297"/>
        <v>1310</v>
      </c>
      <c r="AG306" s="5">
        <f t="shared" si="320"/>
        <v>1310</v>
      </c>
      <c r="AH306" s="5">
        <f t="shared" si="320"/>
        <v>1310</v>
      </c>
      <c r="AI306" s="5">
        <f t="shared" ref="AI306:AJ306" si="327">+AH306</f>
        <v>1310</v>
      </c>
      <c r="AJ306" s="5">
        <f t="shared" si="327"/>
        <v>1310</v>
      </c>
      <c r="AK306" s="2"/>
      <c r="AL306" s="106"/>
    </row>
    <row r="307" spans="1:38" s="6" customFormat="1" ht="15" customHeight="1" x14ac:dyDescent="0.2">
      <c r="A307" s="29" t="s">
        <v>824</v>
      </c>
      <c r="B307" s="29" t="s">
        <v>822</v>
      </c>
      <c r="C307" s="29" t="s">
        <v>823</v>
      </c>
      <c r="D307" s="2" t="s">
        <v>800</v>
      </c>
      <c r="E307" s="7" t="s">
        <v>497</v>
      </c>
      <c r="F307" s="7"/>
      <c r="G307" s="7"/>
      <c r="H307" s="8"/>
      <c r="I307" s="3" t="s">
        <v>1714</v>
      </c>
      <c r="J307" s="28" t="s">
        <v>254</v>
      </c>
      <c r="K307" s="28" t="s">
        <v>1767</v>
      </c>
      <c r="L307" s="42" t="s">
        <v>383</v>
      </c>
      <c r="M307" s="4" t="s">
        <v>3</v>
      </c>
      <c r="N307" s="15">
        <v>34363932</v>
      </c>
      <c r="O307" s="88" t="s">
        <v>1470</v>
      </c>
      <c r="P307" s="38">
        <v>33116</v>
      </c>
      <c r="Q307" s="38"/>
      <c r="R307" s="38"/>
      <c r="S307" s="38"/>
      <c r="T307" s="38"/>
      <c r="U307" s="17" t="s">
        <v>215</v>
      </c>
      <c r="V307" s="17" t="s">
        <v>915</v>
      </c>
      <c r="W307" s="12">
        <v>41821</v>
      </c>
      <c r="X307" s="13"/>
      <c r="Y307" s="12">
        <v>42735</v>
      </c>
      <c r="Z307" s="2"/>
      <c r="AA307" s="2" t="s">
        <v>479</v>
      </c>
      <c r="AB307" s="24" t="s">
        <v>479</v>
      </c>
      <c r="AC307" s="5">
        <v>1000</v>
      </c>
      <c r="AD307" s="5">
        <v>1070</v>
      </c>
      <c r="AE307" s="5">
        <v>1170</v>
      </c>
      <c r="AF307" s="5">
        <f t="shared" si="297"/>
        <v>1310</v>
      </c>
      <c r="AG307" s="5">
        <f t="shared" si="320"/>
        <v>1310</v>
      </c>
      <c r="AH307" s="5">
        <f t="shared" si="320"/>
        <v>1310</v>
      </c>
      <c r="AI307" s="5">
        <f t="shared" ref="AI307:AJ307" si="328">+AH307</f>
        <v>1310</v>
      </c>
      <c r="AJ307" s="5">
        <f t="shared" si="328"/>
        <v>1310</v>
      </c>
      <c r="AK307" s="29" t="s">
        <v>42</v>
      </c>
      <c r="AL307" s="105" t="str">
        <f>+AK307</f>
        <v>C0</v>
      </c>
    </row>
    <row r="308" spans="1:38" s="6" customFormat="1" ht="15" customHeight="1" x14ac:dyDescent="0.2">
      <c r="A308" s="29" t="s">
        <v>824</v>
      </c>
      <c r="B308" s="2" t="s">
        <v>822</v>
      </c>
      <c r="C308" s="3"/>
      <c r="D308" s="2" t="s">
        <v>825</v>
      </c>
      <c r="E308" s="3" t="s">
        <v>18</v>
      </c>
      <c r="F308" s="2" t="s">
        <v>19</v>
      </c>
      <c r="G308" s="2"/>
      <c r="H308" s="2" t="s">
        <v>37</v>
      </c>
      <c r="I308" s="2" t="s">
        <v>1761</v>
      </c>
      <c r="J308" s="28" t="s">
        <v>548</v>
      </c>
      <c r="K308" s="28" t="s">
        <v>548</v>
      </c>
      <c r="L308" s="44" t="s">
        <v>978</v>
      </c>
      <c r="M308" s="7" t="s">
        <v>3</v>
      </c>
      <c r="N308" s="47">
        <v>30861963</v>
      </c>
      <c r="O308" s="88" t="s">
        <v>1377</v>
      </c>
      <c r="P308" s="38">
        <v>30898</v>
      </c>
      <c r="Q308" s="38"/>
      <c r="R308" s="38"/>
      <c r="S308" s="38"/>
      <c r="T308" s="38"/>
      <c r="U308" s="17" t="s">
        <v>215</v>
      </c>
      <c r="V308" s="17" t="s">
        <v>915</v>
      </c>
      <c r="W308" s="12">
        <v>41813</v>
      </c>
      <c r="X308" s="12"/>
      <c r="Y308" s="12">
        <v>42735</v>
      </c>
      <c r="Z308" s="2"/>
      <c r="AA308" s="2" t="s">
        <v>479</v>
      </c>
      <c r="AB308" s="7"/>
      <c r="AC308" s="5">
        <v>1000</v>
      </c>
      <c r="AD308" s="5">
        <f>+AC308</f>
        <v>1000</v>
      </c>
      <c r="AE308" s="5">
        <v>1170</v>
      </c>
      <c r="AF308" s="5">
        <f t="shared" si="297"/>
        <v>1310</v>
      </c>
      <c r="AG308" s="5">
        <f t="shared" si="320"/>
        <v>1310</v>
      </c>
      <c r="AH308" s="5">
        <f t="shared" si="320"/>
        <v>1310</v>
      </c>
      <c r="AI308" s="5">
        <f t="shared" ref="AI308:AJ308" si="329">+AH308</f>
        <v>1310</v>
      </c>
      <c r="AJ308" s="5">
        <f t="shared" si="329"/>
        <v>1310</v>
      </c>
      <c r="AK308" s="2"/>
      <c r="AL308" s="106"/>
    </row>
    <row r="309" spans="1:38" s="6" customFormat="1" ht="15" customHeight="1" x14ac:dyDescent="0.2">
      <c r="A309" s="29" t="s">
        <v>824</v>
      </c>
      <c r="B309" s="29" t="s">
        <v>822</v>
      </c>
      <c r="C309" s="29" t="s">
        <v>823</v>
      </c>
      <c r="D309" s="2" t="s">
        <v>800</v>
      </c>
      <c r="E309" s="2" t="s">
        <v>487</v>
      </c>
      <c r="F309" s="2"/>
      <c r="G309" s="2"/>
      <c r="H309" s="2" t="s">
        <v>1711</v>
      </c>
      <c r="I309" s="3" t="s">
        <v>1738</v>
      </c>
      <c r="J309" s="28" t="s">
        <v>254</v>
      </c>
      <c r="K309" s="28" t="s">
        <v>1767</v>
      </c>
      <c r="L309" s="42" t="s">
        <v>325</v>
      </c>
      <c r="M309" s="4" t="s">
        <v>3</v>
      </c>
      <c r="N309" s="15">
        <v>94512322</v>
      </c>
      <c r="O309" s="88" t="s">
        <v>1575</v>
      </c>
      <c r="P309" s="38">
        <v>33988</v>
      </c>
      <c r="Q309" s="38"/>
      <c r="R309" s="38"/>
      <c r="S309" s="38"/>
      <c r="T309" s="38"/>
      <c r="U309" s="17" t="s">
        <v>215</v>
      </c>
      <c r="V309" s="17" t="s">
        <v>915</v>
      </c>
      <c r="W309" s="12">
        <v>41091</v>
      </c>
      <c r="X309" s="13"/>
      <c r="Y309" s="12">
        <v>42735</v>
      </c>
      <c r="Z309" s="2"/>
      <c r="AA309" s="2" t="s">
        <v>479</v>
      </c>
      <c r="AB309" s="24" t="s">
        <v>479</v>
      </c>
      <c r="AC309" s="5">
        <v>1000</v>
      </c>
      <c r="AD309" s="5">
        <v>1070</v>
      </c>
      <c r="AE309" s="5">
        <v>1170</v>
      </c>
      <c r="AF309" s="5">
        <f t="shared" si="297"/>
        <v>1310</v>
      </c>
      <c r="AG309" s="5">
        <f t="shared" si="320"/>
        <v>1310</v>
      </c>
      <c r="AH309" s="5">
        <f t="shared" si="320"/>
        <v>1310</v>
      </c>
      <c r="AI309" s="5">
        <f t="shared" ref="AI309:AJ309" si="330">+AH309</f>
        <v>1310</v>
      </c>
      <c r="AJ309" s="5">
        <f t="shared" si="330"/>
        <v>1310</v>
      </c>
      <c r="AK309" s="29" t="s">
        <v>42</v>
      </c>
      <c r="AL309" s="105" t="str">
        <f>+AK309</f>
        <v>C0</v>
      </c>
    </row>
    <row r="310" spans="1:38" s="6" customFormat="1" ht="15" customHeight="1" x14ac:dyDescent="0.2">
      <c r="A310" s="29" t="s">
        <v>824</v>
      </c>
      <c r="B310" s="29" t="s">
        <v>822</v>
      </c>
      <c r="C310" s="29" t="s">
        <v>823</v>
      </c>
      <c r="D310" s="2" t="s">
        <v>800</v>
      </c>
      <c r="E310" s="7" t="s">
        <v>541</v>
      </c>
      <c r="F310" s="7"/>
      <c r="G310" s="7"/>
      <c r="H310" s="8"/>
      <c r="I310" s="3"/>
      <c r="J310" s="28" t="s">
        <v>254</v>
      </c>
      <c r="K310" s="28"/>
      <c r="L310" s="42" t="s">
        <v>409</v>
      </c>
      <c r="M310" s="4" t="s">
        <v>3</v>
      </c>
      <c r="N310" s="15">
        <v>20718608</v>
      </c>
      <c r="O310" s="88">
        <v>20207186083</v>
      </c>
      <c r="P310" s="38"/>
      <c r="Q310" s="38"/>
      <c r="R310" s="38"/>
      <c r="S310" s="38"/>
      <c r="T310" s="38"/>
      <c r="U310" s="16" t="s">
        <v>796</v>
      </c>
      <c r="V310" s="16" t="s">
        <v>916</v>
      </c>
      <c r="W310" s="12">
        <v>40940</v>
      </c>
      <c r="X310" s="48">
        <v>42735</v>
      </c>
      <c r="Y310" s="12">
        <v>42735</v>
      </c>
      <c r="Z310" s="2" t="s">
        <v>42</v>
      </c>
      <c r="AA310" s="2"/>
      <c r="AB310" s="18"/>
      <c r="AC310" s="5">
        <v>1000</v>
      </c>
      <c r="AD310" s="5"/>
      <c r="AE310" s="5">
        <v>1170</v>
      </c>
      <c r="AF310" s="5">
        <f t="shared" si="297"/>
        <v>1310</v>
      </c>
      <c r="AG310" s="5">
        <f t="shared" si="320"/>
        <v>1310</v>
      </c>
      <c r="AH310" s="5">
        <f t="shared" si="320"/>
        <v>1310</v>
      </c>
      <c r="AI310" s="5">
        <f t="shared" ref="AI310:AJ310" si="331">+AH310</f>
        <v>1310</v>
      </c>
      <c r="AJ310" s="5">
        <f t="shared" si="331"/>
        <v>1310</v>
      </c>
      <c r="AK310" s="2"/>
      <c r="AL310" s="105" t="str">
        <f>+Z310</f>
        <v>C0</v>
      </c>
    </row>
    <row r="311" spans="1:38" s="6" customFormat="1" ht="15" customHeight="1" x14ac:dyDescent="0.2">
      <c r="A311" s="29" t="s">
        <v>824</v>
      </c>
      <c r="B311" s="29" t="s">
        <v>822</v>
      </c>
      <c r="C311" s="14"/>
      <c r="D311" s="2" t="s">
        <v>1106</v>
      </c>
      <c r="E311" s="3"/>
      <c r="F311" s="2"/>
      <c r="G311" s="2"/>
      <c r="H311" s="2"/>
      <c r="I311" s="2" t="s">
        <v>1707</v>
      </c>
      <c r="J311" s="28"/>
      <c r="K311" s="28" t="s">
        <v>1765</v>
      </c>
      <c r="L311" s="41" t="s">
        <v>951</v>
      </c>
      <c r="M311" s="4" t="s">
        <v>3</v>
      </c>
      <c r="N311" s="15">
        <v>23275418</v>
      </c>
      <c r="O311" s="88" t="s">
        <v>1224</v>
      </c>
      <c r="P311" s="38">
        <v>26843</v>
      </c>
      <c r="Q311" s="38"/>
      <c r="R311" s="38"/>
      <c r="S311" s="38"/>
      <c r="T311" s="38"/>
      <c r="U311" s="17" t="s">
        <v>215</v>
      </c>
      <c r="V311" s="17" t="s">
        <v>915</v>
      </c>
      <c r="W311" s="12"/>
      <c r="X311" s="12"/>
      <c r="Y311" s="12">
        <v>42735</v>
      </c>
      <c r="Z311" s="2"/>
      <c r="AA311" s="2" t="s">
        <v>479</v>
      </c>
      <c r="AB311" s="3"/>
      <c r="AC311" s="5">
        <v>1000</v>
      </c>
      <c r="AD311" s="5">
        <f>+AC311*1.07</f>
        <v>1070</v>
      </c>
      <c r="AE311" s="5">
        <v>1170</v>
      </c>
      <c r="AF311" s="5">
        <f t="shared" si="297"/>
        <v>1310</v>
      </c>
      <c r="AG311" s="5">
        <f t="shared" si="320"/>
        <v>1310</v>
      </c>
      <c r="AH311" s="5">
        <f t="shared" si="320"/>
        <v>1310</v>
      </c>
      <c r="AI311" s="5">
        <f t="shared" ref="AI311:AJ311" si="332">+AH311</f>
        <v>1310</v>
      </c>
      <c r="AJ311" s="5">
        <f t="shared" si="332"/>
        <v>1310</v>
      </c>
      <c r="AK311" s="29" t="s">
        <v>42</v>
      </c>
      <c r="AL311" s="105" t="str">
        <f>+AK311</f>
        <v>C0</v>
      </c>
    </row>
    <row r="312" spans="1:38" s="6" customFormat="1" ht="15" customHeight="1" x14ac:dyDescent="0.2">
      <c r="A312" s="29" t="s">
        <v>824</v>
      </c>
      <c r="B312" s="29" t="s">
        <v>822</v>
      </c>
      <c r="C312" s="29" t="s">
        <v>823</v>
      </c>
      <c r="D312" s="2" t="s">
        <v>800</v>
      </c>
      <c r="E312" s="7" t="s">
        <v>500</v>
      </c>
      <c r="F312" s="7"/>
      <c r="G312" s="7"/>
      <c r="H312" s="8"/>
      <c r="I312" s="3"/>
      <c r="J312" s="28" t="s">
        <v>254</v>
      </c>
      <c r="K312" s="28"/>
      <c r="L312" s="42" t="s">
        <v>435</v>
      </c>
      <c r="M312" s="4" t="s">
        <v>3</v>
      </c>
      <c r="N312" s="15">
        <v>23109452</v>
      </c>
      <c r="O312" s="88">
        <v>20231094521</v>
      </c>
      <c r="P312" s="38"/>
      <c r="Q312" s="38"/>
      <c r="R312" s="38"/>
      <c r="S312" s="38"/>
      <c r="T312" s="38"/>
      <c r="U312" s="16" t="s">
        <v>796</v>
      </c>
      <c r="V312" s="16" t="s">
        <v>916</v>
      </c>
      <c r="W312" s="12">
        <v>40940</v>
      </c>
      <c r="X312" s="48">
        <v>42735</v>
      </c>
      <c r="Y312" s="12">
        <v>42735</v>
      </c>
      <c r="Z312" s="2" t="s">
        <v>42</v>
      </c>
      <c r="AA312" s="2"/>
      <c r="AB312" s="18"/>
      <c r="AC312" s="5">
        <v>1000</v>
      </c>
      <c r="AD312" s="5"/>
      <c r="AE312" s="5">
        <v>1170</v>
      </c>
      <c r="AF312" s="5">
        <f t="shared" si="297"/>
        <v>1310</v>
      </c>
      <c r="AG312" s="5">
        <f t="shared" si="320"/>
        <v>1310</v>
      </c>
      <c r="AH312" s="5">
        <f t="shared" si="320"/>
        <v>1310</v>
      </c>
      <c r="AI312" s="5">
        <f t="shared" ref="AI312:AJ312" si="333">+AH312</f>
        <v>1310</v>
      </c>
      <c r="AJ312" s="5">
        <f t="shared" si="333"/>
        <v>1310</v>
      </c>
      <c r="AK312" s="2"/>
      <c r="AL312" s="105" t="str">
        <f>+Z312</f>
        <v>C0</v>
      </c>
    </row>
    <row r="313" spans="1:38" s="6" customFormat="1" ht="15" customHeight="1" x14ac:dyDescent="0.2">
      <c r="A313" s="29" t="s">
        <v>824</v>
      </c>
      <c r="B313" s="29" t="s">
        <v>822</v>
      </c>
      <c r="C313" s="29"/>
      <c r="D313" s="2" t="s">
        <v>928</v>
      </c>
      <c r="E313" s="2" t="s">
        <v>11</v>
      </c>
      <c r="F313" s="2"/>
      <c r="G313" s="2"/>
      <c r="H313" s="2"/>
      <c r="I313" s="3"/>
      <c r="J313" s="28" t="s">
        <v>73</v>
      </c>
      <c r="K313" s="28" t="s">
        <v>1765</v>
      </c>
      <c r="L313" s="42" t="s">
        <v>293</v>
      </c>
      <c r="M313" s="4" t="s">
        <v>3</v>
      </c>
      <c r="N313" s="15">
        <v>28334271</v>
      </c>
      <c r="O313" s="88">
        <v>23283242714</v>
      </c>
      <c r="P313" s="61"/>
      <c r="Q313" s="61"/>
      <c r="R313" s="61"/>
      <c r="S313" s="61"/>
      <c r="T313" s="61"/>
      <c r="U313" s="16" t="s">
        <v>796</v>
      </c>
      <c r="V313" s="16" t="s">
        <v>916</v>
      </c>
      <c r="W313" s="12">
        <v>41000</v>
      </c>
      <c r="X313" s="48">
        <v>42735</v>
      </c>
      <c r="Y313" s="12">
        <v>42735</v>
      </c>
      <c r="Z313" s="2" t="s">
        <v>42</v>
      </c>
      <c r="AA313" s="2"/>
      <c r="AB313" s="18"/>
      <c r="AC313" s="5">
        <v>1000</v>
      </c>
      <c r="AD313" s="5"/>
      <c r="AE313" s="5">
        <v>1170</v>
      </c>
      <c r="AF313" s="5">
        <f t="shared" si="297"/>
        <v>1310</v>
      </c>
      <c r="AG313" s="5">
        <f t="shared" si="320"/>
        <v>1310</v>
      </c>
      <c r="AH313" s="5">
        <f t="shared" si="320"/>
        <v>1310</v>
      </c>
      <c r="AI313" s="5">
        <f t="shared" ref="AI313:AJ313" si="334">+AH313</f>
        <v>1310</v>
      </c>
      <c r="AJ313" s="5">
        <f t="shared" si="334"/>
        <v>1310</v>
      </c>
      <c r="AK313" s="2"/>
      <c r="AL313" s="105" t="str">
        <f>+Z313</f>
        <v>C0</v>
      </c>
    </row>
    <row r="314" spans="1:38" s="6" customFormat="1" ht="15" customHeight="1" x14ac:dyDescent="0.2">
      <c r="A314" s="29" t="s">
        <v>824</v>
      </c>
      <c r="B314" s="29"/>
      <c r="C314" s="29"/>
      <c r="D314" s="2" t="s">
        <v>820</v>
      </c>
      <c r="E314" s="2" t="s">
        <v>921</v>
      </c>
      <c r="F314" s="3" t="s">
        <v>525</v>
      </c>
      <c r="G314" s="3" t="s">
        <v>520</v>
      </c>
      <c r="H314" s="2" t="s">
        <v>234</v>
      </c>
      <c r="I314" s="3"/>
      <c r="J314" s="28" t="s">
        <v>73</v>
      </c>
      <c r="K314" s="28"/>
      <c r="L314" s="45" t="s">
        <v>117</v>
      </c>
      <c r="M314" s="4" t="s">
        <v>3</v>
      </c>
      <c r="N314" s="15">
        <v>14890843</v>
      </c>
      <c r="O314" s="88">
        <v>20148908436</v>
      </c>
      <c r="P314" s="61"/>
      <c r="Q314" s="61"/>
      <c r="R314" s="61"/>
      <c r="S314" s="61"/>
      <c r="T314" s="61"/>
      <c r="U314" s="16" t="s">
        <v>796</v>
      </c>
      <c r="V314" s="16" t="s">
        <v>916</v>
      </c>
      <c r="W314" s="12">
        <v>41974</v>
      </c>
      <c r="X314" s="12">
        <v>42460</v>
      </c>
      <c r="Y314" s="12">
        <v>42735</v>
      </c>
      <c r="Z314" s="2" t="s">
        <v>24</v>
      </c>
      <c r="AA314" s="2"/>
      <c r="AB314" s="14"/>
      <c r="AC314" s="5">
        <v>1000</v>
      </c>
      <c r="AD314" s="5"/>
      <c r="AE314" s="5">
        <v>0</v>
      </c>
      <c r="AF314" s="5">
        <f>+AE314*1.092</f>
        <v>0</v>
      </c>
      <c r="AG314" s="5">
        <f t="shared" si="320"/>
        <v>0</v>
      </c>
      <c r="AH314" s="5">
        <f t="shared" si="320"/>
        <v>0</v>
      </c>
      <c r="AI314" s="5">
        <f t="shared" ref="AI314:AJ314" si="335">+AH314</f>
        <v>0</v>
      </c>
      <c r="AJ314" s="5">
        <f t="shared" si="335"/>
        <v>0</v>
      </c>
      <c r="AK314" s="2"/>
      <c r="AL314" s="105" t="str">
        <f>+Z314</f>
        <v>D0</v>
      </c>
    </row>
    <row r="315" spans="1:38" s="6" customFormat="1" ht="15" customHeight="1" x14ac:dyDescent="0.2">
      <c r="A315" s="29" t="s">
        <v>824</v>
      </c>
      <c r="B315" s="2" t="s">
        <v>822</v>
      </c>
      <c r="C315" s="3"/>
      <c r="D315" s="2" t="s">
        <v>825</v>
      </c>
      <c r="E315" s="3" t="s">
        <v>18</v>
      </c>
      <c r="F315" s="2" t="s">
        <v>19</v>
      </c>
      <c r="G315" s="2"/>
      <c r="H315" s="2" t="s">
        <v>50</v>
      </c>
      <c r="I315" s="2" t="s">
        <v>1707</v>
      </c>
      <c r="J315" s="28" t="s">
        <v>548</v>
      </c>
      <c r="K315" s="28" t="s">
        <v>548</v>
      </c>
      <c r="L315" s="44" t="s">
        <v>631</v>
      </c>
      <c r="M315" s="4" t="s">
        <v>3</v>
      </c>
      <c r="N315" s="15">
        <v>34529374</v>
      </c>
      <c r="O315" s="88" t="s">
        <v>1477</v>
      </c>
      <c r="P315" s="38">
        <v>32641</v>
      </c>
      <c r="Q315" s="38"/>
      <c r="R315" s="38"/>
      <c r="S315" s="38"/>
      <c r="T315" s="38"/>
      <c r="U315" s="17" t="s">
        <v>215</v>
      </c>
      <c r="V315" s="17" t="s">
        <v>915</v>
      </c>
      <c r="W315" s="12">
        <v>41244</v>
      </c>
      <c r="X315" s="13"/>
      <c r="Y315" s="12">
        <v>42735</v>
      </c>
      <c r="Z315" s="2"/>
      <c r="AA315" s="2" t="s">
        <v>479</v>
      </c>
      <c r="AB315" s="7" t="s">
        <v>787</v>
      </c>
      <c r="AC315" s="5">
        <v>1000</v>
      </c>
      <c r="AD315" s="5">
        <f>+AC315</f>
        <v>1000</v>
      </c>
      <c r="AE315" s="5">
        <v>1170</v>
      </c>
      <c r="AF315" s="5">
        <f t="shared" ref="AF315:AF330" si="336">+AC315*1.31</f>
        <v>1310</v>
      </c>
      <c r="AG315" s="5">
        <f t="shared" si="320"/>
        <v>1310</v>
      </c>
      <c r="AH315" s="5">
        <f t="shared" si="320"/>
        <v>1310</v>
      </c>
      <c r="AI315" s="5">
        <f t="shared" ref="AI315:AJ315" si="337">+AH315</f>
        <v>1310</v>
      </c>
      <c r="AJ315" s="5">
        <f t="shared" si="337"/>
        <v>1310</v>
      </c>
      <c r="AK315" s="2"/>
      <c r="AL315" s="106"/>
    </row>
    <row r="316" spans="1:38" s="6" customFormat="1" ht="15" customHeight="1" x14ac:dyDescent="0.2">
      <c r="A316" s="29" t="s">
        <v>824</v>
      </c>
      <c r="B316" s="2" t="s">
        <v>822</v>
      </c>
      <c r="C316" s="29" t="s">
        <v>823</v>
      </c>
      <c r="D316" s="2" t="s">
        <v>808</v>
      </c>
      <c r="E316" s="2" t="s">
        <v>219</v>
      </c>
      <c r="F316" s="2"/>
      <c r="G316" s="2"/>
      <c r="H316" s="2" t="s">
        <v>1666</v>
      </c>
      <c r="I316" s="2" t="s">
        <v>1666</v>
      </c>
      <c r="J316" s="28"/>
      <c r="K316" s="28" t="s">
        <v>1765</v>
      </c>
      <c r="L316" s="42" t="s">
        <v>1667</v>
      </c>
      <c r="M316" s="4"/>
      <c r="N316" s="15"/>
      <c r="O316" s="88"/>
      <c r="P316" s="38">
        <v>26753</v>
      </c>
      <c r="Q316" s="38"/>
      <c r="R316" s="38"/>
      <c r="S316" s="38"/>
      <c r="T316" s="38"/>
      <c r="U316" s="17"/>
      <c r="V316" s="17" t="s">
        <v>915</v>
      </c>
      <c r="W316" s="12">
        <v>42552</v>
      </c>
      <c r="X316" s="19">
        <v>42735</v>
      </c>
      <c r="Y316" s="12">
        <v>42735</v>
      </c>
      <c r="Z316" s="2"/>
      <c r="AA316" s="2" t="s">
        <v>479</v>
      </c>
      <c r="AB316" s="2"/>
      <c r="AC316" s="5"/>
      <c r="AD316" s="5"/>
      <c r="AE316" s="5">
        <v>1170</v>
      </c>
      <c r="AF316" s="5">
        <f t="shared" si="336"/>
        <v>0</v>
      </c>
      <c r="AG316" s="5">
        <f t="shared" si="320"/>
        <v>0</v>
      </c>
      <c r="AH316" s="5">
        <f t="shared" si="320"/>
        <v>0</v>
      </c>
      <c r="AI316" s="5">
        <f t="shared" ref="AI316:AJ316" si="338">+AH316</f>
        <v>0</v>
      </c>
      <c r="AJ316" s="5">
        <f t="shared" si="338"/>
        <v>0</v>
      </c>
      <c r="AK316" s="2" t="s">
        <v>43</v>
      </c>
      <c r="AL316" s="105" t="str">
        <f>+AK316</f>
        <v>A0</v>
      </c>
    </row>
    <row r="317" spans="1:38" s="6" customFormat="1" ht="15" customHeight="1" x14ac:dyDescent="0.2">
      <c r="A317" s="29" t="s">
        <v>824</v>
      </c>
      <c r="B317" s="29"/>
      <c r="C317" s="29"/>
      <c r="D317" s="2" t="s">
        <v>820</v>
      </c>
      <c r="E317" s="2" t="s">
        <v>837</v>
      </c>
      <c r="F317" s="7"/>
      <c r="G317" s="7"/>
      <c r="H317" s="8"/>
      <c r="I317" s="2" t="s">
        <v>1758</v>
      </c>
      <c r="J317" s="28"/>
      <c r="K317" s="28" t="s">
        <v>1765</v>
      </c>
      <c r="L317" s="42" t="s">
        <v>1657</v>
      </c>
      <c r="M317" s="7" t="s">
        <v>3</v>
      </c>
      <c r="N317" s="15">
        <v>38861032</v>
      </c>
      <c r="O317" s="88">
        <v>20388610329</v>
      </c>
      <c r="P317" s="38">
        <v>34756</v>
      </c>
      <c r="Q317" s="38"/>
      <c r="R317" s="38"/>
      <c r="S317" s="38"/>
      <c r="T317" s="38"/>
      <c r="U317" s="17" t="s">
        <v>215</v>
      </c>
      <c r="V317" s="16" t="s">
        <v>915</v>
      </c>
      <c r="W317" s="12">
        <v>42552</v>
      </c>
      <c r="X317" s="12"/>
      <c r="Y317" s="12">
        <v>42735</v>
      </c>
      <c r="Z317" s="2"/>
      <c r="AA317" s="2" t="s">
        <v>479</v>
      </c>
      <c r="AB317" s="18"/>
      <c r="AC317" s="5"/>
      <c r="AD317" s="5"/>
      <c r="AE317" s="5">
        <v>1170</v>
      </c>
      <c r="AF317" s="5">
        <f t="shared" si="336"/>
        <v>0</v>
      </c>
      <c r="AG317" s="5">
        <f t="shared" si="320"/>
        <v>0</v>
      </c>
      <c r="AH317" s="5">
        <f t="shared" si="320"/>
        <v>0</v>
      </c>
      <c r="AI317" s="5">
        <f t="shared" ref="AI317:AJ317" si="339">+AH317</f>
        <v>0</v>
      </c>
      <c r="AJ317" s="5">
        <f t="shared" si="339"/>
        <v>0</v>
      </c>
      <c r="AK317" s="29" t="s">
        <v>42</v>
      </c>
      <c r="AL317" s="105" t="str">
        <f>+AK317</f>
        <v>C0</v>
      </c>
    </row>
    <row r="318" spans="1:38" s="6" customFormat="1" ht="15" customHeight="1" x14ac:dyDescent="0.2">
      <c r="A318" s="29" t="s">
        <v>824</v>
      </c>
      <c r="B318" s="29" t="s">
        <v>822</v>
      </c>
      <c r="C318" s="29" t="s">
        <v>823</v>
      </c>
      <c r="D318" s="2" t="s">
        <v>808</v>
      </c>
      <c r="E318" s="2" t="s">
        <v>59</v>
      </c>
      <c r="F318" s="3"/>
      <c r="G318" s="3"/>
      <c r="H318" s="2" t="s">
        <v>229</v>
      </c>
      <c r="I318" s="2" t="s">
        <v>1707</v>
      </c>
      <c r="J318" s="28" t="s">
        <v>73</v>
      </c>
      <c r="K318" s="28" t="s">
        <v>1765</v>
      </c>
      <c r="L318" s="45" t="s">
        <v>118</v>
      </c>
      <c r="M318" s="4" t="s">
        <v>3</v>
      </c>
      <c r="N318" s="15">
        <v>27822762</v>
      </c>
      <c r="O318" s="88" t="s">
        <v>1320</v>
      </c>
      <c r="P318" s="38">
        <v>29255</v>
      </c>
      <c r="Q318" s="38"/>
      <c r="R318" s="38"/>
      <c r="S318" s="38"/>
      <c r="T318" s="38"/>
      <c r="U318" s="17" t="s">
        <v>215</v>
      </c>
      <c r="V318" s="17" t="s">
        <v>915</v>
      </c>
      <c r="W318" s="12">
        <v>41594</v>
      </c>
      <c r="X318" s="13"/>
      <c r="Y318" s="12">
        <v>42735</v>
      </c>
      <c r="Z318" s="2"/>
      <c r="AA318" s="2" t="s">
        <v>479</v>
      </c>
      <c r="AB318" s="14" t="s">
        <v>505</v>
      </c>
      <c r="AC318" s="5">
        <v>1000</v>
      </c>
      <c r="AD318" s="5">
        <f>+AC318*1.07</f>
        <v>1070</v>
      </c>
      <c r="AE318" s="5">
        <v>1170</v>
      </c>
      <c r="AF318" s="5">
        <f t="shared" si="336"/>
        <v>1310</v>
      </c>
      <c r="AG318" s="5">
        <f t="shared" si="320"/>
        <v>1310</v>
      </c>
      <c r="AH318" s="5">
        <f t="shared" si="320"/>
        <v>1310</v>
      </c>
      <c r="AI318" s="5">
        <f t="shared" ref="AI318:AJ318" si="340">+AH318</f>
        <v>1310</v>
      </c>
      <c r="AJ318" s="5">
        <f t="shared" si="340"/>
        <v>1310</v>
      </c>
      <c r="AK318" s="2" t="s">
        <v>53</v>
      </c>
      <c r="AL318" s="105" t="str">
        <f>+AK318</f>
        <v>B0</v>
      </c>
    </row>
    <row r="319" spans="1:38" s="6" customFormat="1" ht="15" customHeight="1" x14ac:dyDescent="0.2">
      <c r="A319" s="29" t="s">
        <v>824</v>
      </c>
      <c r="B319" s="29" t="s">
        <v>822</v>
      </c>
      <c r="C319" s="29" t="s">
        <v>823</v>
      </c>
      <c r="D319" s="2" t="s">
        <v>800</v>
      </c>
      <c r="E319" s="7" t="s">
        <v>503</v>
      </c>
      <c r="F319" s="7"/>
      <c r="G319" s="7"/>
      <c r="H319" s="8"/>
      <c r="I319" s="3"/>
      <c r="J319" s="28" t="s">
        <v>254</v>
      </c>
      <c r="K319" s="28"/>
      <c r="L319" s="42" t="s">
        <v>467</v>
      </c>
      <c r="M319" s="4" t="s">
        <v>3</v>
      </c>
      <c r="N319" s="15">
        <v>29635339</v>
      </c>
      <c r="O319" s="88">
        <v>20296353397</v>
      </c>
      <c r="P319" s="38"/>
      <c r="Q319" s="38"/>
      <c r="R319" s="38"/>
      <c r="S319" s="38"/>
      <c r="T319" s="38"/>
      <c r="U319" s="16" t="s">
        <v>796</v>
      </c>
      <c r="V319" s="16" t="s">
        <v>916</v>
      </c>
      <c r="W319" s="12">
        <v>40269</v>
      </c>
      <c r="X319" s="48">
        <v>42735</v>
      </c>
      <c r="Y319" s="12">
        <v>42735</v>
      </c>
      <c r="Z319" s="2" t="s">
        <v>17</v>
      </c>
      <c r="AA319" s="2"/>
      <c r="AB319" s="18"/>
      <c r="AC319" s="5">
        <v>1000</v>
      </c>
      <c r="AD319" s="5"/>
      <c r="AE319" s="5">
        <v>1170</v>
      </c>
      <c r="AF319" s="5">
        <f t="shared" si="336"/>
        <v>1310</v>
      </c>
      <c r="AG319" s="5">
        <f t="shared" si="320"/>
        <v>1310</v>
      </c>
      <c r="AH319" s="5">
        <f t="shared" si="320"/>
        <v>1310</v>
      </c>
      <c r="AI319" s="5">
        <f t="shared" ref="AI319:AJ319" si="341">+AH319</f>
        <v>1310</v>
      </c>
      <c r="AJ319" s="5">
        <f t="shared" si="341"/>
        <v>1310</v>
      </c>
      <c r="AK319" s="2"/>
      <c r="AL319" s="105" t="str">
        <f>+Z319</f>
        <v>C1</v>
      </c>
    </row>
    <row r="320" spans="1:38" s="6" customFormat="1" ht="15" customHeight="1" x14ac:dyDescent="0.2">
      <c r="A320" s="29" t="s">
        <v>824</v>
      </c>
      <c r="B320" s="29" t="s">
        <v>822</v>
      </c>
      <c r="C320" s="29"/>
      <c r="D320" s="2" t="s">
        <v>928</v>
      </c>
      <c r="E320" s="2" t="s">
        <v>11</v>
      </c>
      <c r="F320" s="2"/>
      <c r="G320" s="2"/>
      <c r="H320" s="2"/>
      <c r="I320" s="2" t="s">
        <v>1707</v>
      </c>
      <c r="J320" s="28"/>
      <c r="K320" s="28" t="s">
        <v>1765</v>
      </c>
      <c r="L320" s="42" t="s">
        <v>1107</v>
      </c>
      <c r="M320" s="7" t="s">
        <v>3</v>
      </c>
      <c r="N320" s="15">
        <v>31559806</v>
      </c>
      <c r="O320" s="88">
        <v>20315598061</v>
      </c>
      <c r="P320" s="38">
        <v>31108</v>
      </c>
      <c r="Q320" s="38"/>
      <c r="R320" s="38"/>
      <c r="S320" s="38"/>
      <c r="T320" s="38"/>
      <c r="U320" s="17" t="s">
        <v>215</v>
      </c>
      <c r="V320" s="17" t="s">
        <v>915</v>
      </c>
      <c r="W320" s="12"/>
      <c r="X320" s="20"/>
      <c r="Y320" s="12">
        <v>42735</v>
      </c>
      <c r="Z320" s="2"/>
      <c r="AA320" s="2" t="s">
        <v>479</v>
      </c>
      <c r="AB320" s="24"/>
      <c r="AC320" s="5"/>
      <c r="AD320" s="5">
        <v>1070</v>
      </c>
      <c r="AE320" s="5">
        <v>1170</v>
      </c>
      <c r="AF320" s="5">
        <f t="shared" si="336"/>
        <v>0</v>
      </c>
      <c r="AG320" s="5">
        <f t="shared" ref="AG320:AH339" si="342">+AF320</f>
        <v>0</v>
      </c>
      <c r="AH320" s="5">
        <f t="shared" si="342"/>
        <v>0</v>
      </c>
      <c r="AI320" s="5">
        <f t="shared" ref="AI320:AJ320" si="343">+AH320</f>
        <v>0</v>
      </c>
      <c r="AJ320" s="5">
        <f t="shared" si="343"/>
        <v>0</v>
      </c>
      <c r="AK320" s="2" t="s">
        <v>43</v>
      </c>
      <c r="AL320" s="105" t="str">
        <f>+AK320</f>
        <v>A0</v>
      </c>
    </row>
    <row r="321" spans="1:38" s="6" customFormat="1" ht="15" customHeight="1" x14ac:dyDescent="0.2">
      <c r="A321" s="29" t="s">
        <v>824</v>
      </c>
      <c r="B321" s="29" t="s">
        <v>822</v>
      </c>
      <c r="C321" s="29"/>
      <c r="D321" s="2" t="s">
        <v>956</v>
      </c>
      <c r="E321" s="2" t="s">
        <v>956</v>
      </c>
      <c r="F321" s="2"/>
      <c r="G321" s="2"/>
      <c r="H321" s="2"/>
      <c r="I321" s="2" t="s">
        <v>1707</v>
      </c>
      <c r="J321" s="28"/>
      <c r="K321" s="28" t="s">
        <v>1765</v>
      </c>
      <c r="L321" s="41" t="s">
        <v>952</v>
      </c>
      <c r="M321" s="4" t="s">
        <v>3</v>
      </c>
      <c r="N321" s="15">
        <v>35368163</v>
      </c>
      <c r="O321" s="88">
        <v>27353681635</v>
      </c>
      <c r="P321" s="38">
        <v>33182</v>
      </c>
      <c r="Q321" s="38"/>
      <c r="R321" s="38"/>
      <c r="S321" s="38"/>
      <c r="T321" s="38"/>
      <c r="U321" s="17" t="s">
        <v>215</v>
      </c>
      <c r="V321" s="17" t="s">
        <v>915</v>
      </c>
      <c r="W321" s="12"/>
      <c r="X321" s="12"/>
      <c r="Y321" s="12">
        <v>42735</v>
      </c>
      <c r="Z321" s="2"/>
      <c r="AA321" s="2" t="s">
        <v>479</v>
      </c>
      <c r="AB321" s="3"/>
      <c r="AC321" s="5">
        <v>1000</v>
      </c>
      <c r="AD321" s="5">
        <f>+AC321*1.07</f>
        <v>1070</v>
      </c>
      <c r="AE321" s="5">
        <v>1170</v>
      </c>
      <c r="AF321" s="5">
        <f t="shared" si="336"/>
        <v>1310</v>
      </c>
      <c r="AG321" s="5">
        <f t="shared" si="342"/>
        <v>1310</v>
      </c>
      <c r="AH321" s="5">
        <f t="shared" si="342"/>
        <v>1310</v>
      </c>
      <c r="AI321" s="5">
        <f t="shared" ref="AI321:AJ321" si="344">+AH321</f>
        <v>1310</v>
      </c>
      <c r="AJ321" s="5">
        <f t="shared" si="344"/>
        <v>1310</v>
      </c>
      <c r="AK321" s="29" t="s">
        <v>42</v>
      </c>
      <c r="AL321" s="105" t="str">
        <f>+AK321</f>
        <v>C0</v>
      </c>
    </row>
    <row r="322" spans="1:38" s="6" customFormat="1" ht="15" customHeight="1" x14ac:dyDescent="0.2">
      <c r="A322" s="29" t="s">
        <v>824</v>
      </c>
      <c r="B322" s="29" t="s">
        <v>822</v>
      </c>
      <c r="C322" s="29" t="s">
        <v>823</v>
      </c>
      <c r="D322" s="2" t="s">
        <v>800</v>
      </c>
      <c r="E322" s="7" t="s">
        <v>503</v>
      </c>
      <c r="F322" s="7"/>
      <c r="G322" s="7"/>
      <c r="H322" s="8"/>
      <c r="I322" s="3"/>
      <c r="J322" s="28" t="s">
        <v>254</v>
      </c>
      <c r="K322" s="28"/>
      <c r="L322" s="42" t="s">
        <v>468</v>
      </c>
      <c r="M322" s="4" t="s">
        <v>3</v>
      </c>
      <c r="N322" s="15">
        <v>30135252</v>
      </c>
      <c r="O322" s="88">
        <v>20301352523</v>
      </c>
      <c r="P322" s="38"/>
      <c r="Q322" s="38"/>
      <c r="R322" s="38"/>
      <c r="S322" s="38"/>
      <c r="T322" s="38"/>
      <c r="U322" s="16" t="s">
        <v>796</v>
      </c>
      <c r="V322" s="16" t="s">
        <v>916</v>
      </c>
      <c r="W322" s="12">
        <v>41365</v>
      </c>
      <c r="X322" s="12">
        <v>42460</v>
      </c>
      <c r="Y322" s="12">
        <v>42735</v>
      </c>
      <c r="Z322" s="2" t="s">
        <v>24</v>
      </c>
      <c r="AA322" s="2"/>
      <c r="AB322" s="18"/>
      <c r="AC322" s="5">
        <v>1000</v>
      </c>
      <c r="AD322" s="5"/>
      <c r="AE322" s="5">
        <v>1170</v>
      </c>
      <c r="AF322" s="5">
        <f t="shared" si="336"/>
        <v>1310</v>
      </c>
      <c r="AG322" s="5">
        <f t="shared" si="342"/>
        <v>1310</v>
      </c>
      <c r="AH322" s="5">
        <f t="shared" si="342"/>
        <v>1310</v>
      </c>
      <c r="AI322" s="5">
        <f t="shared" ref="AI322:AJ322" si="345">+AH322</f>
        <v>1310</v>
      </c>
      <c r="AJ322" s="5">
        <f t="shared" si="345"/>
        <v>1310</v>
      </c>
      <c r="AK322" s="2"/>
      <c r="AL322" s="105" t="str">
        <f>+Z322</f>
        <v>D0</v>
      </c>
    </row>
    <row r="323" spans="1:38" s="6" customFormat="1" ht="15" customHeight="1" x14ac:dyDescent="0.2">
      <c r="A323" s="29" t="s">
        <v>824</v>
      </c>
      <c r="B323" s="2" t="s">
        <v>822</v>
      </c>
      <c r="C323" s="29" t="s">
        <v>823</v>
      </c>
      <c r="D323" s="2" t="s">
        <v>808</v>
      </c>
      <c r="E323" s="2" t="s">
        <v>909</v>
      </c>
      <c r="F323" s="2"/>
      <c r="G323" s="2"/>
      <c r="H323" s="3"/>
      <c r="I323" s="2" t="s">
        <v>222</v>
      </c>
      <c r="J323" s="28"/>
      <c r="K323" s="28" t="s">
        <v>1765</v>
      </c>
      <c r="L323" s="42" t="s">
        <v>1089</v>
      </c>
      <c r="M323" s="7" t="s">
        <v>3</v>
      </c>
      <c r="N323" s="15">
        <v>28746454</v>
      </c>
      <c r="O323" s="88">
        <v>20287464542</v>
      </c>
      <c r="P323" s="38">
        <v>25917</v>
      </c>
      <c r="Q323" s="38"/>
      <c r="R323" s="38"/>
      <c r="S323" s="38"/>
      <c r="T323" s="38"/>
      <c r="U323" s="17" t="s">
        <v>215</v>
      </c>
      <c r="V323" s="17" t="s">
        <v>915</v>
      </c>
      <c r="W323" s="12">
        <v>42522</v>
      </c>
      <c r="X323" s="19"/>
      <c r="Y323" s="12">
        <v>42735</v>
      </c>
      <c r="Z323" s="2"/>
      <c r="AA323" s="2" t="s">
        <v>479</v>
      </c>
      <c r="AB323" s="2"/>
      <c r="AC323" s="5"/>
      <c r="AD323" s="5">
        <v>1070</v>
      </c>
      <c r="AE323" s="5">
        <v>1170</v>
      </c>
      <c r="AF323" s="5">
        <f t="shared" si="336"/>
        <v>0</v>
      </c>
      <c r="AG323" s="5">
        <f t="shared" si="342"/>
        <v>0</v>
      </c>
      <c r="AH323" s="5">
        <f t="shared" si="342"/>
        <v>0</v>
      </c>
      <c r="AI323" s="5">
        <f t="shared" ref="AI323:AJ323" si="346">+AH323</f>
        <v>0</v>
      </c>
      <c r="AJ323" s="5">
        <f t="shared" si="346"/>
        <v>0</v>
      </c>
      <c r="AK323" s="2" t="s">
        <v>43</v>
      </c>
      <c r="AL323" s="105" t="str">
        <f>+AK323</f>
        <v>A0</v>
      </c>
    </row>
    <row r="324" spans="1:38" s="6" customFormat="1" ht="15" customHeight="1" x14ac:dyDescent="0.2">
      <c r="A324" s="29" t="s">
        <v>824</v>
      </c>
      <c r="B324" s="2" t="s">
        <v>822</v>
      </c>
      <c r="C324" s="29" t="s">
        <v>823</v>
      </c>
      <c r="D324" s="2" t="s">
        <v>808</v>
      </c>
      <c r="E324" s="2" t="s">
        <v>59</v>
      </c>
      <c r="F324" s="2"/>
      <c r="G324" s="2"/>
      <c r="H324" s="2"/>
      <c r="I324" s="2" t="s">
        <v>1707</v>
      </c>
      <c r="J324" s="28" t="s">
        <v>73</v>
      </c>
      <c r="K324" s="28" t="s">
        <v>1765</v>
      </c>
      <c r="L324" s="41" t="s">
        <v>632</v>
      </c>
      <c r="M324" s="4" t="s">
        <v>3</v>
      </c>
      <c r="N324" s="15">
        <v>23782289</v>
      </c>
      <c r="O324" s="88" t="s">
        <v>1237</v>
      </c>
      <c r="P324" s="38">
        <v>27047</v>
      </c>
      <c r="Q324" s="38"/>
      <c r="R324" s="38"/>
      <c r="S324" s="38"/>
      <c r="T324" s="38"/>
      <c r="U324" s="17" t="s">
        <v>215</v>
      </c>
      <c r="V324" s="17" t="s">
        <v>915</v>
      </c>
      <c r="W324" s="12">
        <v>42016</v>
      </c>
      <c r="X324" s="13"/>
      <c r="Y324" s="12">
        <v>42735</v>
      </c>
      <c r="Z324" s="2"/>
      <c r="AA324" s="2" t="s">
        <v>479</v>
      </c>
      <c r="AB324" s="3" t="s">
        <v>10</v>
      </c>
      <c r="AC324" s="5">
        <v>1000</v>
      </c>
      <c r="AD324" s="5">
        <f>+AC324*1.07</f>
        <v>1070</v>
      </c>
      <c r="AE324" s="5">
        <v>1170</v>
      </c>
      <c r="AF324" s="5">
        <f t="shared" si="336"/>
        <v>1310</v>
      </c>
      <c r="AG324" s="5">
        <f t="shared" si="342"/>
        <v>1310</v>
      </c>
      <c r="AH324" s="5">
        <f t="shared" si="342"/>
        <v>1310</v>
      </c>
      <c r="AI324" s="5">
        <f t="shared" ref="AI324:AJ324" si="347">+AH324</f>
        <v>1310</v>
      </c>
      <c r="AJ324" s="5">
        <f t="shared" si="347"/>
        <v>1310</v>
      </c>
      <c r="AK324" s="29" t="s">
        <v>42</v>
      </c>
      <c r="AL324" s="105" t="str">
        <f>+AK324</f>
        <v>C0</v>
      </c>
    </row>
    <row r="325" spans="1:38" s="6" customFormat="1" ht="15" customHeight="1" x14ac:dyDescent="0.2">
      <c r="A325" s="29" t="s">
        <v>824</v>
      </c>
      <c r="B325" s="29" t="s">
        <v>822</v>
      </c>
      <c r="C325" s="29" t="s">
        <v>823</v>
      </c>
      <c r="D325" s="2" t="s">
        <v>800</v>
      </c>
      <c r="E325" s="2" t="s">
        <v>486</v>
      </c>
      <c r="F325" s="2"/>
      <c r="G325" s="2"/>
      <c r="H325" s="2" t="s">
        <v>1710</v>
      </c>
      <c r="I325" s="3" t="s">
        <v>1718</v>
      </c>
      <c r="J325" s="28" t="s">
        <v>254</v>
      </c>
      <c r="K325" s="28"/>
      <c r="L325" s="42" t="s">
        <v>307</v>
      </c>
      <c r="M325" s="4" t="s">
        <v>3</v>
      </c>
      <c r="N325" s="15">
        <v>27888389</v>
      </c>
      <c r="O325" s="88">
        <v>27278883898</v>
      </c>
      <c r="P325" s="38"/>
      <c r="Q325" s="38"/>
      <c r="R325" s="38"/>
      <c r="S325" s="38"/>
      <c r="T325" s="38"/>
      <c r="U325" s="17" t="s">
        <v>215</v>
      </c>
      <c r="V325" s="17" t="s">
        <v>1698</v>
      </c>
      <c r="W325" s="12"/>
      <c r="X325" s="13"/>
      <c r="Y325" s="12">
        <v>42735</v>
      </c>
      <c r="Z325" s="2"/>
      <c r="AA325" s="2" t="s">
        <v>479</v>
      </c>
      <c r="AB325" s="25" t="s">
        <v>479</v>
      </c>
      <c r="AC325" s="5">
        <v>1000</v>
      </c>
      <c r="AD325" s="5">
        <f>+AC325*1.07</f>
        <v>1070</v>
      </c>
      <c r="AE325" s="5">
        <v>1170</v>
      </c>
      <c r="AF325" s="5">
        <f t="shared" si="336"/>
        <v>1310</v>
      </c>
      <c r="AG325" s="5">
        <v>1310</v>
      </c>
      <c r="AH325" s="5">
        <f t="shared" si="342"/>
        <v>1310</v>
      </c>
      <c r="AI325" s="5">
        <f t="shared" ref="AI325:AJ325" si="348">+AH325</f>
        <v>1310</v>
      </c>
      <c r="AJ325" s="5">
        <f t="shared" si="348"/>
        <v>1310</v>
      </c>
      <c r="AK325" s="2"/>
      <c r="AL325" s="107" t="s">
        <v>1818</v>
      </c>
    </row>
    <row r="326" spans="1:38" s="6" customFormat="1" ht="15" customHeight="1" x14ac:dyDescent="0.2">
      <c r="A326" s="29" t="s">
        <v>824</v>
      </c>
      <c r="B326" s="29" t="s">
        <v>822</v>
      </c>
      <c r="C326" s="29" t="s">
        <v>823</v>
      </c>
      <c r="D326" s="2" t="s">
        <v>800</v>
      </c>
      <c r="E326" s="2"/>
      <c r="F326" s="2"/>
      <c r="G326" s="2"/>
      <c r="H326" s="2" t="s">
        <v>884</v>
      </c>
      <c r="I326" s="2" t="s">
        <v>1707</v>
      </c>
      <c r="J326" s="28"/>
      <c r="K326" s="28" t="s">
        <v>1767</v>
      </c>
      <c r="L326" s="42" t="s">
        <v>1047</v>
      </c>
      <c r="M326" s="7" t="s">
        <v>3</v>
      </c>
      <c r="N326" s="15">
        <v>33423803</v>
      </c>
      <c r="O326" s="88">
        <v>20334238035</v>
      </c>
      <c r="P326" s="38">
        <v>32072</v>
      </c>
      <c r="Q326" s="38"/>
      <c r="R326" s="38"/>
      <c r="S326" s="38"/>
      <c r="T326" s="38"/>
      <c r="U326" s="17" t="s">
        <v>215</v>
      </c>
      <c r="V326" s="17" t="s">
        <v>915</v>
      </c>
      <c r="W326" s="12"/>
      <c r="X326" s="13"/>
      <c r="Y326" s="12">
        <v>42735</v>
      </c>
      <c r="Z326" s="2"/>
      <c r="AA326" s="2" t="s">
        <v>479</v>
      </c>
      <c r="AB326" s="25"/>
      <c r="AC326" s="5">
        <v>1000</v>
      </c>
      <c r="AD326" s="5">
        <f>+AC326*1.07</f>
        <v>1070</v>
      </c>
      <c r="AE326" s="5">
        <v>1170</v>
      </c>
      <c r="AF326" s="5">
        <f t="shared" si="336"/>
        <v>1310</v>
      </c>
      <c r="AG326" s="5">
        <f t="shared" si="342"/>
        <v>1310</v>
      </c>
      <c r="AH326" s="5">
        <f t="shared" si="342"/>
        <v>1310</v>
      </c>
      <c r="AI326" s="5">
        <f t="shared" ref="AI326:AJ326" si="349">+AH326</f>
        <v>1310</v>
      </c>
      <c r="AJ326" s="5">
        <f t="shared" si="349"/>
        <v>1310</v>
      </c>
      <c r="AK326" s="2" t="s">
        <v>53</v>
      </c>
      <c r="AL326" s="105" t="str">
        <f>+AK326</f>
        <v>B0</v>
      </c>
    </row>
    <row r="327" spans="1:38" s="6" customFormat="1" ht="15" customHeight="1" x14ac:dyDescent="0.2">
      <c r="A327" s="29" t="s">
        <v>824</v>
      </c>
      <c r="B327" s="2" t="s">
        <v>822</v>
      </c>
      <c r="C327" s="3"/>
      <c r="D327" s="2" t="s">
        <v>825</v>
      </c>
      <c r="E327" s="3" t="s">
        <v>18</v>
      </c>
      <c r="F327" s="2" t="s">
        <v>19</v>
      </c>
      <c r="G327" s="2" t="s">
        <v>73</v>
      </c>
      <c r="H327" s="2" t="s">
        <v>56</v>
      </c>
      <c r="I327" s="2" t="s">
        <v>1707</v>
      </c>
      <c r="J327" s="28" t="s">
        <v>548</v>
      </c>
      <c r="K327" s="28" t="s">
        <v>548</v>
      </c>
      <c r="L327" s="44" t="s">
        <v>633</v>
      </c>
      <c r="M327" s="4" t="s">
        <v>3</v>
      </c>
      <c r="N327" s="15">
        <v>27926754</v>
      </c>
      <c r="O327" s="88" t="s">
        <v>1321</v>
      </c>
      <c r="P327" s="38">
        <v>29276</v>
      </c>
      <c r="Q327" s="38"/>
      <c r="R327" s="38"/>
      <c r="S327" s="38"/>
      <c r="T327" s="38"/>
      <c r="U327" s="17" t="s">
        <v>215</v>
      </c>
      <c r="V327" s="17" t="s">
        <v>915</v>
      </c>
      <c r="W327" s="12">
        <v>41306</v>
      </c>
      <c r="X327" s="13"/>
      <c r="Y327" s="12">
        <v>42735</v>
      </c>
      <c r="Z327" s="2"/>
      <c r="AA327" s="2" t="s">
        <v>479</v>
      </c>
      <c r="AB327" s="7" t="s">
        <v>787</v>
      </c>
      <c r="AC327" s="5">
        <v>1000</v>
      </c>
      <c r="AD327" s="5">
        <f>+AC327</f>
        <v>1000</v>
      </c>
      <c r="AE327" s="5">
        <v>1170</v>
      </c>
      <c r="AF327" s="5">
        <f t="shared" si="336"/>
        <v>1310</v>
      </c>
      <c r="AG327" s="5">
        <f t="shared" si="342"/>
        <v>1310</v>
      </c>
      <c r="AH327" s="5">
        <f t="shared" si="342"/>
        <v>1310</v>
      </c>
      <c r="AI327" s="5">
        <f t="shared" ref="AI327:AJ327" si="350">+AH327</f>
        <v>1310</v>
      </c>
      <c r="AJ327" s="5">
        <f t="shared" si="350"/>
        <v>1310</v>
      </c>
      <c r="AK327" s="2"/>
      <c r="AL327" s="106"/>
    </row>
    <row r="328" spans="1:38" s="6" customFormat="1" ht="15" customHeight="1" x14ac:dyDescent="0.2">
      <c r="A328" s="29" t="s">
        <v>824</v>
      </c>
      <c r="B328" s="2" t="s">
        <v>822</v>
      </c>
      <c r="C328" s="29" t="s">
        <v>823</v>
      </c>
      <c r="D328" s="2" t="s">
        <v>808</v>
      </c>
      <c r="E328" s="2" t="s">
        <v>216</v>
      </c>
      <c r="F328" s="2" t="s">
        <v>1066</v>
      </c>
      <c r="G328" s="2"/>
      <c r="H328" s="3"/>
      <c r="I328" s="2" t="s">
        <v>1066</v>
      </c>
      <c r="J328" s="28"/>
      <c r="K328" s="28" t="s">
        <v>1765</v>
      </c>
      <c r="L328" s="42" t="s">
        <v>1067</v>
      </c>
      <c r="M328" s="7" t="s">
        <v>3</v>
      </c>
      <c r="N328" s="15">
        <v>34641137</v>
      </c>
      <c r="O328" s="88">
        <v>20346411377</v>
      </c>
      <c r="P328" s="38">
        <v>32678</v>
      </c>
      <c r="Q328" s="38"/>
      <c r="R328" s="38"/>
      <c r="S328" s="38"/>
      <c r="T328" s="38"/>
      <c r="U328" s="17" t="s">
        <v>215</v>
      </c>
      <c r="V328" s="17" t="s">
        <v>915</v>
      </c>
      <c r="W328" s="12">
        <v>42491</v>
      </c>
      <c r="X328" s="19"/>
      <c r="Y328" s="12">
        <v>42735</v>
      </c>
      <c r="Z328" s="2"/>
      <c r="AA328" s="2" t="s">
        <v>479</v>
      </c>
      <c r="AB328" s="2"/>
      <c r="AC328" s="5">
        <v>1000</v>
      </c>
      <c r="AD328" s="5">
        <v>1070</v>
      </c>
      <c r="AE328" s="5">
        <v>1170</v>
      </c>
      <c r="AF328" s="5">
        <f t="shared" si="336"/>
        <v>1310</v>
      </c>
      <c r="AG328" s="5">
        <f t="shared" si="342"/>
        <v>1310</v>
      </c>
      <c r="AH328" s="5">
        <f t="shared" si="342"/>
        <v>1310</v>
      </c>
      <c r="AI328" s="5">
        <f t="shared" ref="AI328:AJ328" si="351">+AH328</f>
        <v>1310</v>
      </c>
      <c r="AJ328" s="5">
        <f t="shared" si="351"/>
        <v>1310</v>
      </c>
      <c r="AK328" s="2" t="s">
        <v>42</v>
      </c>
      <c r="AL328" s="105" t="str">
        <f>+AK328</f>
        <v>C0</v>
      </c>
    </row>
    <row r="329" spans="1:38" s="6" customFormat="1" ht="15" customHeight="1" x14ac:dyDescent="0.2">
      <c r="A329" s="29" t="s">
        <v>824</v>
      </c>
      <c r="B329" s="2" t="s">
        <v>822</v>
      </c>
      <c r="C329" s="3"/>
      <c r="D329" s="2" t="s">
        <v>825</v>
      </c>
      <c r="E329" s="3" t="s">
        <v>18</v>
      </c>
      <c r="F329" s="2" t="s">
        <v>19</v>
      </c>
      <c r="G329" s="2"/>
      <c r="H329" s="2" t="s">
        <v>39</v>
      </c>
      <c r="I329" s="2" t="s">
        <v>1707</v>
      </c>
      <c r="J329" s="28" t="s">
        <v>548</v>
      </c>
      <c r="K329" s="28" t="s">
        <v>548</v>
      </c>
      <c r="L329" s="44" t="s">
        <v>634</v>
      </c>
      <c r="M329" s="4" t="s">
        <v>3</v>
      </c>
      <c r="N329" s="15">
        <v>33498759</v>
      </c>
      <c r="O329" s="88" t="s">
        <v>1450</v>
      </c>
      <c r="P329" s="38">
        <v>32113</v>
      </c>
      <c r="Q329" s="38"/>
      <c r="R329" s="38"/>
      <c r="S329" s="38"/>
      <c r="T329" s="38"/>
      <c r="U329" s="17" t="s">
        <v>215</v>
      </c>
      <c r="V329" s="17" t="s">
        <v>915</v>
      </c>
      <c r="W329" s="12">
        <v>40136</v>
      </c>
      <c r="X329" s="13"/>
      <c r="Y329" s="12">
        <v>42735</v>
      </c>
      <c r="Z329" s="2"/>
      <c r="AA329" s="2" t="s">
        <v>479</v>
      </c>
      <c r="AB329" s="7" t="s">
        <v>787</v>
      </c>
      <c r="AC329" s="5">
        <v>1000</v>
      </c>
      <c r="AD329" s="5">
        <f>+AC329</f>
        <v>1000</v>
      </c>
      <c r="AE329" s="5">
        <v>1170</v>
      </c>
      <c r="AF329" s="5">
        <f t="shared" si="336"/>
        <v>1310</v>
      </c>
      <c r="AG329" s="5">
        <f t="shared" si="342"/>
        <v>1310</v>
      </c>
      <c r="AH329" s="5">
        <f t="shared" si="342"/>
        <v>1310</v>
      </c>
      <c r="AI329" s="5">
        <f t="shared" ref="AI329:AJ329" si="352">+AH329</f>
        <v>1310</v>
      </c>
      <c r="AJ329" s="5">
        <f t="shared" si="352"/>
        <v>1310</v>
      </c>
      <c r="AK329" s="2"/>
      <c r="AL329" s="106"/>
    </row>
    <row r="330" spans="1:38" s="6" customFormat="1" ht="15" customHeight="1" x14ac:dyDescent="0.2">
      <c r="A330" s="29" t="s">
        <v>824</v>
      </c>
      <c r="B330" s="29"/>
      <c r="C330" s="14"/>
      <c r="D330" s="2" t="s">
        <v>820</v>
      </c>
      <c r="E330" s="2" t="s">
        <v>818</v>
      </c>
      <c r="F330" s="3"/>
      <c r="G330" s="3"/>
      <c r="H330" s="2" t="s">
        <v>221</v>
      </c>
      <c r="I330" s="2" t="s">
        <v>221</v>
      </c>
      <c r="J330" s="28" t="s">
        <v>73</v>
      </c>
      <c r="K330" s="28" t="s">
        <v>1765</v>
      </c>
      <c r="L330" s="45" t="s">
        <v>119</v>
      </c>
      <c r="M330" s="4" t="s">
        <v>3</v>
      </c>
      <c r="N330" s="15">
        <v>35429157</v>
      </c>
      <c r="O330" s="88" t="s">
        <v>1498</v>
      </c>
      <c r="P330" s="38">
        <v>34009</v>
      </c>
      <c r="Q330" s="38"/>
      <c r="R330" s="38"/>
      <c r="S330" s="38"/>
      <c r="T330" s="38"/>
      <c r="U330" s="17" t="s">
        <v>215</v>
      </c>
      <c r="V330" s="17" t="s">
        <v>915</v>
      </c>
      <c r="W330" s="12">
        <v>42095</v>
      </c>
      <c r="X330" s="13"/>
      <c r="Y330" s="12">
        <v>42735</v>
      </c>
      <c r="Z330" s="2"/>
      <c r="AA330" s="2" t="s">
        <v>479</v>
      </c>
      <c r="AB330" s="2" t="s">
        <v>782</v>
      </c>
      <c r="AC330" s="5">
        <v>1000</v>
      </c>
      <c r="AD330" s="5">
        <f>+AC330*1.07</f>
        <v>1070</v>
      </c>
      <c r="AE330" s="5">
        <v>1170</v>
      </c>
      <c r="AF330" s="5">
        <f t="shared" si="336"/>
        <v>1310</v>
      </c>
      <c r="AG330" s="5">
        <f t="shared" si="342"/>
        <v>1310</v>
      </c>
      <c r="AH330" s="5">
        <f t="shared" si="342"/>
        <v>1310</v>
      </c>
      <c r="AI330" s="5">
        <f t="shared" ref="AI330:AJ330" si="353">+AH330</f>
        <v>1310</v>
      </c>
      <c r="AJ330" s="5">
        <f t="shared" si="353"/>
        <v>1310</v>
      </c>
      <c r="AK330" s="29" t="s">
        <v>42</v>
      </c>
      <c r="AL330" s="105" t="str">
        <f>+AK330</f>
        <v>C0</v>
      </c>
    </row>
    <row r="331" spans="1:38" s="6" customFormat="1" ht="15" customHeight="1" x14ac:dyDescent="0.2">
      <c r="A331" s="29" t="s">
        <v>824</v>
      </c>
      <c r="B331" s="2"/>
      <c r="C331" s="3"/>
      <c r="D331" s="2" t="s">
        <v>820</v>
      </c>
      <c r="E331" s="2" t="s">
        <v>63</v>
      </c>
      <c r="F331" s="2"/>
      <c r="G331" s="2"/>
      <c r="H331" s="2"/>
      <c r="I331" s="3"/>
      <c r="J331" s="28"/>
      <c r="K331" s="28"/>
      <c r="L331" s="41" t="s">
        <v>834</v>
      </c>
      <c r="M331" s="7" t="s">
        <v>3</v>
      </c>
      <c r="N331" s="15">
        <v>27311920</v>
      </c>
      <c r="O331" s="88">
        <v>20273119206</v>
      </c>
      <c r="P331" s="61"/>
      <c r="Q331" s="61"/>
      <c r="R331" s="61"/>
      <c r="S331" s="61"/>
      <c r="T331" s="61"/>
      <c r="U331" s="17" t="s">
        <v>796</v>
      </c>
      <c r="V331" s="16" t="s">
        <v>916</v>
      </c>
      <c r="W331" s="12">
        <v>41244</v>
      </c>
      <c r="X331" s="48">
        <v>42735</v>
      </c>
      <c r="Y331" s="12">
        <v>42735</v>
      </c>
      <c r="Z331" s="2" t="s">
        <v>43</v>
      </c>
      <c r="AA331" s="2"/>
      <c r="AB331" s="3"/>
      <c r="AC331" s="5">
        <v>1000</v>
      </c>
      <c r="AD331" s="5"/>
      <c r="AE331" s="5">
        <v>0</v>
      </c>
      <c r="AF331" s="5">
        <f>+AE331*1.092</f>
        <v>0</v>
      </c>
      <c r="AG331" s="5">
        <f t="shared" si="342"/>
        <v>0</v>
      </c>
      <c r="AH331" s="5">
        <f t="shared" si="342"/>
        <v>0</v>
      </c>
      <c r="AI331" s="5">
        <f t="shared" ref="AI331:AJ331" si="354">+AH331</f>
        <v>0</v>
      </c>
      <c r="AJ331" s="5">
        <f t="shared" si="354"/>
        <v>0</v>
      </c>
      <c r="AK331" s="2"/>
      <c r="AL331" s="105" t="str">
        <f>+Z331</f>
        <v>A0</v>
      </c>
    </row>
    <row r="332" spans="1:38" s="6" customFormat="1" ht="15" customHeight="1" x14ac:dyDescent="0.2">
      <c r="A332" s="29" t="s">
        <v>824</v>
      </c>
      <c r="B332" s="29" t="s">
        <v>822</v>
      </c>
      <c r="C332" s="29" t="s">
        <v>823</v>
      </c>
      <c r="D332" s="2" t="s">
        <v>800</v>
      </c>
      <c r="E332" s="7" t="s">
        <v>497</v>
      </c>
      <c r="F332" s="7"/>
      <c r="G332" s="7"/>
      <c r="H332" s="8"/>
      <c r="I332" s="3"/>
      <c r="J332" s="28" t="s">
        <v>254</v>
      </c>
      <c r="K332" s="28"/>
      <c r="L332" s="42" t="s">
        <v>374</v>
      </c>
      <c r="M332" s="4" t="s">
        <v>3</v>
      </c>
      <c r="N332" s="15">
        <v>31135350</v>
      </c>
      <c r="O332" s="88"/>
      <c r="P332" s="38"/>
      <c r="Q332" s="38"/>
      <c r="R332" s="38"/>
      <c r="S332" s="38"/>
      <c r="T332" s="38"/>
      <c r="U332" s="16" t="s">
        <v>796</v>
      </c>
      <c r="V332" s="16" t="s">
        <v>916</v>
      </c>
      <c r="W332" s="12">
        <v>40695</v>
      </c>
      <c r="X332" s="48">
        <v>42735</v>
      </c>
      <c r="Y332" s="12">
        <v>42735</v>
      </c>
      <c r="Z332" s="2" t="s">
        <v>42</v>
      </c>
      <c r="AA332" s="2"/>
      <c r="AB332" s="18"/>
      <c r="AC332" s="5">
        <v>1000</v>
      </c>
      <c r="AD332" s="5"/>
      <c r="AE332" s="5">
        <v>1170</v>
      </c>
      <c r="AF332" s="5">
        <f t="shared" ref="AF332:AF395" si="355">+AC332*1.31</f>
        <v>1310</v>
      </c>
      <c r="AG332" s="5">
        <f t="shared" si="342"/>
        <v>1310</v>
      </c>
      <c r="AH332" s="5">
        <f t="shared" si="342"/>
        <v>1310</v>
      </c>
      <c r="AI332" s="5">
        <f t="shared" ref="AI332:AJ332" si="356">+AH332</f>
        <v>1310</v>
      </c>
      <c r="AJ332" s="5">
        <f t="shared" si="356"/>
        <v>1310</v>
      </c>
      <c r="AK332" s="2"/>
      <c r="AL332" s="105" t="str">
        <f>+Z332</f>
        <v>C0</v>
      </c>
    </row>
    <row r="333" spans="1:38" s="6" customFormat="1" ht="15" customHeight="1" x14ac:dyDescent="0.2">
      <c r="A333" s="29" t="s">
        <v>824</v>
      </c>
      <c r="B333" s="29" t="s">
        <v>822</v>
      </c>
      <c r="C333" s="29" t="s">
        <v>823</v>
      </c>
      <c r="D333" s="2" t="s">
        <v>800</v>
      </c>
      <c r="E333" s="7" t="s">
        <v>497</v>
      </c>
      <c r="F333" s="7"/>
      <c r="G333" s="7"/>
      <c r="H333" s="8"/>
      <c r="I333" s="3" t="s">
        <v>1714</v>
      </c>
      <c r="J333" s="28" t="s">
        <v>254</v>
      </c>
      <c r="K333" s="28" t="s">
        <v>1767</v>
      </c>
      <c r="L333" s="42" t="s">
        <v>1659</v>
      </c>
      <c r="M333" s="4" t="s">
        <v>3</v>
      </c>
      <c r="N333" s="15">
        <v>17928508</v>
      </c>
      <c r="O333" s="88" t="s">
        <v>1178</v>
      </c>
      <c r="P333" s="38">
        <v>24414</v>
      </c>
      <c r="Q333" s="38"/>
      <c r="R333" s="38"/>
      <c r="S333" s="38"/>
      <c r="T333" s="38"/>
      <c r="U333" s="17" t="s">
        <v>215</v>
      </c>
      <c r="V333" s="17" t="s">
        <v>915</v>
      </c>
      <c r="W333" s="12">
        <v>40725</v>
      </c>
      <c r="X333" s="13"/>
      <c r="Y333" s="12">
        <v>42735</v>
      </c>
      <c r="Z333" s="2"/>
      <c r="AA333" s="2" t="s">
        <v>479</v>
      </c>
      <c r="AB333" s="24" t="s">
        <v>479</v>
      </c>
      <c r="AC333" s="5">
        <v>1000</v>
      </c>
      <c r="AD333" s="5">
        <v>1070</v>
      </c>
      <c r="AE333" s="5">
        <v>1170</v>
      </c>
      <c r="AF333" s="5">
        <f t="shared" si="355"/>
        <v>1310</v>
      </c>
      <c r="AG333" s="5">
        <f t="shared" si="342"/>
        <v>1310</v>
      </c>
      <c r="AH333" s="5">
        <f t="shared" si="342"/>
        <v>1310</v>
      </c>
      <c r="AI333" s="5">
        <f t="shared" ref="AI333:AJ333" si="357">+AH333</f>
        <v>1310</v>
      </c>
      <c r="AJ333" s="5">
        <f t="shared" si="357"/>
        <v>1310</v>
      </c>
      <c r="AK333" s="29" t="s">
        <v>42</v>
      </c>
      <c r="AL333" s="105" t="str">
        <f>+AK333</f>
        <v>C0</v>
      </c>
    </row>
    <row r="334" spans="1:38" s="6" customFormat="1" ht="15" customHeight="1" x14ac:dyDescent="0.2">
      <c r="A334" s="29" t="s">
        <v>824</v>
      </c>
      <c r="B334" s="2" t="s">
        <v>822</v>
      </c>
      <c r="C334" s="29"/>
      <c r="D334" s="2" t="s">
        <v>1833</v>
      </c>
      <c r="E334" s="3"/>
      <c r="F334" s="2"/>
      <c r="G334" s="2"/>
      <c r="H334" s="2" t="s">
        <v>884</v>
      </c>
      <c r="I334" s="2" t="s">
        <v>1707</v>
      </c>
      <c r="J334" s="28"/>
      <c r="K334" s="28" t="s">
        <v>1765</v>
      </c>
      <c r="L334" s="41" t="s">
        <v>1706</v>
      </c>
      <c r="M334" s="7" t="s">
        <v>3</v>
      </c>
      <c r="N334" s="15">
        <v>25177118</v>
      </c>
      <c r="O334" s="88"/>
      <c r="P334" s="96"/>
      <c r="Q334" s="96"/>
      <c r="R334" s="96"/>
      <c r="S334" s="96"/>
      <c r="T334" s="96"/>
      <c r="U334" s="17" t="s">
        <v>215</v>
      </c>
      <c r="V334" s="17" t="s">
        <v>915</v>
      </c>
      <c r="W334" s="12">
        <v>42552</v>
      </c>
      <c r="X334" s="12"/>
      <c r="Y334" s="12">
        <v>42735</v>
      </c>
      <c r="Z334" s="2"/>
      <c r="AA334" s="2" t="s">
        <v>479</v>
      </c>
      <c r="AB334" s="3"/>
      <c r="AC334" s="5"/>
      <c r="AD334" s="5"/>
      <c r="AE334" s="5">
        <v>1170</v>
      </c>
      <c r="AF334" s="5">
        <f t="shared" si="355"/>
        <v>0</v>
      </c>
      <c r="AG334" s="5">
        <f t="shared" si="342"/>
        <v>0</v>
      </c>
      <c r="AH334" s="5">
        <f t="shared" si="342"/>
        <v>0</v>
      </c>
      <c r="AI334" s="5">
        <f t="shared" ref="AI334:AJ334" si="358">+AH334</f>
        <v>0</v>
      </c>
      <c r="AJ334" s="5">
        <f t="shared" si="358"/>
        <v>0</v>
      </c>
      <c r="AK334" s="2" t="s">
        <v>1819</v>
      </c>
      <c r="AL334" s="105" t="str">
        <f>+AK334</f>
        <v>E0</v>
      </c>
    </row>
    <row r="335" spans="1:38" s="6" customFormat="1" ht="15" customHeight="1" x14ac:dyDescent="0.2">
      <c r="A335" s="29" t="s">
        <v>824</v>
      </c>
      <c r="B335" s="2" t="s">
        <v>822</v>
      </c>
      <c r="C335" s="29" t="s">
        <v>823</v>
      </c>
      <c r="D335" s="2" t="s">
        <v>808</v>
      </c>
      <c r="E335" s="2" t="s">
        <v>219</v>
      </c>
      <c r="F335" s="3"/>
      <c r="G335" s="3"/>
      <c r="H335" s="2" t="s">
        <v>884</v>
      </c>
      <c r="I335" s="2" t="s">
        <v>1707</v>
      </c>
      <c r="J335" s="28" t="s">
        <v>73</v>
      </c>
      <c r="K335" s="28" t="s">
        <v>1765</v>
      </c>
      <c r="L335" s="41" t="s">
        <v>1031</v>
      </c>
      <c r="M335" s="4" t="s">
        <v>3</v>
      </c>
      <c r="N335" s="15">
        <v>39066240</v>
      </c>
      <c r="O335" s="88">
        <v>27390662403</v>
      </c>
      <c r="P335" s="38">
        <v>34901</v>
      </c>
      <c r="Q335" s="38"/>
      <c r="R335" s="38"/>
      <c r="S335" s="38"/>
      <c r="T335" s="38"/>
      <c r="U335" s="17" t="s">
        <v>215</v>
      </c>
      <c r="V335" s="17" t="s">
        <v>915</v>
      </c>
      <c r="W335" s="12">
        <v>42401</v>
      </c>
      <c r="X335" s="48"/>
      <c r="Y335" s="12">
        <v>42735</v>
      </c>
      <c r="Z335" s="2"/>
      <c r="AA335" s="2" t="s">
        <v>479</v>
      </c>
      <c r="AB335" s="3" t="s">
        <v>10</v>
      </c>
      <c r="AC335" s="5">
        <v>1000</v>
      </c>
      <c r="AD335" s="5">
        <f>+AC335*1.07</f>
        <v>1070</v>
      </c>
      <c r="AE335" s="5">
        <v>1170</v>
      </c>
      <c r="AF335" s="5">
        <f t="shared" si="355"/>
        <v>1310</v>
      </c>
      <c r="AG335" s="5">
        <f t="shared" si="342"/>
        <v>1310</v>
      </c>
      <c r="AH335" s="5">
        <f t="shared" si="342"/>
        <v>1310</v>
      </c>
      <c r="AI335" s="5">
        <f t="shared" ref="AI335:AJ335" si="359">+AH335</f>
        <v>1310</v>
      </c>
      <c r="AJ335" s="5">
        <f t="shared" si="359"/>
        <v>1310</v>
      </c>
      <c r="AK335" s="2" t="s">
        <v>43</v>
      </c>
      <c r="AL335" s="105" t="str">
        <f>+AK335</f>
        <v>A0</v>
      </c>
    </row>
    <row r="336" spans="1:38" s="6" customFormat="1" ht="15" customHeight="1" x14ac:dyDescent="0.2">
      <c r="A336" s="29" t="s">
        <v>824</v>
      </c>
      <c r="B336" s="2" t="s">
        <v>822</v>
      </c>
      <c r="C336" s="3"/>
      <c r="D336" s="2" t="s">
        <v>825</v>
      </c>
      <c r="E336" s="3" t="s">
        <v>18</v>
      </c>
      <c r="F336" s="2" t="s">
        <v>1012</v>
      </c>
      <c r="G336" s="2"/>
      <c r="H336" s="2" t="s">
        <v>20</v>
      </c>
      <c r="I336" s="2" t="s">
        <v>1760</v>
      </c>
      <c r="J336" s="28" t="s">
        <v>548</v>
      </c>
      <c r="K336" s="28" t="s">
        <v>548</v>
      </c>
      <c r="L336" s="44" t="s">
        <v>1000</v>
      </c>
      <c r="M336" s="7" t="s">
        <v>3</v>
      </c>
      <c r="N336" s="47">
        <v>27946545</v>
      </c>
      <c r="O336" s="88" t="s">
        <v>1322</v>
      </c>
      <c r="P336" s="38">
        <v>29305</v>
      </c>
      <c r="Q336" s="38"/>
      <c r="R336" s="38"/>
      <c r="S336" s="38"/>
      <c r="T336" s="38"/>
      <c r="U336" s="17" t="s">
        <v>215</v>
      </c>
      <c r="V336" s="17" t="s">
        <v>915</v>
      </c>
      <c r="W336" s="12">
        <v>41365</v>
      </c>
      <c r="X336" s="12"/>
      <c r="Y336" s="12">
        <v>42735</v>
      </c>
      <c r="Z336" s="2"/>
      <c r="AA336" s="2" t="s">
        <v>479</v>
      </c>
      <c r="AB336" s="7"/>
      <c r="AC336" s="5">
        <v>1000</v>
      </c>
      <c r="AD336" s="5">
        <f>+AC336</f>
        <v>1000</v>
      </c>
      <c r="AE336" s="5">
        <v>1170</v>
      </c>
      <c r="AF336" s="5">
        <f t="shared" si="355"/>
        <v>1310</v>
      </c>
      <c r="AG336" s="5">
        <f t="shared" si="342"/>
        <v>1310</v>
      </c>
      <c r="AH336" s="5">
        <f t="shared" si="342"/>
        <v>1310</v>
      </c>
      <c r="AI336" s="5">
        <f t="shared" ref="AI336:AJ336" si="360">+AH336</f>
        <v>1310</v>
      </c>
      <c r="AJ336" s="5">
        <f t="shared" si="360"/>
        <v>1310</v>
      </c>
      <c r="AK336" s="2"/>
      <c r="AL336" s="106"/>
    </row>
    <row r="337" spans="1:38" s="6" customFormat="1" ht="15" customHeight="1" x14ac:dyDescent="0.2">
      <c r="A337" s="29" t="s">
        <v>824</v>
      </c>
      <c r="B337" s="29" t="s">
        <v>822</v>
      </c>
      <c r="C337" s="29" t="s">
        <v>823</v>
      </c>
      <c r="D337" s="2" t="s">
        <v>800</v>
      </c>
      <c r="E337" s="2" t="s">
        <v>20</v>
      </c>
      <c r="F337" s="7"/>
      <c r="G337" s="7"/>
      <c r="H337" s="8"/>
      <c r="I337" s="3"/>
      <c r="J337" s="28" t="s">
        <v>254</v>
      </c>
      <c r="K337" s="28"/>
      <c r="L337" s="42" t="s">
        <v>457</v>
      </c>
      <c r="M337" s="4" t="s">
        <v>3</v>
      </c>
      <c r="N337" s="15">
        <v>30571636</v>
      </c>
      <c r="O337" s="88">
        <v>27305716362</v>
      </c>
      <c r="P337" s="38"/>
      <c r="Q337" s="38"/>
      <c r="R337" s="38"/>
      <c r="S337" s="38"/>
      <c r="T337" s="38"/>
      <c r="U337" s="16" t="s">
        <v>796</v>
      </c>
      <c r="V337" s="16" t="s">
        <v>916</v>
      </c>
      <c r="W337" s="12">
        <v>41212</v>
      </c>
      <c r="X337" s="48">
        <v>42735</v>
      </c>
      <c r="Y337" s="12">
        <v>42735</v>
      </c>
      <c r="Z337" s="2" t="s">
        <v>42</v>
      </c>
      <c r="AA337" s="2"/>
      <c r="AB337" s="18"/>
      <c r="AC337" s="5">
        <v>1000</v>
      </c>
      <c r="AD337" s="5"/>
      <c r="AE337" s="5">
        <v>1170</v>
      </c>
      <c r="AF337" s="5">
        <f t="shared" si="355"/>
        <v>1310</v>
      </c>
      <c r="AG337" s="5">
        <f t="shared" si="342"/>
        <v>1310</v>
      </c>
      <c r="AH337" s="5">
        <f t="shared" si="342"/>
        <v>1310</v>
      </c>
      <c r="AI337" s="5">
        <f t="shared" ref="AI337:AJ337" si="361">+AH337</f>
        <v>1310</v>
      </c>
      <c r="AJ337" s="5">
        <f t="shared" si="361"/>
        <v>1310</v>
      </c>
      <c r="AK337" s="2"/>
      <c r="AL337" s="105" t="str">
        <f>+Z337</f>
        <v>C0</v>
      </c>
    </row>
    <row r="338" spans="1:38" s="6" customFormat="1" ht="15" customHeight="1" x14ac:dyDescent="0.2">
      <c r="A338" s="29" t="s">
        <v>824</v>
      </c>
      <c r="B338" s="2" t="s">
        <v>822</v>
      </c>
      <c r="C338" s="3"/>
      <c r="D338" s="2" t="s">
        <v>825</v>
      </c>
      <c r="E338" s="3" t="s">
        <v>18</v>
      </c>
      <c r="F338" s="2" t="s">
        <v>19</v>
      </c>
      <c r="G338" s="2"/>
      <c r="H338" s="2" t="s">
        <v>14</v>
      </c>
      <c r="I338" s="2" t="s">
        <v>1707</v>
      </c>
      <c r="J338" s="28" t="s">
        <v>548</v>
      </c>
      <c r="K338" s="28" t="s">
        <v>548</v>
      </c>
      <c r="L338" s="44" t="s">
        <v>635</v>
      </c>
      <c r="M338" s="4" t="s">
        <v>3</v>
      </c>
      <c r="N338" s="15">
        <v>31343615</v>
      </c>
      <c r="O338" s="88" t="s">
        <v>1393</v>
      </c>
      <c r="P338" s="38">
        <v>31009</v>
      </c>
      <c r="Q338" s="38"/>
      <c r="R338" s="38"/>
      <c r="S338" s="38"/>
      <c r="T338" s="38"/>
      <c r="U338" s="17" t="s">
        <v>215</v>
      </c>
      <c r="V338" s="17" t="s">
        <v>915</v>
      </c>
      <c r="W338" s="12">
        <v>41244</v>
      </c>
      <c r="X338" s="13"/>
      <c r="Y338" s="12">
        <v>42735</v>
      </c>
      <c r="Z338" s="2"/>
      <c r="AA338" s="2" t="s">
        <v>479</v>
      </c>
      <c r="AB338" s="7" t="s">
        <v>787</v>
      </c>
      <c r="AC338" s="5">
        <v>1000</v>
      </c>
      <c r="AD338" s="5">
        <f>+AC338</f>
        <v>1000</v>
      </c>
      <c r="AE338" s="5">
        <v>1170</v>
      </c>
      <c r="AF338" s="5">
        <f t="shared" si="355"/>
        <v>1310</v>
      </c>
      <c r="AG338" s="5">
        <f t="shared" si="342"/>
        <v>1310</v>
      </c>
      <c r="AH338" s="5">
        <f t="shared" si="342"/>
        <v>1310</v>
      </c>
      <c r="AI338" s="5">
        <f t="shared" ref="AI338:AJ338" si="362">+AH338</f>
        <v>1310</v>
      </c>
      <c r="AJ338" s="5">
        <f t="shared" si="362"/>
        <v>1310</v>
      </c>
      <c r="AK338" s="2"/>
      <c r="AL338" s="106"/>
    </row>
    <row r="339" spans="1:38" s="6" customFormat="1" ht="15" customHeight="1" x14ac:dyDescent="0.2">
      <c r="A339" s="29" t="s">
        <v>824</v>
      </c>
      <c r="B339" s="2" t="s">
        <v>822</v>
      </c>
      <c r="C339" s="29" t="s">
        <v>823</v>
      </c>
      <c r="D339" s="2" t="s">
        <v>808</v>
      </c>
      <c r="E339" s="2" t="s">
        <v>20</v>
      </c>
      <c r="F339" s="2"/>
      <c r="G339" s="2"/>
      <c r="H339" s="3"/>
      <c r="I339" s="2" t="s">
        <v>235</v>
      </c>
      <c r="J339" s="28"/>
      <c r="K339" s="28" t="s">
        <v>1765</v>
      </c>
      <c r="L339" s="42" t="s">
        <v>1087</v>
      </c>
      <c r="M339" s="7" t="s">
        <v>3</v>
      </c>
      <c r="N339" s="15">
        <v>32236578</v>
      </c>
      <c r="O339" s="88" t="s">
        <v>1411</v>
      </c>
      <c r="P339" s="38">
        <v>31478</v>
      </c>
      <c r="Q339" s="38"/>
      <c r="R339" s="38"/>
      <c r="S339" s="38"/>
      <c r="T339" s="38"/>
      <c r="U339" s="17" t="s">
        <v>215</v>
      </c>
      <c r="V339" s="17" t="s">
        <v>915</v>
      </c>
      <c r="W339" s="12">
        <v>42522</v>
      </c>
      <c r="X339" s="19"/>
      <c r="Y339" s="12">
        <v>42735</v>
      </c>
      <c r="Z339" s="2"/>
      <c r="AA339" s="2" t="s">
        <v>479</v>
      </c>
      <c r="AB339" s="2"/>
      <c r="AC339" s="5"/>
      <c r="AD339" s="5">
        <v>1070</v>
      </c>
      <c r="AE339" s="5">
        <v>1170</v>
      </c>
      <c r="AF339" s="5">
        <f t="shared" si="355"/>
        <v>0</v>
      </c>
      <c r="AG339" s="5">
        <f t="shared" si="342"/>
        <v>0</v>
      </c>
      <c r="AH339" s="5">
        <f t="shared" si="342"/>
        <v>0</v>
      </c>
      <c r="AI339" s="5">
        <f t="shared" ref="AI339:AJ339" si="363">+AH339</f>
        <v>0</v>
      </c>
      <c r="AJ339" s="5">
        <f t="shared" si="363"/>
        <v>0</v>
      </c>
      <c r="AK339" s="2" t="s">
        <v>53</v>
      </c>
      <c r="AL339" s="105" t="str">
        <f>+AK339</f>
        <v>B0</v>
      </c>
    </row>
    <row r="340" spans="1:38" s="6" customFormat="1" ht="15" customHeight="1" x14ac:dyDescent="0.2">
      <c r="A340" s="29" t="s">
        <v>824</v>
      </c>
      <c r="B340" s="29" t="s">
        <v>822</v>
      </c>
      <c r="C340" s="29" t="s">
        <v>823</v>
      </c>
      <c r="D340" s="2" t="s">
        <v>800</v>
      </c>
      <c r="E340" s="2" t="s">
        <v>489</v>
      </c>
      <c r="F340" s="2"/>
      <c r="G340" s="2"/>
      <c r="H340" s="2"/>
      <c r="I340" s="3" t="s">
        <v>1731</v>
      </c>
      <c r="J340" s="28" t="s">
        <v>254</v>
      </c>
      <c r="K340" s="28" t="s">
        <v>1767</v>
      </c>
      <c r="L340" s="42" t="s">
        <v>1658</v>
      </c>
      <c r="M340" s="4" t="s">
        <v>3</v>
      </c>
      <c r="N340" s="15">
        <v>16253797</v>
      </c>
      <c r="O340" s="88" t="s">
        <v>1164</v>
      </c>
      <c r="P340" s="38">
        <v>23604</v>
      </c>
      <c r="Q340" s="38"/>
      <c r="R340" s="38"/>
      <c r="S340" s="38"/>
      <c r="T340" s="38"/>
      <c r="U340" s="17" t="s">
        <v>215</v>
      </c>
      <c r="V340" s="17" t="s">
        <v>915</v>
      </c>
      <c r="W340" s="12">
        <v>41091</v>
      </c>
      <c r="X340" s="13"/>
      <c r="Y340" s="12">
        <v>42735</v>
      </c>
      <c r="Z340" s="2"/>
      <c r="AA340" s="2" t="s">
        <v>479</v>
      </c>
      <c r="AB340" s="24" t="s">
        <v>479</v>
      </c>
      <c r="AC340" s="5">
        <v>1000</v>
      </c>
      <c r="AD340" s="5">
        <v>1070</v>
      </c>
      <c r="AE340" s="5">
        <v>1170</v>
      </c>
      <c r="AF340" s="5">
        <f t="shared" si="355"/>
        <v>1310</v>
      </c>
      <c r="AG340" s="5">
        <f t="shared" ref="AG340:AH358" si="364">+AF340</f>
        <v>1310</v>
      </c>
      <c r="AH340" s="5">
        <f t="shared" si="364"/>
        <v>1310</v>
      </c>
      <c r="AI340" s="5">
        <f t="shared" ref="AI340:AJ340" si="365">+AH340</f>
        <v>1310</v>
      </c>
      <c r="AJ340" s="5">
        <f t="shared" si="365"/>
        <v>1310</v>
      </c>
      <c r="AK340" s="29" t="s">
        <v>42</v>
      </c>
      <c r="AL340" s="105" t="str">
        <f>+AK340</f>
        <v>C0</v>
      </c>
    </row>
    <row r="341" spans="1:38" s="6" customFormat="1" ht="15" customHeight="1" x14ac:dyDescent="0.2">
      <c r="A341" s="29" t="s">
        <v>824</v>
      </c>
      <c r="B341" s="29" t="s">
        <v>822</v>
      </c>
      <c r="C341" s="29" t="s">
        <v>823</v>
      </c>
      <c r="D341" s="2" t="s">
        <v>800</v>
      </c>
      <c r="E341" s="7" t="s">
        <v>502</v>
      </c>
      <c r="F341" s="7"/>
      <c r="G341" s="7"/>
      <c r="H341" s="8"/>
      <c r="I341" s="3"/>
      <c r="J341" s="28" t="s">
        <v>254</v>
      </c>
      <c r="K341" s="28"/>
      <c r="L341" s="42" t="s">
        <v>455</v>
      </c>
      <c r="M341" s="4" t="s">
        <v>3</v>
      </c>
      <c r="N341" s="15">
        <v>20965399</v>
      </c>
      <c r="O341" s="88">
        <v>27209653996</v>
      </c>
      <c r="P341" s="38"/>
      <c r="Q341" s="38"/>
      <c r="R341" s="38"/>
      <c r="S341" s="38"/>
      <c r="T341" s="38"/>
      <c r="U341" s="16" t="s">
        <v>796</v>
      </c>
      <c r="V341" s="16" t="s">
        <v>916</v>
      </c>
      <c r="W341" s="12">
        <v>40179</v>
      </c>
      <c r="X341" s="48">
        <v>42735</v>
      </c>
      <c r="Y341" s="12">
        <v>42735</v>
      </c>
      <c r="Z341" s="2" t="s">
        <v>17</v>
      </c>
      <c r="AA341" s="2"/>
      <c r="AB341" s="18"/>
      <c r="AC341" s="5">
        <v>1000</v>
      </c>
      <c r="AD341" s="5"/>
      <c r="AE341" s="5">
        <v>1170</v>
      </c>
      <c r="AF341" s="5">
        <f t="shared" si="355"/>
        <v>1310</v>
      </c>
      <c r="AG341" s="5">
        <f t="shared" si="364"/>
        <v>1310</v>
      </c>
      <c r="AH341" s="5">
        <f t="shared" si="364"/>
        <v>1310</v>
      </c>
      <c r="AI341" s="5">
        <f t="shared" ref="AI341:AJ341" si="366">+AH341</f>
        <v>1310</v>
      </c>
      <c r="AJ341" s="5">
        <f t="shared" si="366"/>
        <v>1310</v>
      </c>
      <c r="AK341" s="2"/>
      <c r="AL341" s="105" t="str">
        <f>+Z341</f>
        <v>C1</v>
      </c>
    </row>
    <row r="342" spans="1:38" s="6" customFormat="1" ht="15" customHeight="1" x14ac:dyDescent="0.2">
      <c r="A342" s="29" t="s">
        <v>824</v>
      </c>
      <c r="B342" s="2" t="s">
        <v>822</v>
      </c>
      <c r="C342" s="3"/>
      <c r="D342" s="2" t="s">
        <v>825</v>
      </c>
      <c r="E342" s="3" t="s">
        <v>18</v>
      </c>
      <c r="F342" s="2" t="s">
        <v>19</v>
      </c>
      <c r="G342" s="2"/>
      <c r="H342" s="2" t="s">
        <v>50</v>
      </c>
      <c r="I342" s="2" t="s">
        <v>1707</v>
      </c>
      <c r="J342" s="28" t="s">
        <v>548</v>
      </c>
      <c r="K342" s="28" t="s">
        <v>548</v>
      </c>
      <c r="L342" s="44" t="s">
        <v>636</v>
      </c>
      <c r="M342" s="4" t="s">
        <v>3</v>
      </c>
      <c r="N342" s="15">
        <v>27537306</v>
      </c>
      <c r="O342" s="88" t="s">
        <v>1315</v>
      </c>
      <c r="P342" s="38" t="s">
        <v>1694</v>
      </c>
      <c r="Q342" s="38"/>
      <c r="R342" s="38"/>
      <c r="S342" s="38"/>
      <c r="T342" s="38"/>
      <c r="U342" s="17" t="s">
        <v>215</v>
      </c>
      <c r="V342" s="17" t="s">
        <v>915</v>
      </c>
      <c r="W342" s="12">
        <v>40672</v>
      </c>
      <c r="X342" s="13"/>
      <c r="Y342" s="12">
        <v>42735</v>
      </c>
      <c r="Z342" s="2"/>
      <c r="AA342" s="2" t="s">
        <v>479</v>
      </c>
      <c r="AB342" s="7" t="s">
        <v>787</v>
      </c>
      <c r="AC342" s="5">
        <v>1000</v>
      </c>
      <c r="AD342" s="5">
        <f>+AC342</f>
        <v>1000</v>
      </c>
      <c r="AE342" s="5">
        <v>1170</v>
      </c>
      <c r="AF342" s="5">
        <f t="shared" si="355"/>
        <v>1310</v>
      </c>
      <c r="AG342" s="5">
        <f t="shared" si="364"/>
        <v>1310</v>
      </c>
      <c r="AH342" s="5">
        <f t="shared" si="364"/>
        <v>1310</v>
      </c>
      <c r="AI342" s="5">
        <f t="shared" ref="AI342:AJ342" si="367">+AH342</f>
        <v>1310</v>
      </c>
      <c r="AJ342" s="5">
        <f t="shared" si="367"/>
        <v>1310</v>
      </c>
      <c r="AK342" s="29"/>
      <c r="AL342" s="8"/>
    </row>
    <row r="343" spans="1:38" s="6" customFormat="1" ht="15" customHeight="1" x14ac:dyDescent="0.2">
      <c r="A343" s="29" t="s">
        <v>824</v>
      </c>
      <c r="B343" s="2" t="s">
        <v>822</v>
      </c>
      <c r="C343" s="29" t="s">
        <v>823</v>
      </c>
      <c r="D343" s="2" t="s">
        <v>808</v>
      </c>
      <c r="E343" s="2" t="s">
        <v>20</v>
      </c>
      <c r="F343" s="2"/>
      <c r="G343" s="2"/>
      <c r="H343" s="3"/>
      <c r="I343" s="2" t="s">
        <v>235</v>
      </c>
      <c r="J343" s="28"/>
      <c r="K343" s="28" t="s">
        <v>1765</v>
      </c>
      <c r="L343" s="42" t="s">
        <v>1093</v>
      </c>
      <c r="M343" s="7" t="s">
        <v>3</v>
      </c>
      <c r="N343" s="15">
        <v>22825888</v>
      </c>
      <c r="O343" s="88" t="s">
        <v>1213</v>
      </c>
      <c r="P343" s="38">
        <v>26536</v>
      </c>
      <c r="Q343" s="38"/>
      <c r="R343" s="38"/>
      <c r="S343" s="38"/>
      <c r="T343" s="38"/>
      <c r="U343" s="17" t="s">
        <v>215</v>
      </c>
      <c r="V343" s="17" t="s">
        <v>915</v>
      </c>
      <c r="W343" s="12">
        <v>42522</v>
      </c>
      <c r="X343" s="19"/>
      <c r="Y343" s="12">
        <v>42735</v>
      </c>
      <c r="Z343" s="2"/>
      <c r="AA343" s="2" t="s">
        <v>479</v>
      </c>
      <c r="AB343" s="2"/>
      <c r="AC343" s="5"/>
      <c r="AD343" s="5">
        <v>1070</v>
      </c>
      <c r="AE343" s="5">
        <v>1170</v>
      </c>
      <c r="AF343" s="5">
        <f t="shared" si="355"/>
        <v>0</v>
      </c>
      <c r="AG343" s="5">
        <f t="shared" si="364"/>
        <v>0</v>
      </c>
      <c r="AH343" s="5">
        <f t="shared" si="364"/>
        <v>0</v>
      </c>
      <c r="AI343" s="5">
        <f t="shared" ref="AI343:AJ343" si="368">+AH343</f>
        <v>0</v>
      </c>
      <c r="AJ343" s="5">
        <f t="shared" si="368"/>
        <v>0</v>
      </c>
      <c r="AK343" s="2" t="s">
        <v>53</v>
      </c>
      <c r="AL343" s="105" t="str">
        <f>+AK343</f>
        <v>B0</v>
      </c>
    </row>
    <row r="344" spans="1:38" s="6" customFormat="1" ht="15" customHeight="1" x14ac:dyDescent="0.2">
      <c r="A344" s="29" t="s">
        <v>824</v>
      </c>
      <c r="B344" s="29"/>
      <c r="C344" s="14"/>
      <c r="D344" s="2" t="s">
        <v>819</v>
      </c>
      <c r="E344" s="2"/>
      <c r="F344" s="3"/>
      <c r="G344" s="3"/>
      <c r="H344" s="2" t="s">
        <v>884</v>
      </c>
      <c r="I344" s="2" t="s">
        <v>1707</v>
      </c>
      <c r="J344" s="28"/>
      <c r="K344" s="28" t="s">
        <v>1765</v>
      </c>
      <c r="L344" s="42" t="s">
        <v>1842</v>
      </c>
      <c r="M344" s="4" t="s">
        <v>3</v>
      </c>
      <c r="N344" s="15">
        <v>37234433</v>
      </c>
      <c r="O344" s="88">
        <v>23372344334</v>
      </c>
      <c r="P344" s="38">
        <v>26850</v>
      </c>
      <c r="Q344" s="38"/>
      <c r="R344" s="38"/>
      <c r="S344" s="38"/>
      <c r="T344" s="38"/>
      <c r="U344" s="17" t="s">
        <v>215</v>
      </c>
      <c r="V344" s="17" t="s">
        <v>915</v>
      </c>
      <c r="W344" s="12">
        <v>42370</v>
      </c>
      <c r="X344" s="48"/>
      <c r="Y344" s="12">
        <v>42735</v>
      </c>
      <c r="Z344" s="2"/>
      <c r="AA344" s="2" t="s">
        <v>479</v>
      </c>
      <c r="AB344" s="3" t="s">
        <v>10</v>
      </c>
      <c r="AC344" s="5">
        <v>1000</v>
      </c>
      <c r="AD344" s="5">
        <f>+AC344*1.07</f>
        <v>1070</v>
      </c>
      <c r="AE344" s="5">
        <v>1170</v>
      </c>
      <c r="AF344" s="5">
        <f t="shared" si="355"/>
        <v>1310</v>
      </c>
      <c r="AG344" s="5">
        <f t="shared" si="364"/>
        <v>1310</v>
      </c>
      <c r="AH344" s="5">
        <f t="shared" si="364"/>
        <v>1310</v>
      </c>
      <c r="AI344" s="5">
        <f t="shared" ref="AI344:AJ344" si="369">+AH344</f>
        <v>1310</v>
      </c>
      <c r="AJ344" s="5">
        <f t="shared" si="369"/>
        <v>1310</v>
      </c>
      <c r="AK344" s="2" t="s">
        <v>53</v>
      </c>
      <c r="AL344" s="105" t="str">
        <f>+AK344</f>
        <v>B0</v>
      </c>
    </row>
    <row r="345" spans="1:38" s="6" customFormat="1" ht="15" customHeight="1" x14ac:dyDescent="0.2">
      <c r="A345" s="29" t="s">
        <v>824</v>
      </c>
      <c r="B345" s="29" t="s">
        <v>822</v>
      </c>
      <c r="C345" s="29" t="s">
        <v>823</v>
      </c>
      <c r="D345" s="2" t="s">
        <v>800</v>
      </c>
      <c r="E345" s="2" t="s">
        <v>489</v>
      </c>
      <c r="F345" s="2"/>
      <c r="G345" s="2"/>
      <c r="H345" s="2"/>
      <c r="I345" s="3" t="s">
        <v>1731</v>
      </c>
      <c r="J345" s="28" t="s">
        <v>254</v>
      </c>
      <c r="K345" s="28" t="s">
        <v>1767</v>
      </c>
      <c r="L345" s="42" t="s">
        <v>360</v>
      </c>
      <c r="M345" s="4" t="s">
        <v>3</v>
      </c>
      <c r="N345" s="15">
        <v>34669940</v>
      </c>
      <c r="O345" s="88" t="s">
        <v>1479</v>
      </c>
      <c r="P345" s="38">
        <v>32425</v>
      </c>
      <c r="Q345" s="38"/>
      <c r="R345" s="38"/>
      <c r="S345" s="38"/>
      <c r="T345" s="38"/>
      <c r="U345" s="17" t="s">
        <v>215</v>
      </c>
      <c r="V345" s="17" t="s">
        <v>915</v>
      </c>
      <c r="W345" s="12">
        <v>41456</v>
      </c>
      <c r="X345" s="13"/>
      <c r="Y345" s="12">
        <v>42735</v>
      </c>
      <c r="Z345" s="2"/>
      <c r="AA345" s="2" t="s">
        <v>479</v>
      </c>
      <c r="AB345" s="24" t="s">
        <v>479</v>
      </c>
      <c r="AC345" s="5">
        <v>1000</v>
      </c>
      <c r="AD345" s="5">
        <v>1070</v>
      </c>
      <c r="AE345" s="5">
        <v>1170</v>
      </c>
      <c r="AF345" s="5">
        <f t="shared" si="355"/>
        <v>1310</v>
      </c>
      <c r="AG345" s="5">
        <f t="shared" si="364"/>
        <v>1310</v>
      </c>
      <c r="AH345" s="5">
        <f t="shared" si="364"/>
        <v>1310</v>
      </c>
      <c r="AI345" s="5">
        <f t="shared" ref="AI345:AJ345" si="370">+AH345</f>
        <v>1310</v>
      </c>
      <c r="AJ345" s="5">
        <f t="shared" si="370"/>
        <v>1310</v>
      </c>
      <c r="AK345" s="29" t="s">
        <v>42</v>
      </c>
      <c r="AL345" s="105" t="str">
        <f>+AK345</f>
        <v>C0</v>
      </c>
    </row>
    <row r="346" spans="1:38" s="6" customFormat="1" ht="15" customHeight="1" x14ac:dyDescent="0.2">
      <c r="A346" s="29" t="s">
        <v>824</v>
      </c>
      <c r="B346" s="29"/>
      <c r="C346" s="29"/>
      <c r="D346" s="2" t="s">
        <v>820</v>
      </c>
      <c r="E346" s="2" t="s">
        <v>921</v>
      </c>
      <c r="F346" s="3" t="s">
        <v>525</v>
      </c>
      <c r="G346" s="3" t="s">
        <v>520</v>
      </c>
      <c r="H346" s="2" t="s">
        <v>234</v>
      </c>
      <c r="I346" s="3"/>
      <c r="J346" s="28" t="s">
        <v>73</v>
      </c>
      <c r="K346" s="28"/>
      <c r="L346" s="45" t="s">
        <v>805</v>
      </c>
      <c r="M346" s="4" t="s">
        <v>3</v>
      </c>
      <c r="N346" s="15">
        <v>33928176</v>
      </c>
      <c r="O346" s="88">
        <v>23339281769</v>
      </c>
      <c r="P346" s="61"/>
      <c r="Q346" s="61"/>
      <c r="R346" s="61"/>
      <c r="S346" s="61"/>
      <c r="T346" s="61"/>
      <c r="U346" s="36" t="s">
        <v>796</v>
      </c>
      <c r="V346" s="16" t="s">
        <v>916</v>
      </c>
      <c r="W346" s="12">
        <v>41974</v>
      </c>
      <c r="X346" s="12">
        <v>42460</v>
      </c>
      <c r="Y346" s="12">
        <v>42735</v>
      </c>
      <c r="Z346" s="2" t="s">
        <v>24</v>
      </c>
      <c r="AA346" s="2"/>
      <c r="AB346" s="14"/>
      <c r="AC346" s="5">
        <v>1000</v>
      </c>
      <c r="AD346" s="5"/>
      <c r="AE346" s="5">
        <v>1170</v>
      </c>
      <c r="AF346" s="5">
        <f t="shared" si="355"/>
        <v>1310</v>
      </c>
      <c r="AG346" s="5">
        <f t="shared" si="364"/>
        <v>1310</v>
      </c>
      <c r="AH346" s="5">
        <f t="shared" si="364"/>
        <v>1310</v>
      </c>
      <c r="AI346" s="5">
        <f t="shared" ref="AI346:AJ346" si="371">+AH346</f>
        <v>1310</v>
      </c>
      <c r="AJ346" s="5">
        <f t="shared" si="371"/>
        <v>1310</v>
      </c>
      <c r="AK346" s="2"/>
      <c r="AL346" s="105" t="str">
        <f>+Z346</f>
        <v>D0</v>
      </c>
    </row>
    <row r="347" spans="1:38" s="6" customFormat="1" ht="15" customHeight="1" x14ac:dyDescent="0.2">
      <c r="A347" s="29" t="s">
        <v>824</v>
      </c>
      <c r="B347" s="2" t="s">
        <v>822</v>
      </c>
      <c r="C347" s="3"/>
      <c r="D347" s="2" t="s">
        <v>825</v>
      </c>
      <c r="E347" s="3" t="s">
        <v>18</v>
      </c>
      <c r="F347" s="2" t="s">
        <v>19</v>
      </c>
      <c r="G347" s="2" t="s">
        <v>73</v>
      </c>
      <c r="H347" s="2" t="s">
        <v>29</v>
      </c>
      <c r="I347" s="3"/>
      <c r="J347" s="28" t="s">
        <v>548</v>
      </c>
      <c r="K347" s="28"/>
      <c r="L347" s="41" t="s">
        <v>637</v>
      </c>
      <c r="M347" s="4" t="s">
        <v>3</v>
      </c>
      <c r="N347" s="15">
        <v>35561266</v>
      </c>
      <c r="O347" s="88">
        <v>20355612660</v>
      </c>
      <c r="P347" s="61"/>
      <c r="Q347" s="61"/>
      <c r="R347" s="61"/>
      <c r="S347" s="61"/>
      <c r="T347" s="61"/>
      <c r="U347" s="16" t="s">
        <v>796</v>
      </c>
      <c r="V347" s="16" t="s">
        <v>916</v>
      </c>
      <c r="W347" s="12">
        <v>40603</v>
      </c>
      <c r="X347" s="48">
        <v>42735</v>
      </c>
      <c r="Y347" s="12">
        <v>42735</v>
      </c>
      <c r="Z347" s="2" t="s">
        <v>17</v>
      </c>
      <c r="AA347" s="2"/>
      <c r="AB347" s="3"/>
      <c r="AC347" s="5">
        <v>1000</v>
      </c>
      <c r="AD347" s="5"/>
      <c r="AE347" s="5">
        <v>1170</v>
      </c>
      <c r="AF347" s="5">
        <f t="shared" si="355"/>
        <v>1310</v>
      </c>
      <c r="AG347" s="5">
        <f t="shared" si="364"/>
        <v>1310</v>
      </c>
      <c r="AH347" s="5">
        <f t="shared" si="364"/>
        <v>1310</v>
      </c>
      <c r="AI347" s="5">
        <f t="shared" ref="AI347:AJ347" si="372">+AH347</f>
        <v>1310</v>
      </c>
      <c r="AJ347" s="5">
        <f t="shared" si="372"/>
        <v>1310</v>
      </c>
      <c r="AK347" s="2"/>
      <c r="AL347" s="105" t="str">
        <f>+Z347</f>
        <v>C1</v>
      </c>
    </row>
    <row r="348" spans="1:38" s="6" customFormat="1" ht="15" customHeight="1" x14ac:dyDescent="0.2">
      <c r="A348" s="29" t="s">
        <v>824</v>
      </c>
      <c r="B348" s="29" t="s">
        <v>822</v>
      </c>
      <c r="C348" s="29"/>
      <c r="D348" s="2" t="s">
        <v>928</v>
      </c>
      <c r="E348" s="2" t="s">
        <v>11</v>
      </c>
      <c r="F348" s="2"/>
      <c r="G348" s="2"/>
      <c r="H348" s="2"/>
      <c r="I348" s="3"/>
      <c r="J348" s="28" t="s">
        <v>73</v>
      </c>
      <c r="K348" s="28" t="s">
        <v>1765</v>
      </c>
      <c r="L348" s="42" t="s">
        <v>294</v>
      </c>
      <c r="M348" s="4" t="s">
        <v>3</v>
      </c>
      <c r="N348" s="15">
        <v>23377687</v>
      </c>
      <c r="O348" s="88">
        <v>20233776875</v>
      </c>
      <c r="P348" s="61"/>
      <c r="Q348" s="61"/>
      <c r="R348" s="61"/>
      <c r="S348" s="61"/>
      <c r="T348" s="61"/>
      <c r="U348" s="16" t="s">
        <v>796</v>
      </c>
      <c r="V348" s="16" t="s">
        <v>916</v>
      </c>
      <c r="W348" s="12">
        <v>41243</v>
      </c>
      <c r="X348" s="48">
        <v>42735</v>
      </c>
      <c r="Y348" s="12">
        <v>42735</v>
      </c>
      <c r="Z348" s="2" t="s">
        <v>53</v>
      </c>
      <c r="AA348" s="2"/>
      <c r="AB348" s="18"/>
      <c r="AC348" s="5">
        <v>1000</v>
      </c>
      <c r="AD348" s="5"/>
      <c r="AE348" s="5">
        <v>1170</v>
      </c>
      <c r="AF348" s="5">
        <f t="shared" si="355"/>
        <v>1310</v>
      </c>
      <c r="AG348" s="5">
        <f t="shared" si="364"/>
        <v>1310</v>
      </c>
      <c r="AH348" s="5">
        <f t="shared" si="364"/>
        <v>1310</v>
      </c>
      <c r="AI348" s="5">
        <f t="shared" ref="AI348:AJ348" si="373">+AH348</f>
        <v>1310</v>
      </c>
      <c r="AJ348" s="5">
        <f t="shared" si="373"/>
        <v>1310</v>
      </c>
      <c r="AK348" s="2"/>
      <c r="AL348" s="105" t="str">
        <f>+Z348</f>
        <v>B0</v>
      </c>
    </row>
    <row r="349" spans="1:38" s="6" customFormat="1" ht="15" customHeight="1" x14ac:dyDescent="0.2">
      <c r="A349" s="29" t="s">
        <v>824</v>
      </c>
      <c r="B349" s="2" t="s">
        <v>822</v>
      </c>
      <c r="C349" s="29" t="s">
        <v>823</v>
      </c>
      <c r="D349" s="2" t="s">
        <v>808</v>
      </c>
      <c r="E349" s="2" t="s">
        <v>20</v>
      </c>
      <c r="F349" s="2"/>
      <c r="G349" s="2"/>
      <c r="H349" s="2"/>
      <c r="I349" s="2" t="s">
        <v>235</v>
      </c>
      <c r="J349" s="28"/>
      <c r="K349" s="28" t="s">
        <v>1765</v>
      </c>
      <c r="L349" s="44" t="s">
        <v>944</v>
      </c>
      <c r="M349" s="7" t="s">
        <v>3</v>
      </c>
      <c r="N349" s="15">
        <v>23602538</v>
      </c>
      <c r="O349" s="88">
        <v>20236025382</v>
      </c>
      <c r="P349" s="38">
        <v>26977</v>
      </c>
      <c r="Q349" s="38"/>
      <c r="R349" s="38"/>
      <c r="S349" s="38"/>
      <c r="T349" s="38"/>
      <c r="U349" s="17" t="s">
        <v>215</v>
      </c>
      <c r="V349" s="17" t="s">
        <v>915</v>
      </c>
      <c r="W349" s="12">
        <v>42491</v>
      </c>
      <c r="X349" s="13"/>
      <c r="Y349" s="12">
        <v>42735</v>
      </c>
      <c r="Z349" s="2"/>
      <c r="AA349" s="2" t="s">
        <v>479</v>
      </c>
      <c r="AB349" s="7"/>
      <c r="AC349" s="5">
        <v>1000</v>
      </c>
      <c r="AD349" s="5">
        <f>+AC349*1.07</f>
        <v>1070</v>
      </c>
      <c r="AE349" s="5">
        <v>1170</v>
      </c>
      <c r="AF349" s="5">
        <f t="shared" si="355"/>
        <v>1310</v>
      </c>
      <c r="AG349" s="5">
        <f t="shared" si="364"/>
        <v>1310</v>
      </c>
      <c r="AH349" s="5">
        <f t="shared" si="364"/>
        <v>1310</v>
      </c>
      <c r="AI349" s="5">
        <f t="shared" ref="AI349:AJ349" si="374">+AH349</f>
        <v>1310</v>
      </c>
      <c r="AJ349" s="5">
        <f t="shared" si="374"/>
        <v>1310</v>
      </c>
      <c r="AK349" s="2" t="s">
        <v>53</v>
      </c>
      <c r="AL349" s="105" t="str">
        <f>+AK349</f>
        <v>B0</v>
      </c>
    </row>
    <row r="350" spans="1:38" s="6" customFormat="1" ht="15" customHeight="1" x14ac:dyDescent="0.2">
      <c r="A350" s="29" t="s">
        <v>824</v>
      </c>
      <c r="B350" s="29" t="s">
        <v>822</v>
      </c>
      <c r="C350" s="29" t="s">
        <v>823</v>
      </c>
      <c r="D350" s="2" t="s">
        <v>808</v>
      </c>
      <c r="E350" s="2" t="s">
        <v>216</v>
      </c>
      <c r="F350" s="2" t="s">
        <v>1066</v>
      </c>
      <c r="G350" s="3"/>
      <c r="H350" s="2"/>
      <c r="I350" s="2" t="s">
        <v>1066</v>
      </c>
      <c r="J350" s="28"/>
      <c r="K350" s="28" t="s">
        <v>1765</v>
      </c>
      <c r="L350" s="43" t="s">
        <v>1104</v>
      </c>
      <c r="M350" s="7" t="s">
        <v>3</v>
      </c>
      <c r="N350" s="15">
        <v>25736011</v>
      </c>
      <c r="O350" s="88">
        <v>27257360119</v>
      </c>
      <c r="P350" s="38">
        <v>28167</v>
      </c>
      <c r="Q350" s="38"/>
      <c r="R350" s="38"/>
      <c r="S350" s="38"/>
      <c r="T350" s="38"/>
      <c r="U350" s="17" t="s">
        <v>215</v>
      </c>
      <c r="V350" s="17" t="s">
        <v>915</v>
      </c>
      <c r="W350" s="12">
        <v>42522</v>
      </c>
      <c r="X350" s="37"/>
      <c r="Y350" s="12">
        <v>42735</v>
      </c>
      <c r="Z350" s="2"/>
      <c r="AA350" s="2" t="s">
        <v>479</v>
      </c>
      <c r="AB350" s="14"/>
      <c r="AC350" s="5"/>
      <c r="AD350" s="5">
        <v>1070</v>
      </c>
      <c r="AE350" s="5">
        <v>1170</v>
      </c>
      <c r="AF350" s="5">
        <f t="shared" si="355"/>
        <v>0</v>
      </c>
      <c r="AG350" s="5">
        <f t="shared" si="364"/>
        <v>0</v>
      </c>
      <c r="AH350" s="5">
        <f t="shared" si="364"/>
        <v>0</v>
      </c>
      <c r="AI350" s="5">
        <f t="shared" ref="AI350:AJ350" si="375">+AH350</f>
        <v>0</v>
      </c>
      <c r="AJ350" s="5">
        <f t="shared" si="375"/>
        <v>0</v>
      </c>
      <c r="AK350" s="2" t="s">
        <v>42</v>
      </c>
      <c r="AL350" s="105" t="str">
        <f>+AK350</f>
        <v>C0</v>
      </c>
    </row>
    <row r="351" spans="1:38" s="6" customFormat="1" ht="15" customHeight="1" x14ac:dyDescent="0.2">
      <c r="A351" s="29" t="s">
        <v>824</v>
      </c>
      <c r="B351" s="2" t="s">
        <v>822</v>
      </c>
      <c r="C351" s="3"/>
      <c r="D351" s="2" t="s">
        <v>825</v>
      </c>
      <c r="E351" s="3" t="s">
        <v>18</v>
      </c>
      <c r="F351" s="2" t="s">
        <v>1012</v>
      </c>
      <c r="G351" s="2"/>
      <c r="H351" s="2" t="s">
        <v>35</v>
      </c>
      <c r="I351" s="2" t="s">
        <v>1760</v>
      </c>
      <c r="J351" s="28" t="s">
        <v>548</v>
      </c>
      <c r="K351" s="28" t="s">
        <v>548</v>
      </c>
      <c r="L351" s="44" t="s">
        <v>638</v>
      </c>
      <c r="M351" s="4" t="s">
        <v>3</v>
      </c>
      <c r="N351" s="15">
        <v>31061385</v>
      </c>
      <c r="O351" s="88" t="s">
        <v>1386</v>
      </c>
      <c r="P351" s="38">
        <v>30871</v>
      </c>
      <c r="Q351" s="38"/>
      <c r="R351" s="38"/>
      <c r="S351" s="38"/>
      <c r="T351" s="38"/>
      <c r="U351" s="17" t="s">
        <v>215</v>
      </c>
      <c r="V351" s="17" t="s">
        <v>915</v>
      </c>
      <c r="W351" s="12">
        <v>42229</v>
      </c>
      <c r="X351" s="13"/>
      <c r="Y351" s="12">
        <v>42735</v>
      </c>
      <c r="Z351" s="2"/>
      <c r="AA351" s="2" t="s">
        <v>479</v>
      </c>
      <c r="AB351" s="7" t="s">
        <v>787</v>
      </c>
      <c r="AC351" s="5">
        <v>1000</v>
      </c>
      <c r="AD351" s="5">
        <f>+AC351</f>
        <v>1000</v>
      </c>
      <c r="AE351" s="5">
        <v>1170</v>
      </c>
      <c r="AF351" s="5">
        <f t="shared" si="355"/>
        <v>1310</v>
      </c>
      <c r="AG351" s="5">
        <f t="shared" si="364"/>
        <v>1310</v>
      </c>
      <c r="AH351" s="5">
        <f t="shared" si="364"/>
        <v>1310</v>
      </c>
      <c r="AI351" s="5">
        <f t="shared" ref="AI351:AJ351" si="376">+AH351</f>
        <v>1310</v>
      </c>
      <c r="AJ351" s="5">
        <f t="shared" si="376"/>
        <v>1310</v>
      </c>
      <c r="AK351" s="2"/>
      <c r="AL351" s="106"/>
    </row>
    <row r="352" spans="1:38" s="6" customFormat="1" ht="15" customHeight="1" x14ac:dyDescent="0.2">
      <c r="A352" s="29" t="s">
        <v>824</v>
      </c>
      <c r="B352" s="2" t="s">
        <v>822</v>
      </c>
      <c r="C352" s="3"/>
      <c r="D352" s="2" t="s">
        <v>825</v>
      </c>
      <c r="E352" s="3" t="s">
        <v>18</v>
      </c>
      <c r="F352" s="2" t="s">
        <v>19</v>
      </c>
      <c r="G352" s="2"/>
      <c r="H352" s="2" t="s">
        <v>27</v>
      </c>
      <c r="I352" s="3"/>
      <c r="J352" s="28" t="s">
        <v>548</v>
      </c>
      <c r="K352" s="28"/>
      <c r="L352" s="41" t="s">
        <v>639</v>
      </c>
      <c r="M352" s="4" t="s">
        <v>3</v>
      </c>
      <c r="N352" s="15">
        <v>27769740</v>
      </c>
      <c r="O352" s="88">
        <v>27277697403</v>
      </c>
      <c r="P352" s="61"/>
      <c r="Q352" s="61"/>
      <c r="R352" s="61"/>
      <c r="S352" s="61"/>
      <c r="T352" s="61"/>
      <c r="U352" s="16" t="s">
        <v>796</v>
      </c>
      <c r="V352" s="16" t="s">
        <v>916</v>
      </c>
      <c r="W352" s="12">
        <v>42064</v>
      </c>
      <c r="X352" s="12">
        <v>42460</v>
      </c>
      <c r="Y352" s="12">
        <v>42735</v>
      </c>
      <c r="Z352" s="2" t="s">
        <v>24</v>
      </c>
      <c r="AA352" s="2"/>
      <c r="AB352" s="3"/>
      <c r="AC352" s="5">
        <v>1000</v>
      </c>
      <c r="AD352" s="5"/>
      <c r="AE352" s="5">
        <v>1170</v>
      </c>
      <c r="AF352" s="5">
        <f t="shared" si="355"/>
        <v>1310</v>
      </c>
      <c r="AG352" s="5">
        <f t="shared" si="364"/>
        <v>1310</v>
      </c>
      <c r="AH352" s="5">
        <f t="shared" si="364"/>
        <v>1310</v>
      </c>
      <c r="AI352" s="5">
        <f t="shared" ref="AI352:AJ352" si="377">+AH352</f>
        <v>1310</v>
      </c>
      <c r="AJ352" s="5">
        <f t="shared" si="377"/>
        <v>1310</v>
      </c>
      <c r="AK352" s="2"/>
      <c r="AL352" s="105" t="str">
        <f>+Z352</f>
        <v>D0</v>
      </c>
    </row>
    <row r="353" spans="1:38" s="6" customFormat="1" ht="15" customHeight="1" x14ac:dyDescent="0.2">
      <c r="A353" s="29" t="s">
        <v>824</v>
      </c>
      <c r="B353" s="29" t="s">
        <v>822</v>
      </c>
      <c r="C353" s="29" t="s">
        <v>823</v>
      </c>
      <c r="D353" s="2" t="s">
        <v>808</v>
      </c>
      <c r="E353" s="2"/>
      <c r="F353" s="3"/>
      <c r="G353" s="3"/>
      <c r="H353" s="2" t="s">
        <v>1638</v>
      </c>
      <c r="I353" s="2" t="s">
        <v>1707</v>
      </c>
      <c r="J353" s="28"/>
      <c r="K353" s="28" t="s">
        <v>1765</v>
      </c>
      <c r="L353" s="41" t="s">
        <v>1635</v>
      </c>
      <c r="M353" s="7" t="s">
        <v>3</v>
      </c>
      <c r="N353" s="15">
        <v>13654259</v>
      </c>
      <c r="O353" s="88">
        <v>20136542592</v>
      </c>
      <c r="P353" s="38">
        <v>21908</v>
      </c>
      <c r="Q353" s="38"/>
      <c r="R353" s="38"/>
      <c r="S353" s="38"/>
      <c r="T353" s="38"/>
      <c r="U353" s="17" t="s">
        <v>215</v>
      </c>
      <c r="V353" s="17" t="s">
        <v>915</v>
      </c>
      <c r="W353" s="12">
        <v>42522</v>
      </c>
      <c r="X353" s="48"/>
      <c r="Y353" s="48">
        <v>42735</v>
      </c>
      <c r="Z353" s="2"/>
      <c r="AA353" s="2" t="s">
        <v>479</v>
      </c>
      <c r="AB353" s="3"/>
      <c r="AC353" s="5"/>
      <c r="AD353" s="5">
        <v>1070</v>
      </c>
      <c r="AE353" s="5">
        <v>1170</v>
      </c>
      <c r="AF353" s="5">
        <f t="shared" si="355"/>
        <v>0</v>
      </c>
      <c r="AG353" s="5">
        <f t="shared" si="364"/>
        <v>0</v>
      </c>
      <c r="AH353" s="5">
        <f t="shared" si="364"/>
        <v>0</v>
      </c>
      <c r="AI353" s="5">
        <f t="shared" ref="AI353:AJ353" si="378">+AH353</f>
        <v>0</v>
      </c>
      <c r="AJ353" s="5">
        <f t="shared" si="378"/>
        <v>0</v>
      </c>
      <c r="AK353" s="2" t="s">
        <v>43</v>
      </c>
      <c r="AL353" s="105" t="str">
        <f>+AK353</f>
        <v>A0</v>
      </c>
    </row>
    <row r="354" spans="1:38" s="6" customFormat="1" ht="15" customHeight="1" x14ac:dyDescent="0.2">
      <c r="A354" s="29" t="s">
        <v>824</v>
      </c>
      <c r="B354" s="29" t="s">
        <v>822</v>
      </c>
      <c r="C354" s="29" t="s">
        <v>823</v>
      </c>
      <c r="D354" s="2" t="s">
        <v>800</v>
      </c>
      <c r="E354" s="7" t="s">
        <v>497</v>
      </c>
      <c r="F354" s="7"/>
      <c r="G354" s="7"/>
      <c r="H354" s="8"/>
      <c r="I354" s="3" t="s">
        <v>1714</v>
      </c>
      <c r="J354" s="28" t="s">
        <v>254</v>
      </c>
      <c r="K354" s="28" t="s">
        <v>1767</v>
      </c>
      <c r="L354" s="42" t="s">
        <v>384</v>
      </c>
      <c r="M354" s="4" t="s">
        <v>3</v>
      </c>
      <c r="N354" s="15">
        <v>20354090</v>
      </c>
      <c r="O354" s="88" t="s">
        <v>1194</v>
      </c>
      <c r="P354" s="38">
        <v>24996</v>
      </c>
      <c r="Q354" s="38"/>
      <c r="R354" s="38"/>
      <c r="S354" s="38"/>
      <c r="T354" s="38"/>
      <c r="U354" s="17" t="s">
        <v>215</v>
      </c>
      <c r="V354" s="17" t="s">
        <v>915</v>
      </c>
      <c r="W354" s="12">
        <v>40787</v>
      </c>
      <c r="X354" s="13"/>
      <c r="Y354" s="12">
        <v>42735</v>
      </c>
      <c r="Z354" s="2"/>
      <c r="AA354" s="2" t="s">
        <v>479</v>
      </c>
      <c r="AB354" s="24" t="s">
        <v>479</v>
      </c>
      <c r="AC354" s="5">
        <v>1000</v>
      </c>
      <c r="AD354" s="5">
        <v>1070</v>
      </c>
      <c r="AE354" s="5">
        <v>1170</v>
      </c>
      <c r="AF354" s="5">
        <f t="shared" si="355"/>
        <v>1310</v>
      </c>
      <c r="AG354" s="5">
        <f t="shared" si="364"/>
        <v>1310</v>
      </c>
      <c r="AH354" s="5">
        <f t="shared" si="364"/>
        <v>1310</v>
      </c>
      <c r="AI354" s="5">
        <f t="shared" ref="AI354:AJ354" si="379">+AH354</f>
        <v>1310</v>
      </c>
      <c r="AJ354" s="5">
        <f t="shared" si="379"/>
        <v>1310</v>
      </c>
      <c r="AK354" s="2" t="s">
        <v>53</v>
      </c>
      <c r="AL354" s="105" t="str">
        <f>+AK354</f>
        <v>B0</v>
      </c>
    </row>
    <row r="355" spans="1:38" s="6" customFormat="1" ht="15" customHeight="1" x14ac:dyDescent="0.2">
      <c r="A355" s="29" t="s">
        <v>824</v>
      </c>
      <c r="B355" s="29" t="s">
        <v>822</v>
      </c>
      <c r="C355" s="29" t="s">
        <v>823</v>
      </c>
      <c r="D355" s="2" t="s">
        <v>800</v>
      </c>
      <c r="E355" s="7" t="s">
        <v>497</v>
      </c>
      <c r="F355" s="7"/>
      <c r="G355" s="7"/>
      <c r="H355" s="8"/>
      <c r="I355" s="3"/>
      <c r="J355" s="28" t="s">
        <v>254</v>
      </c>
      <c r="K355" s="28"/>
      <c r="L355" s="42" t="s">
        <v>375</v>
      </c>
      <c r="M355" s="4" t="s">
        <v>3</v>
      </c>
      <c r="N355" s="15">
        <v>23402784</v>
      </c>
      <c r="O355" s="88">
        <v>20234027841</v>
      </c>
      <c r="P355" s="38"/>
      <c r="Q355" s="38"/>
      <c r="R355" s="38"/>
      <c r="S355" s="38"/>
      <c r="T355" s="38"/>
      <c r="U355" s="16" t="s">
        <v>796</v>
      </c>
      <c r="V355" s="16" t="s">
        <v>916</v>
      </c>
      <c r="W355" s="12">
        <v>41213</v>
      </c>
      <c r="X355" s="48">
        <v>42735</v>
      </c>
      <c r="Y355" s="12">
        <v>42735</v>
      </c>
      <c r="Z355" s="2" t="s">
        <v>42</v>
      </c>
      <c r="AA355" s="2"/>
      <c r="AB355" s="18"/>
      <c r="AC355" s="5">
        <v>1000</v>
      </c>
      <c r="AD355" s="5"/>
      <c r="AE355" s="5">
        <v>1170</v>
      </c>
      <c r="AF355" s="5">
        <f t="shared" si="355"/>
        <v>1310</v>
      </c>
      <c r="AG355" s="5">
        <f t="shared" si="364"/>
        <v>1310</v>
      </c>
      <c r="AH355" s="5">
        <f t="shared" si="364"/>
        <v>1310</v>
      </c>
      <c r="AI355" s="5">
        <f t="shared" ref="AI355:AJ355" si="380">+AH355</f>
        <v>1310</v>
      </c>
      <c r="AJ355" s="5">
        <f t="shared" si="380"/>
        <v>1310</v>
      </c>
      <c r="AK355" s="2"/>
      <c r="AL355" s="105" t="str">
        <f>+Z355</f>
        <v>C0</v>
      </c>
    </row>
    <row r="356" spans="1:38" s="6" customFormat="1" ht="15" customHeight="1" x14ac:dyDescent="0.2">
      <c r="A356" s="29" t="s">
        <v>824</v>
      </c>
      <c r="B356" s="2" t="s">
        <v>822</v>
      </c>
      <c r="C356" s="29" t="s">
        <v>823</v>
      </c>
      <c r="D356" s="2" t="s">
        <v>808</v>
      </c>
      <c r="E356" s="2" t="s">
        <v>20</v>
      </c>
      <c r="F356" s="2"/>
      <c r="G356" s="2"/>
      <c r="H356" s="2"/>
      <c r="I356" s="2" t="s">
        <v>235</v>
      </c>
      <c r="J356" s="28"/>
      <c r="K356" s="28" t="s">
        <v>1765</v>
      </c>
      <c r="L356" s="44" t="s">
        <v>943</v>
      </c>
      <c r="M356" s="7" t="s">
        <v>3</v>
      </c>
      <c r="N356" s="15">
        <v>32267824</v>
      </c>
      <c r="O356" s="88" t="s">
        <v>1414</v>
      </c>
      <c r="P356" s="38">
        <v>31506</v>
      </c>
      <c r="Q356" s="38"/>
      <c r="R356" s="38"/>
      <c r="S356" s="38"/>
      <c r="T356" s="38"/>
      <c r="U356" s="17" t="s">
        <v>215</v>
      </c>
      <c r="V356" s="17" t="s">
        <v>915</v>
      </c>
      <c r="W356" s="12">
        <v>42491</v>
      </c>
      <c r="X356" s="13"/>
      <c r="Y356" s="12">
        <v>42735</v>
      </c>
      <c r="Z356" s="2"/>
      <c r="AA356" s="2" t="s">
        <v>479</v>
      </c>
      <c r="AB356" s="7"/>
      <c r="AC356" s="5">
        <v>1000</v>
      </c>
      <c r="AD356" s="5">
        <v>1070</v>
      </c>
      <c r="AE356" s="5">
        <v>1170</v>
      </c>
      <c r="AF356" s="5">
        <f t="shared" si="355"/>
        <v>1310</v>
      </c>
      <c r="AG356" s="5">
        <f t="shared" si="364"/>
        <v>1310</v>
      </c>
      <c r="AH356" s="5">
        <f t="shared" si="364"/>
        <v>1310</v>
      </c>
      <c r="AI356" s="5">
        <f t="shared" ref="AI356:AJ356" si="381">+AH356</f>
        <v>1310</v>
      </c>
      <c r="AJ356" s="5">
        <f t="shared" si="381"/>
        <v>1310</v>
      </c>
      <c r="AK356" s="2" t="s">
        <v>53</v>
      </c>
      <c r="AL356" s="105" t="str">
        <f>+AK356</f>
        <v>B0</v>
      </c>
    </row>
    <row r="357" spans="1:38" s="6" customFormat="1" ht="15" customHeight="1" x14ac:dyDescent="0.2">
      <c r="A357" s="29" t="s">
        <v>824</v>
      </c>
      <c r="B357" s="29" t="s">
        <v>822</v>
      </c>
      <c r="C357" s="29" t="s">
        <v>823</v>
      </c>
      <c r="D357" s="2" t="s">
        <v>808</v>
      </c>
      <c r="E357" s="7" t="s">
        <v>503</v>
      </c>
      <c r="F357" s="7"/>
      <c r="G357" s="7"/>
      <c r="H357" s="8"/>
      <c r="I357" s="2" t="s">
        <v>1726</v>
      </c>
      <c r="J357" s="28"/>
      <c r="K357" s="28" t="s">
        <v>1767</v>
      </c>
      <c r="L357" s="42" t="s">
        <v>1656</v>
      </c>
      <c r="M357" s="7" t="s">
        <v>3</v>
      </c>
      <c r="N357" s="15">
        <v>7961336</v>
      </c>
      <c r="O357" s="88">
        <v>20079613364</v>
      </c>
      <c r="P357" s="38">
        <v>18149</v>
      </c>
      <c r="Q357" s="38"/>
      <c r="R357" s="38"/>
      <c r="S357" s="38"/>
      <c r="T357" s="38"/>
      <c r="U357" s="17" t="s">
        <v>215</v>
      </c>
      <c r="V357" s="17" t="s">
        <v>915</v>
      </c>
      <c r="W357" s="12">
        <v>42491</v>
      </c>
      <c r="X357" s="13"/>
      <c r="Y357" s="12">
        <v>42735</v>
      </c>
      <c r="Z357" s="2"/>
      <c r="AA357" s="2" t="s">
        <v>479</v>
      </c>
      <c r="AB357" s="24"/>
      <c r="AC357" s="5">
        <v>1000</v>
      </c>
      <c r="AD357" s="5">
        <f>+AC357*1.07</f>
        <v>1070</v>
      </c>
      <c r="AE357" s="5">
        <v>1170</v>
      </c>
      <c r="AF357" s="5">
        <f t="shared" si="355"/>
        <v>1310</v>
      </c>
      <c r="AG357" s="5">
        <f t="shared" si="364"/>
        <v>1310</v>
      </c>
      <c r="AH357" s="5">
        <f t="shared" si="364"/>
        <v>1310</v>
      </c>
      <c r="AI357" s="5">
        <f t="shared" ref="AI357:AJ357" si="382">+AH357</f>
        <v>1310</v>
      </c>
      <c r="AJ357" s="5">
        <f t="shared" si="382"/>
        <v>1310</v>
      </c>
      <c r="AK357" s="2" t="s">
        <v>43</v>
      </c>
      <c r="AL357" s="105" t="str">
        <f>+AK357</f>
        <v>A0</v>
      </c>
    </row>
    <row r="358" spans="1:38" s="6" customFormat="1" ht="15" customHeight="1" x14ac:dyDescent="0.2">
      <c r="A358" s="29" t="s">
        <v>824</v>
      </c>
      <c r="B358" s="2" t="s">
        <v>822</v>
      </c>
      <c r="C358" s="3"/>
      <c r="D358" s="2" t="s">
        <v>825</v>
      </c>
      <c r="E358" s="3" t="s">
        <v>18</v>
      </c>
      <c r="F358" s="2" t="s">
        <v>19</v>
      </c>
      <c r="G358" s="2"/>
      <c r="H358" s="2" t="s">
        <v>37</v>
      </c>
      <c r="I358" s="2" t="s">
        <v>1761</v>
      </c>
      <c r="J358" s="28" t="s">
        <v>548</v>
      </c>
      <c r="K358" s="28" t="s">
        <v>548</v>
      </c>
      <c r="L358" s="44" t="s">
        <v>640</v>
      </c>
      <c r="M358" s="4" t="s">
        <v>3</v>
      </c>
      <c r="N358" s="15">
        <v>24881120</v>
      </c>
      <c r="O358" s="88" t="s">
        <v>1249</v>
      </c>
      <c r="P358" s="38">
        <v>27641</v>
      </c>
      <c r="Q358" s="38"/>
      <c r="R358" s="38"/>
      <c r="S358" s="38"/>
      <c r="T358" s="38"/>
      <c r="U358" s="17" t="s">
        <v>215</v>
      </c>
      <c r="V358" s="17" t="s">
        <v>915</v>
      </c>
      <c r="W358" s="12">
        <v>41153</v>
      </c>
      <c r="X358" s="13"/>
      <c r="Y358" s="12">
        <v>42735</v>
      </c>
      <c r="Z358" s="2"/>
      <c r="AA358" s="2" t="s">
        <v>479</v>
      </c>
      <c r="AB358" s="7" t="s">
        <v>787</v>
      </c>
      <c r="AC358" s="5">
        <v>1000</v>
      </c>
      <c r="AD358" s="5">
        <f>+AC358</f>
        <v>1000</v>
      </c>
      <c r="AE358" s="5">
        <v>1170</v>
      </c>
      <c r="AF358" s="5">
        <f t="shared" si="355"/>
        <v>1310</v>
      </c>
      <c r="AG358" s="5">
        <f t="shared" si="364"/>
        <v>1310</v>
      </c>
      <c r="AH358" s="5">
        <f t="shared" si="364"/>
        <v>1310</v>
      </c>
      <c r="AI358" s="5">
        <f t="shared" ref="AI358:AJ358" si="383">+AH358</f>
        <v>1310</v>
      </c>
      <c r="AJ358" s="5">
        <f t="shared" si="383"/>
        <v>1310</v>
      </c>
      <c r="AK358" s="2"/>
      <c r="AL358" s="106"/>
    </row>
    <row r="359" spans="1:38" s="6" customFormat="1" ht="15" customHeight="1" x14ac:dyDescent="0.2">
      <c r="A359" s="29" t="s">
        <v>824</v>
      </c>
      <c r="B359" s="2" t="s">
        <v>822</v>
      </c>
      <c r="C359" s="29" t="s">
        <v>823</v>
      </c>
      <c r="D359" s="2" t="s">
        <v>808</v>
      </c>
      <c r="E359" s="2" t="s">
        <v>20</v>
      </c>
      <c r="F359" s="2"/>
      <c r="G359" s="2"/>
      <c r="H359" s="2"/>
      <c r="I359" s="2" t="s">
        <v>235</v>
      </c>
      <c r="J359" s="28"/>
      <c r="K359" s="28" t="s">
        <v>1765</v>
      </c>
      <c r="L359" s="44" t="s">
        <v>1139</v>
      </c>
      <c r="M359" s="7" t="s">
        <v>3</v>
      </c>
      <c r="N359" s="15">
        <v>21834189</v>
      </c>
      <c r="O359" s="88">
        <v>27218341891</v>
      </c>
      <c r="P359" s="38">
        <v>25886</v>
      </c>
      <c r="Q359" s="38"/>
      <c r="R359" s="38"/>
      <c r="S359" s="38"/>
      <c r="T359" s="38"/>
      <c r="U359" s="17" t="s">
        <v>215</v>
      </c>
      <c r="V359" s="17" t="s">
        <v>915</v>
      </c>
      <c r="W359" s="12">
        <v>42522</v>
      </c>
      <c r="X359" s="13"/>
      <c r="Y359" s="12">
        <v>42735</v>
      </c>
      <c r="Z359" s="2"/>
      <c r="AA359" s="2" t="s">
        <v>479</v>
      </c>
      <c r="AB359" s="7"/>
      <c r="AC359" s="5">
        <v>1000</v>
      </c>
      <c r="AD359" s="5">
        <v>1070</v>
      </c>
      <c r="AE359" s="5">
        <v>1170</v>
      </c>
      <c r="AF359" s="5">
        <f t="shared" si="355"/>
        <v>1310</v>
      </c>
      <c r="AG359" s="5">
        <f t="shared" ref="AG359:AH364" si="384">+AF359</f>
        <v>1310</v>
      </c>
      <c r="AH359" s="5">
        <f t="shared" si="384"/>
        <v>1310</v>
      </c>
      <c r="AI359" s="5">
        <f t="shared" ref="AI359:AJ359" si="385">+AH359</f>
        <v>1310</v>
      </c>
      <c r="AJ359" s="5">
        <f t="shared" si="385"/>
        <v>1310</v>
      </c>
      <c r="AK359" s="2" t="s">
        <v>43</v>
      </c>
      <c r="AL359" s="105" t="str">
        <f>+AK359</f>
        <v>A0</v>
      </c>
    </row>
    <row r="360" spans="1:38" s="6" customFormat="1" ht="15" customHeight="1" x14ac:dyDescent="0.2">
      <c r="A360" s="29" t="s">
        <v>824</v>
      </c>
      <c r="B360" s="29" t="s">
        <v>822</v>
      </c>
      <c r="C360" s="29" t="s">
        <v>823</v>
      </c>
      <c r="D360" s="2" t="s">
        <v>800</v>
      </c>
      <c r="E360" s="2" t="s">
        <v>486</v>
      </c>
      <c r="F360" s="2"/>
      <c r="G360" s="2"/>
      <c r="H360" s="2" t="s">
        <v>1710</v>
      </c>
      <c r="I360" s="3" t="s">
        <v>1754</v>
      </c>
      <c r="J360" s="28" t="s">
        <v>254</v>
      </c>
      <c r="K360" s="28"/>
      <c r="L360" s="42" t="s">
        <v>308</v>
      </c>
      <c r="M360" s="4" t="s">
        <v>3</v>
      </c>
      <c r="N360" s="15">
        <v>24319998</v>
      </c>
      <c r="O360" s="88">
        <v>20243199981</v>
      </c>
      <c r="P360" s="38">
        <v>24836</v>
      </c>
      <c r="Q360" s="38"/>
      <c r="R360" s="38"/>
      <c r="S360" s="38"/>
      <c r="T360" s="38"/>
      <c r="U360" s="17" t="s">
        <v>215</v>
      </c>
      <c r="V360" s="17" t="s">
        <v>1698</v>
      </c>
      <c r="W360" s="12">
        <v>40850</v>
      </c>
      <c r="X360" s="13"/>
      <c r="Y360" s="12">
        <v>42735</v>
      </c>
      <c r="Z360" s="2"/>
      <c r="AA360" s="2" t="s">
        <v>479</v>
      </c>
      <c r="AB360" s="25" t="s">
        <v>479</v>
      </c>
      <c r="AC360" s="5">
        <v>1000</v>
      </c>
      <c r="AD360" s="5">
        <f>+AC360*1.07</f>
        <v>1070</v>
      </c>
      <c r="AE360" s="5">
        <v>1170</v>
      </c>
      <c r="AF360" s="5">
        <f t="shared" si="355"/>
        <v>1310</v>
      </c>
      <c r="AG360" s="5">
        <f t="shared" si="384"/>
        <v>1310</v>
      </c>
      <c r="AH360" s="5">
        <f t="shared" si="384"/>
        <v>1310</v>
      </c>
      <c r="AI360" s="5">
        <f t="shared" ref="AI360:AJ360" si="386">+AH360</f>
        <v>1310</v>
      </c>
      <c r="AJ360" s="5">
        <f t="shared" si="386"/>
        <v>1310</v>
      </c>
      <c r="AK360" s="2"/>
      <c r="AL360" s="107" t="s">
        <v>1818</v>
      </c>
    </row>
    <row r="361" spans="1:38" s="6" customFormat="1" ht="15" customHeight="1" x14ac:dyDescent="0.2">
      <c r="A361" s="29" t="s">
        <v>824</v>
      </c>
      <c r="B361" s="29" t="s">
        <v>822</v>
      </c>
      <c r="C361" s="29" t="s">
        <v>823</v>
      </c>
      <c r="D361" s="2" t="s">
        <v>800</v>
      </c>
      <c r="E361" s="7" t="s">
        <v>497</v>
      </c>
      <c r="F361" s="7"/>
      <c r="G361" s="7"/>
      <c r="H361" s="8"/>
      <c r="I361" s="3"/>
      <c r="J361" s="28" t="s">
        <v>254</v>
      </c>
      <c r="K361" s="28"/>
      <c r="L361" s="42" t="s">
        <v>376</v>
      </c>
      <c r="M361" s="4" t="s">
        <v>3</v>
      </c>
      <c r="N361" s="15">
        <v>35151859</v>
      </c>
      <c r="O361" s="88">
        <v>20351518597</v>
      </c>
      <c r="P361" s="38"/>
      <c r="Q361" s="38"/>
      <c r="R361" s="38"/>
      <c r="S361" s="38"/>
      <c r="T361" s="38"/>
      <c r="U361" s="16" t="s">
        <v>796</v>
      </c>
      <c r="V361" s="16" t="s">
        <v>916</v>
      </c>
      <c r="W361" s="12">
        <v>40695</v>
      </c>
      <c r="X361" s="48">
        <v>42735</v>
      </c>
      <c r="Y361" s="12">
        <v>42735</v>
      </c>
      <c r="Z361" s="2" t="s">
        <v>49</v>
      </c>
      <c r="AA361" s="2"/>
      <c r="AB361" s="18"/>
      <c r="AC361" s="5">
        <v>1000</v>
      </c>
      <c r="AD361" s="5"/>
      <c r="AE361" s="5">
        <v>1170</v>
      </c>
      <c r="AF361" s="5">
        <f t="shared" si="355"/>
        <v>1310</v>
      </c>
      <c r="AG361" s="5">
        <f t="shared" si="384"/>
        <v>1310</v>
      </c>
      <c r="AH361" s="5">
        <f t="shared" si="384"/>
        <v>1310</v>
      </c>
      <c r="AI361" s="5">
        <f t="shared" ref="AI361:AJ361" si="387">+AH361</f>
        <v>1310</v>
      </c>
      <c r="AJ361" s="5">
        <f t="shared" si="387"/>
        <v>1310</v>
      </c>
      <c r="AK361" s="2"/>
      <c r="AL361" s="105" t="str">
        <f>+Z361</f>
        <v>D1</v>
      </c>
    </row>
    <row r="362" spans="1:38" s="6" customFormat="1" ht="15" customHeight="1" x14ac:dyDescent="0.2">
      <c r="A362" s="29" t="s">
        <v>824</v>
      </c>
      <c r="B362" s="29" t="s">
        <v>822</v>
      </c>
      <c r="C362" s="29" t="s">
        <v>823</v>
      </c>
      <c r="D362" s="2" t="s">
        <v>800</v>
      </c>
      <c r="E362" s="7" t="s">
        <v>501</v>
      </c>
      <c r="F362" s="7"/>
      <c r="G362" s="7"/>
      <c r="H362" s="8"/>
      <c r="I362" s="3"/>
      <c r="J362" s="28" t="s">
        <v>254</v>
      </c>
      <c r="K362" s="28"/>
      <c r="L362" s="42" t="s">
        <v>443</v>
      </c>
      <c r="M362" s="4" t="s">
        <v>3</v>
      </c>
      <c r="N362" s="15">
        <v>35253895</v>
      </c>
      <c r="O362" s="88">
        <v>20352538958</v>
      </c>
      <c r="P362" s="38"/>
      <c r="Q362" s="38"/>
      <c r="R362" s="38"/>
      <c r="S362" s="38"/>
      <c r="T362" s="38"/>
      <c r="U362" s="16" t="s">
        <v>796</v>
      </c>
      <c r="V362" s="16" t="s">
        <v>916</v>
      </c>
      <c r="W362" s="12">
        <v>41214</v>
      </c>
      <c r="X362" s="48">
        <v>42735</v>
      </c>
      <c r="Y362" s="12">
        <v>42735</v>
      </c>
      <c r="Z362" s="2" t="s">
        <v>42</v>
      </c>
      <c r="AA362" s="2"/>
      <c r="AB362" s="18"/>
      <c r="AC362" s="5">
        <v>1000</v>
      </c>
      <c r="AD362" s="5"/>
      <c r="AE362" s="5">
        <v>1170</v>
      </c>
      <c r="AF362" s="5">
        <f t="shared" si="355"/>
        <v>1310</v>
      </c>
      <c r="AG362" s="5">
        <f t="shared" si="384"/>
        <v>1310</v>
      </c>
      <c r="AH362" s="5">
        <f t="shared" si="384"/>
        <v>1310</v>
      </c>
      <c r="AI362" s="5">
        <f t="shared" ref="AI362:AJ362" si="388">+AH362</f>
        <v>1310</v>
      </c>
      <c r="AJ362" s="5">
        <f t="shared" si="388"/>
        <v>1310</v>
      </c>
      <c r="AK362" s="2"/>
      <c r="AL362" s="105" t="str">
        <f>+Z362</f>
        <v>C0</v>
      </c>
    </row>
    <row r="363" spans="1:38" s="6" customFormat="1" ht="15" customHeight="1" x14ac:dyDescent="0.2">
      <c r="A363" s="29" t="s">
        <v>824</v>
      </c>
      <c r="B363" s="2"/>
      <c r="C363" s="3"/>
      <c r="D363" s="2" t="s">
        <v>820</v>
      </c>
      <c r="E363" s="2" t="s">
        <v>817</v>
      </c>
      <c r="F363" s="7"/>
      <c r="G363" s="7"/>
      <c r="H363" s="2" t="s">
        <v>229</v>
      </c>
      <c r="I363" s="2" t="s">
        <v>1707</v>
      </c>
      <c r="J363" s="28"/>
      <c r="K363" s="28" t="s">
        <v>1765</v>
      </c>
      <c r="L363" s="42" t="s">
        <v>1660</v>
      </c>
      <c r="M363" s="7" t="s">
        <v>3</v>
      </c>
      <c r="N363" s="15">
        <v>38997666</v>
      </c>
      <c r="O363" s="88" t="s">
        <v>1661</v>
      </c>
      <c r="P363" s="38">
        <v>34837</v>
      </c>
      <c r="Q363" s="38"/>
      <c r="R363" s="38"/>
      <c r="S363" s="38"/>
      <c r="T363" s="38"/>
      <c r="U363" s="17" t="s">
        <v>215</v>
      </c>
      <c r="V363" s="17" t="s">
        <v>915</v>
      </c>
      <c r="W363" s="12">
        <v>42569</v>
      </c>
      <c r="X363" s="20"/>
      <c r="Y363" s="12">
        <v>42735</v>
      </c>
      <c r="Z363" s="2"/>
      <c r="AA363" s="2" t="s">
        <v>479</v>
      </c>
      <c r="AB363" s="24"/>
      <c r="AC363" s="5"/>
      <c r="AD363" s="5"/>
      <c r="AE363" s="5">
        <v>1170</v>
      </c>
      <c r="AF363" s="5">
        <f t="shared" si="355"/>
        <v>0</v>
      </c>
      <c r="AG363" s="5">
        <f t="shared" si="384"/>
        <v>0</v>
      </c>
      <c r="AH363" s="5">
        <f t="shared" si="384"/>
        <v>0</v>
      </c>
      <c r="AI363" s="5">
        <f t="shared" ref="AI363:AJ363" si="389">+AH363</f>
        <v>0</v>
      </c>
      <c r="AJ363" s="5">
        <f t="shared" si="389"/>
        <v>0</v>
      </c>
      <c r="AK363" s="2" t="s">
        <v>42</v>
      </c>
      <c r="AL363" s="105" t="str">
        <f>+AK363</f>
        <v>C0</v>
      </c>
    </row>
    <row r="364" spans="1:38" s="6" customFormat="1" ht="15" customHeight="1" x14ac:dyDescent="0.2">
      <c r="A364" s="29" t="s">
        <v>824</v>
      </c>
      <c r="B364" s="29" t="s">
        <v>822</v>
      </c>
      <c r="C364" s="29" t="s">
        <v>823</v>
      </c>
      <c r="D364" s="2" t="s">
        <v>808</v>
      </c>
      <c r="E364" s="2" t="s">
        <v>909</v>
      </c>
      <c r="F364" s="2" t="s">
        <v>23</v>
      </c>
      <c r="G364" s="2"/>
      <c r="H364" s="2"/>
      <c r="I364" s="2" t="s">
        <v>222</v>
      </c>
      <c r="J364" s="28"/>
      <c r="K364" s="28" t="s">
        <v>1765</v>
      </c>
      <c r="L364" s="44" t="s">
        <v>1013</v>
      </c>
      <c r="M364" s="4" t="s">
        <v>3</v>
      </c>
      <c r="N364" s="47">
        <v>35255476</v>
      </c>
      <c r="O364" s="88" t="s">
        <v>1489</v>
      </c>
      <c r="P364" s="38">
        <v>33059</v>
      </c>
      <c r="Q364" s="38"/>
      <c r="R364" s="38"/>
      <c r="S364" s="38"/>
      <c r="T364" s="38"/>
      <c r="U364" s="17" t="s">
        <v>215</v>
      </c>
      <c r="V364" s="17" t="s">
        <v>915</v>
      </c>
      <c r="W364" s="12">
        <v>41852</v>
      </c>
      <c r="X364" s="13"/>
      <c r="Y364" s="12">
        <v>42735</v>
      </c>
      <c r="Z364" s="2"/>
      <c r="AA364" s="2" t="s">
        <v>479</v>
      </c>
      <c r="AB364" s="9"/>
      <c r="AC364" s="5">
        <v>1000</v>
      </c>
      <c r="AD364" s="5">
        <f>+AC364*1.07</f>
        <v>1070</v>
      </c>
      <c r="AE364" s="5">
        <v>1170</v>
      </c>
      <c r="AF364" s="5">
        <f t="shared" si="355"/>
        <v>1310</v>
      </c>
      <c r="AG364" s="5">
        <f t="shared" si="384"/>
        <v>1310</v>
      </c>
      <c r="AH364" s="5">
        <f t="shared" si="384"/>
        <v>1310</v>
      </c>
      <c r="AI364" s="5">
        <f t="shared" ref="AI364:AJ364" si="390">+AH364</f>
        <v>1310</v>
      </c>
      <c r="AJ364" s="5">
        <f t="shared" si="390"/>
        <v>1310</v>
      </c>
      <c r="AK364" s="29" t="s">
        <v>42</v>
      </c>
      <c r="AL364" s="105" t="str">
        <f>+AK364</f>
        <v>C0</v>
      </c>
    </row>
    <row r="365" spans="1:38" s="6" customFormat="1" ht="15" customHeight="1" x14ac:dyDescent="0.2">
      <c r="A365" s="29" t="s">
        <v>824</v>
      </c>
      <c r="B365" s="29" t="s">
        <v>822</v>
      </c>
      <c r="C365" s="3"/>
      <c r="D365" s="2" t="s">
        <v>956</v>
      </c>
      <c r="E365" s="2" t="s">
        <v>956</v>
      </c>
      <c r="F365" s="2"/>
      <c r="G365" s="2"/>
      <c r="H365" s="2"/>
      <c r="I365" s="2" t="s">
        <v>1825</v>
      </c>
      <c r="J365" s="28"/>
      <c r="K365" s="28"/>
      <c r="L365" s="44" t="s">
        <v>1826</v>
      </c>
      <c r="M365" s="7" t="s">
        <v>3</v>
      </c>
      <c r="N365" s="47">
        <v>92436017</v>
      </c>
      <c r="O365" s="88">
        <v>27924360173</v>
      </c>
      <c r="P365" s="38"/>
      <c r="Q365" s="38"/>
      <c r="R365" s="38"/>
      <c r="S365" s="38"/>
      <c r="T365" s="38"/>
      <c r="U365" s="17" t="s">
        <v>215</v>
      </c>
      <c r="V365" s="17" t="s">
        <v>915</v>
      </c>
      <c r="W365" s="12">
        <v>42552</v>
      </c>
      <c r="X365" s="12"/>
      <c r="Y365" s="12">
        <v>42735</v>
      </c>
      <c r="Z365" s="2"/>
      <c r="AA365" s="2"/>
      <c r="AB365" s="7"/>
      <c r="AC365" s="5"/>
      <c r="AD365" s="5"/>
      <c r="AE365" s="5">
        <v>1170</v>
      </c>
      <c r="AF365" s="5">
        <f t="shared" si="355"/>
        <v>0</v>
      </c>
      <c r="AG365" s="5">
        <v>1310</v>
      </c>
      <c r="AH365" s="5">
        <v>14000</v>
      </c>
      <c r="AI365" s="5">
        <f t="shared" ref="AI365:AJ365" si="391">+AH365</f>
        <v>14000</v>
      </c>
      <c r="AJ365" s="5">
        <f t="shared" si="391"/>
        <v>14000</v>
      </c>
      <c r="AK365" s="2"/>
      <c r="AL365" s="106"/>
    </row>
    <row r="366" spans="1:38" s="6" customFormat="1" ht="15" customHeight="1" x14ac:dyDescent="0.2">
      <c r="A366" s="29" t="s">
        <v>824</v>
      </c>
      <c r="B366" s="29"/>
      <c r="C366" s="14"/>
      <c r="D366" s="2" t="s">
        <v>820</v>
      </c>
      <c r="E366" s="2" t="s">
        <v>921</v>
      </c>
      <c r="F366" s="2" t="s">
        <v>31</v>
      </c>
      <c r="G366" s="3"/>
      <c r="H366" s="2" t="s">
        <v>231</v>
      </c>
      <c r="I366" s="2" t="s">
        <v>1707</v>
      </c>
      <c r="J366" s="28" t="s">
        <v>73</v>
      </c>
      <c r="K366" s="28" t="s">
        <v>1765</v>
      </c>
      <c r="L366" s="45" t="s">
        <v>120</v>
      </c>
      <c r="M366" s="4" t="s">
        <v>3</v>
      </c>
      <c r="N366" s="15">
        <v>26938300</v>
      </c>
      <c r="O366" s="88" t="s">
        <v>1299</v>
      </c>
      <c r="P366" s="38">
        <v>28831</v>
      </c>
      <c r="Q366" s="38"/>
      <c r="R366" s="38"/>
      <c r="S366" s="38"/>
      <c r="T366" s="38"/>
      <c r="U366" s="17" t="s">
        <v>215</v>
      </c>
      <c r="V366" s="17" t="s">
        <v>915</v>
      </c>
      <c r="W366" s="12">
        <v>42064</v>
      </c>
      <c r="X366" s="13"/>
      <c r="Y366" s="12">
        <v>42735</v>
      </c>
      <c r="Z366" s="2"/>
      <c r="AA366" s="2" t="s">
        <v>479</v>
      </c>
      <c r="AB366" s="2" t="s">
        <v>546</v>
      </c>
      <c r="AC366" s="5">
        <v>1000</v>
      </c>
      <c r="AD366" s="5">
        <f>+AC366*1.07</f>
        <v>1070</v>
      </c>
      <c r="AE366" s="5">
        <v>1170</v>
      </c>
      <c r="AF366" s="5">
        <f t="shared" si="355"/>
        <v>1310</v>
      </c>
      <c r="AG366" s="5">
        <f t="shared" ref="AG366:AH392" si="392">+AF366</f>
        <v>1310</v>
      </c>
      <c r="AH366" s="5">
        <f t="shared" si="392"/>
        <v>1310</v>
      </c>
      <c r="AI366" s="5">
        <f t="shared" ref="AI366:AJ366" si="393">+AH366</f>
        <v>1310</v>
      </c>
      <c r="AJ366" s="5">
        <f t="shared" si="393"/>
        <v>1310</v>
      </c>
      <c r="AK366" s="29" t="s">
        <v>42</v>
      </c>
      <c r="AL366" s="105" t="str">
        <f>+AK366</f>
        <v>C0</v>
      </c>
    </row>
    <row r="367" spans="1:38" s="6" customFormat="1" ht="15" customHeight="1" x14ac:dyDescent="0.2">
      <c r="A367" s="29" t="s">
        <v>824</v>
      </c>
      <c r="B367" s="29" t="s">
        <v>822</v>
      </c>
      <c r="C367" s="29" t="s">
        <v>823</v>
      </c>
      <c r="D367" s="2" t="s">
        <v>808</v>
      </c>
      <c r="E367" s="2" t="s">
        <v>909</v>
      </c>
      <c r="F367" s="2" t="s">
        <v>500</v>
      </c>
      <c r="G367" s="3" t="s">
        <v>528</v>
      </c>
      <c r="H367" s="2" t="s">
        <v>48</v>
      </c>
      <c r="I367" s="2" t="s">
        <v>48</v>
      </c>
      <c r="J367" s="28" t="s">
        <v>73</v>
      </c>
      <c r="K367" s="28" t="s">
        <v>1765</v>
      </c>
      <c r="L367" s="43" t="s">
        <v>121</v>
      </c>
      <c r="M367" s="4" t="s">
        <v>3</v>
      </c>
      <c r="N367" s="15">
        <v>14972197</v>
      </c>
      <c r="O367" s="88" t="s">
        <v>1161</v>
      </c>
      <c r="P367" s="38">
        <v>22854</v>
      </c>
      <c r="Q367" s="38"/>
      <c r="R367" s="38"/>
      <c r="S367" s="38"/>
      <c r="T367" s="38"/>
      <c r="U367" s="17" t="s">
        <v>215</v>
      </c>
      <c r="V367" s="17" t="s">
        <v>915</v>
      </c>
      <c r="W367" s="12">
        <v>42156</v>
      </c>
      <c r="X367" s="13"/>
      <c r="Y367" s="12">
        <v>42735</v>
      </c>
      <c r="Z367" s="2"/>
      <c r="AA367" s="2" t="s">
        <v>479</v>
      </c>
      <c r="AB367" s="7" t="s">
        <v>61</v>
      </c>
      <c r="AC367" s="5">
        <v>1000</v>
      </c>
      <c r="AD367" s="5">
        <f>+AC367*1.07</f>
        <v>1070</v>
      </c>
      <c r="AE367" s="5">
        <v>1170</v>
      </c>
      <c r="AF367" s="5">
        <f t="shared" si="355"/>
        <v>1310</v>
      </c>
      <c r="AG367" s="5">
        <f t="shared" si="392"/>
        <v>1310</v>
      </c>
      <c r="AH367" s="5">
        <f t="shared" si="392"/>
        <v>1310</v>
      </c>
      <c r="AI367" s="5">
        <f t="shared" ref="AI367:AJ367" si="394">+AH367</f>
        <v>1310</v>
      </c>
      <c r="AJ367" s="5">
        <f t="shared" si="394"/>
        <v>1310</v>
      </c>
      <c r="AK367" s="29" t="s">
        <v>42</v>
      </c>
      <c r="AL367" s="105" t="str">
        <f>+AK367</f>
        <v>C0</v>
      </c>
    </row>
    <row r="368" spans="1:38" s="6" customFormat="1" ht="15" customHeight="1" x14ac:dyDescent="0.2">
      <c r="A368" s="29" t="s">
        <v>824</v>
      </c>
      <c r="B368" s="29" t="s">
        <v>822</v>
      </c>
      <c r="C368" s="29" t="s">
        <v>823</v>
      </c>
      <c r="D368" s="2" t="s">
        <v>800</v>
      </c>
      <c r="E368" s="7" t="s">
        <v>541</v>
      </c>
      <c r="F368" s="7"/>
      <c r="G368" s="7"/>
      <c r="H368" s="8"/>
      <c r="I368" s="3"/>
      <c r="J368" s="28" t="s">
        <v>254</v>
      </c>
      <c r="K368" s="28"/>
      <c r="L368" s="42" t="s">
        <v>410</v>
      </c>
      <c r="M368" s="4" t="s">
        <v>3</v>
      </c>
      <c r="N368" s="15">
        <v>26965728</v>
      </c>
      <c r="O368" s="88">
        <v>20269657287</v>
      </c>
      <c r="P368" s="38"/>
      <c r="Q368" s="38"/>
      <c r="R368" s="38"/>
      <c r="S368" s="38"/>
      <c r="T368" s="38"/>
      <c r="U368" s="16" t="s">
        <v>796</v>
      </c>
      <c r="V368" s="16" t="s">
        <v>916</v>
      </c>
      <c r="W368" s="12">
        <v>41000</v>
      </c>
      <c r="X368" s="48">
        <v>42735</v>
      </c>
      <c r="Y368" s="12">
        <v>42735</v>
      </c>
      <c r="Z368" s="2" t="s">
        <v>42</v>
      </c>
      <c r="AA368" s="2"/>
      <c r="AB368" s="18"/>
      <c r="AC368" s="5">
        <v>1000</v>
      </c>
      <c r="AD368" s="5"/>
      <c r="AE368" s="5">
        <v>1170</v>
      </c>
      <c r="AF368" s="5">
        <f t="shared" si="355"/>
        <v>1310</v>
      </c>
      <c r="AG368" s="5">
        <f t="shared" si="392"/>
        <v>1310</v>
      </c>
      <c r="AH368" s="5">
        <f t="shared" si="392"/>
        <v>1310</v>
      </c>
      <c r="AI368" s="5">
        <f t="shared" ref="AI368:AJ368" si="395">+AH368</f>
        <v>1310</v>
      </c>
      <c r="AJ368" s="5">
        <f t="shared" si="395"/>
        <v>1310</v>
      </c>
      <c r="AK368" s="2"/>
      <c r="AL368" s="105" t="str">
        <f>+Z368</f>
        <v>C0</v>
      </c>
    </row>
    <row r="369" spans="1:38" s="6" customFormat="1" ht="15" customHeight="1" x14ac:dyDescent="0.2">
      <c r="A369" s="29" t="s">
        <v>824</v>
      </c>
      <c r="B369" s="29"/>
      <c r="C369" s="14"/>
      <c r="D369" s="2" t="s">
        <v>819</v>
      </c>
      <c r="E369" s="2"/>
      <c r="F369" s="3"/>
      <c r="G369" s="3"/>
      <c r="H369" s="2" t="s">
        <v>884</v>
      </c>
      <c r="I369" s="2" t="s">
        <v>1707</v>
      </c>
      <c r="J369" s="28"/>
      <c r="K369" s="28" t="s">
        <v>1765</v>
      </c>
      <c r="L369" s="41" t="s">
        <v>859</v>
      </c>
      <c r="M369" s="4" t="s">
        <v>3</v>
      </c>
      <c r="N369" s="15">
        <v>35323287</v>
      </c>
      <c r="O369" s="88">
        <v>27353232873</v>
      </c>
      <c r="P369" s="38">
        <v>33026</v>
      </c>
      <c r="Q369" s="38"/>
      <c r="R369" s="38"/>
      <c r="S369" s="38"/>
      <c r="T369" s="38"/>
      <c r="U369" s="17" t="s">
        <v>215</v>
      </c>
      <c r="V369" s="17" t="s">
        <v>915</v>
      </c>
      <c r="W369" s="12">
        <v>42370</v>
      </c>
      <c r="X369" s="48"/>
      <c r="Y369" s="12">
        <v>42735</v>
      </c>
      <c r="Z369" s="2"/>
      <c r="AA369" s="2" t="s">
        <v>479</v>
      </c>
      <c r="AB369" s="3" t="s">
        <v>10</v>
      </c>
      <c r="AC369" s="5">
        <v>1000</v>
      </c>
      <c r="AD369" s="5">
        <f>+AC369*1.07</f>
        <v>1070</v>
      </c>
      <c r="AE369" s="5">
        <v>1170</v>
      </c>
      <c r="AF369" s="5">
        <f t="shared" si="355"/>
        <v>1310</v>
      </c>
      <c r="AG369" s="5">
        <f t="shared" si="392"/>
        <v>1310</v>
      </c>
      <c r="AH369" s="5">
        <f t="shared" si="392"/>
        <v>1310</v>
      </c>
      <c r="AI369" s="5">
        <f t="shared" ref="AI369:AJ369" si="396">+AH369</f>
        <v>1310</v>
      </c>
      <c r="AJ369" s="5">
        <f t="shared" si="396"/>
        <v>1310</v>
      </c>
      <c r="AK369" s="2" t="s">
        <v>43</v>
      </c>
      <c r="AL369" s="105" t="str">
        <f>+AK369</f>
        <v>A0</v>
      </c>
    </row>
    <row r="370" spans="1:38" s="6" customFormat="1" ht="15" customHeight="1" x14ac:dyDescent="0.2">
      <c r="A370" s="29" t="s">
        <v>824</v>
      </c>
      <c r="B370" s="29" t="s">
        <v>822</v>
      </c>
      <c r="C370" s="3"/>
      <c r="D370" s="2" t="s">
        <v>956</v>
      </c>
      <c r="E370" s="2" t="s">
        <v>956</v>
      </c>
      <c r="F370" s="2"/>
      <c r="G370" s="2"/>
      <c r="H370" s="2" t="s">
        <v>59</v>
      </c>
      <c r="I370" s="3"/>
      <c r="J370" s="28" t="s">
        <v>73</v>
      </c>
      <c r="K370" s="28"/>
      <c r="L370" s="41" t="s">
        <v>641</v>
      </c>
      <c r="M370" s="4" t="s">
        <v>3</v>
      </c>
      <c r="N370" s="15">
        <v>25555134</v>
      </c>
      <c r="O370" s="88">
        <v>27255551340</v>
      </c>
      <c r="P370" s="38"/>
      <c r="Q370" s="38"/>
      <c r="R370" s="38"/>
      <c r="S370" s="38"/>
      <c r="T370" s="38"/>
      <c r="U370" s="16" t="s">
        <v>796</v>
      </c>
      <c r="V370" s="16" t="s">
        <v>916</v>
      </c>
      <c r="W370" s="12">
        <v>41609</v>
      </c>
      <c r="X370" s="12">
        <v>42460</v>
      </c>
      <c r="Y370" s="12">
        <v>42735</v>
      </c>
      <c r="Z370" s="2" t="s">
        <v>62</v>
      </c>
      <c r="AA370" s="2"/>
      <c r="AB370" s="3"/>
      <c r="AC370" s="5">
        <v>1000</v>
      </c>
      <c r="AD370" s="5"/>
      <c r="AE370" s="5">
        <v>1170</v>
      </c>
      <c r="AF370" s="5">
        <f t="shared" si="355"/>
        <v>1310</v>
      </c>
      <c r="AG370" s="5">
        <f t="shared" si="392"/>
        <v>1310</v>
      </c>
      <c r="AH370" s="5">
        <f t="shared" si="392"/>
        <v>1310</v>
      </c>
      <c r="AI370" s="5">
        <f t="shared" ref="AI370:AJ370" si="397">+AH370</f>
        <v>1310</v>
      </c>
      <c r="AJ370" s="5">
        <f t="shared" si="397"/>
        <v>1310</v>
      </c>
      <c r="AK370" s="2"/>
      <c r="AL370" s="105" t="str">
        <f>+Z370</f>
        <v>A2</v>
      </c>
    </row>
    <row r="371" spans="1:38" s="6" customFormat="1" ht="15" customHeight="1" x14ac:dyDescent="0.2">
      <c r="A371" s="29" t="s">
        <v>824</v>
      </c>
      <c r="B371" s="2" t="s">
        <v>822</v>
      </c>
      <c r="C371" s="3"/>
      <c r="D371" s="2" t="s">
        <v>825</v>
      </c>
      <c r="E371" s="3" t="s">
        <v>18</v>
      </c>
      <c r="F371" s="2" t="s">
        <v>1012</v>
      </c>
      <c r="G371" s="2"/>
      <c r="H371" s="2" t="s">
        <v>20</v>
      </c>
      <c r="I371" s="2" t="s">
        <v>1760</v>
      </c>
      <c r="J371" s="28" t="s">
        <v>548</v>
      </c>
      <c r="K371" s="28" t="s">
        <v>548</v>
      </c>
      <c r="L371" s="44" t="s">
        <v>1001</v>
      </c>
      <c r="M371" s="7" t="s">
        <v>3</v>
      </c>
      <c r="N371" s="47">
        <v>34146409</v>
      </c>
      <c r="O371" s="88" t="s">
        <v>1464</v>
      </c>
      <c r="P371" s="38">
        <v>32430</v>
      </c>
      <c r="Q371" s="38"/>
      <c r="R371" s="38"/>
      <c r="S371" s="38"/>
      <c r="T371" s="38"/>
      <c r="U371" s="17" t="s">
        <v>215</v>
      </c>
      <c r="V371" s="17" t="s">
        <v>915</v>
      </c>
      <c r="W371" s="12">
        <v>41609</v>
      </c>
      <c r="X371" s="12"/>
      <c r="Y371" s="12">
        <v>42735</v>
      </c>
      <c r="Z371" s="2"/>
      <c r="AA371" s="2" t="s">
        <v>479</v>
      </c>
      <c r="AB371" s="7"/>
      <c r="AC371" s="5">
        <v>1000</v>
      </c>
      <c r="AD371" s="5">
        <f>+AC371</f>
        <v>1000</v>
      </c>
      <c r="AE371" s="5">
        <v>1170</v>
      </c>
      <c r="AF371" s="5">
        <f t="shared" si="355"/>
        <v>1310</v>
      </c>
      <c r="AG371" s="5">
        <f t="shared" si="392"/>
        <v>1310</v>
      </c>
      <c r="AH371" s="5">
        <f t="shared" si="392"/>
        <v>1310</v>
      </c>
      <c r="AI371" s="5">
        <f t="shared" ref="AI371:AJ371" si="398">+AH371</f>
        <v>1310</v>
      </c>
      <c r="AJ371" s="5">
        <f t="shared" si="398"/>
        <v>1310</v>
      </c>
      <c r="AK371" s="2"/>
      <c r="AL371" s="106"/>
    </row>
    <row r="372" spans="1:38" s="6" customFormat="1" ht="15" customHeight="1" x14ac:dyDescent="0.2">
      <c r="A372" s="29" t="s">
        <v>824</v>
      </c>
      <c r="B372" s="2" t="s">
        <v>822</v>
      </c>
      <c r="C372" s="3"/>
      <c r="D372" s="2" t="s">
        <v>825</v>
      </c>
      <c r="E372" s="3" t="s">
        <v>18</v>
      </c>
      <c r="F372" s="2" t="s">
        <v>19</v>
      </c>
      <c r="G372" s="2"/>
      <c r="H372" s="2" t="s">
        <v>20</v>
      </c>
      <c r="I372" s="2" t="s">
        <v>1760</v>
      </c>
      <c r="J372" s="28" t="s">
        <v>548</v>
      </c>
      <c r="K372" s="28" t="s">
        <v>548</v>
      </c>
      <c r="L372" s="44" t="s">
        <v>642</v>
      </c>
      <c r="M372" s="4" t="s">
        <v>3</v>
      </c>
      <c r="N372" s="15">
        <v>29548353</v>
      </c>
      <c r="O372" s="88" t="s">
        <v>1351</v>
      </c>
      <c r="P372" s="38">
        <v>30248</v>
      </c>
      <c r="Q372" s="38"/>
      <c r="R372" s="38"/>
      <c r="S372" s="38"/>
      <c r="T372" s="38"/>
      <c r="U372" s="17" t="s">
        <v>215</v>
      </c>
      <c r="V372" s="17" t="s">
        <v>915</v>
      </c>
      <c r="W372" s="12">
        <v>42309</v>
      </c>
      <c r="X372" s="13"/>
      <c r="Y372" s="12">
        <v>42735</v>
      </c>
      <c r="Z372" s="2"/>
      <c r="AA372" s="2" t="s">
        <v>479</v>
      </c>
      <c r="AB372" s="7" t="s">
        <v>787</v>
      </c>
      <c r="AC372" s="5">
        <v>1000</v>
      </c>
      <c r="AD372" s="5">
        <f>+AC372</f>
        <v>1000</v>
      </c>
      <c r="AE372" s="5">
        <v>1170</v>
      </c>
      <c r="AF372" s="5">
        <f t="shared" si="355"/>
        <v>1310</v>
      </c>
      <c r="AG372" s="5">
        <f t="shared" si="392"/>
        <v>1310</v>
      </c>
      <c r="AH372" s="5">
        <f t="shared" si="392"/>
        <v>1310</v>
      </c>
      <c r="AI372" s="5">
        <f t="shared" ref="AI372:AJ372" si="399">+AH372</f>
        <v>1310</v>
      </c>
      <c r="AJ372" s="5">
        <f t="shared" si="399"/>
        <v>1310</v>
      </c>
      <c r="AK372" s="2"/>
      <c r="AL372" s="106"/>
    </row>
    <row r="373" spans="1:38" s="6" customFormat="1" ht="15" customHeight="1" x14ac:dyDescent="0.2">
      <c r="A373" s="29" t="s">
        <v>824</v>
      </c>
      <c r="B373" s="29" t="s">
        <v>822</v>
      </c>
      <c r="C373" s="29" t="s">
        <v>823</v>
      </c>
      <c r="D373" s="2" t="s">
        <v>808</v>
      </c>
      <c r="E373" s="2" t="s">
        <v>909</v>
      </c>
      <c r="F373" s="2" t="s">
        <v>23</v>
      </c>
      <c r="G373" s="3" t="s">
        <v>529</v>
      </c>
      <c r="H373" s="2" t="s">
        <v>238</v>
      </c>
      <c r="I373" s="2" t="s">
        <v>238</v>
      </c>
      <c r="J373" s="28" t="s">
        <v>73</v>
      </c>
      <c r="K373" s="28" t="s">
        <v>1765</v>
      </c>
      <c r="L373" s="43" t="s">
        <v>122</v>
      </c>
      <c r="M373" s="4" t="s">
        <v>3</v>
      </c>
      <c r="N373" s="15">
        <v>33426836</v>
      </c>
      <c r="O373" s="88" t="s">
        <v>1446</v>
      </c>
      <c r="P373" s="38">
        <v>32227</v>
      </c>
      <c r="Q373" s="38"/>
      <c r="R373" s="38"/>
      <c r="S373" s="38"/>
      <c r="T373" s="38"/>
      <c r="U373" s="17" t="s">
        <v>215</v>
      </c>
      <c r="V373" s="17" t="s">
        <v>915</v>
      </c>
      <c r="W373" s="12">
        <v>42217</v>
      </c>
      <c r="X373" s="13"/>
      <c r="Y373" s="12">
        <v>42735</v>
      </c>
      <c r="Z373" s="2"/>
      <c r="AA373" s="2" t="s">
        <v>479</v>
      </c>
      <c r="AB373" s="7" t="s">
        <v>61</v>
      </c>
      <c r="AC373" s="5">
        <v>1000</v>
      </c>
      <c r="AD373" s="5">
        <f>+AC373*1.07</f>
        <v>1070</v>
      </c>
      <c r="AE373" s="5">
        <v>1170</v>
      </c>
      <c r="AF373" s="5">
        <f t="shared" si="355"/>
        <v>1310</v>
      </c>
      <c r="AG373" s="5">
        <f t="shared" si="392"/>
        <v>1310</v>
      </c>
      <c r="AH373" s="5">
        <f t="shared" si="392"/>
        <v>1310</v>
      </c>
      <c r="AI373" s="5">
        <f t="shared" ref="AI373:AJ373" si="400">+AH373</f>
        <v>1310</v>
      </c>
      <c r="AJ373" s="5">
        <f t="shared" si="400"/>
        <v>1310</v>
      </c>
      <c r="AK373" s="29" t="s">
        <v>42</v>
      </c>
      <c r="AL373" s="105" t="str">
        <f>+AK373</f>
        <v>C0</v>
      </c>
    </row>
    <row r="374" spans="1:38" s="6" customFormat="1" ht="15" customHeight="1" x14ac:dyDescent="0.2">
      <c r="A374" s="29" t="s">
        <v>824</v>
      </c>
      <c r="B374" s="29" t="s">
        <v>822</v>
      </c>
      <c r="C374" s="29" t="s">
        <v>823</v>
      </c>
      <c r="D374" s="2" t="s">
        <v>808</v>
      </c>
      <c r="E374" s="2" t="s">
        <v>909</v>
      </c>
      <c r="F374" s="2" t="s">
        <v>23</v>
      </c>
      <c r="G374" s="3" t="s">
        <v>530</v>
      </c>
      <c r="H374" s="2" t="s">
        <v>226</v>
      </c>
      <c r="I374" s="2" t="s">
        <v>222</v>
      </c>
      <c r="J374" s="28" t="s">
        <v>73</v>
      </c>
      <c r="K374" s="28" t="s">
        <v>1765</v>
      </c>
      <c r="L374" s="43" t="s">
        <v>123</v>
      </c>
      <c r="M374" s="4" t="s">
        <v>3</v>
      </c>
      <c r="N374" s="15">
        <v>35569349</v>
      </c>
      <c r="O374" s="88" t="s">
        <v>1500</v>
      </c>
      <c r="P374" s="38">
        <v>33173</v>
      </c>
      <c r="Q374" s="38"/>
      <c r="R374" s="38"/>
      <c r="S374" s="38"/>
      <c r="T374" s="38"/>
      <c r="U374" s="17" t="s">
        <v>215</v>
      </c>
      <c r="V374" s="17" t="s">
        <v>915</v>
      </c>
      <c r="W374" s="12">
        <v>42058</v>
      </c>
      <c r="X374" s="13"/>
      <c r="Y374" s="12">
        <v>42735</v>
      </c>
      <c r="Z374" s="2"/>
      <c r="AA374" s="2" t="s">
        <v>479</v>
      </c>
      <c r="AB374" s="7" t="s">
        <v>784</v>
      </c>
      <c r="AC374" s="5">
        <v>1000</v>
      </c>
      <c r="AD374" s="5">
        <f>+AC374*1.07</f>
        <v>1070</v>
      </c>
      <c r="AE374" s="5">
        <v>1170</v>
      </c>
      <c r="AF374" s="5">
        <f t="shared" si="355"/>
        <v>1310</v>
      </c>
      <c r="AG374" s="5">
        <f t="shared" si="392"/>
        <v>1310</v>
      </c>
      <c r="AH374" s="5">
        <f t="shared" si="392"/>
        <v>1310</v>
      </c>
      <c r="AI374" s="5">
        <f t="shared" ref="AI374:AJ374" si="401">+AH374</f>
        <v>1310</v>
      </c>
      <c r="AJ374" s="5">
        <f t="shared" si="401"/>
        <v>1310</v>
      </c>
      <c r="AK374" s="29" t="s">
        <v>42</v>
      </c>
      <c r="AL374" s="105" t="str">
        <f>+AK374</f>
        <v>C0</v>
      </c>
    </row>
    <row r="375" spans="1:38" s="6" customFormat="1" ht="15" customHeight="1" x14ac:dyDescent="0.2">
      <c r="A375" s="29" t="s">
        <v>824</v>
      </c>
      <c r="B375" s="2" t="s">
        <v>822</v>
      </c>
      <c r="C375" s="29" t="s">
        <v>823</v>
      </c>
      <c r="D375" s="2" t="s">
        <v>1820</v>
      </c>
      <c r="E375" s="2"/>
      <c r="F375" s="2"/>
      <c r="G375" s="3"/>
      <c r="H375" s="2" t="s">
        <v>884</v>
      </c>
      <c r="I375" s="2" t="s">
        <v>1707</v>
      </c>
      <c r="J375" s="28"/>
      <c r="K375" s="28" t="s">
        <v>1765</v>
      </c>
      <c r="L375" s="43" t="s">
        <v>958</v>
      </c>
      <c r="M375" s="7" t="s">
        <v>3</v>
      </c>
      <c r="N375" s="15">
        <v>31018424</v>
      </c>
      <c r="O375" s="88">
        <v>27310184247</v>
      </c>
      <c r="P375" s="38">
        <v>30877</v>
      </c>
      <c r="Q375" s="38"/>
      <c r="R375" s="38"/>
      <c r="S375" s="38"/>
      <c r="T375" s="38"/>
      <c r="U375" s="17" t="s">
        <v>215</v>
      </c>
      <c r="V375" s="17" t="s">
        <v>915</v>
      </c>
      <c r="W375" s="12"/>
      <c r="X375" s="37"/>
      <c r="Y375" s="12">
        <v>42735</v>
      </c>
      <c r="Z375" s="2"/>
      <c r="AA375" s="2" t="s">
        <v>479</v>
      </c>
      <c r="AB375" s="7"/>
      <c r="AC375" s="5">
        <v>1000</v>
      </c>
      <c r="AD375" s="5">
        <f>+AC375*1.07</f>
        <v>1070</v>
      </c>
      <c r="AE375" s="5">
        <v>1170</v>
      </c>
      <c r="AF375" s="5">
        <f t="shared" si="355"/>
        <v>1310</v>
      </c>
      <c r="AG375" s="5">
        <f t="shared" si="392"/>
        <v>1310</v>
      </c>
      <c r="AH375" s="5">
        <f t="shared" si="392"/>
        <v>1310</v>
      </c>
      <c r="AI375" s="5">
        <f t="shared" ref="AI375:AJ375" si="402">+AH375</f>
        <v>1310</v>
      </c>
      <c r="AJ375" s="5">
        <f t="shared" si="402"/>
        <v>1310</v>
      </c>
      <c r="AK375" s="2" t="s">
        <v>53</v>
      </c>
      <c r="AL375" s="105" t="str">
        <f>+AK375</f>
        <v>B0</v>
      </c>
    </row>
    <row r="376" spans="1:38" s="6" customFormat="1" ht="15" customHeight="1" x14ac:dyDescent="0.2">
      <c r="A376" s="29" t="s">
        <v>824</v>
      </c>
      <c r="B376" s="29" t="s">
        <v>822</v>
      </c>
      <c r="C376" s="29" t="s">
        <v>823</v>
      </c>
      <c r="D376" s="2" t="s">
        <v>800</v>
      </c>
      <c r="E376" s="7" t="s">
        <v>497</v>
      </c>
      <c r="F376" s="7"/>
      <c r="G376" s="7"/>
      <c r="H376" s="8"/>
      <c r="I376" s="3"/>
      <c r="J376" s="28" t="s">
        <v>254</v>
      </c>
      <c r="K376" s="28"/>
      <c r="L376" s="42" t="s">
        <v>377</v>
      </c>
      <c r="M376" s="4" t="s">
        <v>3</v>
      </c>
      <c r="N376" s="15">
        <v>12728703</v>
      </c>
      <c r="O376" s="88">
        <v>20127287032</v>
      </c>
      <c r="P376" s="38"/>
      <c r="Q376" s="38"/>
      <c r="R376" s="38"/>
      <c r="S376" s="38"/>
      <c r="T376" s="38"/>
      <c r="U376" s="16" t="s">
        <v>796</v>
      </c>
      <c r="V376" s="16" t="s">
        <v>916</v>
      </c>
      <c r="W376" s="12">
        <v>40603</v>
      </c>
      <c r="X376" s="48">
        <v>42735</v>
      </c>
      <c r="Y376" s="12">
        <v>42735</v>
      </c>
      <c r="Z376" s="2" t="s">
        <v>42</v>
      </c>
      <c r="AA376" s="2"/>
      <c r="AB376" s="18"/>
      <c r="AC376" s="5">
        <v>1000</v>
      </c>
      <c r="AD376" s="5"/>
      <c r="AE376" s="5">
        <v>1170</v>
      </c>
      <c r="AF376" s="5">
        <f t="shared" si="355"/>
        <v>1310</v>
      </c>
      <c r="AG376" s="5">
        <f t="shared" si="392"/>
        <v>1310</v>
      </c>
      <c r="AH376" s="5">
        <f t="shared" si="392"/>
        <v>1310</v>
      </c>
      <c r="AI376" s="5">
        <f t="shared" ref="AI376:AJ376" si="403">+AH376</f>
        <v>1310</v>
      </c>
      <c r="AJ376" s="5">
        <f t="shared" si="403"/>
        <v>1310</v>
      </c>
      <c r="AK376" s="2"/>
      <c r="AL376" s="105" t="str">
        <f>+Z376</f>
        <v>C0</v>
      </c>
    </row>
    <row r="377" spans="1:38" s="6" customFormat="1" ht="15" customHeight="1" x14ac:dyDescent="0.2">
      <c r="A377" s="29" t="s">
        <v>824</v>
      </c>
      <c r="B377" s="2" t="s">
        <v>822</v>
      </c>
      <c r="C377" s="29" t="s">
        <v>823</v>
      </c>
      <c r="D377" s="2" t="s">
        <v>808</v>
      </c>
      <c r="E377" s="2" t="s">
        <v>20</v>
      </c>
      <c r="F377" s="2"/>
      <c r="G377" s="2"/>
      <c r="H377" s="3"/>
      <c r="I377" s="2" t="s">
        <v>1707</v>
      </c>
      <c r="J377" s="28"/>
      <c r="K377" s="28" t="s">
        <v>1765</v>
      </c>
      <c r="L377" s="42" t="s">
        <v>1072</v>
      </c>
      <c r="M377" s="7" t="s">
        <v>3</v>
      </c>
      <c r="N377" s="15">
        <v>16037424</v>
      </c>
      <c r="O377" s="88">
        <v>27160374247</v>
      </c>
      <c r="P377" s="38">
        <v>22728</v>
      </c>
      <c r="Q377" s="38"/>
      <c r="R377" s="38"/>
      <c r="S377" s="38"/>
      <c r="T377" s="38"/>
      <c r="U377" s="17" t="s">
        <v>215</v>
      </c>
      <c r="V377" s="17" t="s">
        <v>915</v>
      </c>
      <c r="W377" s="12">
        <v>42522</v>
      </c>
      <c r="X377" s="19"/>
      <c r="Y377" s="12">
        <v>42735</v>
      </c>
      <c r="Z377" s="2"/>
      <c r="AA377" s="2" t="s">
        <v>479</v>
      </c>
      <c r="AB377" s="2"/>
      <c r="AC377" s="5">
        <v>1000</v>
      </c>
      <c r="AD377" s="5">
        <v>1070</v>
      </c>
      <c r="AE377" s="5">
        <v>1170</v>
      </c>
      <c r="AF377" s="5">
        <f t="shared" si="355"/>
        <v>1310</v>
      </c>
      <c r="AG377" s="5">
        <f t="shared" si="392"/>
        <v>1310</v>
      </c>
      <c r="AH377" s="5">
        <f t="shared" si="392"/>
        <v>1310</v>
      </c>
      <c r="AI377" s="5">
        <f t="shared" ref="AI377:AJ377" si="404">+AH377</f>
        <v>1310</v>
      </c>
      <c r="AJ377" s="5">
        <f t="shared" si="404"/>
        <v>1310</v>
      </c>
      <c r="AK377" s="2" t="s">
        <v>42</v>
      </c>
      <c r="AL377" s="105" t="str">
        <f>+AK377</f>
        <v>C0</v>
      </c>
    </row>
    <row r="378" spans="1:38" s="6" customFormat="1" ht="15" customHeight="1" x14ac:dyDescent="0.2">
      <c r="A378" s="29" t="s">
        <v>824</v>
      </c>
      <c r="B378" s="29" t="s">
        <v>822</v>
      </c>
      <c r="C378" s="29" t="s">
        <v>823</v>
      </c>
      <c r="D378" s="2" t="s">
        <v>800</v>
      </c>
      <c r="E378" s="2" t="s">
        <v>496</v>
      </c>
      <c r="F378" s="2" t="s">
        <v>486</v>
      </c>
      <c r="G378" s="2"/>
      <c r="H378" s="2"/>
      <c r="I378" s="3" t="s">
        <v>1718</v>
      </c>
      <c r="J378" s="28" t="s">
        <v>254</v>
      </c>
      <c r="K378" s="28" t="s">
        <v>1767</v>
      </c>
      <c r="L378" s="42" t="s">
        <v>372</v>
      </c>
      <c r="M378" s="4" t="s">
        <v>3</v>
      </c>
      <c r="N378" s="15">
        <v>22351485</v>
      </c>
      <c r="O378" s="88">
        <v>27223514850</v>
      </c>
      <c r="P378" s="38">
        <v>26313</v>
      </c>
      <c r="Q378" s="38"/>
      <c r="R378" s="38"/>
      <c r="S378" s="38"/>
      <c r="T378" s="38"/>
      <c r="U378" s="17" t="s">
        <v>215</v>
      </c>
      <c r="V378" s="17" t="s">
        <v>915</v>
      </c>
      <c r="W378" s="12">
        <v>40725</v>
      </c>
      <c r="X378" s="13"/>
      <c r="Y378" s="12">
        <v>42735</v>
      </c>
      <c r="Z378" s="2"/>
      <c r="AA378" s="2" t="s">
        <v>479</v>
      </c>
      <c r="AB378" s="24" t="s">
        <v>479</v>
      </c>
      <c r="AC378" s="5">
        <v>1000</v>
      </c>
      <c r="AD378" s="5">
        <f>+AC378*1.07</f>
        <v>1070</v>
      </c>
      <c r="AE378" s="5">
        <v>1170</v>
      </c>
      <c r="AF378" s="5">
        <f t="shared" si="355"/>
        <v>1310</v>
      </c>
      <c r="AG378" s="5">
        <f t="shared" si="392"/>
        <v>1310</v>
      </c>
      <c r="AH378" s="5">
        <f t="shared" si="392"/>
        <v>1310</v>
      </c>
      <c r="AI378" s="5">
        <f t="shared" ref="AI378:AJ378" si="405">+AH378</f>
        <v>1310</v>
      </c>
      <c r="AJ378" s="5">
        <f t="shared" si="405"/>
        <v>1310</v>
      </c>
      <c r="AK378" s="2"/>
      <c r="AL378" s="106"/>
    </row>
    <row r="379" spans="1:38" s="6" customFormat="1" ht="15" customHeight="1" x14ac:dyDescent="0.2">
      <c r="A379" s="29" t="s">
        <v>824</v>
      </c>
      <c r="B379" s="29" t="s">
        <v>822</v>
      </c>
      <c r="C379" s="29" t="s">
        <v>823</v>
      </c>
      <c r="D379" s="2" t="s">
        <v>800</v>
      </c>
      <c r="E379" s="2" t="s">
        <v>489</v>
      </c>
      <c r="F379" s="2"/>
      <c r="G379" s="2"/>
      <c r="H379" s="2"/>
      <c r="I379" s="3" t="s">
        <v>1731</v>
      </c>
      <c r="J379" s="28" t="s">
        <v>254</v>
      </c>
      <c r="K379" s="28" t="s">
        <v>1767</v>
      </c>
      <c r="L379" s="42" t="s">
        <v>643</v>
      </c>
      <c r="M379" s="4" t="s">
        <v>3</v>
      </c>
      <c r="N379" s="15">
        <v>17476516</v>
      </c>
      <c r="O379" s="88" t="s">
        <v>1174</v>
      </c>
      <c r="P379" s="38">
        <v>23948</v>
      </c>
      <c r="Q379" s="38"/>
      <c r="R379" s="38"/>
      <c r="S379" s="38"/>
      <c r="T379" s="38"/>
      <c r="U379" s="17" t="s">
        <v>215</v>
      </c>
      <c r="V379" s="17" t="s">
        <v>915</v>
      </c>
      <c r="W379" s="12">
        <v>41275</v>
      </c>
      <c r="X379" s="13"/>
      <c r="Y379" s="12">
        <v>42735</v>
      </c>
      <c r="Z379" s="2"/>
      <c r="AA379" s="2" t="s">
        <v>479</v>
      </c>
      <c r="AB379" s="24" t="s">
        <v>479</v>
      </c>
      <c r="AC379" s="5">
        <v>1000</v>
      </c>
      <c r="AD379" s="5">
        <v>1070</v>
      </c>
      <c r="AE379" s="5">
        <v>1170</v>
      </c>
      <c r="AF379" s="5">
        <f t="shared" si="355"/>
        <v>1310</v>
      </c>
      <c r="AG379" s="5">
        <f t="shared" si="392"/>
        <v>1310</v>
      </c>
      <c r="AH379" s="5">
        <f t="shared" si="392"/>
        <v>1310</v>
      </c>
      <c r="AI379" s="5">
        <f t="shared" ref="AI379:AJ379" si="406">+AH379</f>
        <v>1310</v>
      </c>
      <c r="AJ379" s="5">
        <f t="shared" si="406"/>
        <v>1310</v>
      </c>
      <c r="AK379" s="29" t="s">
        <v>42</v>
      </c>
      <c r="AL379" s="105" t="str">
        <f>+AK379</f>
        <v>C0</v>
      </c>
    </row>
    <row r="380" spans="1:38" s="6" customFormat="1" ht="15" customHeight="1" x14ac:dyDescent="0.2">
      <c r="A380" s="29" t="s">
        <v>824</v>
      </c>
      <c r="B380" s="29" t="s">
        <v>822</v>
      </c>
      <c r="C380" s="29" t="s">
        <v>823</v>
      </c>
      <c r="D380" s="2" t="s">
        <v>808</v>
      </c>
      <c r="E380" s="2" t="s">
        <v>909</v>
      </c>
      <c r="F380" s="2" t="s">
        <v>23</v>
      </c>
      <c r="G380" s="3" t="s">
        <v>531</v>
      </c>
      <c r="H380" s="2" t="s">
        <v>226</v>
      </c>
      <c r="I380" s="2" t="s">
        <v>222</v>
      </c>
      <c r="J380" s="28" t="s">
        <v>73</v>
      </c>
      <c r="K380" s="28" t="s">
        <v>1765</v>
      </c>
      <c r="L380" s="43" t="s">
        <v>124</v>
      </c>
      <c r="M380" s="4" t="s">
        <v>3</v>
      </c>
      <c r="N380" s="15">
        <v>35111771</v>
      </c>
      <c r="O380" s="88" t="s">
        <v>1486</v>
      </c>
      <c r="P380" s="38">
        <v>32908</v>
      </c>
      <c r="Q380" s="38"/>
      <c r="R380" s="38"/>
      <c r="S380" s="38"/>
      <c r="T380" s="38"/>
      <c r="U380" s="17" t="s">
        <v>215</v>
      </c>
      <c r="V380" s="17" t="s">
        <v>915</v>
      </c>
      <c r="W380" s="12">
        <v>42217</v>
      </c>
      <c r="X380" s="13"/>
      <c r="Y380" s="12">
        <v>42735</v>
      </c>
      <c r="Z380" s="2"/>
      <c r="AA380" s="2" t="s">
        <v>479</v>
      </c>
      <c r="AB380" s="7" t="s">
        <v>61</v>
      </c>
      <c r="AC380" s="5">
        <v>1000</v>
      </c>
      <c r="AD380" s="5">
        <f>+AC380*1.07</f>
        <v>1070</v>
      </c>
      <c r="AE380" s="5">
        <v>1170</v>
      </c>
      <c r="AF380" s="5">
        <f t="shared" si="355"/>
        <v>1310</v>
      </c>
      <c r="AG380" s="5">
        <f t="shared" si="392"/>
        <v>1310</v>
      </c>
      <c r="AH380" s="5">
        <f t="shared" si="392"/>
        <v>1310</v>
      </c>
      <c r="AI380" s="5">
        <f t="shared" ref="AI380:AJ380" si="407">+AH380</f>
        <v>1310</v>
      </c>
      <c r="AJ380" s="5">
        <f t="shared" si="407"/>
        <v>1310</v>
      </c>
      <c r="AK380" s="29" t="s">
        <v>42</v>
      </c>
      <c r="AL380" s="105" t="str">
        <f>+AK380</f>
        <v>C0</v>
      </c>
    </row>
    <row r="381" spans="1:38" s="6" customFormat="1" ht="15" customHeight="1" x14ac:dyDescent="0.2">
      <c r="A381" s="29" t="s">
        <v>824</v>
      </c>
      <c r="B381" s="29" t="s">
        <v>822</v>
      </c>
      <c r="C381" s="29" t="s">
        <v>823</v>
      </c>
      <c r="D381" s="2" t="s">
        <v>800</v>
      </c>
      <c r="E381" s="7" t="s">
        <v>497</v>
      </c>
      <c r="F381" s="7"/>
      <c r="G381" s="7"/>
      <c r="H381" s="8"/>
      <c r="I381" s="3" t="s">
        <v>1714</v>
      </c>
      <c r="J381" s="28" t="s">
        <v>254</v>
      </c>
      <c r="K381" s="28" t="s">
        <v>1767</v>
      </c>
      <c r="L381" s="42" t="s">
        <v>385</v>
      </c>
      <c r="M381" s="4" t="s">
        <v>3</v>
      </c>
      <c r="N381" s="15">
        <v>26053585</v>
      </c>
      <c r="O381" s="88" t="s">
        <v>1280</v>
      </c>
      <c r="P381" s="38">
        <v>28416</v>
      </c>
      <c r="Q381" s="38"/>
      <c r="R381" s="38"/>
      <c r="S381" s="38"/>
      <c r="T381" s="38"/>
      <c r="U381" s="17" t="s">
        <v>215</v>
      </c>
      <c r="V381" s="17" t="s">
        <v>915</v>
      </c>
      <c r="W381" s="12"/>
      <c r="X381" s="13"/>
      <c r="Y381" s="12">
        <v>42735</v>
      </c>
      <c r="Z381" s="2"/>
      <c r="AA381" s="2" t="s">
        <v>479</v>
      </c>
      <c r="AB381" s="24" t="s">
        <v>479</v>
      </c>
      <c r="AC381" s="5">
        <v>1000</v>
      </c>
      <c r="AD381" s="5">
        <v>1070</v>
      </c>
      <c r="AE381" s="5">
        <v>1170</v>
      </c>
      <c r="AF381" s="5">
        <f t="shared" si="355"/>
        <v>1310</v>
      </c>
      <c r="AG381" s="5">
        <f t="shared" si="392"/>
        <v>1310</v>
      </c>
      <c r="AH381" s="5">
        <f t="shared" si="392"/>
        <v>1310</v>
      </c>
      <c r="AI381" s="5">
        <f t="shared" ref="AI381:AJ381" si="408">+AH381</f>
        <v>1310</v>
      </c>
      <c r="AJ381" s="5">
        <f t="shared" si="408"/>
        <v>1310</v>
      </c>
      <c r="AK381" s="29" t="s">
        <v>42</v>
      </c>
      <c r="AL381" s="105" t="str">
        <f>+AK381</f>
        <v>C0</v>
      </c>
    </row>
    <row r="382" spans="1:38" s="6" customFormat="1" ht="15" customHeight="1" x14ac:dyDescent="0.2">
      <c r="A382" s="29" t="s">
        <v>824</v>
      </c>
      <c r="B382" s="29"/>
      <c r="C382" s="14"/>
      <c r="D382" s="2" t="s">
        <v>819</v>
      </c>
      <c r="E382" s="2"/>
      <c r="F382" s="3"/>
      <c r="G382" s="3"/>
      <c r="H382" s="2" t="s">
        <v>884</v>
      </c>
      <c r="I382" s="2" t="s">
        <v>1707</v>
      </c>
      <c r="J382" s="28"/>
      <c r="K382" s="28" t="s">
        <v>1765</v>
      </c>
      <c r="L382" s="41" t="s">
        <v>861</v>
      </c>
      <c r="M382" s="4" t="s">
        <v>3</v>
      </c>
      <c r="N382" s="15">
        <v>10795536</v>
      </c>
      <c r="O382" s="88" t="s">
        <v>1146</v>
      </c>
      <c r="P382" s="38">
        <v>19620</v>
      </c>
      <c r="Q382" s="38"/>
      <c r="R382" s="38"/>
      <c r="S382" s="38"/>
      <c r="T382" s="38"/>
      <c r="U382" s="17" t="s">
        <v>215</v>
      </c>
      <c r="V382" s="17" t="s">
        <v>915</v>
      </c>
      <c r="W382" s="12">
        <v>42370</v>
      </c>
      <c r="X382" s="48"/>
      <c r="Y382" s="12">
        <v>42735</v>
      </c>
      <c r="Z382" s="2"/>
      <c r="AA382" s="2" t="s">
        <v>479</v>
      </c>
      <c r="AB382" s="3" t="s">
        <v>10</v>
      </c>
      <c r="AC382" s="5">
        <v>1000</v>
      </c>
      <c r="AD382" s="5">
        <f>+AC382*1.07</f>
        <v>1070</v>
      </c>
      <c r="AE382" s="5">
        <v>1170</v>
      </c>
      <c r="AF382" s="5">
        <f t="shared" si="355"/>
        <v>1310</v>
      </c>
      <c r="AG382" s="5">
        <f t="shared" si="392"/>
        <v>1310</v>
      </c>
      <c r="AH382" s="5">
        <f t="shared" si="392"/>
        <v>1310</v>
      </c>
      <c r="AI382" s="5">
        <f t="shared" ref="AI382:AJ382" si="409">+AH382</f>
        <v>1310</v>
      </c>
      <c r="AJ382" s="5">
        <f t="shared" si="409"/>
        <v>1310</v>
      </c>
      <c r="AK382" s="2" t="s">
        <v>43</v>
      </c>
      <c r="AL382" s="105" t="str">
        <f>+AK382</f>
        <v>A0</v>
      </c>
    </row>
    <row r="383" spans="1:38" s="6" customFormat="1" ht="15" customHeight="1" x14ac:dyDescent="0.2">
      <c r="A383" s="29" t="s">
        <v>824</v>
      </c>
      <c r="B383" s="29" t="s">
        <v>822</v>
      </c>
      <c r="C383" s="14"/>
      <c r="D383" s="2" t="s">
        <v>928</v>
      </c>
      <c r="E383" s="2" t="s">
        <v>11</v>
      </c>
      <c r="F383" s="2"/>
      <c r="G383" s="2"/>
      <c r="H383" s="2"/>
      <c r="I383" s="2" t="s">
        <v>1707</v>
      </c>
      <c r="J383" s="28"/>
      <c r="K383" s="28" t="s">
        <v>1765</v>
      </c>
      <c r="L383" s="41" t="s">
        <v>948</v>
      </c>
      <c r="M383" s="4" t="s">
        <v>3</v>
      </c>
      <c r="N383" s="15">
        <v>31014183</v>
      </c>
      <c r="O383" s="88">
        <v>20310141837</v>
      </c>
      <c r="P383" s="38">
        <v>30935</v>
      </c>
      <c r="Q383" s="38"/>
      <c r="R383" s="38"/>
      <c r="S383" s="38"/>
      <c r="T383" s="38"/>
      <c r="U383" s="17" t="s">
        <v>215</v>
      </c>
      <c r="V383" s="17" t="s">
        <v>915</v>
      </c>
      <c r="W383" s="12"/>
      <c r="X383" s="12"/>
      <c r="Y383" s="12">
        <v>42735</v>
      </c>
      <c r="Z383" s="2"/>
      <c r="AA383" s="2" t="s">
        <v>479</v>
      </c>
      <c r="AB383" s="3"/>
      <c r="AC383" s="5">
        <v>1000</v>
      </c>
      <c r="AD383" s="5">
        <f>+AC383*1.07</f>
        <v>1070</v>
      </c>
      <c r="AE383" s="5">
        <v>1170</v>
      </c>
      <c r="AF383" s="5">
        <f t="shared" si="355"/>
        <v>1310</v>
      </c>
      <c r="AG383" s="5">
        <f t="shared" si="392"/>
        <v>1310</v>
      </c>
      <c r="AH383" s="5">
        <f t="shared" si="392"/>
        <v>1310</v>
      </c>
      <c r="AI383" s="5">
        <f t="shared" ref="AI383:AJ383" si="410">+AH383</f>
        <v>1310</v>
      </c>
      <c r="AJ383" s="5">
        <f t="shared" si="410"/>
        <v>1310</v>
      </c>
      <c r="AK383" s="2" t="s">
        <v>42</v>
      </c>
      <c r="AL383" s="105" t="str">
        <f>+AK383</f>
        <v>C0</v>
      </c>
    </row>
    <row r="384" spans="1:38" s="6" customFormat="1" ht="15" customHeight="1" x14ac:dyDescent="0.2">
      <c r="A384" s="29" t="s">
        <v>824</v>
      </c>
      <c r="B384" s="29" t="s">
        <v>822</v>
      </c>
      <c r="C384" s="29" t="s">
        <v>823</v>
      </c>
      <c r="D384" s="2" t="s">
        <v>1820</v>
      </c>
      <c r="E384" s="2"/>
      <c r="F384" s="2"/>
      <c r="G384" s="2"/>
      <c r="H384" s="2" t="s">
        <v>224</v>
      </c>
      <c r="I384" s="3"/>
      <c r="J384" s="28"/>
      <c r="K384" s="28"/>
      <c r="L384" s="41" t="s">
        <v>801</v>
      </c>
      <c r="M384" s="4" t="s">
        <v>3</v>
      </c>
      <c r="N384" s="15">
        <v>31541032</v>
      </c>
      <c r="O384" s="88">
        <v>20315410321</v>
      </c>
      <c r="P384" s="61"/>
      <c r="Q384" s="61"/>
      <c r="R384" s="61"/>
      <c r="S384" s="61"/>
      <c r="T384" s="61"/>
      <c r="U384" s="16" t="s">
        <v>796</v>
      </c>
      <c r="V384" s="16" t="s">
        <v>916</v>
      </c>
      <c r="W384" s="12">
        <v>40360</v>
      </c>
      <c r="X384" s="48">
        <v>42735</v>
      </c>
      <c r="Y384" s="12">
        <v>42735</v>
      </c>
      <c r="Z384" s="2" t="s">
        <v>17</v>
      </c>
      <c r="AA384" s="2"/>
      <c r="AB384" s="7"/>
      <c r="AC384" s="5">
        <v>1000</v>
      </c>
      <c r="AD384" s="5"/>
      <c r="AE384" s="5">
        <v>1170</v>
      </c>
      <c r="AF384" s="5">
        <f t="shared" si="355"/>
        <v>1310</v>
      </c>
      <c r="AG384" s="5">
        <f t="shared" si="392"/>
        <v>1310</v>
      </c>
      <c r="AH384" s="5">
        <f t="shared" si="392"/>
        <v>1310</v>
      </c>
      <c r="AI384" s="5">
        <f t="shared" ref="AI384:AJ384" si="411">+AH384</f>
        <v>1310</v>
      </c>
      <c r="AJ384" s="5">
        <f t="shared" si="411"/>
        <v>1310</v>
      </c>
      <c r="AK384" s="2"/>
      <c r="AL384" s="105" t="str">
        <f>+Z384</f>
        <v>C1</v>
      </c>
    </row>
    <row r="385" spans="1:38" s="6" customFormat="1" ht="15" customHeight="1" x14ac:dyDescent="0.2">
      <c r="A385" s="29" t="s">
        <v>824</v>
      </c>
      <c r="B385" s="29" t="s">
        <v>822</v>
      </c>
      <c r="C385" s="29" t="s">
        <v>823</v>
      </c>
      <c r="D385" s="2" t="s">
        <v>800</v>
      </c>
      <c r="E385" s="7" t="s">
        <v>503</v>
      </c>
      <c r="F385" s="7"/>
      <c r="G385" s="7"/>
      <c r="H385" s="8"/>
      <c r="I385" s="3"/>
      <c r="J385" s="28" t="s">
        <v>254</v>
      </c>
      <c r="K385" s="28"/>
      <c r="L385" s="42" t="s">
        <v>469</v>
      </c>
      <c r="M385" s="4" t="s">
        <v>3</v>
      </c>
      <c r="N385" s="15">
        <v>29117820</v>
      </c>
      <c r="O385" s="88">
        <v>24291178207</v>
      </c>
      <c r="P385" s="38"/>
      <c r="Q385" s="38"/>
      <c r="R385" s="38"/>
      <c r="S385" s="38"/>
      <c r="T385" s="38"/>
      <c r="U385" s="16" t="s">
        <v>796</v>
      </c>
      <c r="V385" s="16" t="s">
        <v>916</v>
      </c>
      <c r="W385" s="12">
        <v>40603</v>
      </c>
      <c r="X385" s="48">
        <v>42735</v>
      </c>
      <c r="Y385" s="12">
        <v>42735</v>
      </c>
      <c r="Z385" s="2" t="s">
        <v>42</v>
      </c>
      <c r="AA385" s="2"/>
      <c r="AB385" s="18"/>
      <c r="AC385" s="5">
        <v>1000</v>
      </c>
      <c r="AD385" s="5"/>
      <c r="AE385" s="5">
        <v>1170</v>
      </c>
      <c r="AF385" s="5">
        <f t="shared" si="355"/>
        <v>1310</v>
      </c>
      <c r="AG385" s="5">
        <f t="shared" si="392"/>
        <v>1310</v>
      </c>
      <c r="AH385" s="5">
        <f t="shared" si="392"/>
        <v>1310</v>
      </c>
      <c r="AI385" s="5">
        <f t="shared" ref="AI385:AJ385" si="412">+AH385</f>
        <v>1310</v>
      </c>
      <c r="AJ385" s="5">
        <f t="shared" si="412"/>
        <v>1310</v>
      </c>
      <c r="AK385" s="2"/>
      <c r="AL385" s="105" t="str">
        <f>+Z385</f>
        <v>C0</v>
      </c>
    </row>
    <row r="386" spans="1:38" s="6" customFormat="1" ht="15" customHeight="1" x14ac:dyDescent="0.2">
      <c r="A386" s="29" t="s">
        <v>824</v>
      </c>
      <c r="B386" s="29" t="s">
        <v>822</v>
      </c>
      <c r="C386" s="29" t="s">
        <v>823</v>
      </c>
      <c r="D386" s="2" t="s">
        <v>800</v>
      </c>
      <c r="E386" s="7" t="s">
        <v>497</v>
      </c>
      <c r="F386" s="7"/>
      <c r="G386" s="7"/>
      <c r="H386" s="8"/>
      <c r="I386" s="3"/>
      <c r="J386" s="28" t="s">
        <v>254</v>
      </c>
      <c r="K386" s="28"/>
      <c r="L386" s="42" t="s">
        <v>378</v>
      </c>
      <c r="M386" s="4" t="s">
        <v>3</v>
      </c>
      <c r="N386" s="15">
        <v>34690282</v>
      </c>
      <c r="O386" s="88">
        <v>20346902826</v>
      </c>
      <c r="P386" s="38"/>
      <c r="Q386" s="38"/>
      <c r="R386" s="38"/>
      <c r="S386" s="38"/>
      <c r="T386" s="38"/>
      <c r="U386" s="16" t="s">
        <v>796</v>
      </c>
      <c r="V386" s="16" t="s">
        <v>916</v>
      </c>
      <c r="W386" s="12">
        <v>41456</v>
      </c>
      <c r="X386" s="12">
        <v>42460</v>
      </c>
      <c r="Y386" s="12">
        <v>42735</v>
      </c>
      <c r="Z386" s="2" t="s">
        <v>49</v>
      </c>
      <c r="AA386" s="2"/>
      <c r="AB386" s="18"/>
      <c r="AC386" s="5">
        <v>1000</v>
      </c>
      <c r="AD386" s="5"/>
      <c r="AE386" s="5">
        <v>1170</v>
      </c>
      <c r="AF386" s="5">
        <f t="shared" si="355"/>
        <v>1310</v>
      </c>
      <c r="AG386" s="5">
        <f t="shared" si="392"/>
        <v>1310</v>
      </c>
      <c r="AH386" s="5">
        <f t="shared" si="392"/>
        <v>1310</v>
      </c>
      <c r="AI386" s="5">
        <f t="shared" ref="AI386:AJ386" si="413">+AH386</f>
        <v>1310</v>
      </c>
      <c r="AJ386" s="5">
        <f t="shared" si="413"/>
        <v>1310</v>
      </c>
      <c r="AK386" s="2"/>
      <c r="AL386" s="105" t="str">
        <f>+Z386</f>
        <v>D1</v>
      </c>
    </row>
    <row r="387" spans="1:38" s="6" customFormat="1" ht="15" customHeight="1" x14ac:dyDescent="0.2">
      <c r="A387" s="29" t="s">
        <v>824</v>
      </c>
      <c r="B387" s="29"/>
      <c r="C387" s="14"/>
      <c r="D387" s="2" t="s">
        <v>820</v>
      </c>
      <c r="E387" s="2" t="s">
        <v>837</v>
      </c>
      <c r="F387" s="3"/>
      <c r="G387" s="3" t="s">
        <v>522</v>
      </c>
      <c r="H387" s="2" t="s">
        <v>221</v>
      </c>
      <c r="I387" s="3"/>
      <c r="J387" s="28" t="s">
        <v>73</v>
      </c>
      <c r="K387" s="28"/>
      <c r="L387" s="45" t="s">
        <v>125</v>
      </c>
      <c r="M387" s="4" t="s">
        <v>3</v>
      </c>
      <c r="N387" s="15">
        <v>29894708</v>
      </c>
      <c r="O387" s="88">
        <v>27298947086</v>
      </c>
      <c r="P387" s="61"/>
      <c r="Q387" s="61"/>
      <c r="R387" s="61"/>
      <c r="S387" s="61"/>
      <c r="T387" s="61"/>
      <c r="U387" s="16" t="s">
        <v>796</v>
      </c>
      <c r="V387" s="16" t="s">
        <v>916</v>
      </c>
      <c r="W387" s="12">
        <v>40700</v>
      </c>
      <c r="X387" s="48">
        <v>42735</v>
      </c>
      <c r="Y387" s="12">
        <v>42735</v>
      </c>
      <c r="Z387" s="2" t="s">
        <v>53</v>
      </c>
      <c r="AA387" s="2"/>
      <c r="AB387" s="14"/>
      <c r="AC387" s="5">
        <v>1000</v>
      </c>
      <c r="AD387" s="5"/>
      <c r="AE387" s="5">
        <v>1170</v>
      </c>
      <c r="AF387" s="5">
        <f t="shared" si="355"/>
        <v>1310</v>
      </c>
      <c r="AG387" s="5">
        <f t="shared" si="392"/>
        <v>1310</v>
      </c>
      <c r="AH387" s="5">
        <f t="shared" si="392"/>
        <v>1310</v>
      </c>
      <c r="AI387" s="5">
        <f t="shared" ref="AI387:AJ387" si="414">+AH387</f>
        <v>1310</v>
      </c>
      <c r="AJ387" s="5">
        <f t="shared" si="414"/>
        <v>1310</v>
      </c>
      <c r="AK387" s="2"/>
      <c r="AL387" s="105" t="str">
        <f>+Z387</f>
        <v>B0</v>
      </c>
    </row>
    <row r="388" spans="1:38" s="6" customFormat="1" ht="15" customHeight="1" x14ac:dyDescent="0.2">
      <c r="A388" s="29" t="s">
        <v>824</v>
      </c>
      <c r="B388" s="2" t="s">
        <v>822</v>
      </c>
      <c r="C388" s="3"/>
      <c r="D388" s="2" t="s">
        <v>825</v>
      </c>
      <c r="E388" s="3" t="s">
        <v>18</v>
      </c>
      <c r="F388" s="2" t="s">
        <v>19</v>
      </c>
      <c r="G388" s="2"/>
      <c r="H388" s="2" t="s">
        <v>21</v>
      </c>
      <c r="I388" s="2" t="s">
        <v>1707</v>
      </c>
      <c r="J388" s="28" t="s">
        <v>548</v>
      </c>
      <c r="K388" s="28" t="s">
        <v>548</v>
      </c>
      <c r="L388" s="41" t="s">
        <v>644</v>
      </c>
      <c r="M388" s="4" t="s">
        <v>3</v>
      </c>
      <c r="N388" s="15">
        <v>38444374</v>
      </c>
      <c r="O388" s="88" t="s">
        <v>1548</v>
      </c>
      <c r="P388" s="38">
        <v>34555</v>
      </c>
      <c r="Q388" s="38"/>
      <c r="R388" s="38"/>
      <c r="S388" s="38"/>
      <c r="T388" s="38"/>
      <c r="U388" s="17" t="s">
        <v>215</v>
      </c>
      <c r="V388" s="17" t="s">
        <v>915</v>
      </c>
      <c r="W388" s="12">
        <v>41589</v>
      </c>
      <c r="X388" s="13"/>
      <c r="Y388" s="12">
        <v>42735</v>
      </c>
      <c r="Z388" s="2"/>
      <c r="AA388" s="2" t="s">
        <v>479</v>
      </c>
      <c r="AB388" s="7" t="s">
        <v>787</v>
      </c>
      <c r="AC388" s="5">
        <v>1000</v>
      </c>
      <c r="AD388" s="5">
        <f>+AC388*1.07</f>
        <v>1070</v>
      </c>
      <c r="AE388" s="5">
        <v>1170</v>
      </c>
      <c r="AF388" s="5">
        <f t="shared" si="355"/>
        <v>1310</v>
      </c>
      <c r="AG388" s="5">
        <f t="shared" si="392"/>
        <v>1310</v>
      </c>
      <c r="AH388" s="5">
        <f t="shared" si="392"/>
        <v>1310</v>
      </c>
      <c r="AI388" s="5">
        <f t="shared" ref="AI388:AJ388" si="415">+AH388</f>
        <v>1310</v>
      </c>
      <c r="AJ388" s="5">
        <f t="shared" si="415"/>
        <v>1310</v>
      </c>
      <c r="AK388" s="2"/>
      <c r="AL388" s="106"/>
    </row>
    <row r="389" spans="1:38" s="6" customFormat="1" ht="15" customHeight="1" x14ac:dyDescent="0.2">
      <c r="A389" s="29" t="s">
        <v>824</v>
      </c>
      <c r="B389" s="29" t="s">
        <v>822</v>
      </c>
      <c r="C389" s="29" t="s">
        <v>823</v>
      </c>
      <c r="D389" s="2" t="s">
        <v>808</v>
      </c>
      <c r="E389" s="2" t="s">
        <v>20</v>
      </c>
      <c r="F389" s="3"/>
      <c r="G389" s="3"/>
      <c r="H389" s="2" t="s">
        <v>221</v>
      </c>
      <c r="I389" s="2" t="s">
        <v>235</v>
      </c>
      <c r="J389" s="28" t="s">
        <v>73</v>
      </c>
      <c r="K389" s="28" t="s">
        <v>1765</v>
      </c>
      <c r="L389" s="43" t="s">
        <v>536</v>
      </c>
      <c r="M389" s="4" t="s">
        <v>3</v>
      </c>
      <c r="N389" s="15">
        <v>35728494</v>
      </c>
      <c r="O389" s="88" t="s">
        <v>1503</v>
      </c>
      <c r="P389" s="38">
        <v>33261</v>
      </c>
      <c r="Q389" s="38"/>
      <c r="R389" s="38"/>
      <c r="S389" s="38"/>
      <c r="T389" s="38"/>
      <c r="U389" s="17" t="s">
        <v>215</v>
      </c>
      <c r="V389" s="17" t="s">
        <v>915</v>
      </c>
      <c r="W389" s="12">
        <v>42128</v>
      </c>
      <c r="X389" s="13"/>
      <c r="Y389" s="12">
        <v>42735</v>
      </c>
      <c r="Z389" s="2"/>
      <c r="AA389" s="2" t="s">
        <v>479</v>
      </c>
      <c r="AB389" s="2" t="s">
        <v>546</v>
      </c>
      <c r="AC389" s="5">
        <v>1000</v>
      </c>
      <c r="AD389" s="5">
        <f>+AC389*1.07</f>
        <v>1070</v>
      </c>
      <c r="AE389" s="5">
        <v>1170</v>
      </c>
      <c r="AF389" s="5">
        <f t="shared" si="355"/>
        <v>1310</v>
      </c>
      <c r="AG389" s="5">
        <f t="shared" si="392"/>
        <v>1310</v>
      </c>
      <c r="AH389" s="5">
        <f t="shared" si="392"/>
        <v>1310</v>
      </c>
      <c r="AI389" s="5">
        <f t="shared" ref="AI389:AJ389" si="416">+AH389</f>
        <v>1310</v>
      </c>
      <c r="AJ389" s="5">
        <f t="shared" si="416"/>
        <v>1310</v>
      </c>
      <c r="AK389" s="2" t="s">
        <v>53</v>
      </c>
      <c r="AL389" s="105" t="str">
        <f>+AK389</f>
        <v>B0</v>
      </c>
    </row>
    <row r="390" spans="1:38" s="6" customFormat="1" ht="15" customHeight="1" x14ac:dyDescent="0.2">
      <c r="A390" s="29" t="s">
        <v>824</v>
      </c>
      <c r="B390" s="29" t="s">
        <v>822</v>
      </c>
      <c r="C390" s="29" t="s">
        <v>823</v>
      </c>
      <c r="D390" s="2" t="s">
        <v>808</v>
      </c>
      <c r="E390" s="2"/>
      <c r="F390" s="3"/>
      <c r="G390" s="3"/>
      <c r="H390" s="2" t="s">
        <v>1637</v>
      </c>
      <c r="I390" s="2" t="s">
        <v>1707</v>
      </c>
      <c r="J390" s="28"/>
      <c r="K390" s="28" t="s">
        <v>1765</v>
      </c>
      <c r="L390" s="41" t="s">
        <v>1636</v>
      </c>
      <c r="M390" s="7" t="s">
        <v>3</v>
      </c>
      <c r="N390" s="15">
        <v>10424747</v>
      </c>
      <c r="O390" s="88">
        <v>20104247475</v>
      </c>
      <c r="P390" s="38">
        <v>19097</v>
      </c>
      <c r="Q390" s="38"/>
      <c r="R390" s="38"/>
      <c r="S390" s="38"/>
      <c r="T390" s="38"/>
      <c r="U390" s="17" t="s">
        <v>215</v>
      </c>
      <c r="V390" s="17" t="s">
        <v>915</v>
      </c>
      <c r="W390" s="12">
        <v>42522</v>
      </c>
      <c r="X390" s="48"/>
      <c r="Y390" s="48">
        <v>42735</v>
      </c>
      <c r="Z390" s="2"/>
      <c r="AA390" s="2" t="s">
        <v>479</v>
      </c>
      <c r="AB390" s="3"/>
      <c r="AC390" s="5"/>
      <c r="AD390" s="5">
        <v>1070</v>
      </c>
      <c r="AE390" s="5">
        <v>1170</v>
      </c>
      <c r="AF390" s="5">
        <f t="shared" si="355"/>
        <v>0</v>
      </c>
      <c r="AG390" s="5">
        <f t="shared" si="392"/>
        <v>0</v>
      </c>
      <c r="AH390" s="5">
        <f t="shared" si="392"/>
        <v>0</v>
      </c>
      <c r="AI390" s="5">
        <f t="shared" ref="AI390:AJ390" si="417">+AH390</f>
        <v>0</v>
      </c>
      <c r="AJ390" s="5">
        <f t="shared" si="417"/>
        <v>0</v>
      </c>
      <c r="AK390" s="2" t="s">
        <v>43</v>
      </c>
      <c r="AL390" s="105" t="str">
        <f>+AK390</f>
        <v>A0</v>
      </c>
    </row>
    <row r="391" spans="1:38" s="6" customFormat="1" ht="15" customHeight="1" x14ac:dyDescent="0.2">
      <c r="A391" s="29" t="s">
        <v>824</v>
      </c>
      <c r="B391" s="2" t="s">
        <v>1098</v>
      </c>
      <c r="C391" s="14"/>
      <c r="D391" s="2" t="s">
        <v>1833</v>
      </c>
      <c r="E391" s="2"/>
      <c r="F391" s="3"/>
      <c r="G391" s="3"/>
      <c r="H391" s="2" t="s">
        <v>884</v>
      </c>
      <c r="I391" s="2" t="s">
        <v>1707</v>
      </c>
      <c r="J391" s="28"/>
      <c r="K391" s="28" t="s">
        <v>1765</v>
      </c>
      <c r="L391" s="41" t="s">
        <v>845</v>
      </c>
      <c r="M391" s="4" t="s">
        <v>3</v>
      </c>
      <c r="N391" s="15">
        <v>20372601</v>
      </c>
      <c r="O391" s="88">
        <v>27203726010</v>
      </c>
      <c r="P391" s="38">
        <v>24996</v>
      </c>
      <c r="Q391" s="38"/>
      <c r="R391" s="38"/>
      <c r="S391" s="38"/>
      <c r="T391" s="38"/>
      <c r="U391" s="17" t="s">
        <v>215</v>
      </c>
      <c r="V391" s="17" t="s">
        <v>915</v>
      </c>
      <c r="W391" s="12">
        <v>42370</v>
      </c>
      <c r="X391" s="48"/>
      <c r="Y391" s="12">
        <v>42735</v>
      </c>
      <c r="Z391" s="2"/>
      <c r="AA391" s="2" t="s">
        <v>479</v>
      </c>
      <c r="AB391" s="3" t="s">
        <v>10</v>
      </c>
      <c r="AC391" s="5">
        <v>1000</v>
      </c>
      <c r="AD391" s="5">
        <f>+AC391*1.07</f>
        <v>1070</v>
      </c>
      <c r="AE391" s="5">
        <v>1170</v>
      </c>
      <c r="AF391" s="5">
        <f t="shared" si="355"/>
        <v>1310</v>
      </c>
      <c r="AG391" s="5">
        <f t="shared" si="392"/>
        <v>1310</v>
      </c>
      <c r="AH391" s="5">
        <f t="shared" si="392"/>
        <v>1310</v>
      </c>
      <c r="AI391" s="5">
        <f t="shared" ref="AI391:AJ391" si="418">+AH391</f>
        <v>1310</v>
      </c>
      <c r="AJ391" s="5">
        <f t="shared" si="418"/>
        <v>1310</v>
      </c>
      <c r="AK391" s="2" t="s">
        <v>43</v>
      </c>
      <c r="AL391" s="105" t="str">
        <f>+AK391</f>
        <v>A0</v>
      </c>
    </row>
    <row r="392" spans="1:38" s="6" customFormat="1" ht="15" customHeight="1" x14ac:dyDescent="0.2">
      <c r="A392" s="29" t="s">
        <v>824</v>
      </c>
      <c r="B392" s="2" t="s">
        <v>822</v>
      </c>
      <c r="C392" s="29" t="s">
        <v>823</v>
      </c>
      <c r="D392" s="2" t="s">
        <v>808</v>
      </c>
      <c r="E392" s="2" t="s">
        <v>895</v>
      </c>
      <c r="F392" s="3"/>
      <c r="G392" s="3"/>
      <c r="H392" s="2" t="s">
        <v>223</v>
      </c>
      <c r="I392" s="2" t="s">
        <v>223</v>
      </c>
      <c r="J392" s="28" t="s">
        <v>73</v>
      </c>
      <c r="K392" s="28" t="s">
        <v>1765</v>
      </c>
      <c r="L392" s="41" t="s">
        <v>923</v>
      </c>
      <c r="M392" s="4" t="s">
        <v>3</v>
      </c>
      <c r="N392" s="15">
        <v>32438452</v>
      </c>
      <c r="O392" s="88" t="s">
        <v>1418</v>
      </c>
      <c r="P392" s="38">
        <v>31592</v>
      </c>
      <c r="Q392" s="38"/>
      <c r="R392" s="38"/>
      <c r="S392" s="38"/>
      <c r="T392" s="38"/>
      <c r="U392" s="17" t="s">
        <v>215</v>
      </c>
      <c r="V392" s="17" t="s">
        <v>915</v>
      </c>
      <c r="W392" s="12">
        <v>42401</v>
      </c>
      <c r="X392" s="48"/>
      <c r="Y392" s="12">
        <v>42735</v>
      </c>
      <c r="Z392" s="2"/>
      <c r="AA392" s="2" t="s">
        <v>479</v>
      </c>
      <c r="AB392" s="3" t="s">
        <v>10</v>
      </c>
      <c r="AC392" s="5">
        <v>1000</v>
      </c>
      <c r="AD392" s="5">
        <f>+AC392*1.07</f>
        <v>1070</v>
      </c>
      <c r="AE392" s="5">
        <v>1170</v>
      </c>
      <c r="AF392" s="5">
        <f t="shared" si="355"/>
        <v>1310</v>
      </c>
      <c r="AG392" s="5">
        <f t="shared" si="392"/>
        <v>1310</v>
      </c>
      <c r="AH392" s="5">
        <f t="shared" si="392"/>
        <v>1310</v>
      </c>
      <c r="AI392" s="5">
        <f t="shared" ref="AI392:AJ392" si="419">+AH392</f>
        <v>1310</v>
      </c>
      <c r="AJ392" s="5">
        <f t="shared" si="419"/>
        <v>1310</v>
      </c>
      <c r="AK392" s="2" t="s">
        <v>53</v>
      </c>
      <c r="AL392" s="105" t="str">
        <f>+AK392</f>
        <v>B0</v>
      </c>
    </row>
    <row r="393" spans="1:38" s="6" customFormat="1" ht="15" customHeight="1" x14ac:dyDescent="0.2">
      <c r="A393" s="29" t="s">
        <v>824</v>
      </c>
      <c r="B393" s="29" t="s">
        <v>822</v>
      </c>
      <c r="C393" s="29"/>
      <c r="D393" s="2" t="s">
        <v>956</v>
      </c>
      <c r="E393" s="2" t="s">
        <v>956</v>
      </c>
      <c r="F393" s="3"/>
      <c r="G393" s="3"/>
      <c r="H393" s="2"/>
      <c r="I393" s="2"/>
      <c r="J393" s="28"/>
      <c r="K393" s="28"/>
      <c r="L393" s="41" t="s">
        <v>1805</v>
      </c>
      <c r="M393" s="4" t="s">
        <v>3</v>
      </c>
      <c r="N393" s="15">
        <v>18549052</v>
      </c>
      <c r="O393" s="88">
        <v>20185490522</v>
      </c>
      <c r="P393" s="38"/>
      <c r="Q393" s="38"/>
      <c r="R393" s="38"/>
      <c r="S393" s="38"/>
      <c r="T393" s="38"/>
      <c r="U393" s="17"/>
      <c r="V393" s="17" t="s">
        <v>915</v>
      </c>
      <c r="W393" s="12">
        <v>42583</v>
      </c>
      <c r="X393" s="48"/>
      <c r="Y393" s="48">
        <v>42673</v>
      </c>
      <c r="Z393" s="2"/>
      <c r="AA393" s="2" t="s">
        <v>479</v>
      </c>
      <c r="AB393" s="3"/>
      <c r="AC393" s="5"/>
      <c r="AD393" s="5"/>
      <c r="AE393" s="5"/>
      <c r="AF393" s="5">
        <f t="shared" si="355"/>
        <v>0</v>
      </c>
      <c r="AG393" s="5">
        <v>1310</v>
      </c>
      <c r="AH393" s="5">
        <v>15000</v>
      </c>
      <c r="AI393" s="5">
        <f t="shared" ref="AI393:AJ393" si="420">+AH393</f>
        <v>15000</v>
      </c>
      <c r="AJ393" s="5">
        <f t="shared" si="420"/>
        <v>15000</v>
      </c>
      <c r="AK393" s="29" t="s">
        <v>42</v>
      </c>
      <c r="AL393" s="105" t="str">
        <f>+AK393</f>
        <v>C0</v>
      </c>
    </row>
    <row r="394" spans="1:38" s="6" customFormat="1" ht="15" customHeight="1" x14ac:dyDescent="0.2">
      <c r="A394" s="29" t="s">
        <v>824</v>
      </c>
      <c r="B394" s="2" t="s">
        <v>822</v>
      </c>
      <c r="C394" s="3"/>
      <c r="D394" s="2" t="s">
        <v>825</v>
      </c>
      <c r="E394" s="3" t="s">
        <v>18</v>
      </c>
      <c r="F394" s="2" t="s">
        <v>19</v>
      </c>
      <c r="G394" s="2"/>
      <c r="H394" s="2" t="s">
        <v>37</v>
      </c>
      <c r="I394" s="2" t="s">
        <v>1707</v>
      </c>
      <c r="J394" s="28" t="s">
        <v>548</v>
      </c>
      <c r="K394" s="28" t="s">
        <v>548</v>
      </c>
      <c r="L394" s="44" t="s">
        <v>645</v>
      </c>
      <c r="M394" s="4" t="s">
        <v>3</v>
      </c>
      <c r="N394" s="15">
        <v>10476319</v>
      </c>
      <c r="O394" s="88" t="s">
        <v>1145</v>
      </c>
      <c r="P394" s="38">
        <v>19149</v>
      </c>
      <c r="Q394" s="38"/>
      <c r="R394" s="38"/>
      <c r="S394" s="38"/>
      <c r="T394" s="38"/>
      <c r="U394" s="17" t="s">
        <v>215</v>
      </c>
      <c r="V394" s="17" t="s">
        <v>915</v>
      </c>
      <c r="W394" s="12">
        <v>41214</v>
      </c>
      <c r="X394" s="13"/>
      <c r="Y394" s="12">
        <v>42735</v>
      </c>
      <c r="Z394" s="2"/>
      <c r="AA394" s="2" t="s">
        <v>479</v>
      </c>
      <c r="AB394" s="7" t="s">
        <v>787</v>
      </c>
      <c r="AC394" s="5">
        <v>1000</v>
      </c>
      <c r="AD394" s="5">
        <f>+AC394</f>
        <v>1000</v>
      </c>
      <c r="AE394" s="5">
        <v>1170</v>
      </c>
      <c r="AF394" s="5">
        <f t="shared" si="355"/>
        <v>1310</v>
      </c>
      <c r="AG394" s="5">
        <f>+AF394</f>
        <v>1310</v>
      </c>
      <c r="AH394" s="5">
        <f>+AG394</f>
        <v>1310</v>
      </c>
      <c r="AI394" s="5">
        <f t="shared" ref="AI394:AJ394" si="421">+AH394</f>
        <v>1310</v>
      </c>
      <c r="AJ394" s="5">
        <f t="shared" si="421"/>
        <v>1310</v>
      </c>
      <c r="AK394" s="29"/>
      <c r="AL394" s="8"/>
    </row>
    <row r="395" spans="1:38" s="6" customFormat="1" ht="15" customHeight="1" x14ac:dyDescent="0.2">
      <c r="A395" s="29" t="s">
        <v>824</v>
      </c>
      <c r="B395" s="29"/>
      <c r="C395" s="14"/>
      <c r="D395" s="2"/>
      <c r="E395" s="2"/>
      <c r="F395" s="3"/>
      <c r="G395" s="3"/>
      <c r="H395" s="2" t="s">
        <v>48</v>
      </c>
      <c r="I395" s="2" t="s">
        <v>229</v>
      </c>
      <c r="J395" s="28" t="s">
        <v>73</v>
      </c>
      <c r="K395" s="28" t="s">
        <v>1765</v>
      </c>
      <c r="L395" s="45" t="s">
        <v>126</v>
      </c>
      <c r="M395" s="4" t="s">
        <v>3</v>
      </c>
      <c r="N395" s="15">
        <v>33780682</v>
      </c>
      <c r="O395" s="88" t="s">
        <v>1454</v>
      </c>
      <c r="P395" s="38">
        <v>32381</v>
      </c>
      <c r="Q395" s="38"/>
      <c r="R395" s="38"/>
      <c r="S395" s="38"/>
      <c r="T395" s="38"/>
      <c r="U395" s="17" t="s">
        <v>215</v>
      </c>
      <c r="V395" s="17" t="s">
        <v>915</v>
      </c>
      <c r="W395" s="12">
        <v>42268</v>
      </c>
      <c r="X395" s="13"/>
      <c r="Y395" s="12">
        <v>42735</v>
      </c>
      <c r="Z395" s="2"/>
      <c r="AA395" s="2" t="s">
        <v>479</v>
      </c>
      <c r="AB395" s="2" t="s">
        <v>546</v>
      </c>
      <c r="AC395" s="5">
        <v>1000</v>
      </c>
      <c r="AD395" s="5">
        <f>+AC395*1.07</f>
        <v>1070</v>
      </c>
      <c r="AE395" s="5">
        <v>1170</v>
      </c>
      <c r="AF395" s="5">
        <f t="shared" si="355"/>
        <v>1310</v>
      </c>
      <c r="AG395" s="5">
        <f t="shared" ref="AG395:AH414" si="422">+AF395</f>
        <v>1310</v>
      </c>
      <c r="AH395" s="5">
        <f t="shared" si="422"/>
        <v>1310</v>
      </c>
      <c r="AI395" s="5">
        <f t="shared" ref="AI395:AJ395" si="423">+AH395</f>
        <v>1310</v>
      </c>
      <c r="AJ395" s="5">
        <f t="shared" si="423"/>
        <v>1310</v>
      </c>
      <c r="AK395" s="29" t="s">
        <v>42</v>
      </c>
      <c r="AL395" s="105" t="str">
        <f>+AK395</f>
        <v>C0</v>
      </c>
    </row>
    <row r="396" spans="1:38" s="6" customFormat="1" ht="15" customHeight="1" x14ac:dyDescent="0.2">
      <c r="A396" s="29" t="s">
        <v>824</v>
      </c>
      <c r="B396" s="2" t="s">
        <v>822</v>
      </c>
      <c r="C396" s="3"/>
      <c r="D396" s="2" t="s">
        <v>825</v>
      </c>
      <c r="E396" s="3" t="s">
        <v>18</v>
      </c>
      <c r="F396" s="2" t="s">
        <v>19</v>
      </c>
      <c r="G396" s="2"/>
      <c r="H396" s="2" t="s">
        <v>27</v>
      </c>
      <c r="I396" s="3"/>
      <c r="J396" s="28" t="s">
        <v>548</v>
      </c>
      <c r="K396" s="28"/>
      <c r="L396" s="41" t="s">
        <v>646</v>
      </c>
      <c r="M396" s="4" t="s">
        <v>3</v>
      </c>
      <c r="N396" s="15">
        <v>30035347</v>
      </c>
      <c r="O396" s="88">
        <v>27300353474</v>
      </c>
      <c r="P396" s="61"/>
      <c r="Q396" s="61"/>
      <c r="R396" s="61"/>
      <c r="S396" s="61"/>
      <c r="T396" s="61"/>
      <c r="U396" s="16" t="s">
        <v>796</v>
      </c>
      <c r="V396" s="16" t="s">
        <v>916</v>
      </c>
      <c r="W396" s="12">
        <v>41609</v>
      </c>
      <c r="X396" s="12">
        <v>42460</v>
      </c>
      <c r="Y396" s="12">
        <v>42735</v>
      </c>
      <c r="Z396" s="2" t="s">
        <v>30</v>
      </c>
      <c r="AA396" s="2"/>
      <c r="AB396" s="3"/>
      <c r="AC396" s="5">
        <v>1000</v>
      </c>
      <c r="AD396" s="5"/>
      <c r="AE396" s="5">
        <v>1170</v>
      </c>
      <c r="AF396" s="5">
        <f t="shared" ref="AF396:AF457" si="424">+AC396*1.31</f>
        <v>1310</v>
      </c>
      <c r="AG396" s="5">
        <f t="shared" si="422"/>
        <v>1310</v>
      </c>
      <c r="AH396" s="5">
        <f t="shared" si="422"/>
        <v>1310</v>
      </c>
      <c r="AI396" s="5">
        <f t="shared" ref="AI396:AJ396" si="425">+AH396</f>
        <v>1310</v>
      </c>
      <c r="AJ396" s="5">
        <f t="shared" si="425"/>
        <v>1310</v>
      </c>
      <c r="AK396" s="2"/>
      <c r="AL396" s="105" t="str">
        <f>+Z396</f>
        <v>B1</v>
      </c>
    </row>
    <row r="397" spans="1:38" s="6" customFormat="1" ht="15" customHeight="1" x14ac:dyDescent="0.2">
      <c r="A397" s="29" t="s">
        <v>824</v>
      </c>
      <c r="B397" s="2" t="s">
        <v>822</v>
      </c>
      <c r="C397" s="29" t="s">
        <v>823</v>
      </c>
      <c r="D397" s="2" t="s">
        <v>808</v>
      </c>
      <c r="E397" s="2" t="s">
        <v>216</v>
      </c>
      <c r="F397" s="2" t="s">
        <v>1066</v>
      </c>
      <c r="G397" s="2"/>
      <c r="H397" s="3"/>
      <c r="I397" s="2" t="s">
        <v>1066</v>
      </c>
      <c r="J397" s="28"/>
      <c r="K397" s="28" t="s">
        <v>1765</v>
      </c>
      <c r="L397" s="42" t="s">
        <v>1069</v>
      </c>
      <c r="M397" s="7" t="s">
        <v>3</v>
      </c>
      <c r="N397" s="15">
        <v>35109083</v>
      </c>
      <c r="O397" s="88">
        <v>23351090839</v>
      </c>
      <c r="P397" s="38">
        <v>33043</v>
      </c>
      <c r="Q397" s="38"/>
      <c r="R397" s="38"/>
      <c r="S397" s="38"/>
      <c r="T397" s="38"/>
      <c r="U397" s="17" t="s">
        <v>215</v>
      </c>
      <c r="V397" s="17" t="s">
        <v>915</v>
      </c>
      <c r="W397" s="12">
        <v>42491</v>
      </c>
      <c r="X397" s="19"/>
      <c r="Y397" s="12">
        <v>42735</v>
      </c>
      <c r="Z397" s="2"/>
      <c r="AA397" s="2" t="s">
        <v>479</v>
      </c>
      <c r="AB397" s="2"/>
      <c r="AC397" s="5">
        <v>1000</v>
      </c>
      <c r="AD397" s="5">
        <v>1070</v>
      </c>
      <c r="AE397" s="5">
        <v>1170</v>
      </c>
      <c r="AF397" s="5">
        <f t="shared" si="424"/>
        <v>1310</v>
      </c>
      <c r="AG397" s="5">
        <f t="shared" si="422"/>
        <v>1310</v>
      </c>
      <c r="AH397" s="5">
        <f t="shared" si="422"/>
        <v>1310</v>
      </c>
      <c r="AI397" s="5">
        <f t="shared" ref="AI397:AJ397" si="426">+AH397</f>
        <v>1310</v>
      </c>
      <c r="AJ397" s="5">
        <f t="shared" si="426"/>
        <v>1310</v>
      </c>
      <c r="AK397" s="2" t="s">
        <v>42</v>
      </c>
      <c r="AL397" s="105" t="str">
        <f>+AK397</f>
        <v>C0</v>
      </c>
    </row>
    <row r="398" spans="1:38" s="6" customFormat="1" ht="15" customHeight="1" x14ac:dyDescent="0.2">
      <c r="A398" s="29" t="s">
        <v>824</v>
      </c>
      <c r="B398" s="29" t="s">
        <v>822</v>
      </c>
      <c r="C398" s="29" t="s">
        <v>823</v>
      </c>
      <c r="D398" s="29" t="s">
        <v>808</v>
      </c>
      <c r="E398" s="3" t="s">
        <v>517</v>
      </c>
      <c r="F398" s="2"/>
      <c r="G398" s="3" t="s">
        <v>518</v>
      </c>
      <c r="H398" s="2"/>
      <c r="I398" s="2" t="s">
        <v>1707</v>
      </c>
      <c r="J398" s="28" t="s">
        <v>73</v>
      </c>
      <c r="K398" s="28" t="s">
        <v>1765</v>
      </c>
      <c r="L398" s="43" t="s">
        <v>127</v>
      </c>
      <c r="M398" s="4" t="s">
        <v>3</v>
      </c>
      <c r="N398" s="15">
        <v>25936671</v>
      </c>
      <c r="O398" s="88" t="s">
        <v>1276</v>
      </c>
      <c r="P398" s="38">
        <v>28314</v>
      </c>
      <c r="Q398" s="38"/>
      <c r="R398" s="38"/>
      <c r="S398" s="38"/>
      <c r="T398" s="38"/>
      <c r="U398" s="17" t="s">
        <v>215</v>
      </c>
      <c r="V398" s="17" t="s">
        <v>915</v>
      </c>
      <c r="W398" s="12">
        <v>41395</v>
      </c>
      <c r="X398" s="13"/>
      <c r="Y398" s="12">
        <v>42735</v>
      </c>
      <c r="Z398" s="2"/>
      <c r="AA398" s="2" t="s">
        <v>479</v>
      </c>
      <c r="AB398" s="7" t="s">
        <v>10</v>
      </c>
      <c r="AC398" s="5">
        <v>1000</v>
      </c>
      <c r="AD398" s="5">
        <f>+AC398*1.07</f>
        <v>1070</v>
      </c>
      <c r="AE398" s="5">
        <v>1170</v>
      </c>
      <c r="AF398" s="5">
        <f t="shared" si="424"/>
        <v>1310</v>
      </c>
      <c r="AG398" s="5">
        <f t="shared" si="422"/>
        <v>1310</v>
      </c>
      <c r="AH398" s="5">
        <f t="shared" si="422"/>
        <v>1310</v>
      </c>
      <c r="AI398" s="5">
        <f t="shared" ref="AI398:AJ398" si="427">+AH398</f>
        <v>1310</v>
      </c>
      <c r="AJ398" s="5">
        <f t="shared" si="427"/>
        <v>1310</v>
      </c>
      <c r="AK398" s="2" t="s">
        <v>43</v>
      </c>
      <c r="AL398" s="105" t="str">
        <f>+AK398</f>
        <v>A0</v>
      </c>
    </row>
    <row r="399" spans="1:38" s="6" customFormat="1" ht="15" customHeight="1" x14ac:dyDescent="0.2">
      <c r="A399" s="29" t="s">
        <v>824</v>
      </c>
      <c r="B399" s="29" t="s">
        <v>822</v>
      </c>
      <c r="C399" s="29" t="s">
        <v>823</v>
      </c>
      <c r="D399" s="2" t="s">
        <v>800</v>
      </c>
      <c r="E399" s="2" t="s">
        <v>489</v>
      </c>
      <c r="F399" s="2"/>
      <c r="G399" s="2"/>
      <c r="H399" s="2"/>
      <c r="I399" s="3" t="s">
        <v>1731</v>
      </c>
      <c r="J399" s="28" t="s">
        <v>254</v>
      </c>
      <c r="K399" s="28" t="s">
        <v>1767</v>
      </c>
      <c r="L399" s="42" t="s">
        <v>361</v>
      </c>
      <c r="M399" s="4" t="s">
        <v>3</v>
      </c>
      <c r="N399" s="15">
        <v>11958625</v>
      </c>
      <c r="O399" s="88" t="s">
        <v>1152</v>
      </c>
      <c r="P399" s="38">
        <v>21196</v>
      </c>
      <c r="Q399" s="38"/>
      <c r="R399" s="38"/>
      <c r="S399" s="38"/>
      <c r="T399" s="38"/>
      <c r="U399" s="17" t="s">
        <v>215</v>
      </c>
      <c r="V399" s="17" t="s">
        <v>915</v>
      </c>
      <c r="W399" s="12">
        <v>41821</v>
      </c>
      <c r="X399" s="13"/>
      <c r="Y399" s="12">
        <v>42735</v>
      </c>
      <c r="Z399" s="2"/>
      <c r="AA399" s="2" t="s">
        <v>479</v>
      </c>
      <c r="AB399" s="24" t="s">
        <v>479</v>
      </c>
      <c r="AC399" s="5">
        <v>1000</v>
      </c>
      <c r="AD399" s="5">
        <v>1070</v>
      </c>
      <c r="AE399" s="5">
        <v>1170</v>
      </c>
      <c r="AF399" s="5">
        <f t="shared" si="424"/>
        <v>1310</v>
      </c>
      <c r="AG399" s="5">
        <f t="shared" si="422"/>
        <v>1310</v>
      </c>
      <c r="AH399" s="5">
        <f t="shared" si="422"/>
        <v>1310</v>
      </c>
      <c r="AI399" s="5">
        <f t="shared" ref="AI399:AJ399" si="428">+AH399</f>
        <v>1310</v>
      </c>
      <c r="AJ399" s="5">
        <f t="shared" si="428"/>
        <v>1310</v>
      </c>
      <c r="AK399" s="29" t="s">
        <v>42</v>
      </c>
      <c r="AL399" s="105" t="str">
        <f>+AK399</f>
        <v>C0</v>
      </c>
    </row>
    <row r="400" spans="1:38" s="6" customFormat="1" ht="15" customHeight="1" x14ac:dyDescent="0.2">
      <c r="A400" s="29" t="s">
        <v>824</v>
      </c>
      <c r="B400" s="2" t="s">
        <v>822</v>
      </c>
      <c r="C400" s="3"/>
      <c r="D400" s="2" t="s">
        <v>825</v>
      </c>
      <c r="E400" s="3" t="s">
        <v>18</v>
      </c>
      <c r="F400" s="2" t="s">
        <v>19</v>
      </c>
      <c r="G400" s="2" t="s">
        <v>73</v>
      </c>
      <c r="H400" s="2" t="s">
        <v>29</v>
      </c>
      <c r="I400" s="3"/>
      <c r="J400" s="28" t="s">
        <v>548</v>
      </c>
      <c r="K400" s="28"/>
      <c r="L400" s="41" t="s">
        <v>647</v>
      </c>
      <c r="M400" s="4" t="s">
        <v>3</v>
      </c>
      <c r="N400" s="15">
        <v>29019894</v>
      </c>
      <c r="O400" s="88">
        <v>27290198947</v>
      </c>
      <c r="P400" s="61"/>
      <c r="Q400" s="61"/>
      <c r="R400" s="61"/>
      <c r="S400" s="61"/>
      <c r="T400" s="61"/>
      <c r="U400" s="16" t="s">
        <v>796</v>
      </c>
      <c r="V400" s="16" t="s">
        <v>916</v>
      </c>
      <c r="W400" s="12">
        <v>41244</v>
      </c>
      <c r="X400" s="48">
        <v>42735</v>
      </c>
      <c r="Y400" s="12">
        <v>42735</v>
      </c>
      <c r="Z400" s="2" t="s">
        <v>30</v>
      </c>
      <c r="AA400" s="2"/>
      <c r="AB400" s="3"/>
      <c r="AC400" s="5">
        <v>1000</v>
      </c>
      <c r="AD400" s="5"/>
      <c r="AE400" s="5">
        <v>1170</v>
      </c>
      <c r="AF400" s="5">
        <f t="shared" si="424"/>
        <v>1310</v>
      </c>
      <c r="AG400" s="5">
        <f t="shared" si="422"/>
        <v>1310</v>
      </c>
      <c r="AH400" s="5">
        <f t="shared" si="422"/>
        <v>1310</v>
      </c>
      <c r="AI400" s="5">
        <f t="shared" ref="AI400:AJ400" si="429">+AH400</f>
        <v>1310</v>
      </c>
      <c r="AJ400" s="5">
        <f t="shared" si="429"/>
        <v>1310</v>
      </c>
      <c r="AK400" s="2"/>
      <c r="AL400" s="105" t="str">
        <f>+Z400</f>
        <v>B1</v>
      </c>
    </row>
    <row r="401" spans="1:38" s="6" customFormat="1" ht="15" customHeight="1" x14ac:dyDescent="0.2">
      <c r="A401" s="29" t="s">
        <v>824</v>
      </c>
      <c r="B401" s="29" t="s">
        <v>822</v>
      </c>
      <c r="C401" s="29" t="s">
        <v>823</v>
      </c>
      <c r="D401" s="2" t="s">
        <v>800</v>
      </c>
      <c r="E401" s="7" t="s">
        <v>541</v>
      </c>
      <c r="F401" s="7"/>
      <c r="G401" s="7"/>
      <c r="H401" s="8"/>
      <c r="I401" s="3"/>
      <c r="J401" s="28" t="s">
        <v>254</v>
      </c>
      <c r="K401" s="28"/>
      <c r="L401" s="42" t="s">
        <v>432</v>
      </c>
      <c r="M401" s="4" t="s">
        <v>3</v>
      </c>
      <c r="N401" s="15">
        <v>37339485</v>
      </c>
      <c r="O401" s="88">
        <v>20373394859</v>
      </c>
      <c r="P401" s="38"/>
      <c r="Q401" s="38"/>
      <c r="R401" s="38"/>
      <c r="S401" s="38"/>
      <c r="T401" s="38"/>
      <c r="U401" s="16" t="s">
        <v>796</v>
      </c>
      <c r="V401" s="16" t="s">
        <v>916</v>
      </c>
      <c r="W401" s="12">
        <v>41243</v>
      </c>
      <c r="X401" s="48">
        <v>42735</v>
      </c>
      <c r="Y401" s="12">
        <v>42735</v>
      </c>
      <c r="Z401" s="2" t="s">
        <v>1817</v>
      </c>
      <c r="AA401" s="2"/>
      <c r="AB401" s="18"/>
      <c r="AC401" s="5">
        <v>1000</v>
      </c>
      <c r="AD401" s="5"/>
      <c r="AE401" s="5">
        <v>1170</v>
      </c>
      <c r="AF401" s="5">
        <f t="shared" si="424"/>
        <v>1310</v>
      </c>
      <c r="AG401" s="5">
        <f t="shared" si="422"/>
        <v>1310</v>
      </c>
      <c r="AH401" s="5">
        <f t="shared" si="422"/>
        <v>1310</v>
      </c>
      <c r="AI401" s="5">
        <f t="shared" ref="AI401:AJ401" si="430">+AH401</f>
        <v>1310</v>
      </c>
      <c r="AJ401" s="5">
        <f t="shared" si="430"/>
        <v>1310</v>
      </c>
      <c r="AK401" s="2"/>
      <c r="AL401" s="105" t="str">
        <f>+Z401</f>
        <v>F0</v>
      </c>
    </row>
    <row r="402" spans="1:38" s="6" customFormat="1" ht="15" customHeight="1" x14ac:dyDescent="0.2">
      <c r="A402" s="29" t="s">
        <v>824</v>
      </c>
      <c r="B402" s="2" t="s">
        <v>822</v>
      </c>
      <c r="C402" s="3"/>
      <c r="D402" s="2" t="s">
        <v>825</v>
      </c>
      <c r="E402" s="3" t="s">
        <v>18</v>
      </c>
      <c r="F402" s="2" t="s">
        <v>19</v>
      </c>
      <c r="G402" s="2"/>
      <c r="H402" s="2" t="s">
        <v>36</v>
      </c>
      <c r="I402" s="2" t="s">
        <v>1707</v>
      </c>
      <c r="J402" s="28" t="s">
        <v>548</v>
      </c>
      <c r="K402" s="28" t="s">
        <v>548</v>
      </c>
      <c r="L402" s="44" t="s">
        <v>648</v>
      </c>
      <c r="M402" s="4" t="s">
        <v>3</v>
      </c>
      <c r="N402" s="15">
        <v>16895479</v>
      </c>
      <c r="O402" s="88" t="s">
        <v>1168</v>
      </c>
      <c r="P402" s="38">
        <v>23544</v>
      </c>
      <c r="Q402" s="38"/>
      <c r="R402" s="38"/>
      <c r="S402" s="38"/>
      <c r="T402" s="38"/>
      <c r="U402" s="17" t="s">
        <v>215</v>
      </c>
      <c r="V402" s="17" t="s">
        <v>915</v>
      </c>
      <c r="W402" s="12">
        <v>42095</v>
      </c>
      <c r="X402" s="13"/>
      <c r="Y402" s="12">
        <v>42735</v>
      </c>
      <c r="Z402" s="2"/>
      <c r="AA402" s="2" t="s">
        <v>479</v>
      </c>
      <c r="AB402" s="7" t="s">
        <v>787</v>
      </c>
      <c r="AC402" s="5">
        <v>1000</v>
      </c>
      <c r="AD402" s="5">
        <f>+AC402</f>
        <v>1000</v>
      </c>
      <c r="AE402" s="5">
        <v>1170</v>
      </c>
      <c r="AF402" s="5">
        <f t="shared" si="424"/>
        <v>1310</v>
      </c>
      <c r="AG402" s="5">
        <f t="shared" si="422"/>
        <v>1310</v>
      </c>
      <c r="AH402" s="5">
        <f t="shared" si="422"/>
        <v>1310</v>
      </c>
      <c r="AI402" s="5">
        <f t="shared" ref="AI402:AJ402" si="431">+AH402</f>
        <v>1310</v>
      </c>
      <c r="AJ402" s="5">
        <f t="shared" si="431"/>
        <v>1310</v>
      </c>
      <c r="AK402" s="2"/>
      <c r="AL402" s="106"/>
    </row>
    <row r="403" spans="1:38" s="6" customFormat="1" ht="15" customHeight="1" x14ac:dyDescent="0.2">
      <c r="A403" s="29" t="s">
        <v>824</v>
      </c>
      <c r="B403" s="29" t="s">
        <v>822</v>
      </c>
      <c r="C403" s="14"/>
      <c r="D403" s="2" t="s">
        <v>928</v>
      </c>
      <c r="E403" s="2" t="s">
        <v>11</v>
      </c>
      <c r="F403" s="3"/>
      <c r="G403" s="3"/>
      <c r="H403" s="2"/>
      <c r="I403" s="2" t="s">
        <v>1707</v>
      </c>
      <c r="J403" s="28"/>
      <c r="K403" s="28" t="s">
        <v>1765</v>
      </c>
      <c r="L403" s="41" t="s">
        <v>1642</v>
      </c>
      <c r="M403" s="7" t="s">
        <v>3</v>
      </c>
      <c r="N403" s="15">
        <v>36904627</v>
      </c>
      <c r="O403" s="88">
        <v>27369046271</v>
      </c>
      <c r="P403" s="38">
        <v>33763</v>
      </c>
      <c r="Q403" s="38"/>
      <c r="R403" s="38"/>
      <c r="S403" s="38"/>
      <c r="T403" s="38"/>
      <c r="U403" s="17" t="s">
        <v>215</v>
      </c>
      <c r="V403" s="17" t="s">
        <v>915</v>
      </c>
      <c r="W403" s="12">
        <v>42542</v>
      </c>
      <c r="X403" s="48"/>
      <c r="Y403" s="48">
        <v>42735</v>
      </c>
      <c r="Z403" s="2"/>
      <c r="AA403" s="2" t="s">
        <v>479</v>
      </c>
      <c r="AB403" s="3"/>
      <c r="AC403" s="5"/>
      <c r="AD403" s="5">
        <v>1070</v>
      </c>
      <c r="AE403" s="5">
        <v>1170</v>
      </c>
      <c r="AF403" s="5">
        <f t="shared" si="424"/>
        <v>0</v>
      </c>
      <c r="AG403" s="5">
        <f t="shared" si="422"/>
        <v>0</v>
      </c>
      <c r="AH403" s="5">
        <f t="shared" si="422"/>
        <v>0</v>
      </c>
      <c r="AI403" s="5">
        <f t="shared" ref="AI403:AJ403" si="432">+AH403</f>
        <v>0</v>
      </c>
      <c r="AJ403" s="5">
        <f t="shared" si="432"/>
        <v>0</v>
      </c>
      <c r="AK403" s="2" t="s">
        <v>42</v>
      </c>
      <c r="AL403" s="105" t="str">
        <f>+AK403</f>
        <v>C0</v>
      </c>
    </row>
    <row r="404" spans="1:38" s="6" customFormat="1" ht="15" customHeight="1" x14ac:dyDescent="0.2">
      <c r="A404" s="29" t="s">
        <v>824</v>
      </c>
      <c r="B404" s="2" t="s">
        <v>822</v>
      </c>
      <c r="C404" s="29" t="s">
        <v>823</v>
      </c>
      <c r="D404" s="2" t="s">
        <v>808</v>
      </c>
      <c r="E404" s="2" t="s">
        <v>219</v>
      </c>
      <c r="F404" s="3"/>
      <c r="G404" s="3"/>
      <c r="H404" s="2" t="s">
        <v>884</v>
      </c>
      <c r="I404" s="2" t="s">
        <v>1707</v>
      </c>
      <c r="J404" s="28" t="s">
        <v>73</v>
      </c>
      <c r="K404" s="28" t="s">
        <v>1765</v>
      </c>
      <c r="L404" s="41" t="s">
        <v>1695</v>
      </c>
      <c r="M404" s="4" t="s">
        <v>3</v>
      </c>
      <c r="N404" s="15">
        <v>33768361</v>
      </c>
      <c r="O404" s="88">
        <v>20337683615</v>
      </c>
      <c r="P404" s="38">
        <v>32278</v>
      </c>
      <c r="Q404" s="38"/>
      <c r="R404" s="38"/>
      <c r="S404" s="38"/>
      <c r="T404" s="38"/>
      <c r="U404" s="17" t="s">
        <v>215</v>
      </c>
      <c r="V404" s="17" t="s">
        <v>915</v>
      </c>
      <c r="W404" s="12">
        <v>42401</v>
      </c>
      <c r="X404" s="48"/>
      <c r="Y404" s="12">
        <v>42735</v>
      </c>
      <c r="Z404" s="2"/>
      <c r="AA404" s="2" t="s">
        <v>479</v>
      </c>
      <c r="AB404" s="3" t="s">
        <v>10</v>
      </c>
      <c r="AC404" s="5">
        <v>1000</v>
      </c>
      <c r="AD404" s="5">
        <f>+AC404*1.07</f>
        <v>1070</v>
      </c>
      <c r="AE404" s="5">
        <v>1170</v>
      </c>
      <c r="AF404" s="5">
        <f t="shared" si="424"/>
        <v>1310</v>
      </c>
      <c r="AG404" s="5">
        <f t="shared" si="422"/>
        <v>1310</v>
      </c>
      <c r="AH404" s="5">
        <f t="shared" si="422"/>
        <v>1310</v>
      </c>
      <c r="AI404" s="5">
        <f t="shared" ref="AI404:AJ404" si="433">+AH404</f>
        <v>1310</v>
      </c>
      <c r="AJ404" s="5">
        <f t="shared" si="433"/>
        <v>1310</v>
      </c>
      <c r="AK404" s="2" t="s">
        <v>43</v>
      </c>
      <c r="AL404" s="105" t="str">
        <f>+AK404</f>
        <v>A0</v>
      </c>
    </row>
    <row r="405" spans="1:38" s="6" customFormat="1" ht="15" customHeight="1" x14ac:dyDescent="0.2">
      <c r="A405" s="29" t="s">
        <v>824</v>
      </c>
      <c r="B405" s="29"/>
      <c r="C405" s="14"/>
      <c r="D405" s="2" t="s">
        <v>820</v>
      </c>
      <c r="E405" s="2" t="s">
        <v>818</v>
      </c>
      <c r="F405" s="3"/>
      <c r="G405" s="3" t="s">
        <v>532</v>
      </c>
      <c r="H405" s="2" t="s">
        <v>221</v>
      </c>
      <c r="I405" s="2" t="s">
        <v>221</v>
      </c>
      <c r="J405" s="28" t="s">
        <v>73</v>
      </c>
      <c r="K405" s="28" t="s">
        <v>1765</v>
      </c>
      <c r="L405" s="45" t="s">
        <v>128</v>
      </c>
      <c r="M405" s="4" t="s">
        <v>3</v>
      </c>
      <c r="N405" s="15">
        <v>34771528</v>
      </c>
      <c r="O405" s="88" t="s">
        <v>1481</v>
      </c>
      <c r="P405" s="38">
        <v>32839</v>
      </c>
      <c r="Q405" s="38"/>
      <c r="R405" s="38"/>
      <c r="S405" s="38"/>
      <c r="T405" s="38"/>
      <c r="U405" s="17" t="s">
        <v>215</v>
      </c>
      <c r="V405" s="17" t="s">
        <v>915</v>
      </c>
      <c r="W405" s="12">
        <v>41719</v>
      </c>
      <c r="X405" s="13"/>
      <c r="Y405" s="12">
        <v>42735</v>
      </c>
      <c r="Z405" s="2"/>
      <c r="AA405" s="2" t="s">
        <v>479</v>
      </c>
      <c r="AB405" s="2" t="s">
        <v>782</v>
      </c>
      <c r="AC405" s="5">
        <v>1000</v>
      </c>
      <c r="AD405" s="5">
        <f>+AC405*1.07</f>
        <v>1070</v>
      </c>
      <c r="AE405" s="5">
        <v>1170</v>
      </c>
      <c r="AF405" s="5">
        <f t="shared" si="424"/>
        <v>1310</v>
      </c>
      <c r="AG405" s="5">
        <f t="shared" si="422"/>
        <v>1310</v>
      </c>
      <c r="AH405" s="5">
        <f t="shared" si="422"/>
        <v>1310</v>
      </c>
      <c r="AI405" s="5">
        <f t="shared" ref="AI405:AJ405" si="434">+AH405</f>
        <v>1310</v>
      </c>
      <c r="AJ405" s="5">
        <f t="shared" si="434"/>
        <v>1310</v>
      </c>
      <c r="AK405" s="29" t="s">
        <v>42</v>
      </c>
      <c r="AL405" s="105" t="str">
        <f>+AK405</f>
        <v>C0</v>
      </c>
    </row>
    <row r="406" spans="1:38" s="6" customFormat="1" ht="15" customHeight="1" x14ac:dyDescent="0.2">
      <c r="A406" s="29" t="s">
        <v>824</v>
      </c>
      <c r="B406" s="29" t="s">
        <v>822</v>
      </c>
      <c r="C406" s="29" t="s">
        <v>823</v>
      </c>
      <c r="D406" s="2" t="s">
        <v>800</v>
      </c>
      <c r="E406" s="7" t="s">
        <v>501</v>
      </c>
      <c r="F406" s="7"/>
      <c r="G406" s="7"/>
      <c r="H406" s="8"/>
      <c r="I406" s="3"/>
      <c r="J406" s="28" t="s">
        <v>254</v>
      </c>
      <c r="K406" s="28"/>
      <c r="L406" s="42" t="s">
        <v>444</v>
      </c>
      <c r="M406" s="4" t="s">
        <v>3</v>
      </c>
      <c r="N406" s="15">
        <v>29753648</v>
      </c>
      <c r="O406" s="88">
        <v>20297536487</v>
      </c>
      <c r="P406" s="38"/>
      <c r="Q406" s="38"/>
      <c r="R406" s="38"/>
      <c r="S406" s="38"/>
      <c r="T406" s="38"/>
      <c r="U406" s="16" t="s">
        <v>796</v>
      </c>
      <c r="V406" s="16" t="s">
        <v>916</v>
      </c>
      <c r="W406" s="12">
        <v>40725</v>
      </c>
      <c r="X406" s="48">
        <v>42735</v>
      </c>
      <c r="Y406" s="12">
        <v>42735</v>
      </c>
      <c r="Z406" s="2" t="s">
        <v>49</v>
      </c>
      <c r="AA406" s="2"/>
      <c r="AB406" s="18"/>
      <c r="AC406" s="5">
        <v>1000</v>
      </c>
      <c r="AD406" s="5"/>
      <c r="AE406" s="5">
        <v>1170</v>
      </c>
      <c r="AF406" s="5">
        <f t="shared" si="424"/>
        <v>1310</v>
      </c>
      <c r="AG406" s="5">
        <f t="shared" si="422"/>
        <v>1310</v>
      </c>
      <c r="AH406" s="5">
        <f t="shared" si="422"/>
        <v>1310</v>
      </c>
      <c r="AI406" s="5">
        <f t="shared" ref="AI406:AJ406" si="435">+AH406</f>
        <v>1310</v>
      </c>
      <c r="AJ406" s="5">
        <f t="shared" si="435"/>
        <v>1310</v>
      </c>
      <c r="AK406" s="2"/>
      <c r="AL406" s="105" t="str">
        <f>+Z406</f>
        <v>D1</v>
      </c>
    </row>
    <row r="407" spans="1:38" s="6" customFormat="1" ht="15" customHeight="1" x14ac:dyDescent="0.2">
      <c r="A407" s="29" t="s">
        <v>824</v>
      </c>
      <c r="B407" s="29"/>
      <c r="C407" s="14"/>
      <c r="D407" s="2" t="s">
        <v>820</v>
      </c>
      <c r="E407" s="2" t="s">
        <v>817</v>
      </c>
      <c r="F407" s="3"/>
      <c r="G407" s="3"/>
      <c r="H407" s="2" t="s">
        <v>223</v>
      </c>
      <c r="I407" s="3"/>
      <c r="J407" s="28" t="s">
        <v>73</v>
      </c>
      <c r="K407" s="28"/>
      <c r="L407" s="45" t="s">
        <v>129</v>
      </c>
      <c r="M407" s="4" t="s">
        <v>3</v>
      </c>
      <c r="N407" s="15">
        <v>21111727</v>
      </c>
      <c r="O407" s="88">
        <v>27211117279</v>
      </c>
      <c r="P407" s="61"/>
      <c r="Q407" s="61"/>
      <c r="R407" s="61"/>
      <c r="S407" s="61"/>
      <c r="T407" s="61"/>
      <c r="U407" s="16" t="s">
        <v>796</v>
      </c>
      <c r="V407" s="16" t="s">
        <v>916</v>
      </c>
      <c r="W407" s="12">
        <v>40723</v>
      </c>
      <c r="X407" s="48">
        <v>42735</v>
      </c>
      <c r="Y407" s="12">
        <v>42735</v>
      </c>
      <c r="Z407" s="2" t="s">
        <v>17</v>
      </c>
      <c r="AA407" s="2"/>
      <c r="AB407" s="14"/>
      <c r="AC407" s="5">
        <v>1000</v>
      </c>
      <c r="AD407" s="5"/>
      <c r="AE407" s="5">
        <v>1170</v>
      </c>
      <c r="AF407" s="5">
        <f t="shared" si="424"/>
        <v>1310</v>
      </c>
      <c r="AG407" s="5">
        <f t="shared" si="422"/>
        <v>1310</v>
      </c>
      <c r="AH407" s="5">
        <f t="shared" si="422"/>
        <v>1310</v>
      </c>
      <c r="AI407" s="5">
        <f t="shared" ref="AI407:AJ407" si="436">+AH407</f>
        <v>1310</v>
      </c>
      <c r="AJ407" s="5">
        <f t="shared" si="436"/>
        <v>1310</v>
      </c>
      <c r="AK407" s="2"/>
      <c r="AL407" s="105" t="str">
        <f>+Z407</f>
        <v>C1</v>
      </c>
    </row>
    <row r="408" spans="1:38" s="6" customFormat="1" ht="15" customHeight="1" x14ac:dyDescent="0.2">
      <c r="A408" s="29" t="s">
        <v>824</v>
      </c>
      <c r="B408" s="2" t="s">
        <v>822</v>
      </c>
      <c r="C408" s="29" t="s">
        <v>823</v>
      </c>
      <c r="D408" s="2" t="s">
        <v>808</v>
      </c>
      <c r="E408" s="2" t="s">
        <v>909</v>
      </c>
      <c r="F408" s="2"/>
      <c r="G408" s="2"/>
      <c r="H408" s="3"/>
      <c r="I408" s="2" t="s">
        <v>1707</v>
      </c>
      <c r="J408" s="28"/>
      <c r="K408" s="28" t="s">
        <v>1765</v>
      </c>
      <c r="L408" s="42" t="s">
        <v>1090</v>
      </c>
      <c r="M408" s="7" t="s">
        <v>3</v>
      </c>
      <c r="N408" s="15">
        <v>22472515</v>
      </c>
      <c r="O408" s="88">
        <v>23224725159</v>
      </c>
      <c r="P408" s="38">
        <v>26635</v>
      </c>
      <c r="Q408" s="38"/>
      <c r="R408" s="38"/>
      <c r="S408" s="38"/>
      <c r="T408" s="38"/>
      <c r="U408" s="17" t="s">
        <v>215</v>
      </c>
      <c r="V408" s="17" t="s">
        <v>915</v>
      </c>
      <c r="W408" s="12">
        <v>42522</v>
      </c>
      <c r="X408" s="19"/>
      <c r="Y408" s="12">
        <v>42735</v>
      </c>
      <c r="Z408" s="2"/>
      <c r="AA408" s="2" t="s">
        <v>479</v>
      </c>
      <c r="AB408" s="2"/>
      <c r="AC408" s="5"/>
      <c r="AD408" s="5">
        <v>1070</v>
      </c>
      <c r="AE408" s="5">
        <v>1170</v>
      </c>
      <c r="AF408" s="5">
        <f t="shared" si="424"/>
        <v>0</v>
      </c>
      <c r="AG408" s="5">
        <f t="shared" si="422"/>
        <v>0</v>
      </c>
      <c r="AH408" s="5">
        <f t="shared" si="422"/>
        <v>0</v>
      </c>
      <c r="AI408" s="5">
        <f t="shared" ref="AI408:AJ408" si="437">+AH408</f>
        <v>0</v>
      </c>
      <c r="AJ408" s="5">
        <f t="shared" si="437"/>
        <v>0</v>
      </c>
      <c r="AK408" s="2" t="s">
        <v>43</v>
      </c>
      <c r="AL408" s="105" t="str">
        <f>+AK408</f>
        <v>A0</v>
      </c>
    </row>
    <row r="409" spans="1:38" s="6" customFormat="1" ht="15" customHeight="1" x14ac:dyDescent="0.2">
      <c r="A409" s="29" t="s">
        <v>824</v>
      </c>
      <c r="B409" s="2" t="s">
        <v>822</v>
      </c>
      <c r="C409" s="3"/>
      <c r="D409" s="2" t="s">
        <v>825</v>
      </c>
      <c r="E409" s="3" t="s">
        <v>18</v>
      </c>
      <c r="F409" s="2" t="s">
        <v>19</v>
      </c>
      <c r="G409" s="2" t="s">
        <v>73</v>
      </c>
      <c r="H409" s="2" t="s">
        <v>56</v>
      </c>
      <c r="I409" s="2" t="s">
        <v>1707</v>
      </c>
      <c r="J409" s="28" t="s">
        <v>548</v>
      </c>
      <c r="K409" s="28" t="s">
        <v>548</v>
      </c>
      <c r="L409" s="44" t="s">
        <v>649</v>
      </c>
      <c r="M409" s="4" t="s">
        <v>3</v>
      </c>
      <c r="N409" s="15">
        <v>26805036</v>
      </c>
      <c r="O409" s="88" t="s">
        <v>1297</v>
      </c>
      <c r="P409" s="38">
        <v>28691</v>
      </c>
      <c r="Q409" s="38"/>
      <c r="R409" s="38"/>
      <c r="S409" s="38"/>
      <c r="T409" s="38"/>
      <c r="U409" s="17" t="s">
        <v>215</v>
      </c>
      <c r="V409" s="17" t="s">
        <v>915</v>
      </c>
      <c r="W409" s="12">
        <v>41061</v>
      </c>
      <c r="X409" s="13"/>
      <c r="Y409" s="12">
        <v>42735</v>
      </c>
      <c r="Z409" s="2"/>
      <c r="AA409" s="2" t="s">
        <v>479</v>
      </c>
      <c r="AB409" s="7" t="s">
        <v>787</v>
      </c>
      <c r="AC409" s="5">
        <v>1000</v>
      </c>
      <c r="AD409" s="5">
        <f>+AC409</f>
        <v>1000</v>
      </c>
      <c r="AE409" s="5">
        <v>1170</v>
      </c>
      <c r="AF409" s="5">
        <f t="shared" si="424"/>
        <v>1310</v>
      </c>
      <c r="AG409" s="5">
        <f t="shared" si="422"/>
        <v>1310</v>
      </c>
      <c r="AH409" s="5">
        <f t="shared" si="422"/>
        <v>1310</v>
      </c>
      <c r="AI409" s="5">
        <f t="shared" ref="AI409:AJ409" si="438">+AH409</f>
        <v>1310</v>
      </c>
      <c r="AJ409" s="5">
        <f t="shared" si="438"/>
        <v>1310</v>
      </c>
      <c r="AK409" s="2"/>
      <c r="AL409" s="106"/>
    </row>
    <row r="410" spans="1:38" s="6" customFormat="1" ht="15" customHeight="1" x14ac:dyDescent="0.2">
      <c r="A410" s="29" t="s">
        <v>824</v>
      </c>
      <c r="B410" s="2" t="s">
        <v>822</v>
      </c>
      <c r="C410" s="3"/>
      <c r="D410" s="2" t="s">
        <v>825</v>
      </c>
      <c r="E410" s="3" t="s">
        <v>18</v>
      </c>
      <c r="F410" s="2" t="s">
        <v>19</v>
      </c>
      <c r="G410" s="2"/>
      <c r="H410" s="2" t="s">
        <v>37</v>
      </c>
      <c r="I410" s="2" t="s">
        <v>1761</v>
      </c>
      <c r="J410" s="28" t="s">
        <v>548</v>
      </c>
      <c r="K410" s="28" t="s">
        <v>548</v>
      </c>
      <c r="L410" s="44" t="s">
        <v>650</v>
      </c>
      <c r="M410" s="4" t="s">
        <v>3</v>
      </c>
      <c r="N410" s="15">
        <v>32224230</v>
      </c>
      <c r="O410" s="88" t="s">
        <v>1410</v>
      </c>
      <c r="P410" s="38">
        <v>31482</v>
      </c>
      <c r="Q410" s="38"/>
      <c r="R410" s="38"/>
      <c r="S410" s="38"/>
      <c r="T410" s="38"/>
      <c r="U410" s="17" t="s">
        <v>215</v>
      </c>
      <c r="V410" s="17" t="s">
        <v>915</v>
      </c>
      <c r="W410" s="12">
        <v>40808</v>
      </c>
      <c r="X410" s="13"/>
      <c r="Y410" s="12">
        <v>42735</v>
      </c>
      <c r="Z410" s="2"/>
      <c r="AA410" s="2" t="s">
        <v>479</v>
      </c>
      <c r="AB410" s="7" t="s">
        <v>787</v>
      </c>
      <c r="AC410" s="5">
        <v>1000</v>
      </c>
      <c r="AD410" s="5">
        <f>+AC410</f>
        <v>1000</v>
      </c>
      <c r="AE410" s="5">
        <v>1170</v>
      </c>
      <c r="AF410" s="5">
        <f t="shared" si="424"/>
        <v>1310</v>
      </c>
      <c r="AG410" s="5">
        <f t="shared" si="422"/>
        <v>1310</v>
      </c>
      <c r="AH410" s="5">
        <f t="shared" si="422"/>
        <v>1310</v>
      </c>
      <c r="AI410" s="5">
        <f t="shared" ref="AI410:AJ410" si="439">+AH410</f>
        <v>1310</v>
      </c>
      <c r="AJ410" s="5">
        <f t="shared" si="439"/>
        <v>1310</v>
      </c>
      <c r="AK410" s="2"/>
      <c r="AL410" s="106"/>
    </row>
    <row r="411" spans="1:38" s="6" customFormat="1" ht="15" customHeight="1" x14ac:dyDescent="0.2">
      <c r="A411" s="29" t="s">
        <v>824</v>
      </c>
      <c r="B411" s="29" t="s">
        <v>822</v>
      </c>
      <c r="C411" s="29" t="s">
        <v>823</v>
      </c>
      <c r="D411" s="2" t="s">
        <v>800</v>
      </c>
      <c r="E411" s="2" t="s">
        <v>485</v>
      </c>
      <c r="F411" s="2"/>
      <c r="G411" s="2"/>
      <c r="H411" s="2"/>
      <c r="I411" s="3"/>
      <c r="J411" s="28" t="s">
        <v>254</v>
      </c>
      <c r="K411" s="28"/>
      <c r="L411" s="42" t="s">
        <v>281</v>
      </c>
      <c r="M411" s="4" t="s">
        <v>3</v>
      </c>
      <c r="N411" s="15">
        <v>24515335</v>
      </c>
      <c r="O411" s="88">
        <v>27245153355</v>
      </c>
      <c r="P411" s="38"/>
      <c r="Q411" s="38"/>
      <c r="R411" s="38"/>
      <c r="S411" s="38"/>
      <c r="T411" s="38"/>
      <c r="U411" s="16" t="s">
        <v>796</v>
      </c>
      <c r="V411" s="16" t="s">
        <v>916</v>
      </c>
      <c r="W411" s="12">
        <v>41579</v>
      </c>
      <c r="X411" s="12">
        <v>42460</v>
      </c>
      <c r="Y411" s="12">
        <v>42735</v>
      </c>
      <c r="Z411" s="2" t="s">
        <v>42</v>
      </c>
      <c r="AA411" s="2"/>
      <c r="AB411" s="18"/>
      <c r="AC411" s="5">
        <v>1000</v>
      </c>
      <c r="AD411" s="5"/>
      <c r="AE411" s="5">
        <v>1170</v>
      </c>
      <c r="AF411" s="5">
        <f t="shared" si="424"/>
        <v>1310</v>
      </c>
      <c r="AG411" s="5">
        <f t="shared" si="422"/>
        <v>1310</v>
      </c>
      <c r="AH411" s="5">
        <f t="shared" si="422"/>
        <v>1310</v>
      </c>
      <c r="AI411" s="5">
        <f t="shared" ref="AI411:AJ411" si="440">+AH411</f>
        <v>1310</v>
      </c>
      <c r="AJ411" s="5">
        <f t="shared" si="440"/>
        <v>1310</v>
      </c>
      <c r="AK411" s="2"/>
      <c r="AL411" s="105" t="str">
        <f>+Z411</f>
        <v>C0</v>
      </c>
    </row>
    <row r="412" spans="1:38" s="6" customFormat="1" ht="15" customHeight="1" x14ac:dyDescent="0.2">
      <c r="A412" s="29" t="s">
        <v>824</v>
      </c>
      <c r="B412" s="29" t="s">
        <v>822</v>
      </c>
      <c r="C412" s="29" t="s">
        <v>823</v>
      </c>
      <c r="D412" s="2" t="s">
        <v>800</v>
      </c>
      <c r="E412" s="2" t="s">
        <v>486</v>
      </c>
      <c r="F412" s="2"/>
      <c r="G412" s="2"/>
      <c r="H412" s="2" t="s">
        <v>1710</v>
      </c>
      <c r="I412" s="3" t="s">
        <v>1754</v>
      </c>
      <c r="J412" s="28" t="s">
        <v>254</v>
      </c>
      <c r="K412" s="28"/>
      <c r="L412" s="42" t="s">
        <v>309</v>
      </c>
      <c r="M412" s="4" t="s">
        <v>3</v>
      </c>
      <c r="N412" s="15">
        <v>34556569</v>
      </c>
      <c r="O412" s="88">
        <v>27345565693</v>
      </c>
      <c r="P412" s="38">
        <v>32857</v>
      </c>
      <c r="Q412" s="38"/>
      <c r="R412" s="38"/>
      <c r="S412" s="38"/>
      <c r="T412" s="38"/>
      <c r="U412" s="17" t="s">
        <v>215</v>
      </c>
      <c r="V412" s="17" t="s">
        <v>1698</v>
      </c>
      <c r="W412" s="12"/>
      <c r="X412" s="13"/>
      <c r="Y412" s="12">
        <v>42735</v>
      </c>
      <c r="Z412" s="2"/>
      <c r="AA412" s="2" t="s">
        <v>479</v>
      </c>
      <c r="AB412" s="25" t="s">
        <v>479</v>
      </c>
      <c r="AC412" s="5">
        <v>1000</v>
      </c>
      <c r="AD412" s="5">
        <f>+AC412*1.07</f>
        <v>1070</v>
      </c>
      <c r="AE412" s="5">
        <v>1170</v>
      </c>
      <c r="AF412" s="5">
        <f t="shared" si="424"/>
        <v>1310</v>
      </c>
      <c r="AG412" s="5">
        <f t="shared" si="422"/>
        <v>1310</v>
      </c>
      <c r="AH412" s="5">
        <f t="shared" si="422"/>
        <v>1310</v>
      </c>
      <c r="AI412" s="5">
        <f t="shared" ref="AI412:AJ412" si="441">+AH412</f>
        <v>1310</v>
      </c>
      <c r="AJ412" s="5">
        <f t="shared" si="441"/>
        <v>1310</v>
      </c>
      <c r="AK412" s="2"/>
      <c r="AL412" s="107" t="s">
        <v>1818</v>
      </c>
    </row>
    <row r="413" spans="1:38" s="6" customFormat="1" ht="15" customHeight="1" x14ac:dyDescent="0.2">
      <c r="A413" s="29" t="s">
        <v>824</v>
      </c>
      <c r="B413" s="2" t="s">
        <v>822</v>
      </c>
      <c r="C413" s="29" t="s">
        <v>823</v>
      </c>
      <c r="D413" s="2" t="s">
        <v>808</v>
      </c>
      <c r="E413" s="2" t="s">
        <v>216</v>
      </c>
      <c r="F413" s="2" t="s">
        <v>1130</v>
      </c>
      <c r="G413" s="2"/>
      <c r="H413" s="44"/>
      <c r="I413" s="2" t="s">
        <v>1757</v>
      </c>
      <c r="J413" s="28"/>
      <c r="K413" s="28" t="s">
        <v>1765</v>
      </c>
      <c r="L413" s="44" t="s">
        <v>1129</v>
      </c>
      <c r="M413" s="7" t="s">
        <v>3</v>
      </c>
      <c r="N413" s="15">
        <v>13976769</v>
      </c>
      <c r="O413" s="88">
        <v>20139767692</v>
      </c>
      <c r="P413" s="38">
        <v>21928</v>
      </c>
      <c r="Q413" s="38"/>
      <c r="R413" s="38"/>
      <c r="S413" s="38"/>
      <c r="T413" s="38"/>
      <c r="U413" s="17" t="s">
        <v>215</v>
      </c>
      <c r="V413" s="17" t="s">
        <v>915</v>
      </c>
      <c r="W413" s="12">
        <v>42522</v>
      </c>
      <c r="X413" s="13"/>
      <c r="Y413" s="12">
        <v>42735</v>
      </c>
      <c r="Z413" s="2"/>
      <c r="AA413" s="2" t="s">
        <v>479</v>
      </c>
      <c r="AB413" s="7"/>
      <c r="AC413" s="5"/>
      <c r="AD413" s="5">
        <v>1070</v>
      </c>
      <c r="AE413" s="5">
        <v>1170</v>
      </c>
      <c r="AF413" s="5">
        <f t="shared" si="424"/>
        <v>0</v>
      </c>
      <c r="AG413" s="5">
        <f t="shared" si="422"/>
        <v>0</v>
      </c>
      <c r="AH413" s="5">
        <f t="shared" si="422"/>
        <v>0</v>
      </c>
      <c r="AI413" s="5">
        <f t="shared" ref="AI413:AJ413" si="442">+AH413</f>
        <v>0</v>
      </c>
      <c r="AJ413" s="5">
        <f t="shared" si="442"/>
        <v>0</v>
      </c>
      <c r="AK413" s="2" t="s">
        <v>53</v>
      </c>
      <c r="AL413" s="105" t="str">
        <f>+AK413</f>
        <v>B0</v>
      </c>
    </row>
    <row r="414" spans="1:38" s="6" customFormat="1" ht="15" customHeight="1" x14ac:dyDescent="0.2">
      <c r="A414" s="29" t="s">
        <v>824</v>
      </c>
      <c r="B414" s="2" t="s">
        <v>822</v>
      </c>
      <c r="C414" s="3"/>
      <c r="D414" s="2" t="s">
        <v>825</v>
      </c>
      <c r="E414" s="3" t="s">
        <v>18</v>
      </c>
      <c r="F414" s="2" t="s">
        <v>19</v>
      </c>
      <c r="G414" s="2"/>
      <c r="H414" s="2" t="s">
        <v>36</v>
      </c>
      <c r="I414" s="2" t="s">
        <v>1707</v>
      </c>
      <c r="J414" s="28" t="s">
        <v>548</v>
      </c>
      <c r="K414" s="28" t="s">
        <v>548</v>
      </c>
      <c r="L414" s="44" t="s">
        <v>651</v>
      </c>
      <c r="M414" s="4" t="s">
        <v>3</v>
      </c>
      <c r="N414" s="15">
        <v>17815852</v>
      </c>
      <c r="O414" s="88" t="s">
        <v>1177</v>
      </c>
      <c r="P414" s="38">
        <v>24274</v>
      </c>
      <c r="Q414" s="38"/>
      <c r="R414" s="38"/>
      <c r="S414" s="38"/>
      <c r="T414" s="38"/>
      <c r="U414" s="17" t="s">
        <v>215</v>
      </c>
      <c r="V414" s="17" t="s">
        <v>915</v>
      </c>
      <c r="W414" s="12">
        <v>41334</v>
      </c>
      <c r="X414" s="13"/>
      <c r="Y414" s="12">
        <v>42735</v>
      </c>
      <c r="Z414" s="2"/>
      <c r="AA414" s="2" t="s">
        <v>479</v>
      </c>
      <c r="AB414" s="7" t="s">
        <v>787</v>
      </c>
      <c r="AC414" s="5">
        <v>1000</v>
      </c>
      <c r="AD414" s="5">
        <f>+AC414</f>
        <v>1000</v>
      </c>
      <c r="AE414" s="5">
        <v>1170</v>
      </c>
      <c r="AF414" s="5">
        <f t="shared" si="424"/>
        <v>1310</v>
      </c>
      <c r="AG414" s="5">
        <f t="shared" si="422"/>
        <v>1310</v>
      </c>
      <c r="AH414" s="5">
        <f t="shared" si="422"/>
        <v>1310</v>
      </c>
      <c r="AI414" s="5">
        <f t="shared" ref="AI414:AJ414" si="443">+AH414</f>
        <v>1310</v>
      </c>
      <c r="AJ414" s="5">
        <f t="shared" si="443"/>
        <v>1310</v>
      </c>
      <c r="AK414" s="2"/>
      <c r="AL414" s="106"/>
    </row>
    <row r="415" spans="1:38" s="6" customFormat="1" ht="15" customHeight="1" x14ac:dyDescent="0.2">
      <c r="A415" s="29" t="s">
        <v>824</v>
      </c>
      <c r="B415" s="2" t="s">
        <v>822</v>
      </c>
      <c r="C415" s="3"/>
      <c r="D415" s="2" t="s">
        <v>825</v>
      </c>
      <c r="E415" s="3" t="s">
        <v>18</v>
      </c>
      <c r="F415" s="2" t="s">
        <v>19</v>
      </c>
      <c r="G415" s="2"/>
      <c r="H415" s="2" t="s">
        <v>50</v>
      </c>
      <c r="I415" s="2" t="s">
        <v>1707</v>
      </c>
      <c r="J415" s="28" t="s">
        <v>548</v>
      </c>
      <c r="K415" s="28" t="s">
        <v>548</v>
      </c>
      <c r="L415" s="44" t="s">
        <v>652</v>
      </c>
      <c r="M415" s="4" t="s">
        <v>3</v>
      </c>
      <c r="N415" s="15">
        <v>33700374</v>
      </c>
      <c r="O415" s="88" t="s">
        <v>1453</v>
      </c>
      <c r="P415" s="38">
        <v>32240</v>
      </c>
      <c r="Q415" s="38"/>
      <c r="R415" s="38"/>
      <c r="S415" s="38"/>
      <c r="T415" s="38"/>
      <c r="U415" s="17" t="s">
        <v>215</v>
      </c>
      <c r="V415" s="17" t="s">
        <v>915</v>
      </c>
      <c r="W415" s="12">
        <v>41334</v>
      </c>
      <c r="X415" s="13"/>
      <c r="Y415" s="12">
        <v>42735</v>
      </c>
      <c r="Z415" s="2"/>
      <c r="AA415" s="2" t="s">
        <v>479</v>
      </c>
      <c r="AB415" s="7" t="s">
        <v>787</v>
      </c>
      <c r="AC415" s="5">
        <v>1000</v>
      </c>
      <c r="AD415" s="5">
        <f>+AC415</f>
        <v>1000</v>
      </c>
      <c r="AE415" s="5">
        <v>1170</v>
      </c>
      <c r="AF415" s="5">
        <f t="shared" si="424"/>
        <v>1310</v>
      </c>
      <c r="AG415" s="5">
        <f t="shared" ref="AG415:AH434" si="444">+AF415</f>
        <v>1310</v>
      </c>
      <c r="AH415" s="5">
        <f t="shared" si="444"/>
        <v>1310</v>
      </c>
      <c r="AI415" s="5">
        <f t="shared" ref="AI415:AJ415" si="445">+AH415</f>
        <v>1310</v>
      </c>
      <c r="AJ415" s="5">
        <f t="shared" si="445"/>
        <v>1310</v>
      </c>
      <c r="AK415" s="2"/>
      <c r="AL415" s="106"/>
    </row>
    <row r="416" spans="1:38" s="6" customFormat="1" ht="15" customHeight="1" x14ac:dyDescent="0.2">
      <c r="A416" s="29" t="s">
        <v>824</v>
      </c>
      <c r="B416" s="29" t="s">
        <v>822</v>
      </c>
      <c r="C416" s="29" t="s">
        <v>823</v>
      </c>
      <c r="D416" s="2" t="s">
        <v>800</v>
      </c>
      <c r="E416" s="2" t="s">
        <v>489</v>
      </c>
      <c r="F416" s="2"/>
      <c r="G416" s="2"/>
      <c r="H416" s="2"/>
      <c r="I416" s="3"/>
      <c r="J416" s="28" t="s">
        <v>254</v>
      </c>
      <c r="K416" s="28"/>
      <c r="L416" s="42" t="s">
        <v>333</v>
      </c>
      <c r="M416" s="4" t="s">
        <v>3</v>
      </c>
      <c r="N416" s="15">
        <v>23551187</v>
      </c>
      <c r="O416" s="88">
        <v>27235511873</v>
      </c>
      <c r="P416" s="38"/>
      <c r="Q416" s="38"/>
      <c r="R416" s="38"/>
      <c r="S416" s="38"/>
      <c r="T416" s="38"/>
      <c r="U416" s="16" t="s">
        <v>796</v>
      </c>
      <c r="V416" s="16" t="s">
        <v>916</v>
      </c>
      <c r="W416" s="12">
        <v>41213</v>
      </c>
      <c r="X416" s="48">
        <v>42735</v>
      </c>
      <c r="Y416" s="12">
        <v>42735</v>
      </c>
      <c r="Z416" s="2" t="s">
        <v>49</v>
      </c>
      <c r="AA416" s="2"/>
      <c r="AB416" s="18"/>
      <c r="AC416" s="5">
        <v>1000</v>
      </c>
      <c r="AD416" s="5"/>
      <c r="AE416" s="5">
        <v>1170</v>
      </c>
      <c r="AF416" s="5">
        <f t="shared" si="424"/>
        <v>1310</v>
      </c>
      <c r="AG416" s="5">
        <f t="shared" si="444"/>
        <v>1310</v>
      </c>
      <c r="AH416" s="5">
        <f t="shared" si="444"/>
        <v>1310</v>
      </c>
      <c r="AI416" s="5">
        <f t="shared" ref="AI416:AJ416" si="446">+AH416</f>
        <v>1310</v>
      </c>
      <c r="AJ416" s="5">
        <f t="shared" si="446"/>
        <v>1310</v>
      </c>
      <c r="AK416" s="2"/>
      <c r="AL416" s="105" t="str">
        <f>+Z416</f>
        <v>D1</v>
      </c>
    </row>
    <row r="417" spans="1:38" s="6" customFormat="1" ht="15" customHeight="1" x14ac:dyDescent="0.2">
      <c r="A417" s="29" t="s">
        <v>824</v>
      </c>
      <c r="B417" s="29" t="s">
        <v>822</v>
      </c>
      <c r="C417" s="29" t="s">
        <v>823</v>
      </c>
      <c r="D417" s="2" t="s">
        <v>800</v>
      </c>
      <c r="E417" s="2" t="s">
        <v>486</v>
      </c>
      <c r="F417" s="2"/>
      <c r="G417" s="2"/>
      <c r="H417" s="2" t="s">
        <v>1710</v>
      </c>
      <c r="I417" s="3" t="s">
        <v>1755</v>
      </c>
      <c r="J417" s="28" t="s">
        <v>254</v>
      </c>
      <c r="K417" s="28"/>
      <c r="L417" s="42" t="s">
        <v>1685</v>
      </c>
      <c r="M417" s="4" t="s">
        <v>3</v>
      </c>
      <c r="N417" s="15">
        <v>28328515</v>
      </c>
      <c r="O417" s="88">
        <v>23283285154</v>
      </c>
      <c r="P417" s="38"/>
      <c r="Q417" s="38"/>
      <c r="R417" s="38"/>
      <c r="S417" s="38"/>
      <c r="T417" s="38"/>
      <c r="U417" s="17" t="s">
        <v>215</v>
      </c>
      <c r="V417" s="17" t="s">
        <v>1698</v>
      </c>
      <c r="W417" s="12"/>
      <c r="X417" s="13"/>
      <c r="Y417" s="12">
        <v>42735</v>
      </c>
      <c r="Z417" s="2"/>
      <c r="AA417" s="2" t="s">
        <v>479</v>
      </c>
      <c r="AB417" s="25" t="s">
        <v>479</v>
      </c>
      <c r="AC417" s="5">
        <v>1000</v>
      </c>
      <c r="AD417" s="5">
        <f>+AC417*1.07</f>
        <v>1070</v>
      </c>
      <c r="AE417" s="5">
        <v>1170</v>
      </c>
      <c r="AF417" s="5">
        <f t="shared" si="424"/>
        <v>1310</v>
      </c>
      <c r="AG417" s="5">
        <v>1310</v>
      </c>
      <c r="AH417" s="5">
        <f t="shared" si="444"/>
        <v>1310</v>
      </c>
      <c r="AI417" s="5">
        <f t="shared" ref="AI417:AJ417" si="447">+AH417</f>
        <v>1310</v>
      </c>
      <c r="AJ417" s="5">
        <f t="shared" si="447"/>
        <v>1310</v>
      </c>
      <c r="AK417" s="2"/>
      <c r="AL417" s="107" t="s">
        <v>1818</v>
      </c>
    </row>
    <row r="418" spans="1:38" s="6" customFormat="1" ht="15" customHeight="1" x14ac:dyDescent="0.2">
      <c r="A418" s="29" t="s">
        <v>824</v>
      </c>
      <c r="B418" s="29" t="s">
        <v>822</v>
      </c>
      <c r="C418" s="29" t="s">
        <v>823</v>
      </c>
      <c r="D418" s="2" t="s">
        <v>808</v>
      </c>
      <c r="E418" s="2" t="s">
        <v>909</v>
      </c>
      <c r="F418" s="2" t="s">
        <v>23</v>
      </c>
      <c r="G418" s="3"/>
      <c r="H418" s="2" t="s">
        <v>223</v>
      </c>
      <c r="I418" s="2" t="s">
        <v>238</v>
      </c>
      <c r="J418" s="28" t="s">
        <v>73</v>
      </c>
      <c r="K418" s="28" t="s">
        <v>1765</v>
      </c>
      <c r="L418" s="43" t="s">
        <v>130</v>
      </c>
      <c r="M418" s="4" t="s">
        <v>3</v>
      </c>
      <c r="N418" s="15">
        <v>36086487</v>
      </c>
      <c r="O418" s="88" t="s">
        <v>1508</v>
      </c>
      <c r="P418" s="38">
        <v>33541</v>
      </c>
      <c r="Q418" s="38"/>
      <c r="R418" s="38"/>
      <c r="S418" s="38"/>
      <c r="T418" s="38"/>
      <c r="U418" s="17" t="s">
        <v>215</v>
      </c>
      <c r="V418" s="17" t="s">
        <v>915</v>
      </c>
      <c r="W418" s="12">
        <v>42219</v>
      </c>
      <c r="X418" s="13"/>
      <c r="Y418" s="12">
        <v>42735</v>
      </c>
      <c r="Z418" s="2"/>
      <c r="AA418" s="2" t="s">
        <v>479</v>
      </c>
      <c r="AB418" s="7" t="s">
        <v>61</v>
      </c>
      <c r="AC418" s="5">
        <v>1000</v>
      </c>
      <c r="AD418" s="5">
        <f>+AC418*1.07</f>
        <v>1070</v>
      </c>
      <c r="AE418" s="5">
        <v>1170</v>
      </c>
      <c r="AF418" s="5">
        <f t="shared" si="424"/>
        <v>1310</v>
      </c>
      <c r="AG418" s="5">
        <f t="shared" si="444"/>
        <v>1310</v>
      </c>
      <c r="AH418" s="5">
        <f t="shared" si="444"/>
        <v>1310</v>
      </c>
      <c r="AI418" s="5">
        <f t="shared" ref="AI418:AJ418" si="448">+AH418</f>
        <v>1310</v>
      </c>
      <c r="AJ418" s="5">
        <f t="shared" si="448"/>
        <v>1310</v>
      </c>
      <c r="AK418" s="29" t="s">
        <v>42</v>
      </c>
      <c r="AL418" s="105" t="str">
        <f>+AK418</f>
        <v>C0</v>
      </c>
    </row>
    <row r="419" spans="1:38" s="6" customFormat="1" ht="15" customHeight="1" x14ac:dyDescent="0.2">
      <c r="A419" s="29" t="s">
        <v>824</v>
      </c>
      <c r="B419" s="29" t="s">
        <v>822</v>
      </c>
      <c r="C419" s="29" t="s">
        <v>823</v>
      </c>
      <c r="D419" s="2" t="s">
        <v>800</v>
      </c>
      <c r="E419" s="7" t="s">
        <v>497</v>
      </c>
      <c r="F419" s="7"/>
      <c r="G419" s="7"/>
      <c r="H419" s="8"/>
      <c r="I419" s="3" t="s">
        <v>1714</v>
      </c>
      <c r="J419" s="28" t="s">
        <v>254</v>
      </c>
      <c r="K419" s="28" t="s">
        <v>1767</v>
      </c>
      <c r="L419" s="42" t="s">
        <v>1686</v>
      </c>
      <c r="M419" s="4" t="s">
        <v>3</v>
      </c>
      <c r="N419" s="15">
        <v>38629669</v>
      </c>
      <c r="O419" s="88" t="s">
        <v>1552</v>
      </c>
      <c r="P419" s="38">
        <v>34430</v>
      </c>
      <c r="Q419" s="38"/>
      <c r="R419" s="38"/>
      <c r="S419" s="38"/>
      <c r="T419" s="38"/>
      <c r="U419" s="17" t="s">
        <v>215</v>
      </c>
      <c r="V419" s="17" t="s">
        <v>915</v>
      </c>
      <c r="W419" s="12">
        <v>41426</v>
      </c>
      <c r="X419" s="13"/>
      <c r="Y419" s="12">
        <v>42735</v>
      </c>
      <c r="Z419" s="2"/>
      <c r="AA419" s="2" t="s">
        <v>479</v>
      </c>
      <c r="AB419" s="24" t="s">
        <v>479</v>
      </c>
      <c r="AC419" s="5">
        <v>1000</v>
      </c>
      <c r="AD419" s="5">
        <v>1070</v>
      </c>
      <c r="AE419" s="5">
        <v>1170</v>
      </c>
      <c r="AF419" s="5">
        <f t="shared" si="424"/>
        <v>1310</v>
      </c>
      <c r="AG419" s="5">
        <f t="shared" si="444"/>
        <v>1310</v>
      </c>
      <c r="AH419" s="5">
        <f t="shared" si="444"/>
        <v>1310</v>
      </c>
      <c r="AI419" s="5">
        <f t="shared" ref="AI419:AJ419" si="449">+AH419</f>
        <v>1310</v>
      </c>
      <c r="AJ419" s="5">
        <f t="shared" si="449"/>
        <v>1310</v>
      </c>
      <c r="AK419" s="29" t="s">
        <v>42</v>
      </c>
      <c r="AL419" s="105" t="str">
        <f>+AK419</f>
        <v>C0</v>
      </c>
    </row>
    <row r="420" spans="1:38" s="6" customFormat="1" ht="15" customHeight="1" x14ac:dyDescent="0.2">
      <c r="A420" s="29" t="s">
        <v>824</v>
      </c>
      <c r="B420" s="29" t="s">
        <v>822</v>
      </c>
      <c r="C420" s="29" t="s">
        <v>823</v>
      </c>
      <c r="D420" s="2" t="s">
        <v>800</v>
      </c>
      <c r="E420" s="7" t="s">
        <v>497</v>
      </c>
      <c r="F420" s="7"/>
      <c r="G420" s="7"/>
      <c r="H420" s="8"/>
      <c r="I420" s="3" t="s">
        <v>1714</v>
      </c>
      <c r="J420" s="28" t="s">
        <v>254</v>
      </c>
      <c r="K420" s="28" t="s">
        <v>1767</v>
      </c>
      <c r="L420" s="42" t="s">
        <v>386</v>
      </c>
      <c r="M420" s="4" t="s">
        <v>3</v>
      </c>
      <c r="N420" s="15">
        <v>23356117</v>
      </c>
      <c r="O420" s="88" t="s">
        <v>1227</v>
      </c>
      <c r="P420" s="38">
        <v>26922</v>
      </c>
      <c r="Q420" s="38"/>
      <c r="R420" s="38"/>
      <c r="S420" s="38"/>
      <c r="T420" s="38"/>
      <c r="U420" s="17" t="s">
        <v>215</v>
      </c>
      <c r="V420" s="17" t="s">
        <v>915</v>
      </c>
      <c r="W420" s="12">
        <v>40725</v>
      </c>
      <c r="X420" s="13"/>
      <c r="Y420" s="12">
        <v>42735</v>
      </c>
      <c r="Z420" s="2"/>
      <c r="AA420" s="2" t="s">
        <v>479</v>
      </c>
      <c r="AB420" s="24" t="s">
        <v>479</v>
      </c>
      <c r="AC420" s="5">
        <v>1000</v>
      </c>
      <c r="AD420" s="5">
        <v>1070</v>
      </c>
      <c r="AE420" s="5">
        <v>1170</v>
      </c>
      <c r="AF420" s="5">
        <f t="shared" si="424"/>
        <v>1310</v>
      </c>
      <c r="AG420" s="5">
        <f t="shared" si="444"/>
        <v>1310</v>
      </c>
      <c r="AH420" s="5">
        <f t="shared" si="444"/>
        <v>1310</v>
      </c>
      <c r="AI420" s="5">
        <f t="shared" ref="AI420:AJ420" si="450">+AH420</f>
        <v>1310</v>
      </c>
      <c r="AJ420" s="5">
        <f t="shared" si="450"/>
        <v>1310</v>
      </c>
      <c r="AK420" s="29" t="s">
        <v>42</v>
      </c>
      <c r="AL420" s="105" t="str">
        <f>+AK420</f>
        <v>C0</v>
      </c>
    </row>
    <row r="421" spans="1:38" s="6" customFormat="1" ht="15" customHeight="1" x14ac:dyDescent="0.2">
      <c r="A421" s="29" t="s">
        <v>824</v>
      </c>
      <c r="B421" s="29" t="s">
        <v>822</v>
      </c>
      <c r="C421" s="29" t="s">
        <v>823</v>
      </c>
      <c r="D421" s="2" t="s">
        <v>800</v>
      </c>
      <c r="E421" s="2" t="s">
        <v>489</v>
      </c>
      <c r="F421" s="2"/>
      <c r="G421" s="2"/>
      <c r="H421" s="2"/>
      <c r="I421" s="3"/>
      <c r="J421" s="28" t="s">
        <v>254</v>
      </c>
      <c r="K421" s="28"/>
      <c r="L421" s="42" t="s">
        <v>346</v>
      </c>
      <c r="M421" s="4" t="s">
        <v>3</v>
      </c>
      <c r="N421" s="15">
        <v>20405235</v>
      </c>
      <c r="O421" s="88">
        <v>27204052358</v>
      </c>
      <c r="P421" s="38"/>
      <c r="Q421" s="38"/>
      <c r="R421" s="38"/>
      <c r="S421" s="38"/>
      <c r="T421" s="38"/>
      <c r="U421" s="16" t="s">
        <v>796</v>
      </c>
      <c r="V421" s="16" t="s">
        <v>916</v>
      </c>
      <c r="W421" s="12">
        <v>40756</v>
      </c>
      <c r="X421" s="48">
        <v>42735</v>
      </c>
      <c r="Y421" s="12">
        <v>42735</v>
      </c>
      <c r="Z421" s="2" t="s">
        <v>1817</v>
      </c>
      <c r="AA421" s="2"/>
      <c r="AB421" s="18"/>
      <c r="AC421" s="5">
        <v>1000</v>
      </c>
      <c r="AD421" s="5"/>
      <c r="AE421" s="5">
        <v>1170</v>
      </c>
      <c r="AF421" s="5">
        <f t="shared" si="424"/>
        <v>1310</v>
      </c>
      <c r="AG421" s="5">
        <f t="shared" si="444"/>
        <v>1310</v>
      </c>
      <c r="AH421" s="5">
        <f t="shared" si="444"/>
        <v>1310</v>
      </c>
      <c r="AI421" s="5">
        <f t="shared" ref="AI421:AJ421" si="451">+AH421</f>
        <v>1310</v>
      </c>
      <c r="AJ421" s="5">
        <f t="shared" si="451"/>
        <v>1310</v>
      </c>
      <c r="AK421" s="2"/>
      <c r="AL421" s="105" t="str">
        <f>+Z421</f>
        <v>F0</v>
      </c>
    </row>
    <row r="422" spans="1:38" s="6" customFormat="1" ht="15" customHeight="1" x14ac:dyDescent="0.2">
      <c r="A422" s="29" t="s">
        <v>824</v>
      </c>
      <c r="B422" s="29" t="s">
        <v>822</v>
      </c>
      <c r="C422" s="29" t="s">
        <v>823</v>
      </c>
      <c r="D422" s="2" t="s">
        <v>808</v>
      </c>
      <c r="E422" s="2" t="s">
        <v>11</v>
      </c>
      <c r="F422" s="2" t="s">
        <v>218</v>
      </c>
      <c r="G422" s="2"/>
      <c r="H422" s="2"/>
      <c r="I422" s="2" t="s">
        <v>1707</v>
      </c>
      <c r="J422" s="28"/>
      <c r="K422" s="28" t="s">
        <v>1765</v>
      </c>
      <c r="L422" s="44" t="s">
        <v>970</v>
      </c>
      <c r="M422" s="7" t="s">
        <v>3</v>
      </c>
      <c r="N422" s="15">
        <v>31114117</v>
      </c>
      <c r="O422" s="88">
        <v>27311141177</v>
      </c>
      <c r="P422" s="38">
        <v>30929</v>
      </c>
      <c r="Q422" s="38"/>
      <c r="R422" s="38"/>
      <c r="S422" s="38"/>
      <c r="T422" s="38"/>
      <c r="U422" s="17" t="s">
        <v>215</v>
      </c>
      <c r="V422" s="17" t="s">
        <v>915</v>
      </c>
      <c r="W422" s="12">
        <v>42505</v>
      </c>
      <c r="X422" s="12"/>
      <c r="Y422" s="12">
        <v>42735</v>
      </c>
      <c r="Z422" s="2"/>
      <c r="AA422" s="2" t="s">
        <v>479</v>
      </c>
      <c r="AB422" s="7"/>
      <c r="AC422" s="5">
        <v>1000</v>
      </c>
      <c r="AD422" s="5">
        <f>+AC422*1.07</f>
        <v>1070</v>
      </c>
      <c r="AE422" s="5">
        <v>1170</v>
      </c>
      <c r="AF422" s="5">
        <f t="shared" si="424"/>
        <v>1310</v>
      </c>
      <c r="AG422" s="5">
        <f t="shared" si="444"/>
        <v>1310</v>
      </c>
      <c r="AH422" s="5">
        <f t="shared" si="444"/>
        <v>1310</v>
      </c>
      <c r="AI422" s="5">
        <f t="shared" ref="AI422:AJ422" si="452">+AH422</f>
        <v>1310</v>
      </c>
      <c r="AJ422" s="5">
        <f t="shared" si="452"/>
        <v>1310</v>
      </c>
      <c r="AK422" s="2" t="s">
        <v>53</v>
      </c>
      <c r="AL422" s="105" t="str">
        <f>+AK422</f>
        <v>B0</v>
      </c>
    </row>
    <row r="423" spans="1:38" s="6" customFormat="1" ht="15" customHeight="1" x14ac:dyDescent="0.2">
      <c r="A423" s="29" t="s">
        <v>824</v>
      </c>
      <c r="B423" s="29" t="s">
        <v>822</v>
      </c>
      <c r="C423" s="14"/>
      <c r="D423" s="2" t="s">
        <v>928</v>
      </c>
      <c r="E423" s="2" t="s">
        <v>11</v>
      </c>
      <c r="F423" s="3"/>
      <c r="G423" s="3"/>
      <c r="H423" s="2"/>
      <c r="I423" s="2" t="s">
        <v>1707</v>
      </c>
      <c r="J423" s="28"/>
      <c r="K423" s="28" t="s">
        <v>1765</v>
      </c>
      <c r="L423" s="41" t="s">
        <v>1643</v>
      </c>
      <c r="M423" s="7" t="s">
        <v>3</v>
      </c>
      <c r="N423" s="15">
        <v>28080987</v>
      </c>
      <c r="O423" s="88">
        <v>27280809875</v>
      </c>
      <c r="P423" s="38">
        <v>29342</v>
      </c>
      <c r="Q423" s="38"/>
      <c r="R423" s="38"/>
      <c r="S423" s="38"/>
      <c r="T423" s="38"/>
      <c r="U423" s="17" t="s">
        <v>215</v>
      </c>
      <c r="V423" s="17" t="s">
        <v>915</v>
      </c>
      <c r="W423" s="12">
        <v>42542</v>
      </c>
      <c r="X423" s="48"/>
      <c r="Y423" s="48">
        <v>42735</v>
      </c>
      <c r="Z423" s="2"/>
      <c r="AA423" s="2" t="s">
        <v>479</v>
      </c>
      <c r="AB423" s="3"/>
      <c r="AC423" s="5"/>
      <c r="AD423" s="5">
        <v>1070</v>
      </c>
      <c r="AE423" s="5">
        <v>1170</v>
      </c>
      <c r="AF423" s="5">
        <f t="shared" si="424"/>
        <v>0</v>
      </c>
      <c r="AG423" s="5">
        <f t="shared" si="444"/>
        <v>0</v>
      </c>
      <c r="AH423" s="5">
        <f t="shared" si="444"/>
        <v>0</v>
      </c>
      <c r="AI423" s="5">
        <f t="shared" ref="AI423:AJ423" si="453">+AH423</f>
        <v>0</v>
      </c>
      <c r="AJ423" s="5">
        <f t="shared" si="453"/>
        <v>0</v>
      </c>
      <c r="AK423" s="29" t="s">
        <v>42</v>
      </c>
      <c r="AL423" s="105" t="str">
        <f>+AK423</f>
        <v>C0</v>
      </c>
    </row>
    <row r="424" spans="1:38" s="6" customFormat="1" ht="15" customHeight="1" x14ac:dyDescent="0.2">
      <c r="A424" s="29" t="s">
        <v>824</v>
      </c>
      <c r="B424" s="29" t="s">
        <v>822</v>
      </c>
      <c r="C424" s="29" t="s">
        <v>823</v>
      </c>
      <c r="D424" s="2" t="s">
        <v>808</v>
      </c>
      <c r="E424" s="2" t="s">
        <v>909</v>
      </c>
      <c r="F424" s="2" t="s">
        <v>500</v>
      </c>
      <c r="G424" s="3" t="s">
        <v>519</v>
      </c>
      <c r="H424" s="2" t="s">
        <v>239</v>
      </c>
      <c r="I424" s="2" t="s">
        <v>239</v>
      </c>
      <c r="J424" s="28" t="s">
        <v>73</v>
      </c>
      <c r="K424" s="28" t="s">
        <v>1765</v>
      </c>
      <c r="L424" s="43" t="s">
        <v>131</v>
      </c>
      <c r="M424" s="4" t="s">
        <v>3</v>
      </c>
      <c r="N424" s="15">
        <v>94929982</v>
      </c>
      <c r="O424" s="88" t="s">
        <v>1583</v>
      </c>
      <c r="P424" s="38">
        <v>32877</v>
      </c>
      <c r="Q424" s="38"/>
      <c r="R424" s="38"/>
      <c r="S424" s="38"/>
      <c r="T424" s="38"/>
      <c r="U424" s="17" t="s">
        <v>215</v>
      </c>
      <c r="V424" s="17" t="s">
        <v>915</v>
      </c>
      <c r="W424" s="12"/>
      <c r="X424" s="13"/>
      <c r="Y424" s="12">
        <v>42735</v>
      </c>
      <c r="Z424" s="2"/>
      <c r="AA424" s="2" t="s">
        <v>479</v>
      </c>
      <c r="AB424" s="2" t="s">
        <v>546</v>
      </c>
      <c r="AC424" s="5">
        <v>1000</v>
      </c>
      <c r="AD424" s="5">
        <f>+AC424*1.07</f>
        <v>1070</v>
      </c>
      <c r="AE424" s="5">
        <v>1170</v>
      </c>
      <c r="AF424" s="5">
        <f t="shared" si="424"/>
        <v>1310</v>
      </c>
      <c r="AG424" s="5">
        <f t="shared" si="444"/>
        <v>1310</v>
      </c>
      <c r="AH424" s="5">
        <f t="shared" si="444"/>
        <v>1310</v>
      </c>
      <c r="AI424" s="5">
        <f t="shared" ref="AI424:AJ424" si="454">+AH424</f>
        <v>1310</v>
      </c>
      <c r="AJ424" s="5">
        <f t="shared" si="454"/>
        <v>1310</v>
      </c>
      <c r="AK424" s="29" t="s">
        <v>42</v>
      </c>
      <c r="AL424" s="105" t="str">
        <f>+AK424</f>
        <v>C0</v>
      </c>
    </row>
    <row r="425" spans="1:38" s="6" customFormat="1" ht="15" customHeight="1" x14ac:dyDescent="0.2">
      <c r="A425" s="29" t="s">
        <v>824</v>
      </c>
      <c r="B425" s="29" t="s">
        <v>822</v>
      </c>
      <c r="C425" s="29" t="s">
        <v>823</v>
      </c>
      <c r="D425" s="2" t="s">
        <v>800</v>
      </c>
      <c r="E425" s="2" t="s">
        <v>486</v>
      </c>
      <c r="F425" s="2"/>
      <c r="G425" s="2"/>
      <c r="H425" s="2" t="s">
        <v>1710</v>
      </c>
      <c r="I425" s="3" t="s">
        <v>1754</v>
      </c>
      <c r="J425" s="28" t="s">
        <v>254</v>
      </c>
      <c r="K425" s="28"/>
      <c r="L425" s="42" t="s">
        <v>1687</v>
      </c>
      <c r="M425" s="4" t="s">
        <v>3</v>
      </c>
      <c r="N425" s="15">
        <v>31750830</v>
      </c>
      <c r="O425" s="88"/>
      <c r="P425" s="38">
        <v>31274</v>
      </c>
      <c r="Q425" s="38"/>
      <c r="R425" s="38"/>
      <c r="S425" s="38"/>
      <c r="T425" s="38"/>
      <c r="U425" s="17" t="s">
        <v>215</v>
      </c>
      <c r="V425" s="17" t="s">
        <v>1698</v>
      </c>
      <c r="W425" s="12"/>
      <c r="X425" s="13"/>
      <c r="Y425" s="12">
        <v>42735</v>
      </c>
      <c r="Z425" s="2"/>
      <c r="AA425" s="2" t="s">
        <v>479</v>
      </c>
      <c r="AB425" s="25" t="s">
        <v>479</v>
      </c>
      <c r="AC425" s="5">
        <v>1000</v>
      </c>
      <c r="AD425" s="5">
        <f>+AC425*1.07</f>
        <v>1070</v>
      </c>
      <c r="AE425" s="5">
        <v>1170</v>
      </c>
      <c r="AF425" s="5">
        <f t="shared" si="424"/>
        <v>1310</v>
      </c>
      <c r="AG425" s="5">
        <f t="shared" si="444"/>
        <v>1310</v>
      </c>
      <c r="AH425" s="5">
        <f t="shared" si="444"/>
        <v>1310</v>
      </c>
      <c r="AI425" s="5">
        <f t="shared" ref="AI425:AJ425" si="455">+AH425</f>
        <v>1310</v>
      </c>
      <c r="AJ425" s="5">
        <f t="shared" si="455"/>
        <v>1310</v>
      </c>
      <c r="AK425" s="2"/>
      <c r="AL425" s="107" t="s">
        <v>1818</v>
      </c>
    </row>
    <row r="426" spans="1:38" s="6" customFormat="1" ht="15" customHeight="1" x14ac:dyDescent="0.2">
      <c r="A426" s="29" t="s">
        <v>824</v>
      </c>
      <c r="B426" s="29" t="s">
        <v>822</v>
      </c>
      <c r="C426" s="29" t="s">
        <v>823</v>
      </c>
      <c r="D426" s="2" t="s">
        <v>800</v>
      </c>
      <c r="E426" s="7" t="s">
        <v>503</v>
      </c>
      <c r="F426" s="7"/>
      <c r="G426" s="7"/>
      <c r="H426" s="8"/>
      <c r="I426" s="3"/>
      <c r="J426" s="28" t="s">
        <v>254</v>
      </c>
      <c r="K426" s="28"/>
      <c r="L426" s="42" t="s">
        <v>470</v>
      </c>
      <c r="M426" s="4" t="s">
        <v>3</v>
      </c>
      <c r="N426" s="15">
        <v>24220906</v>
      </c>
      <c r="O426" s="88">
        <v>20242209061</v>
      </c>
      <c r="P426" s="38"/>
      <c r="Q426" s="38"/>
      <c r="R426" s="38"/>
      <c r="S426" s="38"/>
      <c r="T426" s="38"/>
      <c r="U426" s="16" t="s">
        <v>796</v>
      </c>
      <c r="V426" s="16" t="s">
        <v>916</v>
      </c>
      <c r="W426" s="12">
        <v>40909</v>
      </c>
      <c r="X426" s="48">
        <v>42735</v>
      </c>
      <c r="Y426" s="12">
        <v>42735</v>
      </c>
      <c r="Z426" s="2" t="s">
        <v>42</v>
      </c>
      <c r="AA426" s="2"/>
      <c r="AB426" s="18"/>
      <c r="AC426" s="5">
        <v>1000</v>
      </c>
      <c r="AD426" s="5"/>
      <c r="AE426" s="5">
        <v>1170</v>
      </c>
      <c r="AF426" s="5">
        <f t="shared" si="424"/>
        <v>1310</v>
      </c>
      <c r="AG426" s="5">
        <f t="shared" si="444"/>
        <v>1310</v>
      </c>
      <c r="AH426" s="5">
        <f t="shared" si="444"/>
        <v>1310</v>
      </c>
      <c r="AI426" s="5">
        <f t="shared" ref="AI426:AJ426" si="456">+AH426</f>
        <v>1310</v>
      </c>
      <c r="AJ426" s="5">
        <f t="shared" si="456"/>
        <v>1310</v>
      </c>
      <c r="AK426" s="2"/>
      <c r="AL426" s="105" t="str">
        <f>+Z426</f>
        <v>C0</v>
      </c>
    </row>
    <row r="427" spans="1:38" s="6" customFormat="1" ht="15" customHeight="1" x14ac:dyDescent="0.2">
      <c r="A427" s="29" t="s">
        <v>824</v>
      </c>
      <c r="B427" s="2" t="s">
        <v>822</v>
      </c>
      <c r="C427" s="29" t="s">
        <v>823</v>
      </c>
      <c r="D427" s="2" t="s">
        <v>808</v>
      </c>
      <c r="E427" s="2" t="s">
        <v>216</v>
      </c>
      <c r="F427" s="2" t="s">
        <v>1066</v>
      </c>
      <c r="G427" s="2"/>
      <c r="H427" s="2"/>
      <c r="I427" s="2" t="s">
        <v>1066</v>
      </c>
      <c r="J427" s="28"/>
      <c r="K427" s="28" t="s">
        <v>1765</v>
      </c>
      <c r="L427" s="44" t="s">
        <v>1125</v>
      </c>
      <c r="M427" s="7" t="s">
        <v>3</v>
      </c>
      <c r="N427" s="15">
        <v>40747726</v>
      </c>
      <c r="O427" s="88">
        <v>20407477260</v>
      </c>
      <c r="P427" s="38">
        <v>35724</v>
      </c>
      <c r="Q427" s="38"/>
      <c r="R427" s="38"/>
      <c r="S427" s="38"/>
      <c r="T427" s="38"/>
      <c r="U427" s="17" t="s">
        <v>215</v>
      </c>
      <c r="V427" s="17" t="s">
        <v>915</v>
      </c>
      <c r="W427" s="12">
        <v>42491</v>
      </c>
      <c r="X427" s="13"/>
      <c r="Y427" s="12">
        <v>42735</v>
      </c>
      <c r="Z427" s="2"/>
      <c r="AA427" s="2" t="s">
        <v>479</v>
      </c>
      <c r="AB427" s="7"/>
      <c r="AC427" s="5">
        <v>1000</v>
      </c>
      <c r="AD427" s="5">
        <v>1070</v>
      </c>
      <c r="AE427" s="5">
        <v>1170</v>
      </c>
      <c r="AF427" s="5">
        <f t="shared" si="424"/>
        <v>1310</v>
      </c>
      <c r="AG427" s="5">
        <f t="shared" si="444"/>
        <v>1310</v>
      </c>
      <c r="AH427" s="5">
        <f t="shared" si="444"/>
        <v>1310</v>
      </c>
      <c r="AI427" s="5">
        <f t="shared" ref="AI427:AJ427" si="457">+AH427</f>
        <v>1310</v>
      </c>
      <c r="AJ427" s="5">
        <f t="shared" si="457"/>
        <v>1310</v>
      </c>
      <c r="AK427" s="2" t="s">
        <v>42</v>
      </c>
      <c r="AL427" s="105" t="str">
        <f>+AK427</f>
        <v>C0</v>
      </c>
    </row>
    <row r="428" spans="1:38" s="6" customFormat="1" ht="15" customHeight="1" x14ac:dyDescent="0.2">
      <c r="A428" s="29" t="s">
        <v>824</v>
      </c>
      <c r="B428" s="29" t="s">
        <v>822</v>
      </c>
      <c r="C428" s="29" t="s">
        <v>823</v>
      </c>
      <c r="D428" s="2" t="s">
        <v>800</v>
      </c>
      <c r="E428" s="2"/>
      <c r="F428" s="3"/>
      <c r="G428" s="3"/>
      <c r="H428" s="2" t="s">
        <v>884</v>
      </c>
      <c r="I428" s="2" t="s">
        <v>1707</v>
      </c>
      <c r="J428" s="28"/>
      <c r="K428" s="28" t="s">
        <v>1767</v>
      </c>
      <c r="L428" s="41" t="s">
        <v>907</v>
      </c>
      <c r="M428" s="7" t="s">
        <v>3</v>
      </c>
      <c r="N428" s="15">
        <v>31215701</v>
      </c>
      <c r="O428" s="88">
        <v>20312157013</v>
      </c>
      <c r="P428" s="38">
        <v>31085</v>
      </c>
      <c r="Q428" s="38"/>
      <c r="R428" s="38"/>
      <c r="S428" s="38"/>
      <c r="T428" s="38"/>
      <c r="U428" s="17" t="s">
        <v>215</v>
      </c>
      <c r="V428" s="17" t="s">
        <v>915</v>
      </c>
      <c r="W428" s="12"/>
      <c r="X428" s="48"/>
      <c r="Y428" s="12">
        <v>42735</v>
      </c>
      <c r="Z428" s="2"/>
      <c r="AA428" s="2" t="s">
        <v>479</v>
      </c>
      <c r="AB428" s="3"/>
      <c r="AC428" s="5">
        <v>1000</v>
      </c>
      <c r="AD428" s="5">
        <v>1070</v>
      </c>
      <c r="AE428" s="5">
        <v>1170</v>
      </c>
      <c r="AF428" s="5">
        <f t="shared" si="424"/>
        <v>1310</v>
      </c>
      <c r="AG428" s="5">
        <f t="shared" si="444"/>
        <v>1310</v>
      </c>
      <c r="AH428" s="5">
        <f t="shared" si="444"/>
        <v>1310</v>
      </c>
      <c r="AI428" s="5">
        <f t="shared" ref="AI428:AJ428" si="458">+AH428</f>
        <v>1310</v>
      </c>
      <c r="AJ428" s="5">
        <f t="shared" si="458"/>
        <v>1310</v>
      </c>
      <c r="AK428" s="2" t="s">
        <v>53</v>
      </c>
      <c r="AL428" s="105" t="str">
        <f>+AK428</f>
        <v>B0</v>
      </c>
    </row>
    <row r="429" spans="1:38" s="6" customFormat="1" ht="15" customHeight="1" x14ac:dyDescent="0.2">
      <c r="A429" s="29" t="s">
        <v>824</v>
      </c>
      <c r="B429" s="29"/>
      <c r="C429" s="14"/>
      <c r="D429" s="2" t="s">
        <v>819</v>
      </c>
      <c r="E429" s="2"/>
      <c r="F429" s="3"/>
      <c r="G429" s="3"/>
      <c r="H429" s="2" t="s">
        <v>884</v>
      </c>
      <c r="I429" s="2" t="s">
        <v>1707</v>
      </c>
      <c r="J429" s="28"/>
      <c r="K429" s="28" t="s">
        <v>1765</v>
      </c>
      <c r="L429" s="41" t="s">
        <v>863</v>
      </c>
      <c r="M429" s="4" t="s">
        <v>3</v>
      </c>
      <c r="N429" s="15">
        <v>22825030</v>
      </c>
      <c r="O429" s="88" t="s">
        <v>1585</v>
      </c>
      <c r="P429" s="38">
        <v>26509</v>
      </c>
      <c r="Q429" s="38"/>
      <c r="R429" s="38"/>
      <c r="S429" s="38"/>
      <c r="T429" s="38"/>
      <c r="U429" s="17" t="s">
        <v>215</v>
      </c>
      <c r="V429" s="17" t="s">
        <v>915</v>
      </c>
      <c r="W429" s="12">
        <v>42370</v>
      </c>
      <c r="X429" s="48"/>
      <c r="Y429" s="12">
        <v>42735</v>
      </c>
      <c r="Z429" s="2"/>
      <c r="AA429" s="2" t="s">
        <v>479</v>
      </c>
      <c r="AB429" s="3" t="s">
        <v>10</v>
      </c>
      <c r="AC429" s="5">
        <v>1000</v>
      </c>
      <c r="AD429" s="5">
        <f>+AC429*1.07</f>
        <v>1070</v>
      </c>
      <c r="AE429" s="5">
        <v>1170</v>
      </c>
      <c r="AF429" s="5">
        <f t="shared" si="424"/>
        <v>1310</v>
      </c>
      <c r="AG429" s="5">
        <f t="shared" si="444"/>
        <v>1310</v>
      </c>
      <c r="AH429" s="5">
        <f t="shared" si="444"/>
        <v>1310</v>
      </c>
      <c r="AI429" s="5">
        <f t="shared" ref="AI429:AJ429" si="459">+AH429</f>
        <v>1310</v>
      </c>
      <c r="AJ429" s="5">
        <f t="shared" si="459"/>
        <v>1310</v>
      </c>
      <c r="AK429" s="2" t="s">
        <v>43</v>
      </c>
      <c r="AL429" s="105" t="str">
        <f>+AK429</f>
        <v>A0</v>
      </c>
    </row>
    <row r="430" spans="1:38" s="6" customFormat="1" ht="15" customHeight="1" x14ac:dyDescent="0.2">
      <c r="A430" s="29" t="s">
        <v>824</v>
      </c>
      <c r="B430" s="29" t="s">
        <v>822</v>
      </c>
      <c r="C430" s="29" t="s">
        <v>823</v>
      </c>
      <c r="D430" s="2" t="s">
        <v>808</v>
      </c>
      <c r="E430" s="2" t="s">
        <v>216</v>
      </c>
      <c r="F430" s="3"/>
      <c r="G430" s="3"/>
      <c r="H430" s="2" t="s">
        <v>228</v>
      </c>
      <c r="I430" s="2" t="s">
        <v>225</v>
      </c>
      <c r="J430" s="28" t="s">
        <v>73</v>
      </c>
      <c r="K430" s="28" t="s">
        <v>1765</v>
      </c>
      <c r="L430" s="43" t="s">
        <v>132</v>
      </c>
      <c r="M430" s="4" t="s">
        <v>3</v>
      </c>
      <c r="N430" s="15">
        <v>13852028</v>
      </c>
      <c r="O430" s="88" t="s">
        <v>1158</v>
      </c>
      <c r="P430" s="38">
        <v>22017</v>
      </c>
      <c r="Q430" s="38"/>
      <c r="R430" s="38"/>
      <c r="S430" s="38"/>
      <c r="T430" s="38"/>
      <c r="U430" s="17" t="s">
        <v>215</v>
      </c>
      <c r="V430" s="17" t="s">
        <v>915</v>
      </c>
      <c r="W430" s="12">
        <v>39904</v>
      </c>
      <c r="X430" s="13"/>
      <c r="Y430" s="12">
        <v>42735</v>
      </c>
      <c r="Z430" s="2"/>
      <c r="AA430" s="2" t="s">
        <v>479</v>
      </c>
      <c r="AB430" s="7" t="s">
        <v>61</v>
      </c>
      <c r="AC430" s="5">
        <v>1000</v>
      </c>
      <c r="AD430" s="5">
        <f>+AC430*1.07</f>
        <v>1070</v>
      </c>
      <c r="AE430" s="5">
        <v>1170</v>
      </c>
      <c r="AF430" s="5">
        <f t="shared" si="424"/>
        <v>1310</v>
      </c>
      <c r="AG430" s="5">
        <f t="shared" si="444"/>
        <v>1310</v>
      </c>
      <c r="AH430" s="5">
        <f t="shared" si="444"/>
        <v>1310</v>
      </c>
      <c r="AI430" s="5">
        <f t="shared" ref="AI430:AJ430" si="460">+AH430</f>
        <v>1310</v>
      </c>
      <c r="AJ430" s="5">
        <f t="shared" si="460"/>
        <v>1310</v>
      </c>
      <c r="AK430" s="2" t="s">
        <v>53</v>
      </c>
      <c r="AL430" s="105" t="str">
        <f>+AK430</f>
        <v>B0</v>
      </c>
    </row>
    <row r="431" spans="1:38" s="6" customFormat="1" ht="15" customHeight="1" x14ac:dyDescent="0.2">
      <c r="A431" s="29" t="s">
        <v>824</v>
      </c>
      <c r="B431" s="29" t="s">
        <v>822</v>
      </c>
      <c r="C431" s="29" t="s">
        <v>823</v>
      </c>
      <c r="D431" s="2" t="s">
        <v>800</v>
      </c>
      <c r="E431" s="2" t="s">
        <v>489</v>
      </c>
      <c r="F431" s="2"/>
      <c r="G431" s="2"/>
      <c r="H431" s="2"/>
      <c r="I431" s="3"/>
      <c r="J431" s="28" t="s">
        <v>254</v>
      </c>
      <c r="K431" s="28"/>
      <c r="L431" s="42" t="s">
        <v>653</v>
      </c>
      <c r="M431" s="4" t="s">
        <v>3</v>
      </c>
      <c r="N431" s="15">
        <v>36251926</v>
      </c>
      <c r="O431" s="88">
        <v>20362519269</v>
      </c>
      <c r="P431" s="38"/>
      <c r="Q431" s="38"/>
      <c r="R431" s="38"/>
      <c r="S431" s="38"/>
      <c r="T431" s="38"/>
      <c r="U431" s="16" t="s">
        <v>796</v>
      </c>
      <c r="V431" s="16" t="s">
        <v>916</v>
      </c>
      <c r="W431" s="12">
        <v>41395</v>
      </c>
      <c r="X431" s="12">
        <v>42460</v>
      </c>
      <c r="Y431" s="12">
        <v>42735</v>
      </c>
      <c r="Z431" s="2" t="s">
        <v>24</v>
      </c>
      <c r="AA431" s="2"/>
      <c r="AB431" s="18"/>
      <c r="AC431" s="5">
        <v>1000</v>
      </c>
      <c r="AD431" s="5"/>
      <c r="AE431" s="5">
        <v>1170</v>
      </c>
      <c r="AF431" s="5">
        <f t="shared" si="424"/>
        <v>1310</v>
      </c>
      <c r="AG431" s="5">
        <f t="shared" si="444"/>
        <v>1310</v>
      </c>
      <c r="AH431" s="5">
        <f t="shared" si="444"/>
        <v>1310</v>
      </c>
      <c r="AI431" s="5">
        <f t="shared" ref="AI431:AJ431" si="461">+AH431</f>
        <v>1310</v>
      </c>
      <c r="AJ431" s="5">
        <f t="shared" si="461"/>
        <v>1310</v>
      </c>
      <c r="AK431" s="2"/>
      <c r="AL431" s="105" t="str">
        <f>+Z431</f>
        <v>D0</v>
      </c>
    </row>
    <row r="432" spans="1:38" s="6" customFormat="1" ht="15" customHeight="1" x14ac:dyDescent="0.2">
      <c r="A432" s="29" t="s">
        <v>824</v>
      </c>
      <c r="B432" s="2" t="s">
        <v>822</v>
      </c>
      <c r="C432" s="3"/>
      <c r="D432" s="2" t="s">
        <v>825</v>
      </c>
      <c r="E432" s="3" t="s">
        <v>18</v>
      </c>
      <c r="F432" s="2" t="s">
        <v>19</v>
      </c>
      <c r="G432" s="2"/>
      <c r="H432" s="2" t="s">
        <v>50</v>
      </c>
      <c r="I432" s="2" t="s">
        <v>1707</v>
      </c>
      <c r="J432" s="28" t="s">
        <v>548</v>
      </c>
      <c r="K432" s="28" t="s">
        <v>548</v>
      </c>
      <c r="L432" s="44" t="s">
        <v>654</v>
      </c>
      <c r="M432" s="4" t="s">
        <v>3</v>
      </c>
      <c r="N432" s="15">
        <v>31292772</v>
      </c>
      <c r="O432" s="88" t="s">
        <v>1391</v>
      </c>
      <c r="P432" s="38">
        <v>31023</v>
      </c>
      <c r="Q432" s="38"/>
      <c r="R432" s="38"/>
      <c r="S432" s="38"/>
      <c r="T432" s="38"/>
      <c r="U432" s="17" t="s">
        <v>215</v>
      </c>
      <c r="V432" s="17" t="s">
        <v>915</v>
      </c>
      <c r="W432" s="12">
        <v>41487</v>
      </c>
      <c r="X432" s="13"/>
      <c r="Y432" s="12">
        <v>42735</v>
      </c>
      <c r="Z432" s="2"/>
      <c r="AA432" s="2" t="s">
        <v>479</v>
      </c>
      <c r="AB432" s="7" t="s">
        <v>787</v>
      </c>
      <c r="AC432" s="5">
        <v>1000</v>
      </c>
      <c r="AD432" s="5">
        <f>+AC432</f>
        <v>1000</v>
      </c>
      <c r="AE432" s="5">
        <v>1170</v>
      </c>
      <c r="AF432" s="5">
        <f t="shared" si="424"/>
        <v>1310</v>
      </c>
      <c r="AG432" s="5">
        <f t="shared" si="444"/>
        <v>1310</v>
      </c>
      <c r="AH432" s="5">
        <f t="shared" si="444"/>
        <v>1310</v>
      </c>
      <c r="AI432" s="5">
        <f t="shared" ref="AI432:AJ432" si="462">+AH432</f>
        <v>1310</v>
      </c>
      <c r="AJ432" s="5">
        <f t="shared" si="462"/>
        <v>1310</v>
      </c>
      <c r="AK432" s="2"/>
      <c r="AL432" s="106"/>
    </row>
    <row r="433" spans="1:38" s="6" customFormat="1" ht="15" customHeight="1" x14ac:dyDescent="0.2">
      <c r="A433" s="29" t="s">
        <v>824</v>
      </c>
      <c r="B433" s="29" t="s">
        <v>822</v>
      </c>
      <c r="C433" s="29" t="s">
        <v>823</v>
      </c>
      <c r="D433" s="2" t="s">
        <v>800</v>
      </c>
      <c r="E433" s="2" t="s">
        <v>489</v>
      </c>
      <c r="F433" s="2"/>
      <c r="G433" s="2"/>
      <c r="H433" s="2"/>
      <c r="I433" s="3"/>
      <c r="J433" s="28" t="s">
        <v>254</v>
      </c>
      <c r="K433" s="28"/>
      <c r="L433" s="42" t="s">
        <v>655</v>
      </c>
      <c r="M433" s="4" t="s">
        <v>3</v>
      </c>
      <c r="N433" s="15">
        <v>29624857</v>
      </c>
      <c r="O433" s="88">
        <v>27296248571</v>
      </c>
      <c r="P433" s="38"/>
      <c r="Q433" s="38"/>
      <c r="R433" s="38"/>
      <c r="S433" s="38"/>
      <c r="T433" s="38"/>
      <c r="U433" s="16" t="s">
        <v>796</v>
      </c>
      <c r="V433" s="16" t="s">
        <v>916</v>
      </c>
      <c r="W433" s="12">
        <v>40725</v>
      </c>
      <c r="X433" s="48">
        <v>42735</v>
      </c>
      <c r="Y433" s="12">
        <v>42735</v>
      </c>
      <c r="Z433" s="2" t="s">
        <v>24</v>
      </c>
      <c r="AA433" s="2"/>
      <c r="AB433" s="18"/>
      <c r="AC433" s="5">
        <v>1000</v>
      </c>
      <c r="AD433" s="5"/>
      <c r="AE433" s="5">
        <v>1170</v>
      </c>
      <c r="AF433" s="5">
        <f t="shared" si="424"/>
        <v>1310</v>
      </c>
      <c r="AG433" s="5">
        <f t="shared" si="444"/>
        <v>1310</v>
      </c>
      <c r="AH433" s="5">
        <f t="shared" si="444"/>
        <v>1310</v>
      </c>
      <c r="AI433" s="5">
        <f t="shared" ref="AI433:AJ433" si="463">+AH433</f>
        <v>1310</v>
      </c>
      <c r="AJ433" s="5">
        <f t="shared" si="463"/>
        <v>1310</v>
      </c>
      <c r="AK433" s="2"/>
      <c r="AL433" s="105" t="str">
        <f>+Z433</f>
        <v>D0</v>
      </c>
    </row>
    <row r="434" spans="1:38" s="6" customFormat="1" ht="15" customHeight="1" x14ac:dyDescent="0.2">
      <c r="A434" s="29" t="s">
        <v>824</v>
      </c>
      <c r="B434" s="29" t="s">
        <v>822</v>
      </c>
      <c r="C434" s="29" t="s">
        <v>823</v>
      </c>
      <c r="D434" s="2" t="s">
        <v>808</v>
      </c>
      <c r="E434" s="2" t="s">
        <v>909</v>
      </c>
      <c r="F434" s="2" t="s">
        <v>811</v>
      </c>
      <c r="G434" s="3" t="s">
        <v>519</v>
      </c>
      <c r="H434" s="2" t="s">
        <v>239</v>
      </c>
      <c r="I434" s="2" t="s">
        <v>811</v>
      </c>
      <c r="J434" s="28" t="s">
        <v>73</v>
      </c>
      <c r="K434" s="28" t="s">
        <v>1765</v>
      </c>
      <c r="L434" s="43" t="s">
        <v>133</v>
      </c>
      <c r="M434" s="4" t="s">
        <v>3</v>
      </c>
      <c r="N434" s="15">
        <v>22609036</v>
      </c>
      <c r="O434" s="88" t="s">
        <v>1209</v>
      </c>
      <c r="P434" s="38">
        <v>26347</v>
      </c>
      <c r="Q434" s="38"/>
      <c r="R434" s="38"/>
      <c r="S434" s="38"/>
      <c r="T434" s="38"/>
      <c r="U434" s="17" t="s">
        <v>215</v>
      </c>
      <c r="V434" s="17" t="s">
        <v>915</v>
      </c>
      <c r="W434" s="12">
        <v>42165</v>
      </c>
      <c r="X434" s="13"/>
      <c r="Y434" s="12">
        <v>42735</v>
      </c>
      <c r="Z434" s="2"/>
      <c r="AA434" s="2" t="s">
        <v>479</v>
      </c>
      <c r="AB434" s="14" t="s">
        <v>479</v>
      </c>
      <c r="AC434" s="5">
        <v>1000</v>
      </c>
      <c r="AD434" s="5">
        <f>+AC434*1.07</f>
        <v>1070</v>
      </c>
      <c r="AE434" s="5">
        <v>1170</v>
      </c>
      <c r="AF434" s="5">
        <f t="shared" si="424"/>
        <v>1310</v>
      </c>
      <c r="AG434" s="5">
        <f t="shared" si="444"/>
        <v>1310</v>
      </c>
      <c r="AH434" s="5">
        <f t="shared" si="444"/>
        <v>1310</v>
      </c>
      <c r="AI434" s="5">
        <f t="shared" ref="AI434:AJ434" si="464">+AH434</f>
        <v>1310</v>
      </c>
      <c r="AJ434" s="5">
        <f t="shared" si="464"/>
        <v>1310</v>
      </c>
      <c r="AK434" s="29" t="s">
        <v>42</v>
      </c>
      <c r="AL434" s="105" t="str">
        <f t="shared" ref="AL434:AL439" si="465">+AK434</f>
        <v>C0</v>
      </c>
    </row>
    <row r="435" spans="1:38" s="6" customFormat="1" ht="15" customHeight="1" x14ac:dyDescent="0.2">
      <c r="A435" s="29" t="s">
        <v>824</v>
      </c>
      <c r="B435" s="29"/>
      <c r="C435" s="14"/>
      <c r="D435" s="2" t="s">
        <v>819</v>
      </c>
      <c r="E435" s="2"/>
      <c r="F435" s="3"/>
      <c r="G435" s="3"/>
      <c r="H435" s="2" t="s">
        <v>884</v>
      </c>
      <c r="I435" s="2" t="s">
        <v>1707</v>
      </c>
      <c r="J435" s="28"/>
      <c r="K435" s="28" t="s">
        <v>1765</v>
      </c>
      <c r="L435" s="41" t="s">
        <v>1032</v>
      </c>
      <c r="M435" s="4" t="s">
        <v>3</v>
      </c>
      <c r="N435" s="15">
        <v>34975868</v>
      </c>
      <c r="O435" s="88" t="s">
        <v>1584</v>
      </c>
      <c r="P435" s="38">
        <v>32833</v>
      </c>
      <c r="Q435" s="38"/>
      <c r="R435" s="38"/>
      <c r="S435" s="38"/>
      <c r="T435" s="38"/>
      <c r="U435" s="17" t="s">
        <v>215</v>
      </c>
      <c r="V435" s="17" t="s">
        <v>915</v>
      </c>
      <c r="W435" s="12">
        <v>42370</v>
      </c>
      <c r="X435" s="48"/>
      <c r="Y435" s="12">
        <v>42735</v>
      </c>
      <c r="Z435" s="2"/>
      <c r="AA435" s="2" t="s">
        <v>479</v>
      </c>
      <c r="AB435" s="3" t="s">
        <v>10</v>
      </c>
      <c r="AC435" s="5">
        <v>1000</v>
      </c>
      <c r="AD435" s="5">
        <f>+AC435*1.07</f>
        <v>1070</v>
      </c>
      <c r="AE435" s="5">
        <v>1170</v>
      </c>
      <c r="AF435" s="5">
        <f t="shared" si="424"/>
        <v>1310</v>
      </c>
      <c r="AG435" s="5">
        <f t="shared" ref="AG435:AH453" si="466">+AF435</f>
        <v>1310</v>
      </c>
      <c r="AH435" s="5">
        <f t="shared" si="466"/>
        <v>1310</v>
      </c>
      <c r="AI435" s="5">
        <f t="shared" ref="AI435:AJ435" si="467">+AH435</f>
        <v>1310</v>
      </c>
      <c r="AJ435" s="5">
        <f t="shared" si="467"/>
        <v>1310</v>
      </c>
      <c r="AK435" s="2" t="s">
        <v>53</v>
      </c>
      <c r="AL435" s="105" t="str">
        <f t="shared" si="465"/>
        <v>B0</v>
      </c>
    </row>
    <row r="436" spans="1:38" s="6" customFormat="1" ht="15" customHeight="1" x14ac:dyDescent="0.2">
      <c r="A436" s="29" t="s">
        <v>824</v>
      </c>
      <c r="B436" s="2" t="s">
        <v>822</v>
      </c>
      <c r="C436" s="29" t="s">
        <v>823</v>
      </c>
      <c r="D436" s="2" t="s">
        <v>808</v>
      </c>
      <c r="E436" s="2" t="s">
        <v>20</v>
      </c>
      <c r="F436" s="3"/>
      <c r="G436" s="3"/>
      <c r="H436" s="2" t="s">
        <v>884</v>
      </c>
      <c r="I436" s="2" t="s">
        <v>235</v>
      </c>
      <c r="J436" s="28" t="s">
        <v>73</v>
      </c>
      <c r="K436" s="28" t="s">
        <v>1765</v>
      </c>
      <c r="L436" s="41" t="s">
        <v>851</v>
      </c>
      <c r="M436" s="4" t="s">
        <v>3</v>
      </c>
      <c r="N436" s="15">
        <v>25495401</v>
      </c>
      <c r="O436" s="88" t="s">
        <v>1266</v>
      </c>
      <c r="P436" s="38">
        <v>27786</v>
      </c>
      <c r="Q436" s="38"/>
      <c r="R436" s="38"/>
      <c r="S436" s="38"/>
      <c r="T436" s="38"/>
      <c r="U436" s="17" t="s">
        <v>215</v>
      </c>
      <c r="V436" s="17" t="s">
        <v>915</v>
      </c>
      <c r="W436" s="12">
        <v>42401</v>
      </c>
      <c r="X436" s="48"/>
      <c r="Y436" s="12">
        <v>42735</v>
      </c>
      <c r="Z436" s="2"/>
      <c r="AA436" s="2" t="s">
        <v>479</v>
      </c>
      <c r="AB436" s="3" t="s">
        <v>10</v>
      </c>
      <c r="AC436" s="5">
        <v>1000</v>
      </c>
      <c r="AD436" s="5">
        <f>+AC436*1.07</f>
        <v>1070</v>
      </c>
      <c r="AE436" s="5">
        <v>1170</v>
      </c>
      <c r="AF436" s="5">
        <f t="shared" si="424"/>
        <v>1310</v>
      </c>
      <c r="AG436" s="5">
        <f t="shared" si="466"/>
        <v>1310</v>
      </c>
      <c r="AH436" s="5">
        <f t="shared" si="466"/>
        <v>1310</v>
      </c>
      <c r="AI436" s="5">
        <f t="shared" ref="AI436:AJ436" si="468">+AH436</f>
        <v>1310</v>
      </c>
      <c r="AJ436" s="5">
        <f t="shared" si="468"/>
        <v>1310</v>
      </c>
      <c r="AK436" s="2" t="s">
        <v>53</v>
      </c>
      <c r="AL436" s="105" t="str">
        <f t="shared" si="465"/>
        <v>B0</v>
      </c>
    </row>
    <row r="437" spans="1:38" s="6" customFormat="1" ht="15" customHeight="1" x14ac:dyDescent="0.2">
      <c r="A437" s="29" t="s">
        <v>824</v>
      </c>
      <c r="B437" s="29"/>
      <c r="C437" s="14"/>
      <c r="D437" s="2" t="s">
        <v>820</v>
      </c>
      <c r="E437" s="2" t="s">
        <v>912</v>
      </c>
      <c r="F437" s="3"/>
      <c r="G437" s="3" t="s">
        <v>526</v>
      </c>
      <c r="H437" s="2" t="s">
        <v>814</v>
      </c>
      <c r="I437" s="2" t="s">
        <v>223</v>
      </c>
      <c r="J437" s="28" t="s">
        <v>73</v>
      </c>
      <c r="K437" s="28" t="s">
        <v>1765</v>
      </c>
      <c r="L437" s="46" t="s">
        <v>134</v>
      </c>
      <c r="M437" s="4" t="s">
        <v>3</v>
      </c>
      <c r="N437" s="15">
        <v>38399930</v>
      </c>
      <c r="O437" s="88" t="s">
        <v>1545</v>
      </c>
      <c r="P437" s="38">
        <v>34515</v>
      </c>
      <c r="Q437" s="38"/>
      <c r="R437" s="38"/>
      <c r="S437" s="38"/>
      <c r="T437" s="38"/>
      <c r="U437" s="17" t="s">
        <v>215</v>
      </c>
      <c r="V437" s="17" t="s">
        <v>915</v>
      </c>
      <c r="W437" s="12">
        <v>42248</v>
      </c>
      <c r="X437" s="13"/>
      <c r="Y437" s="12">
        <v>42735</v>
      </c>
      <c r="Z437" s="2"/>
      <c r="AA437" s="2" t="s">
        <v>479</v>
      </c>
      <c r="AB437" s="7" t="s">
        <v>61</v>
      </c>
      <c r="AC437" s="5">
        <v>1000</v>
      </c>
      <c r="AD437" s="5">
        <f>+AC437*1.07</f>
        <v>1070</v>
      </c>
      <c r="AE437" s="5">
        <v>1170</v>
      </c>
      <c r="AF437" s="5">
        <f t="shared" si="424"/>
        <v>1310</v>
      </c>
      <c r="AG437" s="5">
        <f t="shared" si="466"/>
        <v>1310</v>
      </c>
      <c r="AH437" s="5">
        <f t="shared" si="466"/>
        <v>1310</v>
      </c>
      <c r="AI437" s="5">
        <f t="shared" ref="AI437:AJ437" si="469">+AH437</f>
        <v>1310</v>
      </c>
      <c r="AJ437" s="5">
        <f t="shared" si="469"/>
        <v>1310</v>
      </c>
      <c r="AK437" s="29" t="s">
        <v>42</v>
      </c>
      <c r="AL437" s="105" t="str">
        <f t="shared" si="465"/>
        <v>C0</v>
      </c>
    </row>
    <row r="438" spans="1:38" s="6" customFormat="1" ht="15" customHeight="1" x14ac:dyDescent="0.2">
      <c r="A438" s="29" t="s">
        <v>824</v>
      </c>
      <c r="B438" s="2" t="s">
        <v>822</v>
      </c>
      <c r="C438" s="29" t="s">
        <v>823</v>
      </c>
      <c r="D438" s="2" t="s">
        <v>808</v>
      </c>
      <c r="E438" s="2" t="s">
        <v>20</v>
      </c>
      <c r="F438" s="2" t="s">
        <v>503</v>
      </c>
      <c r="G438" s="2"/>
      <c r="H438" s="3"/>
      <c r="I438" s="2" t="s">
        <v>235</v>
      </c>
      <c r="J438" s="28"/>
      <c r="K438" s="28" t="s">
        <v>1765</v>
      </c>
      <c r="L438" s="42" t="s">
        <v>1096</v>
      </c>
      <c r="M438" s="7" t="s">
        <v>3</v>
      </c>
      <c r="N438" s="15">
        <v>36596267</v>
      </c>
      <c r="O438" s="88">
        <v>20365962678</v>
      </c>
      <c r="P438" s="38">
        <v>33556</v>
      </c>
      <c r="Q438" s="38"/>
      <c r="R438" s="38"/>
      <c r="S438" s="38"/>
      <c r="T438" s="38"/>
      <c r="U438" s="17" t="s">
        <v>215</v>
      </c>
      <c r="V438" s="17" t="s">
        <v>915</v>
      </c>
      <c r="W438" s="12">
        <v>42522</v>
      </c>
      <c r="X438" s="19"/>
      <c r="Y438" s="12">
        <v>42735</v>
      </c>
      <c r="Z438" s="2"/>
      <c r="AA438" s="2" t="s">
        <v>479</v>
      </c>
      <c r="AB438" s="2"/>
      <c r="AC438" s="5"/>
      <c r="AD438" s="5">
        <v>1070</v>
      </c>
      <c r="AE438" s="5">
        <v>1170</v>
      </c>
      <c r="AF438" s="5">
        <f t="shared" si="424"/>
        <v>0</v>
      </c>
      <c r="AG438" s="5">
        <f t="shared" si="466"/>
        <v>0</v>
      </c>
      <c r="AH438" s="5">
        <f t="shared" si="466"/>
        <v>0</v>
      </c>
      <c r="AI438" s="5">
        <f t="shared" ref="AI438:AJ438" si="470">+AH438</f>
        <v>0</v>
      </c>
      <c r="AJ438" s="5">
        <f t="shared" si="470"/>
        <v>0</v>
      </c>
      <c r="AK438" s="2" t="s">
        <v>42</v>
      </c>
      <c r="AL438" s="105" t="str">
        <f t="shared" si="465"/>
        <v>C0</v>
      </c>
    </row>
    <row r="439" spans="1:38" s="6" customFormat="1" ht="15" customHeight="1" x14ac:dyDescent="0.2">
      <c r="A439" s="29" t="s">
        <v>824</v>
      </c>
      <c r="B439" s="29" t="s">
        <v>822</v>
      </c>
      <c r="C439" s="29" t="s">
        <v>823</v>
      </c>
      <c r="D439" s="2" t="s">
        <v>808</v>
      </c>
      <c r="E439" s="2" t="s">
        <v>909</v>
      </c>
      <c r="F439" s="2" t="s">
        <v>811</v>
      </c>
      <c r="G439" s="3" t="s">
        <v>516</v>
      </c>
      <c r="H439" s="2" t="s">
        <v>222</v>
      </c>
      <c r="I439" s="2" t="s">
        <v>811</v>
      </c>
      <c r="J439" s="28" t="s">
        <v>73</v>
      </c>
      <c r="K439" s="28" t="s">
        <v>1765</v>
      </c>
      <c r="L439" s="43" t="s">
        <v>135</v>
      </c>
      <c r="M439" s="4" t="s">
        <v>3</v>
      </c>
      <c r="N439" s="15">
        <v>36660968</v>
      </c>
      <c r="O439" s="88" t="s">
        <v>1516</v>
      </c>
      <c r="P439" s="38">
        <v>33571</v>
      </c>
      <c r="Q439" s="38"/>
      <c r="R439" s="38"/>
      <c r="S439" s="38"/>
      <c r="T439" s="38"/>
      <c r="U439" s="17" t="s">
        <v>215</v>
      </c>
      <c r="V439" s="17" t="s">
        <v>915</v>
      </c>
      <c r="W439" s="12">
        <v>42165</v>
      </c>
      <c r="X439" s="13"/>
      <c r="Y439" s="12">
        <v>42735</v>
      </c>
      <c r="Z439" s="2"/>
      <c r="AA439" s="2" t="s">
        <v>479</v>
      </c>
      <c r="AB439" s="14" t="s">
        <v>479</v>
      </c>
      <c r="AC439" s="5">
        <v>1000</v>
      </c>
      <c r="AD439" s="5">
        <f>+AC439*1.07</f>
        <v>1070</v>
      </c>
      <c r="AE439" s="5">
        <v>1170</v>
      </c>
      <c r="AF439" s="5">
        <f t="shared" si="424"/>
        <v>1310</v>
      </c>
      <c r="AG439" s="5">
        <f t="shared" si="466"/>
        <v>1310</v>
      </c>
      <c r="AH439" s="5">
        <f t="shared" si="466"/>
        <v>1310</v>
      </c>
      <c r="AI439" s="5">
        <f t="shared" ref="AI439:AJ439" si="471">+AH439</f>
        <v>1310</v>
      </c>
      <c r="AJ439" s="5">
        <f t="shared" si="471"/>
        <v>1310</v>
      </c>
      <c r="AK439" s="29" t="s">
        <v>42</v>
      </c>
      <c r="AL439" s="105" t="str">
        <f t="shared" si="465"/>
        <v>C0</v>
      </c>
    </row>
    <row r="440" spans="1:38" s="6" customFormat="1" ht="15" customHeight="1" x14ac:dyDescent="0.2">
      <c r="A440" s="29" t="s">
        <v>824</v>
      </c>
      <c r="B440" s="29" t="s">
        <v>822</v>
      </c>
      <c r="C440" s="29" t="s">
        <v>823</v>
      </c>
      <c r="D440" s="2" t="s">
        <v>800</v>
      </c>
      <c r="E440" s="7" t="s">
        <v>501</v>
      </c>
      <c r="F440" s="7"/>
      <c r="G440" s="7"/>
      <c r="H440" s="8"/>
      <c r="I440" s="3"/>
      <c r="J440" s="28" t="s">
        <v>254</v>
      </c>
      <c r="K440" s="28"/>
      <c r="L440" s="42" t="s">
        <v>445</v>
      </c>
      <c r="M440" s="4" t="s">
        <v>3</v>
      </c>
      <c r="N440" s="15">
        <v>23672087</v>
      </c>
      <c r="O440" s="88">
        <v>20236720870</v>
      </c>
      <c r="P440" s="38"/>
      <c r="Q440" s="38"/>
      <c r="R440" s="38"/>
      <c r="S440" s="38"/>
      <c r="T440" s="38"/>
      <c r="U440" s="16" t="s">
        <v>796</v>
      </c>
      <c r="V440" s="16" t="s">
        <v>916</v>
      </c>
      <c r="W440" s="12">
        <v>40725</v>
      </c>
      <c r="X440" s="48">
        <v>42735</v>
      </c>
      <c r="Y440" s="12">
        <v>42735</v>
      </c>
      <c r="Z440" s="2" t="s">
        <v>49</v>
      </c>
      <c r="AA440" s="2"/>
      <c r="AB440" s="18"/>
      <c r="AC440" s="5">
        <v>1000</v>
      </c>
      <c r="AD440" s="5"/>
      <c r="AE440" s="5">
        <v>1170</v>
      </c>
      <c r="AF440" s="5">
        <f t="shared" si="424"/>
        <v>1310</v>
      </c>
      <c r="AG440" s="5">
        <f t="shared" si="466"/>
        <v>1310</v>
      </c>
      <c r="AH440" s="5">
        <f t="shared" si="466"/>
        <v>1310</v>
      </c>
      <c r="AI440" s="5">
        <f t="shared" ref="AI440:AJ440" si="472">+AH440</f>
        <v>1310</v>
      </c>
      <c r="AJ440" s="5">
        <f t="shared" si="472"/>
        <v>1310</v>
      </c>
      <c r="AK440" s="2"/>
      <c r="AL440" s="105" t="str">
        <f>+Z440</f>
        <v>D1</v>
      </c>
    </row>
    <row r="441" spans="1:38" s="6" customFormat="1" ht="15" customHeight="1" x14ac:dyDescent="0.2">
      <c r="A441" s="29" t="s">
        <v>824</v>
      </c>
      <c r="B441" s="29" t="s">
        <v>822</v>
      </c>
      <c r="C441" s="29" t="s">
        <v>823</v>
      </c>
      <c r="D441" s="2" t="s">
        <v>800</v>
      </c>
      <c r="E441" s="2" t="s">
        <v>493</v>
      </c>
      <c r="F441" s="2"/>
      <c r="G441" s="2"/>
      <c r="H441" s="2"/>
      <c r="I441" s="3"/>
      <c r="J441" s="28" t="s">
        <v>254</v>
      </c>
      <c r="K441" s="28"/>
      <c r="L441" s="42" t="s">
        <v>341</v>
      </c>
      <c r="M441" s="4" t="s">
        <v>3</v>
      </c>
      <c r="N441" s="15">
        <v>22503320</v>
      </c>
      <c r="O441" s="88">
        <v>27225033205</v>
      </c>
      <c r="P441" s="38"/>
      <c r="Q441" s="38"/>
      <c r="R441" s="38"/>
      <c r="S441" s="38"/>
      <c r="T441" s="38"/>
      <c r="U441" s="16" t="s">
        <v>796</v>
      </c>
      <c r="V441" s="16" t="s">
        <v>916</v>
      </c>
      <c r="W441" s="12">
        <v>40725</v>
      </c>
      <c r="X441" s="48">
        <v>42735</v>
      </c>
      <c r="Y441" s="12">
        <v>42735</v>
      </c>
      <c r="Z441" s="2" t="s">
        <v>42</v>
      </c>
      <c r="AA441" s="2"/>
      <c r="AB441" s="18"/>
      <c r="AC441" s="5">
        <v>1000</v>
      </c>
      <c r="AD441" s="5"/>
      <c r="AE441" s="5">
        <v>1170</v>
      </c>
      <c r="AF441" s="5">
        <f t="shared" si="424"/>
        <v>1310</v>
      </c>
      <c r="AG441" s="5">
        <f t="shared" si="466"/>
        <v>1310</v>
      </c>
      <c r="AH441" s="5">
        <f t="shared" si="466"/>
        <v>1310</v>
      </c>
      <c r="AI441" s="5">
        <f t="shared" ref="AI441:AJ441" si="473">+AH441</f>
        <v>1310</v>
      </c>
      <c r="AJ441" s="5">
        <f t="shared" si="473"/>
        <v>1310</v>
      </c>
      <c r="AK441" s="2"/>
      <c r="AL441" s="105" t="str">
        <f>+Z441</f>
        <v>C0</v>
      </c>
    </row>
    <row r="442" spans="1:38" s="6" customFormat="1" ht="15" customHeight="1" x14ac:dyDescent="0.2">
      <c r="A442" s="29" t="s">
        <v>824</v>
      </c>
      <c r="B442" s="29" t="s">
        <v>822</v>
      </c>
      <c r="C442" s="29" t="s">
        <v>823</v>
      </c>
      <c r="D442" s="2" t="s">
        <v>800</v>
      </c>
      <c r="E442" s="7" t="s">
        <v>497</v>
      </c>
      <c r="F442" s="7"/>
      <c r="G442" s="7"/>
      <c r="H442" s="8"/>
      <c r="I442" s="3" t="s">
        <v>1714</v>
      </c>
      <c r="J442" s="28" t="s">
        <v>254</v>
      </c>
      <c r="K442" s="28" t="s">
        <v>1767</v>
      </c>
      <c r="L442" s="42" t="s">
        <v>387</v>
      </c>
      <c r="M442" s="4" t="s">
        <v>3</v>
      </c>
      <c r="N442" s="15">
        <v>23656609</v>
      </c>
      <c r="O442" s="88" t="s">
        <v>1235</v>
      </c>
      <c r="P442" s="38">
        <v>26884</v>
      </c>
      <c r="Q442" s="38"/>
      <c r="R442" s="38"/>
      <c r="S442" s="38"/>
      <c r="T442" s="38"/>
      <c r="U442" s="17" t="s">
        <v>215</v>
      </c>
      <c r="V442" s="17" t="s">
        <v>915</v>
      </c>
      <c r="W442" s="12">
        <v>41730</v>
      </c>
      <c r="X442" s="13"/>
      <c r="Y442" s="12">
        <v>42735</v>
      </c>
      <c r="Z442" s="2"/>
      <c r="AA442" s="2" t="s">
        <v>479</v>
      </c>
      <c r="AB442" s="24" t="s">
        <v>479</v>
      </c>
      <c r="AC442" s="5">
        <v>1000</v>
      </c>
      <c r="AD442" s="5">
        <v>1070</v>
      </c>
      <c r="AE442" s="5">
        <v>1170</v>
      </c>
      <c r="AF442" s="5">
        <f t="shared" si="424"/>
        <v>1310</v>
      </c>
      <c r="AG442" s="5">
        <f t="shared" si="466"/>
        <v>1310</v>
      </c>
      <c r="AH442" s="5">
        <f t="shared" si="466"/>
        <v>1310</v>
      </c>
      <c r="AI442" s="5">
        <f t="shared" ref="AI442:AJ442" si="474">+AH442</f>
        <v>1310</v>
      </c>
      <c r="AJ442" s="5">
        <f t="shared" si="474"/>
        <v>1310</v>
      </c>
      <c r="AK442" s="29" t="s">
        <v>42</v>
      </c>
      <c r="AL442" s="105" t="str">
        <f>+AK442</f>
        <v>C0</v>
      </c>
    </row>
    <row r="443" spans="1:38" s="6" customFormat="1" ht="15" customHeight="1" x14ac:dyDescent="0.2">
      <c r="A443" s="29" t="s">
        <v>824</v>
      </c>
      <c r="B443" s="2" t="s">
        <v>822</v>
      </c>
      <c r="C443" s="3"/>
      <c r="D443" s="2" t="s">
        <v>825</v>
      </c>
      <c r="E443" s="2"/>
      <c r="F443" s="2"/>
      <c r="G443" s="2"/>
      <c r="H443" s="2"/>
      <c r="I443" s="2" t="s">
        <v>1707</v>
      </c>
      <c r="J443" s="28"/>
      <c r="K443" s="28" t="s">
        <v>1765</v>
      </c>
      <c r="L443" s="41" t="s">
        <v>1097</v>
      </c>
      <c r="M443" s="7" t="s">
        <v>3</v>
      </c>
      <c r="N443" s="15">
        <v>20611734</v>
      </c>
      <c r="O443" s="88">
        <v>2026117347</v>
      </c>
      <c r="P443" s="38">
        <v>25270</v>
      </c>
      <c r="Q443" s="38"/>
      <c r="R443" s="38"/>
      <c r="S443" s="38"/>
      <c r="T443" s="38"/>
      <c r="U443" s="17" t="s">
        <v>215</v>
      </c>
      <c r="V443" s="16" t="s">
        <v>915</v>
      </c>
      <c r="W443" s="12">
        <v>42491</v>
      </c>
      <c r="X443" s="12"/>
      <c r="Y443" s="12">
        <v>42735</v>
      </c>
      <c r="Z443" s="2"/>
      <c r="AA443" s="2" t="s">
        <v>479</v>
      </c>
      <c r="AB443" s="3"/>
      <c r="AC443" s="5">
        <v>1000</v>
      </c>
      <c r="AD443" s="5">
        <v>1070</v>
      </c>
      <c r="AE443" s="5">
        <v>1170</v>
      </c>
      <c r="AF443" s="5">
        <f t="shared" si="424"/>
        <v>1310</v>
      </c>
      <c r="AG443" s="5">
        <f t="shared" si="466"/>
        <v>1310</v>
      </c>
      <c r="AH443" s="5">
        <f t="shared" si="466"/>
        <v>1310</v>
      </c>
      <c r="AI443" s="5">
        <f t="shared" ref="AI443:AJ443" si="475">+AH443</f>
        <v>1310</v>
      </c>
      <c r="AJ443" s="5">
        <f t="shared" si="475"/>
        <v>1310</v>
      </c>
      <c r="AK443" s="29" t="s">
        <v>42</v>
      </c>
      <c r="AL443" s="105" t="str">
        <f>+AK443</f>
        <v>C0</v>
      </c>
    </row>
    <row r="444" spans="1:38" s="6" customFormat="1" ht="15" customHeight="1" x14ac:dyDescent="0.2">
      <c r="A444" s="29" t="s">
        <v>824</v>
      </c>
      <c r="B444" s="29" t="s">
        <v>822</v>
      </c>
      <c r="C444" s="29" t="s">
        <v>823</v>
      </c>
      <c r="D444" s="2" t="s">
        <v>808</v>
      </c>
      <c r="E444" s="2" t="s">
        <v>909</v>
      </c>
      <c r="F444" s="2" t="s">
        <v>23</v>
      </c>
      <c r="G444" s="3"/>
      <c r="H444" s="2" t="s">
        <v>223</v>
      </c>
      <c r="I444" s="2" t="s">
        <v>238</v>
      </c>
      <c r="J444" s="28" t="s">
        <v>73</v>
      </c>
      <c r="K444" s="28" t="s">
        <v>1765</v>
      </c>
      <c r="L444" s="43" t="s">
        <v>136</v>
      </c>
      <c r="M444" s="4" t="s">
        <v>3</v>
      </c>
      <c r="N444" s="15">
        <v>33426846</v>
      </c>
      <c r="O444" s="88" t="s">
        <v>1447</v>
      </c>
      <c r="P444" s="38">
        <v>32265</v>
      </c>
      <c r="Q444" s="38"/>
      <c r="R444" s="38"/>
      <c r="S444" s="38"/>
      <c r="T444" s="38"/>
      <c r="U444" s="17" t="s">
        <v>215</v>
      </c>
      <c r="V444" s="17" t="s">
        <v>915</v>
      </c>
      <c r="W444" s="12">
        <v>42218</v>
      </c>
      <c r="X444" s="13"/>
      <c r="Y444" s="12">
        <v>42735</v>
      </c>
      <c r="Z444" s="2"/>
      <c r="AA444" s="2" t="s">
        <v>479</v>
      </c>
      <c r="AB444" s="7" t="s">
        <v>61</v>
      </c>
      <c r="AC444" s="5">
        <v>1000</v>
      </c>
      <c r="AD444" s="5">
        <f>+AC444*1.07</f>
        <v>1070</v>
      </c>
      <c r="AE444" s="5">
        <v>1170</v>
      </c>
      <c r="AF444" s="5">
        <f t="shared" si="424"/>
        <v>1310</v>
      </c>
      <c r="AG444" s="5">
        <f t="shared" si="466"/>
        <v>1310</v>
      </c>
      <c r="AH444" s="5">
        <f t="shared" si="466"/>
        <v>1310</v>
      </c>
      <c r="AI444" s="5">
        <f t="shared" ref="AI444:AJ444" si="476">+AH444</f>
        <v>1310</v>
      </c>
      <c r="AJ444" s="5">
        <f t="shared" si="476"/>
        <v>1310</v>
      </c>
      <c r="AK444" s="29" t="s">
        <v>42</v>
      </c>
      <c r="AL444" s="105" t="str">
        <f>+AK444</f>
        <v>C0</v>
      </c>
    </row>
    <row r="445" spans="1:38" s="6" customFormat="1" ht="15" customHeight="1" x14ac:dyDescent="0.2">
      <c r="A445" s="29" t="s">
        <v>824</v>
      </c>
      <c r="B445" s="29" t="s">
        <v>822</v>
      </c>
      <c r="C445" s="29" t="s">
        <v>823</v>
      </c>
      <c r="D445" s="2" t="s">
        <v>800</v>
      </c>
      <c r="E445" s="2" t="s">
        <v>484</v>
      </c>
      <c r="F445" s="2"/>
      <c r="G445" s="2"/>
      <c r="H445" s="2" t="s">
        <v>1707</v>
      </c>
      <c r="I445" s="2"/>
      <c r="J445" s="28" t="s">
        <v>254</v>
      </c>
      <c r="K445" s="28"/>
      <c r="L445" s="42" t="s">
        <v>273</v>
      </c>
      <c r="M445" s="4" t="s">
        <v>3</v>
      </c>
      <c r="N445" s="15">
        <v>27457003</v>
      </c>
      <c r="O445" s="88">
        <v>27274570046</v>
      </c>
      <c r="P445" s="38"/>
      <c r="Q445" s="38"/>
      <c r="R445" s="38"/>
      <c r="S445" s="38"/>
      <c r="T445" s="38"/>
      <c r="U445" s="16" t="s">
        <v>796</v>
      </c>
      <c r="V445" s="16" t="s">
        <v>916</v>
      </c>
      <c r="W445" s="12">
        <v>41030</v>
      </c>
      <c r="X445" s="48">
        <v>42735</v>
      </c>
      <c r="Y445" s="12">
        <v>42735</v>
      </c>
      <c r="Z445" s="2" t="s">
        <v>42</v>
      </c>
      <c r="AA445" s="2"/>
      <c r="AB445" s="18"/>
      <c r="AC445" s="5">
        <v>1000</v>
      </c>
      <c r="AD445" s="5"/>
      <c r="AE445" s="5">
        <v>1170</v>
      </c>
      <c r="AF445" s="5">
        <f t="shared" si="424"/>
        <v>1310</v>
      </c>
      <c r="AG445" s="5">
        <f t="shared" si="466"/>
        <v>1310</v>
      </c>
      <c r="AH445" s="5">
        <f t="shared" si="466"/>
        <v>1310</v>
      </c>
      <c r="AI445" s="5">
        <f t="shared" ref="AI445:AJ445" si="477">+AH445</f>
        <v>1310</v>
      </c>
      <c r="AJ445" s="5">
        <f t="shared" si="477"/>
        <v>1310</v>
      </c>
      <c r="AK445" s="2"/>
      <c r="AL445" s="105" t="str">
        <f>+Z445</f>
        <v>C0</v>
      </c>
    </row>
    <row r="446" spans="1:38" s="6" customFormat="1" ht="15" customHeight="1" x14ac:dyDescent="0.2">
      <c r="A446" s="29" t="s">
        <v>824</v>
      </c>
      <c r="B446" s="2" t="s">
        <v>822</v>
      </c>
      <c r="C446" s="29" t="s">
        <v>823</v>
      </c>
      <c r="D446" s="2" t="s">
        <v>1820</v>
      </c>
      <c r="E446" s="2"/>
      <c r="F446" s="2"/>
      <c r="G446" s="3"/>
      <c r="H446" s="2" t="s">
        <v>884</v>
      </c>
      <c r="I446" s="2" t="s">
        <v>1707</v>
      </c>
      <c r="J446" s="28"/>
      <c r="K446" s="28" t="s">
        <v>1765</v>
      </c>
      <c r="L446" s="43" t="s">
        <v>961</v>
      </c>
      <c r="M446" s="7" t="s">
        <v>3</v>
      </c>
      <c r="N446" s="15">
        <v>11735933</v>
      </c>
      <c r="O446" s="88" t="s">
        <v>1151</v>
      </c>
      <c r="P446" s="38">
        <v>14095</v>
      </c>
      <c r="Q446" s="38"/>
      <c r="R446" s="38"/>
      <c r="S446" s="38"/>
      <c r="T446" s="38"/>
      <c r="U446" s="17" t="s">
        <v>215</v>
      </c>
      <c r="V446" s="17" t="s">
        <v>915</v>
      </c>
      <c r="W446" s="12"/>
      <c r="X446" s="37"/>
      <c r="Y446" s="12">
        <v>42735</v>
      </c>
      <c r="Z446" s="2"/>
      <c r="AA446" s="2" t="s">
        <v>479</v>
      </c>
      <c r="AB446" s="7"/>
      <c r="AC446" s="5">
        <v>1000</v>
      </c>
      <c r="AD446" s="5">
        <f>+AC446*1.07</f>
        <v>1070</v>
      </c>
      <c r="AE446" s="5">
        <v>1170</v>
      </c>
      <c r="AF446" s="5">
        <f t="shared" si="424"/>
        <v>1310</v>
      </c>
      <c r="AG446" s="5">
        <f t="shared" si="466"/>
        <v>1310</v>
      </c>
      <c r="AH446" s="5">
        <f t="shared" si="466"/>
        <v>1310</v>
      </c>
      <c r="AI446" s="5">
        <f t="shared" ref="AI446:AJ446" si="478">+AH446</f>
        <v>1310</v>
      </c>
      <c r="AJ446" s="5">
        <f t="shared" si="478"/>
        <v>1310</v>
      </c>
      <c r="AK446" s="2" t="s">
        <v>43</v>
      </c>
      <c r="AL446" s="105" t="str">
        <f>+AK446</f>
        <v>A0</v>
      </c>
    </row>
    <row r="447" spans="1:38" s="6" customFormat="1" ht="15" customHeight="1" x14ac:dyDescent="0.2">
      <c r="A447" s="29" t="s">
        <v>824</v>
      </c>
      <c r="B447" s="29" t="s">
        <v>822</v>
      </c>
      <c r="C447" s="29" t="s">
        <v>823</v>
      </c>
      <c r="D447" s="2" t="s">
        <v>800</v>
      </c>
      <c r="E447" s="2" t="s">
        <v>483</v>
      </c>
      <c r="F447" s="2"/>
      <c r="G447" s="2"/>
      <c r="H447" s="2" t="s">
        <v>1707</v>
      </c>
      <c r="I447" s="2"/>
      <c r="J447" s="28" t="s">
        <v>254</v>
      </c>
      <c r="K447" s="28"/>
      <c r="L447" s="42" t="s">
        <v>268</v>
      </c>
      <c r="M447" s="4" t="s">
        <v>3</v>
      </c>
      <c r="N447" s="15">
        <v>16225344</v>
      </c>
      <c r="O447" s="88">
        <v>27162253447</v>
      </c>
      <c r="P447" s="38"/>
      <c r="Q447" s="38"/>
      <c r="R447" s="38"/>
      <c r="S447" s="38"/>
      <c r="T447" s="38"/>
      <c r="U447" s="16" t="s">
        <v>796</v>
      </c>
      <c r="V447" s="16" t="s">
        <v>916</v>
      </c>
      <c r="W447" s="12">
        <v>41456</v>
      </c>
      <c r="X447" s="12">
        <v>42460</v>
      </c>
      <c r="Y447" s="12">
        <v>42735</v>
      </c>
      <c r="Z447" s="2" t="s">
        <v>17</v>
      </c>
      <c r="AA447" s="2"/>
      <c r="AB447" s="18"/>
      <c r="AC447" s="5">
        <v>1000</v>
      </c>
      <c r="AD447" s="5"/>
      <c r="AE447" s="5">
        <v>1170</v>
      </c>
      <c r="AF447" s="5">
        <f t="shared" si="424"/>
        <v>1310</v>
      </c>
      <c r="AG447" s="5">
        <f t="shared" si="466"/>
        <v>1310</v>
      </c>
      <c r="AH447" s="5">
        <f t="shared" si="466"/>
        <v>1310</v>
      </c>
      <c r="AI447" s="5">
        <f t="shared" ref="AI447:AJ447" si="479">+AH447</f>
        <v>1310</v>
      </c>
      <c r="AJ447" s="5">
        <f t="shared" si="479"/>
        <v>1310</v>
      </c>
      <c r="AK447" s="2"/>
      <c r="AL447" s="105" t="str">
        <f>+Z447</f>
        <v>C1</v>
      </c>
    </row>
    <row r="448" spans="1:38" s="6" customFormat="1" ht="15" customHeight="1" x14ac:dyDescent="0.2">
      <c r="A448" s="29" t="s">
        <v>824</v>
      </c>
      <c r="B448" s="29" t="s">
        <v>822</v>
      </c>
      <c r="C448" s="29" t="s">
        <v>823</v>
      </c>
      <c r="D448" s="2" t="s">
        <v>800</v>
      </c>
      <c r="E448" s="7" t="s">
        <v>541</v>
      </c>
      <c r="F448" s="7"/>
      <c r="G448" s="7"/>
      <c r="H448" s="8"/>
      <c r="I448" s="3"/>
      <c r="J448" s="28" t="s">
        <v>254</v>
      </c>
      <c r="K448" s="28"/>
      <c r="L448" s="42" t="s">
        <v>433</v>
      </c>
      <c r="M448" s="4" t="s">
        <v>3</v>
      </c>
      <c r="N448" s="15">
        <v>14689931</v>
      </c>
      <c r="O448" s="88">
        <v>20146899316</v>
      </c>
      <c r="P448" s="38"/>
      <c r="Q448" s="38"/>
      <c r="R448" s="38"/>
      <c r="S448" s="38"/>
      <c r="T448" s="38"/>
      <c r="U448" s="16" t="s">
        <v>796</v>
      </c>
      <c r="V448" s="16" t="s">
        <v>916</v>
      </c>
      <c r="W448" s="12">
        <v>41213</v>
      </c>
      <c r="X448" s="48">
        <v>42735</v>
      </c>
      <c r="Y448" s="12">
        <v>42735</v>
      </c>
      <c r="Z448" s="2" t="s">
        <v>42</v>
      </c>
      <c r="AA448" s="2"/>
      <c r="AB448" s="18"/>
      <c r="AC448" s="5">
        <v>1000</v>
      </c>
      <c r="AD448" s="5"/>
      <c r="AE448" s="5">
        <v>1170</v>
      </c>
      <c r="AF448" s="5">
        <f t="shared" si="424"/>
        <v>1310</v>
      </c>
      <c r="AG448" s="5">
        <f t="shared" si="466"/>
        <v>1310</v>
      </c>
      <c r="AH448" s="5">
        <f t="shared" si="466"/>
        <v>1310</v>
      </c>
      <c r="AI448" s="5">
        <f t="shared" ref="AI448:AJ448" si="480">+AH448</f>
        <v>1310</v>
      </c>
      <c r="AJ448" s="5">
        <f t="shared" si="480"/>
        <v>1310</v>
      </c>
      <c r="AK448" s="2"/>
      <c r="AL448" s="105" t="str">
        <f>+Z448</f>
        <v>C0</v>
      </c>
    </row>
    <row r="449" spans="1:38" s="6" customFormat="1" ht="15" customHeight="1" x14ac:dyDescent="0.2">
      <c r="A449" s="29" t="s">
        <v>824</v>
      </c>
      <c r="B449" s="29"/>
      <c r="C449" s="14"/>
      <c r="D449" s="2" t="s">
        <v>820</v>
      </c>
      <c r="E449" s="2" t="s">
        <v>63</v>
      </c>
      <c r="F449" s="3"/>
      <c r="G449" s="3"/>
      <c r="H449" s="2"/>
      <c r="I449" s="3"/>
      <c r="J449" s="28" t="s">
        <v>73</v>
      </c>
      <c r="K449" s="28"/>
      <c r="L449" s="53" t="s">
        <v>137</v>
      </c>
      <c r="M449" s="4" t="s">
        <v>3</v>
      </c>
      <c r="N449" s="15">
        <v>34712943</v>
      </c>
      <c r="O449" s="88">
        <v>27347129432</v>
      </c>
      <c r="P449" s="61"/>
      <c r="Q449" s="61"/>
      <c r="R449" s="61"/>
      <c r="S449" s="61"/>
      <c r="T449" s="61"/>
      <c r="U449" s="16" t="s">
        <v>796</v>
      </c>
      <c r="V449" s="16" t="s">
        <v>916</v>
      </c>
      <c r="W449" s="12">
        <v>42248</v>
      </c>
      <c r="X449" s="12">
        <v>42460</v>
      </c>
      <c r="Y449" s="12">
        <v>42735</v>
      </c>
      <c r="Z449" s="2" t="s">
        <v>53</v>
      </c>
      <c r="AA449" s="2"/>
      <c r="AB449" s="14"/>
      <c r="AC449" s="5">
        <v>1000</v>
      </c>
      <c r="AD449" s="5"/>
      <c r="AE449" s="5">
        <v>1170</v>
      </c>
      <c r="AF449" s="5">
        <f t="shared" si="424"/>
        <v>1310</v>
      </c>
      <c r="AG449" s="5">
        <f t="shared" si="466"/>
        <v>1310</v>
      </c>
      <c r="AH449" s="5">
        <f t="shared" si="466"/>
        <v>1310</v>
      </c>
      <c r="AI449" s="5">
        <f t="shared" ref="AI449:AJ449" si="481">+AH449</f>
        <v>1310</v>
      </c>
      <c r="AJ449" s="5">
        <f t="shared" si="481"/>
        <v>1310</v>
      </c>
      <c r="AK449" s="2"/>
      <c r="AL449" s="105" t="str">
        <f>+Z449</f>
        <v>B0</v>
      </c>
    </row>
    <row r="450" spans="1:38" s="6" customFormat="1" ht="15" customHeight="1" x14ac:dyDescent="0.25">
      <c r="A450" s="29" t="s">
        <v>824</v>
      </c>
      <c r="B450" s="2" t="s">
        <v>822</v>
      </c>
      <c r="C450" s="29" t="s">
        <v>823</v>
      </c>
      <c r="D450" s="2" t="s">
        <v>808</v>
      </c>
      <c r="E450" s="2" t="s">
        <v>20</v>
      </c>
      <c r="F450" s="2" t="s">
        <v>503</v>
      </c>
      <c r="G450" s="3"/>
      <c r="H450" s="2"/>
      <c r="I450" s="3"/>
      <c r="J450" s="28"/>
      <c r="K450" s="28"/>
      <c r="L450" s="42" t="s">
        <v>1065</v>
      </c>
      <c r="M450" s="7" t="s">
        <v>3</v>
      </c>
      <c r="N450" s="15">
        <v>24600825</v>
      </c>
      <c r="O450" s="88">
        <v>20246008257</v>
      </c>
      <c r="P450" s="38"/>
      <c r="Q450" s="38"/>
      <c r="R450" s="38"/>
      <c r="S450" s="38"/>
      <c r="T450" s="38"/>
      <c r="U450" s="16"/>
      <c r="V450" s="16" t="s">
        <v>916</v>
      </c>
      <c r="W450" s="86">
        <v>41244</v>
      </c>
      <c r="X450" s="12"/>
      <c r="Y450" s="12">
        <v>42735</v>
      </c>
      <c r="Z450" s="2" t="s">
        <v>15</v>
      </c>
      <c r="AA450" s="2"/>
      <c r="AB450" s="14"/>
      <c r="AC450" s="5"/>
      <c r="AD450" s="5"/>
      <c r="AE450" s="5">
        <v>1170</v>
      </c>
      <c r="AF450" s="5">
        <f t="shared" si="424"/>
        <v>0</v>
      </c>
      <c r="AG450" s="5">
        <f t="shared" si="466"/>
        <v>0</v>
      </c>
      <c r="AH450" s="5">
        <f t="shared" si="466"/>
        <v>0</v>
      </c>
      <c r="AI450" s="5">
        <f t="shared" ref="AI450:AJ450" si="482">+AH450</f>
        <v>0</v>
      </c>
      <c r="AJ450" s="5">
        <f t="shared" si="482"/>
        <v>0</v>
      </c>
      <c r="AK450" s="2"/>
      <c r="AL450" s="105"/>
    </row>
    <row r="451" spans="1:38" s="6" customFormat="1" ht="15" customHeight="1" x14ac:dyDescent="0.2">
      <c r="A451" s="29" t="s">
        <v>824</v>
      </c>
      <c r="B451" s="2" t="s">
        <v>822</v>
      </c>
      <c r="C451" s="3"/>
      <c r="D451" s="2" t="s">
        <v>825</v>
      </c>
      <c r="E451" s="3"/>
      <c r="F451" s="2"/>
      <c r="G451" s="2"/>
      <c r="H451" s="2" t="s">
        <v>884</v>
      </c>
      <c r="I451" s="2" t="s">
        <v>1707</v>
      </c>
      <c r="J451" s="28"/>
      <c r="K451" s="28" t="s">
        <v>1765</v>
      </c>
      <c r="L451" s="44" t="s">
        <v>901</v>
      </c>
      <c r="M451" s="4" t="s">
        <v>3</v>
      </c>
      <c r="N451" s="15">
        <v>22796345</v>
      </c>
      <c r="O451" s="88" t="s">
        <v>1212</v>
      </c>
      <c r="P451" s="38">
        <v>26569</v>
      </c>
      <c r="Q451" s="38"/>
      <c r="R451" s="38"/>
      <c r="S451" s="38"/>
      <c r="T451" s="38"/>
      <c r="U451" s="17" t="s">
        <v>215</v>
      </c>
      <c r="V451" s="17" t="s">
        <v>915</v>
      </c>
      <c r="W451" s="12">
        <v>42461</v>
      </c>
      <c r="X451" s="13"/>
      <c r="Y451" s="12">
        <v>42735</v>
      </c>
      <c r="Z451" s="2"/>
      <c r="AA451" s="2" t="s">
        <v>479</v>
      </c>
      <c r="AB451" s="7"/>
      <c r="AC451" s="5">
        <v>1000</v>
      </c>
      <c r="AD451" s="5">
        <f>+AC451*1.07</f>
        <v>1070</v>
      </c>
      <c r="AE451" s="5">
        <v>1170</v>
      </c>
      <c r="AF451" s="5">
        <f t="shared" si="424"/>
        <v>1310</v>
      </c>
      <c r="AG451" s="5">
        <f t="shared" si="466"/>
        <v>1310</v>
      </c>
      <c r="AH451" s="5">
        <f t="shared" si="466"/>
        <v>1310</v>
      </c>
      <c r="AI451" s="5">
        <f t="shared" ref="AI451:AJ451" si="483">+AH451</f>
        <v>1310</v>
      </c>
      <c r="AJ451" s="5">
        <f t="shared" si="483"/>
        <v>1310</v>
      </c>
      <c r="AK451" s="2" t="s">
        <v>53</v>
      </c>
      <c r="AL451" s="105" t="str">
        <f t="shared" ref="AL451:AL457" si="484">+AK451</f>
        <v>B0</v>
      </c>
    </row>
    <row r="452" spans="1:38" s="6" customFormat="1" ht="15" customHeight="1" x14ac:dyDescent="0.2">
      <c r="A452" s="29" t="s">
        <v>824</v>
      </c>
      <c r="B452" s="29" t="s">
        <v>822</v>
      </c>
      <c r="C452" s="29" t="s">
        <v>823</v>
      </c>
      <c r="D452" s="2" t="s">
        <v>808</v>
      </c>
      <c r="E452" s="2" t="s">
        <v>20</v>
      </c>
      <c r="F452" s="3"/>
      <c r="G452" s="3"/>
      <c r="H452" s="2" t="s">
        <v>221</v>
      </c>
      <c r="I452" s="2" t="s">
        <v>235</v>
      </c>
      <c r="J452" s="28" t="s">
        <v>73</v>
      </c>
      <c r="K452" s="28" t="s">
        <v>1765</v>
      </c>
      <c r="L452" s="43" t="s">
        <v>537</v>
      </c>
      <c r="M452" s="4" t="s">
        <v>3</v>
      </c>
      <c r="N452" s="15">
        <v>35320893</v>
      </c>
      <c r="O452" s="88" t="s">
        <v>1492</v>
      </c>
      <c r="P452" s="38">
        <v>33144</v>
      </c>
      <c r="Q452" s="38"/>
      <c r="R452" s="38"/>
      <c r="S452" s="38"/>
      <c r="T452" s="38"/>
      <c r="U452" s="17" t="s">
        <v>215</v>
      </c>
      <c r="V452" s="17" t="s">
        <v>915</v>
      </c>
      <c r="W452" s="12">
        <v>42139</v>
      </c>
      <c r="X452" s="13"/>
      <c r="Y452" s="12">
        <v>42735</v>
      </c>
      <c r="Z452" s="2"/>
      <c r="AA452" s="2" t="s">
        <v>479</v>
      </c>
      <c r="AB452" s="2" t="s">
        <v>546</v>
      </c>
      <c r="AC452" s="5">
        <v>1000</v>
      </c>
      <c r="AD452" s="5">
        <f>+AC452*1.07</f>
        <v>1070</v>
      </c>
      <c r="AE452" s="5">
        <v>1170</v>
      </c>
      <c r="AF452" s="5">
        <f t="shared" si="424"/>
        <v>1310</v>
      </c>
      <c r="AG452" s="5">
        <f t="shared" si="466"/>
        <v>1310</v>
      </c>
      <c r="AH452" s="5">
        <f t="shared" si="466"/>
        <v>1310</v>
      </c>
      <c r="AI452" s="5">
        <f t="shared" ref="AI452:AJ452" si="485">+AH452</f>
        <v>1310</v>
      </c>
      <c r="AJ452" s="5">
        <f t="shared" si="485"/>
        <v>1310</v>
      </c>
      <c r="AK452" s="2" t="s">
        <v>53</v>
      </c>
      <c r="AL452" s="105" t="str">
        <f t="shared" si="484"/>
        <v>B0</v>
      </c>
    </row>
    <row r="453" spans="1:38" s="6" customFormat="1" ht="15" customHeight="1" x14ac:dyDescent="0.2">
      <c r="A453" s="29" t="s">
        <v>824</v>
      </c>
      <c r="B453" s="2" t="s">
        <v>822</v>
      </c>
      <c r="C453" s="29" t="s">
        <v>823</v>
      </c>
      <c r="D453" s="2" t="s">
        <v>808</v>
      </c>
      <c r="E453" s="2" t="s">
        <v>909</v>
      </c>
      <c r="F453" s="2"/>
      <c r="G453" s="2"/>
      <c r="H453" s="3"/>
      <c r="I453" s="2" t="s">
        <v>1707</v>
      </c>
      <c r="J453" s="28"/>
      <c r="K453" s="28" t="s">
        <v>1765</v>
      </c>
      <c r="L453" s="42" t="s">
        <v>1091</v>
      </c>
      <c r="M453" s="7" t="s">
        <v>3</v>
      </c>
      <c r="N453" s="15">
        <v>24222400</v>
      </c>
      <c r="O453" s="88">
        <v>20242224001</v>
      </c>
      <c r="P453" s="38">
        <v>27421</v>
      </c>
      <c r="Q453" s="38"/>
      <c r="R453" s="38"/>
      <c r="S453" s="38"/>
      <c r="T453" s="38"/>
      <c r="U453" s="17" t="s">
        <v>215</v>
      </c>
      <c r="V453" s="17" t="s">
        <v>915</v>
      </c>
      <c r="W453" s="12">
        <v>42522</v>
      </c>
      <c r="X453" s="19"/>
      <c r="Y453" s="12">
        <v>42735</v>
      </c>
      <c r="Z453" s="2"/>
      <c r="AA453" s="2" t="s">
        <v>479</v>
      </c>
      <c r="AB453" s="2"/>
      <c r="AC453" s="5"/>
      <c r="AD453" s="5">
        <v>1070</v>
      </c>
      <c r="AE453" s="5">
        <v>1170</v>
      </c>
      <c r="AF453" s="5">
        <f t="shared" si="424"/>
        <v>0</v>
      </c>
      <c r="AG453" s="5">
        <f t="shared" si="466"/>
        <v>0</v>
      </c>
      <c r="AH453" s="5">
        <f t="shared" si="466"/>
        <v>0</v>
      </c>
      <c r="AI453" s="5">
        <f t="shared" ref="AI453:AJ453" si="486">+AH453</f>
        <v>0</v>
      </c>
      <c r="AJ453" s="5">
        <f t="shared" si="486"/>
        <v>0</v>
      </c>
      <c r="AK453" s="29" t="s">
        <v>42</v>
      </c>
      <c r="AL453" s="105" t="str">
        <f t="shared" si="484"/>
        <v>C0</v>
      </c>
    </row>
    <row r="454" spans="1:38" s="6" customFormat="1" ht="15" customHeight="1" x14ac:dyDescent="0.2">
      <c r="A454" s="29" t="s">
        <v>824</v>
      </c>
      <c r="B454" s="29" t="s">
        <v>822</v>
      </c>
      <c r="C454" s="29" t="s">
        <v>823</v>
      </c>
      <c r="D454" s="2" t="s">
        <v>800</v>
      </c>
      <c r="E454" s="7" t="s">
        <v>497</v>
      </c>
      <c r="F454" s="7"/>
      <c r="G454" s="7"/>
      <c r="H454" s="8"/>
      <c r="I454" s="3" t="s">
        <v>1714</v>
      </c>
      <c r="J454" s="28" t="s">
        <v>254</v>
      </c>
      <c r="K454" s="28" t="s">
        <v>1767</v>
      </c>
      <c r="L454" s="42" t="s">
        <v>388</v>
      </c>
      <c r="M454" s="4" t="s">
        <v>3</v>
      </c>
      <c r="N454" s="15">
        <v>25838929</v>
      </c>
      <c r="O454" s="88" t="s">
        <v>1271</v>
      </c>
      <c r="P454" s="38">
        <v>28179</v>
      </c>
      <c r="Q454" s="38"/>
      <c r="R454" s="38"/>
      <c r="S454" s="38"/>
      <c r="T454" s="38"/>
      <c r="U454" s="17" t="s">
        <v>215</v>
      </c>
      <c r="V454" s="17" t="s">
        <v>915</v>
      </c>
      <c r="W454" s="12">
        <v>41821</v>
      </c>
      <c r="X454" s="13"/>
      <c r="Y454" s="12">
        <v>42735</v>
      </c>
      <c r="Z454" s="2"/>
      <c r="AA454" s="2" t="s">
        <v>479</v>
      </c>
      <c r="AB454" s="24" t="s">
        <v>479</v>
      </c>
      <c r="AC454" s="5">
        <v>1000</v>
      </c>
      <c r="AD454" s="5">
        <v>1070</v>
      </c>
      <c r="AE454" s="5">
        <v>1170</v>
      </c>
      <c r="AF454" s="5">
        <f t="shared" si="424"/>
        <v>1310</v>
      </c>
      <c r="AG454" s="5">
        <f t="shared" ref="AG454:AH459" si="487">+AF454</f>
        <v>1310</v>
      </c>
      <c r="AH454" s="5">
        <f t="shared" si="487"/>
        <v>1310</v>
      </c>
      <c r="AI454" s="5">
        <f t="shared" ref="AI454:AJ454" si="488">+AH454</f>
        <v>1310</v>
      </c>
      <c r="AJ454" s="5">
        <f t="shared" si="488"/>
        <v>1310</v>
      </c>
      <c r="AK454" s="29" t="s">
        <v>42</v>
      </c>
      <c r="AL454" s="105" t="str">
        <f t="shared" si="484"/>
        <v>C0</v>
      </c>
    </row>
    <row r="455" spans="1:38" s="6" customFormat="1" ht="15" customHeight="1" x14ac:dyDescent="0.2">
      <c r="A455" s="29" t="s">
        <v>824</v>
      </c>
      <c r="B455" s="29"/>
      <c r="C455" s="14"/>
      <c r="D455" s="2" t="s">
        <v>819</v>
      </c>
      <c r="E455" s="2"/>
      <c r="F455" s="3"/>
      <c r="G455" s="3"/>
      <c r="H455" s="2" t="s">
        <v>884</v>
      </c>
      <c r="I455" s="2" t="s">
        <v>1707</v>
      </c>
      <c r="J455" s="28"/>
      <c r="K455" s="28" t="s">
        <v>1765</v>
      </c>
      <c r="L455" s="41" t="s">
        <v>1648</v>
      </c>
      <c r="M455" s="4" t="s">
        <v>3</v>
      </c>
      <c r="N455" s="15">
        <v>26819198</v>
      </c>
      <c r="O455" s="88" t="s">
        <v>1586</v>
      </c>
      <c r="P455" s="38">
        <v>28727</v>
      </c>
      <c r="Q455" s="38"/>
      <c r="R455" s="38"/>
      <c r="S455" s="38"/>
      <c r="T455" s="38"/>
      <c r="U455" s="17" t="s">
        <v>215</v>
      </c>
      <c r="V455" s="17" t="s">
        <v>915</v>
      </c>
      <c r="W455" s="12">
        <v>42370</v>
      </c>
      <c r="X455" s="48"/>
      <c r="Y455" s="12">
        <v>42735</v>
      </c>
      <c r="Z455" s="2"/>
      <c r="AA455" s="2" t="s">
        <v>479</v>
      </c>
      <c r="AB455" s="3" t="s">
        <v>10</v>
      </c>
      <c r="AC455" s="5">
        <v>1000</v>
      </c>
      <c r="AD455" s="5">
        <f>+AC455*1.07</f>
        <v>1070</v>
      </c>
      <c r="AE455" s="5">
        <v>1170</v>
      </c>
      <c r="AF455" s="5">
        <f t="shared" si="424"/>
        <v>1310</v>
      </c>
      <c r="AG455" s="5">
        <f t="shared" si="487"/>
        <v>1310</v>
      </c>
      <c r="AH455" s="5">
        <f t="shared" si="487"/>
        <v>1310</v>
      </c>
      <c r="AI455" s="5">
        <f t="shared" ref="AI455:AJ455" si="489">+AH455</f>
        <v>1310</v>
      </c>
      <c r="AJ455" s="5">
        <f t="shared" si="489"/>
        <v>1310</v>
      </c>
      <c r="AK455" s="2" t="s">
        <v>53</v>
      </c>
      <c r="AL455" s="105" t="str">
        <f t="shared" si="484"/>
        <v>B0</v>
      </c>
    </row>
    <row r="456" spans="1:38" s="6" customFormat="1" ht="15" customHeight="1" x14ac:dyDescent="0.2">
      <c r="A456" s="29" t="s">
        <v>824</v>
      </c>
      <c r="B456" s="29" t="s">
        <v>822</v>
      </c>
      <c r="C456" s="29" t="s">
        <v>823</v>
      </c>
      <c r="D456" s="2" t="s">
        <v>800</v>
      </c>
      <c r="E456" s="7" t="s">
        <v>497</v>
      </c>
      <c r="F456" s="7"/>
      <c r="G456" s="7"/>
      <c r="H456" s="8"/>
      <c r="I456" s="3" t="s">
        <v>1714</v>
      </c>
      <c r="J456" s="28" t="s">
        <v>254</v>
      </c>
      <c r="K456" s="28" t="s">
        <v>1767</v>
      </c>
      <c r="L456" s="42" t="s">
        <v>389</v>
      </c>
      <c r="M456" s="4" t="s">
        <v>3</v>
      </c>
      <c r="N456" s="15">
        <v>32595983</v>
      </c>
      <c r="O456" s="88" t="s">
        <v>1423</v>
      </c>
      <c r="P456" s="38">
        <v>31870</v>
      </c>
      <c r="Q456" s="38"/>
      <c r="R456" s="38"/>
      <c r="S456" s="38"/>
      <c r="T456" s="38"/>
      <c r="U456" s="17" t="s">
        <v>215</v>
      </c>
      <c r="V456" s="17" t="s">
        <v>915</v>
      </c>
      <c r="W456" s="12">
        <v>41426</v>
      </c>
      <c r="X456" s="13"/>
      <c r="Y456" s="12">
        <v>42735</v>
      </c>
      <c r="Z456" s="2"/>
      <c r="AA456" s="2" t="s">
        <v>479</v>
      </c>
      <c r="AB456" s="24" t="s">
        <v>479</v>
      </c>
      <c r="AC456" s="5">
        <v>1000</v>
      </c>
      <c r="AD456" s="5">
        <v>1070</v>
      </c>
      <c r="AE456" s="5">
        <v>1170</v>
      </c>
      <c r="AF456" s="5">
        <f t="shared" si="424"/>
        <v>1310</v>
      </c>
      <c r="AG456" s="5">
        <f t="shared" si="487"/>
        <v>1310</v>
      </c>
      <c r="AH456" s="5">
        <f t="shared" si="487"/>
        <v>1310</v>
      </c>
      <c r="AI456" s="5">
        <f t="shared" ref="AI456:AJ456" si="490">+AH456</f>
        <v>1310</v>
      </c>
      <c r="AJ456" s="5">
        <f t="shared" si="490"/>
        <v>1310</v>
      </c>
      <c r="AK456" s="29" t="s">
        <v>42</v>
      </c>
      <c r="AL456" s="105" t="str">
        <f t="shared" si="484"/>
        <v>C0</v>
      </c>
    </row>
    <row r="457" spans="1:38" s="6" customFormat="1" ht="15" customHeight="1" x14ac:dyDescent="0.2">
      <c r="A457" s="29" t="s">
        <v>824</v>
      </c>
      <c r="B457" s="29"/>
      <c r="C457" s="14"/>
      <c r="D457" s="2" t="s">
        <v>819</v>
      </c>
      <c r="E457" s="2"/>
      <c r="F457" s="3"/>
      <c r="G457" s="3"/>
      <c r="H457" s="2" t="s">
        <v>884</v>
      </c>
      <c r="I457" s="2" t="s">
        <v>1707</v>
      </c>
      <c r="J457" s="28"/>
      <c r="K457" s="28" t="s">
        <v>1765</v>
      </c>
      <c r="L457" s="41" t="s">
        <v>1682</v>
      </c>
      <c r="M457" s="4" t="s">
        <v>3</v>
      </c>
      <c r="N457" s="15">
        <v>14314816</v>
      </c>
      <c r="O457" s="88" t="s">
        <v>1587</v>
      </c>
      <c r="P457" s="38">
        <v>22472</v>
      </c>
      <c r="Q457" s="38"/>
      <c r="R457" s="38"/>
      <c r="S457" s="38"/>
      <c r="T457" s="38"/>
      <c r="U457" s="17" t="s">
        <v>215</v>
      </c>
      <c r="V457" s="17" t="s">
        <v>915</v>
      </c>
      <c r="W457" s="12">
        <v>42370</v>
      </c>
      <c r="X457" s="48"/>
      <c r="Y457" s="12">
        <v>42735</v>
      </c>
      <c r="Z457" s="2"/>
      <c r="AA457" s="2" t="s">
        <v>479</v>
      </c>
      <c r="AB457" s="3" t="s">
        <v>10</v>
      </c>
      <c r="AC457" s="5">
        <v>1000</v>
      </c>
      <c r="AD457" s="5">
        <f>+AC457*1.07</f>
        <v>1070</v>
      </c>
      <c r="AE457" s="5">
        <v>1170</v>
      </c>
      <c r="AF457" s="5">
        <f t="shared" si="424"/>
        <v>1310</v>
      </c>
      <c r="AG457" s="5">
        <f t="shared" si="487"/>
        <v>1310</v>
      </c>
      <c r="AH457" s="5">
        <f t="shared" si="487"/>
        <v>1310</v>
      </c>
      <c r="AI457" s="5">
        <f t="shared" ref="AI457:AJ457" si="491">+AH457</f>
        <v>1310</v>
      </c>
      <c r="AJ457" s="5">
        <f t="shared" si="491"/>
        <v>1310</v>
      </c>
      <c r="AK457" s="2" t="s">
        <v>53</v>
      </c>
      <c r="AL457" s="105" t="str">
        <f t="shared" si="484"/>
        <v>B0</v>
      </c>
    </row>
    <row r="458" spans="1:38" s="6" customFormat="1" ht="15" customHeight="1" x14ac:dyDescent="0.2">
      <c r="A458" s="29" t="s">
        <v>824</v>
      </c>
      <c r="B458" s="2" t="s">
        <v>822</v>
      </c>
      <c r="C458" s="29" t="s">
        <v>823</v>
      </c>
      <c r="D458" s="2" t="s">
        <v>808</v>
      </c>
      <c r="E458" s="2" t="s">
        <v>909</v>
      </c>
      <c r="F458" s="2" t="s">
        <v>1705</v>
      </c>
      <c r="G458" s="3"/>
      <c r="H458" s="2"/>
      <c r="I458" s="3"/>
      <c r="J458" s="28"/>
      <c r="K458" s="28"/>
      <c r="L458" s="41" t="s">
        <v>1701</v>
      </c>
      <c r="M458" s="7" t="s">
        <v>3</v>
      </c>
      <c r="N458" s="85">
        <v>35970957</v>
      </c>
      <c r="O458" s="88"/>
      <c r="P458" s="38"/>
      <c r="Q458" s="38"/>
      <c r="R458" s="38"/>
      <c r="S458" s="38"/>
      <c r="T458" s="38"/>
      <c r="U458" s="16"/>
      <c r="V458" s="16" t="s">
        <v>916</v>
      </c>
      <c r="W458" s="12"/>
      <c r="X458" s="48"/>
      <c r="Y458" s="12">
        <v>42735</v>
      </c>
      <c r="Z458" s="28" t="s">
        <v>42</v>
      </c>
      <c r="AA458" s="2"/>
      <c r="AB458" s="3"/>
      <c r="AC458" s="5" t="e">
        <f>+#REF!</f>
        <v>#REF!</v>
      </c>
      <c r="AD458" s="5"/>
      <c r="AE458" s="5"/>
      <c r="AF458" s="5">
        <f>+AE458*1.092</f>
        <v>0</v>
      </c>
      <c r="AG458" s="5">
        <f t="shared" si="487"/>
        <v>0</v>
      </c>
      <c r="AH458" s="5">
        <f t="shared" si="487"/>
        <v>0</v>
      </c>
      <c r="AI458" s="5">
        <f t="shared" ref="AI458:AJ458" si="492">+AH458</f>
        <v>0</v>
      </c>
      <c r="AJ458" s="5">
        <f t="shared" si="492"/>
        <v>0</v>
      </c>
      <c r="AK458" s="2"/>
      <c r="AL458" s="105" t="str">
        <f>+Z458</f>
        <v>C0</v>
      </c>
    </row>
    <row r="459" spans="1:38" s="6" customFormat="1" ht="15" customHeight="1" x14ac:dyDescent="0.2">
      <c r="A459" s="29" t="s">
        <v>824</v>
      </c>
      <c r="B459" s="29"/>
      <c r="C459" s="14"/>
      <c r="D459" s="2" t="s">
        <v>819</v>
      </c>
      <c r="E459" s="2"/>
      <c r="F459" s="3"/>
      <c r="G459" s="3"/>
      <c r="H459" s="2" t="s">
        <v>884</v>
      </c>
      <c r="I459" s="2" t="s">
        <v>1707</v>
      </c>
      <c r="J459" s="28"/>
      <c r="K459" s="28" t="s">
        <v>1765</v>
      </c>
      <c r="L459" s="41" t="s">
        <v>856</v>
      </c>
      <c r="M459" s="4" t="s">
        <v>3</v>
      </c>
      <c r="N459" s="15">
        <v>24962533</v>
      </c>
      <c r="O459" s="88" t="s">
        <v>1253</v>
      </c>
      <c r="P459" s="38">
        <v>27661</v>
      </c>
      <c r="Q459" s="38"/>
      <c r="R459" s="38"/>
      <c r="S459" s="38"/>
      <c r="T459" s="38"/>
      <c r="U459" s="17" t="s">
        <v>215</v>
      </c>
      <c r="V459" s="17" t="s">
        <v>915</v>
      </c>
      <c r="W459" s="12">
        <v>42370</v>
      </c>
      <c r="X459" s="48"/>
      <c r="Y459" s="12">
        <v>42735</v>
      </c>
      <c r="Z459" s="2"/>
      <c r="AA459" s="2" t="s">
        <v>479</v>
      </c>
      <c r="AB459" s="3" t="s">
        <v>10</v>
      </c>
      <c r="AC459" s="5">
        <v>1000</v>
      </c>
      <c r="AD459" s="5">
        <f>+AC459*1.07</f>
        <v>1070</v>
      </c>
      <c r="AE459" s="5">
        <v>1170</v>
      </c>
      <c r="AF459" s="5">
        <f t="shared" ref="AF459:AF480" si="493">+AC459*1.31</f>
        <v>1310</v>
      </c>
      <c r="AG459" s="5">
        <f t="shared" si="487"/>
        <v>1310</v>
      </c>
      <c r="AH459" s="5">
        <f t="shared" si="487"/>
        <v>1310</v>
      </c>
      <c r="AI459" s="5">
        <f t="shared" ref="AI459:AJ459" si="494">+AH459</f>
        <v>1310</v>
      </c>
      <c r="AJ459" s="5">
        <f t="shared" si="494"/>
        <v>1310</v>
      </c>
      <c r="AK459" s="29" t="s">
        <v>42</v>
      </c>
      <c r="AL459" s="105" t="str">
        <f>+AK459</f>
        <v>C0</v>
      </c>
    </row>
    <row r="460" spans="1:38" s="6" customFormat="1" ht="15" customHeight="1" x14ac:dyDescent="0.2">
      <c r="A460" s="29" t="s">
        <v>824</v>
      </c>
      <c r="B460" s="29" t="s">
        <v>822</v>
      </c>
      <c r="C460" s="29" t="s">
        <v>823</v>
      </c>
      <c r="D460" s="2" t="s">
        <v>800</v>
      </c>
      <c r="E460" s="2" t="s">
        <v>59</v>
      </c>
      <c r="F460" s="2"/>
      <c r="G460" s="2"/>
      <c r="H460" s="2" t="s">
        <v>1707</v>
      </c>
      <c r="I460" s="3"/>
      <c r="J460" s="28" t="s">
        <v>254</v>
      </c>
      <c r="K460" s="28"/>
      <c r="L460" s="42" t="s">
        <v>256</v>
      </c>
      <c r="M460" s="7" t="s">
        <v>3</v>
      </c>
      <c r="N460" s="15">
        <v>25144136</v>
      </c>
      <c r="O460" s="88">
        <v>27251441362</v>
      </c>
      <c r="P460" s="38"/>
      <c r="Q460" s="38"/>
      <c r="R460" s="38"/>
      <c r="S460" s="38"/>
      <c r="T460" s="38"/>
      <c r="U460" s="16" t="s">
        <v>796</v>
      </c>
      <c r="V460" s="16" t="s">
        <v>916</v>
      </c>
      <c r="W460" s="12">
        <v>40238</v>
      </c>
      <c r="X460" s="48">
        <v>42735</v>
      </c>
      <c r="Y460" s="12">
        <v>42735</v>
      </c>
      <c r="Z460" s="2" t="s">
        <v>17</v>
      </c>
      <c r="AA460" s="2"/>
      <c r="AB460" s="18"/>
      <c r="AC460" s="5">
        <v>1000</v>
      </c>
      <c r="AD460" s="5"/>
      <c r="AE460" s="5">
        <v>1170</v>
      </c>
      <c r="AF460" s="5">
        <f t="shared" si="493"/>
        <v>1310</v>
      </c>
      <c r="AG460" s="5">
        <f t="shared" ref="AG460:AH491" si="495">+AF460</f>
        <v>1310</v>
      </c>
      <c r="AH460" s="5">
        <f t="shared" si="495"/>
        <v>1310</v>
      </c>
      <c r="AI460" s="5">
        <f t="shared" ref="AI460:AJ460" si="496">+AH460</f>
        <v>1310</v>
      </c>
      <c r="AJ460" s="5">
        <f t="shared" si="496"/>
        <v>1310</v>
      </c>
      <c r="AK460" s="2"/>
      <c r="AL460" s="105" t="str">
        <f>+Z460</f>
        <v>C1</v>
      </c>
    </row>
    <row r="461" spans="1:38" s="6" customFormat="1" ht="15" customHeight="1" x14ac:dyDescent="0.2">
      <c r="A461" s="29" t="s">
        <v>824</v>
      </c>
      <c r="B461" s="29" t="s">
        <v>822</v>
      </c>
      <c r="C461" s="29" t="s">
        <v>823</v>
      </c>
      <c r="D461" s="2" t="s">
        <v>800</v>
      </c>
      <c r="E461" s="2" t="s">
        <v>59</v>
      </c>
      <c r="F461" s="2"/>
      <c r="G461" s="2"/>
      <c r="H461" s="2" t="s">
        <v>1707</v>
      </c>
      <c r="I461" s="3"/>
      <c r="J461" s="28" t="s">
        <v>254</v>
      </c>
      <c r="K461" s="28"/>
      <c r="L461" s="42" t="s">
        <v>255</v>
      </c>
      <c r="M461" s="4" t="s">
        <v>3</v>
      </c>
      <c r="N461" s="15">
        <v>26019114</v>
      </c>
      <c r="O461" s="88">
        <v>23260191144</v>
      </c>
      <c r="P461" s="38"/>
      <c r="Q461" s="38"/>
      <c r="R461" s="38"/>
      <c r="S461" s="38"/>
      <c r="T461" s="38"/>
      <c r="U461" s="16" t="s">
        <v>796</v>
      </c>
      <c r="V461" s="16" t="s">
        <v>916</v>
      </c>
      <c r="W461" s="12">
        <v>40269</v>
      </c>
      <c r="X461" s="48">
        <v>42735</v>
      </c>
      <c r="Y461" s="12">
        <v>42735</v>
      </c>
      <c r="Z461" s="2" t="s">
        <v>30</v>
      </c>
      <c r="AA461" s="2"/>
      <c r="AB461" s="23"/>
      <c r="AC461" s="5">
        <v>1000</v>
      </c>
      <c r="AD461" s="5"/>
      <c r="AE461" s="5">
        <v>1170</v>
      </c>
      <c r="AF461" s="5">
        <f t="shared" si="493"/>
        <v>1310</v>
      </c>
      <c r="AG461" s="5">
        <f t="shared" si="495"/>
        <v>1310</v>
      </c>
      <c r="AH461" s="5">
        <f t="shared" si="495"/>
        <v>1310</v>
      </c>
      <c r="AI461" s="5">
        <f t="shared" ref="AI461:AJ461" si="497">+AH461</f>
        <v>1310</v>
      </c>
      <c r="AJ461" s="5">
        <f t="shared" si="497"/>
        <v>1310</v>
      </c>
      <c r="AK461" s="2"/>
      <c r="AL461" s="105" t="str">
        <f>+Z461</f>
        <v>B1</v>
      </c>
    </row>
    <row r="462" spans="1:38" s="6" customFormat="1" ht="15" customHeight="1" x14ac:dyDescent="0.2">
      <c r="A462" s="29" t="s">
        <v>824</v>
      </c>
      <c r="B462" s="2" t="s">
        <v>822</v>
      </c>
      <c r="C462" s="3"/>
      <c r="D462" s="2" t="s">
        <v>825</v>
      </c>
      <c r="E462" s="3" t="s">
        <v>18</v>
      </c>
      <c r="F462" s="2" t="s">
        <v>19</v>
      </c>
      <c r="G462" s="2"/>
      <c r="H462" s="2"/>
      <c r="I462" s="2" t="s">
        <v>1707</v>
      </c>
      <c r="J462" s="28" t="s">
        <v>548</v>
      </c>
      <c r="K462" s="28" t="s">
        <v>548</v>
      </c>
      <c r="L462" s="44" t="s">
        <v>656</v>
      </c>
      <c r="M462" s="4" t="s">
        <v>3</v>
      </c>
      <c r="N462" s="15">
        <v>27027265</v>
      </c>
      <c r="O462" s="88" t="s">
        <v>1303</v>
      </c>
      <c r="P462" s="38">
        <v>28841</v>
      </c>
      <c r="Q462" s="38"/>
      <c r="R462" s="38"/>
      <c r="S462" s="38"/>
      <c r="T462" s="38"/>
      <c r="U462" s="17" t="s">
        <v>215</v>
      </c>
      <c r="V462" s="17" t="s">
        <v>915</v>
      </c>
      <c r="W462" s="12">
        <v>40269</v>
      </c>
      <c r="X462" s="13"/>
      <c r="Y462" s="12">
        <v>42735</v>
      </c>
      <c r="Z462" s="2"/>
      <c r="AA462" s="2" t="s">
        <v>479</v>
      </c>
      <c r="AB462" s="7" t="s">
        <v>787</v>
      </c>
      <c r="AC462" s="5">
        <v>1000</v>
      </c>
      <c r="AD462" s="5">
        <f>+AC462</f>
        <v>1000</v>
      </c>
      <c r="AE462" s="5">
        <v>1170</v>
      </c>
      <c r="AF462" s="5">
        <f t="shared" si="493"/>
        <v>1310</v>
      </c>
      <c r="AG462" s="5">
        <f t="shared" si="495"/>
        <v>1310</v>
      </c>
      <c r="AH462" s="5">
        <f t="shared" si="495"/>
        <v>1310</v>
      </c>
      <c r="AI462" s="5">
        <f t="shared" ref="AI462:AJ462" si="498">+AH462</f>
        <v>1310</v>
      </c>
      <c r="AJ462" s="5">
        <f t="shared" si="498"/>
        <v>1310</v>
      </c>
      <c r="AK462" s="2"/>
      <c r="AL462" s="106"/>
    </row>
    <row r="463" spans="1:38" s="6" customFormat="1" ht="15" customHeight="1" x14ac:dyDescent="0.2">
      <c r="A463" s="29" t="s">
        <v>824</v>
      </c>
      <c r="B463" s="2" t="s">
        <v>822</v>
      </c>
      <c r="C463" s="14"/>
      <c r="D463" s="2" t="s">
        <v>825</v>
      </c>
      <c r="E463" s="2"/>
      <c r="F463" s="3"/>
      <c r="G463" s="3" t="s">
        <v>518</v>
      </c>
      <c r="H463" s="2"/>
      <c r="I463" s="3"/>
      <c r="J463" s="28" t="s">
        <v>73</v>
      </c>
      <c r="K463" s="28"/>
      <c r="L463" s="45" t="s">
        <v>138</v>
      </c>
      <c r="M463" s="4" t="s">
        <v>3</v>
      </c>
      <c r="N463" s="15">
        <v>24159112</v>
      </c>
      <c r="O463" s="88">
        <v>27241591129</v>
      </c>
      <c r="P463" s="61"/>
      <c r="Q463" s="61"/>
      <c r="R463" s="61"/>
      <c r="S463" s="61"/>
      <c r="T463" s="61"/>
      <c r="U463" s="16" t="s">
        <v>796</v>
      </c>
      <c r="V463" s="16" t="s">
        <v>916</v>
      </c>
      <c r="W463" s="12">
        <v>40269</v>
      </c>
      <c r="X463" s="48">
        <v>42735</v>
      </c>
      <c r="Y463" s="12">
        <v>42735</v>
      </c>
      <c r="Z463" s="2" t="s">
        <v>30</v>
      </c>
      <c r="AA463" s="2"/>
      <c r="AB463" s="14"/>
      <c r="AC463" s="5">
        <v>1000</v>
      </c>
      <c r="AD463" s="5"/>
      <c r="AE463" s="5">
        <v>1170</v>
      </c>
      <c r="AF463" s="5">
        <f t="shared" si="493"/>
        <v>1310</v>
      </c>
      <c r="AG463" s="5">
        <f t="shared" si="495"/>
        <v>1310</v>
      </c>
      <c r="AH463" s="5">
        <f t="shared" si="495"/>
        <v>1310</v>
      </c>
      <c r="AI463" s="5">
        <f t="shared" ref="AI463:AJ463" si="499">+AH463</f>
        <v>1310</v>
      </c>
      <c r="AJ463" s="5">
        <f t="shared" si="499"/>
        <v>1310</v>
      </c>
      <c r="AK463" s="2"/>
      <c r="AL463" s="105" t="str">
        <f>+Z463</f>
        <v>B1</v>
      </c>
    </row>
    <row r="464" spans="1:38" s="6" customFormat="1" ht="15" customHeight="1" x14ac:dyDescent="0.2">
      <c r="A464" s="29" t="s">
        <v>824</v>
      </c>
      <c r="B464" s="2" t="s">
        <v>822</v>
      </c>
      <c r="C464" s="2"/>
      <c r="D464" s="2" t="s">
        <v>825</v>
      </c>
      <c r="E464" s="2" t="s">
        <v>56</v>
      </c>
      <c r="F464" s="2"/>
      <c r="G464" s="2"/>
      <c r="H464" s="2" t="s">
        <v>14</v>
      </c>
      <c r="I464" s="3"/>
      <c r="J464" s="28" t="s">
        <v>73</v>
      </c>
      <c r="K464" s="28"/>
      <c r="L464" s="44" t="s">
        <v>657</v>
      </c>
      <c r="M464" s="4" t="s">
        <v>3</v>
      </c>
      <c r="N464" s="15">
        <v>34681893</v>
      </c>
      <c r="O464" s="88">
        <v>20346818930</v>
      </c>
      <c r="P464" s="61"/>
      <c r="Q464" s="61"/>
      <c r="R464" s="61"/>
      <c r="S464" s="61"/>
      <c r="T464" s="61"/>
      <c r="U464" s="16" t="s">
        <v>796</v>
      </c>
      <c r="V464" s="16" t="s">
        <v>916</v>
      </c>
      <c r="W464" s="12">
        <v>40848</v>
      </c>
      <c r="X464" s="48">
        <v>42735</v>
      </c>
      <c r="Y464" s="12">
        <v>42735</v>
      </c>
      <c r="Z464" s="2" t="s">
        <v>42</v>
      </c>
      <c r="AA464" s="2"/>
      <c r="AB464" s="3"/>
      <c r="AC464" s="5">
        <v>1000</v>
      </c>
      <c r="AD464" s="5"/>
      <c r="AE464" s="5">
        <v>1170</v>
      </c>
      <c r="AF464" s="5">
        <f t="shared" si="493"/>
        <v>1310</v>
      </c>
      <c r="AG464" s="5">
        <f t="shared" si="495"/>
        <v>1310</v>
      </c>
      <c r="AH464" s="5">
        <f t="shared" si="495"/>
        <v>1310</v>
      </c>
      <c r="AI464" s="5">
        <f t="shared" ref="AI464:AJ464" si="500">+AH464</f>
        <v>1310</v>
      </c>
      <c r="AJ464" s="5">
        <f t="shared" si="500"/>
        <v>1310</v>
      </c>
      <c r="AK464" s="2"/>
      <c r="AL464" s="105" t="str">
        <f>+Z464</f>
        <v>C0</v>
      </c>
    </row>
    <row r="465" spans="1:38" s="6" customFormat="1" ht="15" customHeight="1" x14ac:dyDescent="0.2">
      <c r="A465" s="29" t="s">
        <v>824</v>
      </c>
      <c r="B465" s="29"/>
      <c r="C465" s="29"/>
      <c r="D465" s="2" t="s">
        <v>820</v>
      </c>
      <c r="E465" s="2" t="s">
        <v>817</v>
      </c>
      <c r="F465" s="2"/>
      <c r="G465" s="3" t="s">
        <v>533</v>
      </c>
      <c r="H465" s="2" t="s">
        <v>223</v>
      </c>
      <c r="I465" s="2" t="s">
        <v>1707</v>
      </c>
      <c r="J465" s="28" t="s">
        <v>73</v>
      </c>
      <c r="K465" s="28" t="s">
        <v>1765</v>
      </c>
      <c r="L465" s="43" t="s">
        <v>139</v>
      </c>
      <c r="M465" s="4" t="s">
        <v>3</v>
      </c>
      <c r="N465" s="15">
        <v>37023551</v>
      </c>
      <c r="O465" s="88" t="s">
        <v>1522</v>
      </c>
      <c r="P465" s="38">
        <v>33933</v>
      </c>
      <c r="Q465" s="38"/>
      <c r="R465" s="38"/>
      <c r="S465" s="38"/>
      <c r="T465" s="38"/>
      <c r="U465" s="17" t="s">
        <v>215</v>
      </c>
      <c r="V465" s="17" t="s">
        <v>915</v>
      </c>
      <c r="W465" s="12"/>
      <c r="X465" s="13"/>
      <c r="Y465" s="12">
        <v>42735</v>
      </c>
      <c r="Z465" s="2"/>
      <c r="AA465" s="2" t="s">
        <v>479</v>
      </c>
      <c r="AB465" s="7" t="s">
        <v>61</v>
      </c>
      <c r="AC465" s="5">
        <v>1000</v>
      </c>
      <c r="AD465" s="5">
        <f>+AC465*1.07</f>
        <v>1070</v>
      </c>
      <c r="AE465" s="5">
        <v>1170</v>
      </c>
      <c r="AF465" s="5">
        <f t="shared" si="493"/>
        <v>1310</v>
      </c>
      <c r="AG465" s="5">
        <f t="shared" si="495"/>
        <v>1310</v>
      </c>
      <c r="AH465" s="5">
        <f t="shared" si="495"/>
        <v>1310</v>
      </c>
      <c r="AI465" s="5">
        <f t="shared" ref="AI465:AJ465" si="501">+AH465</f>
        <v>1310</v>
      </c>
      <c r="AJ465" s="5">
        <f t="shared" si="501"/>
        <v>1310</v>
      </c>
      <c r="AK465" s="29" t="s">
        <v>42</v>
      </c>
      <c r="AL465" s="105" t="str">
        <f>+AK465</f>
        <v>C0</v>
      </c>
    </row>
    <row r="466" spans="1:38" s="6" customFormat="1" ht="15" customHeight="1" x14ac:dyDescent="0.2">
      <c r="A466" s="29" t="s">
        <v>824</v>
      </c>
      <c r="B466" s="29" t="s">
        <v>822</v>
      </c>
      <c r="C466" s="29" t="s">
        <v>823</v>
      </c>
      <c r="D466" s="2" t="s">
        <v>808</v>
      </c>
      <c r="E466" s="2" t="s">
        <v>909</v>
      </c>
      <c r="F466" s="2" t="s">
        <v>23</v>
      </c>
      <c r="G466" s="3"/>
      <c r="H466" s="2" t="s">
        <v>223</v>
      </c>
      <c r="I466" s="2" t="s">
        <v>238</v>
      </c>
      <c r="J466" s="28" t="s">
        <v>73</v>
      </c>
      <c r="K466" s="28" t="s">
        <v>1765</v>
      </c>
      <c r="L466" s="43" t="s">
        <v>140</v>
      </c>
      <c r="M466" s="4" t="s">
        <v>3</v>
      </c>
      <c r="N466" s="15">
        <v>37900697</v>
      </c>
      <c r="O466" s="88" t="s">
        <v>1536</v>
      </c>
      <c r="P466" s="38">
        <v>34500</v>
      </c>
      <c r="Q466" s="38"/>
      <c r="R466" s="38"/>
      <c r="S466" s="38"/>
      <c r="T466" s="38"/>
      <c r="U466" s="17" t="s">
        <v>215</v>
      </c>
      <c r="V466" s="17" t="s">
        <v>915</v>
      </c>
      <c r="W466" s="12">
        <v>42156</v>
      </c>
      <c r="X466" s="13"/>
      <c r="Y466" s="12">
        <v>42735</v>
      </c>
      <c r="Z466" s="2"/>
      <c r="AA466" s="2" t="s">
        <v>479</v>
      </c>
      <c r="AB466" s="7" t="s">
        <v>61</v>
      </c>
      <c r="AC466" s="5">
        <v>1000</v>
      </c>
      <c r="AD466" s="5">
        <f>+AC466*1.07</f>
        <v>1070</v>
      </c>
      <c r="AE466" s="5">
        <v>1170</v>
      </c>
      <c r="AF466" s="5">
        <f t="shared" si="493"/>
        <v>1310</v>
      </c>
      <c r="AG466" s="5">
        <f t="shared" si="495"/>
        <v>1310</v>
      </c>
      <c r="AH466" s="5">
        <f t="shared" si="495"/>
        <v>1310</v>
      </c>
      <c r="AI466" s="5">
        <f t="shared" ref="AI466:AJ466" si="502">+AH466</f>
        <v>1310</v>
      </c>
      <c r="AJ466" s="5">
        <f t="shared" si="502"/>
        <v>1310</v>
      </c>
      <c r="AK466" s="29" t="s">
        <v>42</v>
      </c>
      <c r="AL466" s="105" t="str">
        <f>+AK466</f>
        <v>C0</v>
      </c>
    </row>
    <row r="467" spans="1:38" s="6" customFormat="1" ht="15" customHeight="1" x14ac:dyDescent="0.2">
      <c r="A467" s="29" t="s">
        <v>824</v>
      </c>
      <c r="B467" s="29"/>
      <c r="C467" s="14"/>
      <c r="D467" s="2" t="s">
        <v>820</v>
      </c>
      <c r="E467" s="2" t="s">
        <v>921</v>
      </c>
      <c r="F467" s="2" t="s">
        <v>217</v>
      </c>
      <c r="G467" s="3"/>
      <c r="H467" s="2" t="s">
        <v>230</v>
      </c>
      <c r="I467" s="3"/>
      <c r="J467" s="28" t="s">
        <v>73</v>
      </c>
      <c r="K467" s="28"/>
      <c r="L467" s="43" t="s">
        <v>141</v>
      </c>
      <c r="M467" s="4" t="s">
        <v>3</v>
      </c>
      <c r="N467" s="15">
        <v>28633654</v>
      </c>
      <c r="O467" s="88">
        <v>27286336545</v>
      </c>
      <c r="P467" s="61"/>
      <c r="Q467" s="61"/>
      <c r="R467" s="61"/>
      <c r="S467" s="61"/>
      <c r="T467" s="61"/>
      <c r="U467" s="16" t="s">
        <v>796</v>
      </c>
      <c r="V467" s="16" t="s">
        <v>916</v>
      </c>
      <c r="W467" s="12">
        <v>42156</v>
      </c>
      <c r="X467" s="12">
        <v>42460</v>
      </c>
      <c r="Y467" s="12">
        <v>42735</v>
      </c>
      <c r="Z467" s="2" t="s">
        <v>42</v>
      </c>
      <c r="AA467" s="2"/>
      <c r="AB467" s="14"/>
      <c r="AC467" s="5">
        <v>1000</v>
      </c>
      <c r="AD467" s="5"/>
      <c r="AE467" s="5">
        <v>1170</v>
      </c>
      <c r="AF467" s="5">
        <f t="shared" si="493"/>
        <v>1310</v>
      </c>
      <c r="AG467" s="5">
        <f t="shared" si="495"/>
        <v>1310</v>
      </c>
      <c r="AH467" s="5">
        <f t="shared" si="495"/>
        <v>1310</v>
      </c>
      <c r="AI467" s="5">
        <f t="shared" ref="AI467:AJ467" si="503">+AH467</f>
        <v>1310</v>
      </c>
      <c r="AJ467" s="5">
        <f t="shared" si="503"/>
        <v>1310</v>
      </c>
      <c r="AK467" s="2"/>
      <c r="AL467" s="105" t="str">
        <f>+Z467</f>
        <v>C0</v>
      </c>
    </row>
    <row r="468" spans="1:38" s="6" customFormat="1" ht="15" customHeight="1" x14ac:dyDescent="0.2">
      <c r="A468" s="29" t="s">
        <v>824</v>
      </c>
      <c r="B468" s="29"/>
      <c r="C468" s="14"/>
      <c r="D468" s="2" t="s">
        <v>820</v>
      </c>
      <c r="E468" s="2" t="s">
        <v>921</v>
      </c>
      <c r="F468" s="2" t="s">
        <v>217</v>
      </c>
      <c r="G468" s="3"/>
      <c r="H468" s="2" t="s">
        <v>230</v>
      </c>
      <c r="I468" s="3"/>
      <c r="J468" s="28" t="s">
        <v>73</v>
      </c>
      <c r="K468" s="28"/>
      <c r="L468" s="43" t="s">
        <v>1859</v>
      </c>
      <c r="M468" s="7" t="s">
        <v>3</v>
      </c>
      <c r="N468" s="15">
        <v>27493096</v>
      </c>
      <c r="O468" s="88">
        <v>27274930964</v>
      </c>
      <c r="P468" s="38">
        <v>29015</v>
      </c>
      <c r="Q468" s="38"/>
      <c r="R468" s="38"/>
      <c r="S468" s="38"/>
      <c r="T468" s="38"/>
      <c r="U468" s="16" t="s">
        <v>215</v>
      </c>
      <c r="V468" s="16" t="s">
        <v>915</v>
      </c>
      <c r="W468" s="12">
        <v>42584</v>
      </c>
      <c r="X468" s="12"/>
      <c r="Y468" s="12">
        <v>42735</v>
      </c>
      <c r="Z468" s="2"/>
      <c r="AA468" s="2"/>
      <c r="AB468" s="14"/>
      <c r="AC468" s="5"/>
      <c r="AD468" s="5"/>
      <c r="AE468" s="5"/>
      <c r="AF468" s="5">
        <f t="shared" si="493"/>
        <v>0</v>
      </c>
      <c r="AG468" s="5">
        <f>+AF468</f>
        <v>0</v>
      </c>
      <c r="AH468" s="5">
        <f t="shared" si="495"/>
        <v>0</v>
      </c>
      <c r="AI468" s="5">
        <f t="shared" ref="AI468:AJ468" si="504">+AH468</f>
        <v>0</v>
      </c>
      <c r="AJ468" s="5">
        <f t="shared" si="504"/>
        <v>0</v>
      </c>
      <c r="AK468" s="2"/>
      <c r="AL468" s="105"/>
    </row>
    <row r="469" spans="1:38" s="6" customFormat="1" ht="15" customHeight="1" x14ac:dyDescent="0.2">
      <c r="A469" s="29" t="s">
        <v>824</v>
      </c>
      <c r="B469" s="29" t="s">
        <v>822</v>
      </c>
      <c r="C469" s="29" t="s">
        <v>823</v>
      </c>
      <c r="D469" s="2" t="s">
        <v>800</v>
      </c>
      <c r="E469" s="2" t="s">
        <v>489</v>
      </c>
      <c r="F469" s="2"/>
      <c r="G469" s="2"/>
      <c r="H469" s="2"/>
      <c r="I469" s="3"/>
      <c r="J469" s="28" t="s">
        <v>254</v>
      </c>
      <c r="K469" s="28"/>
      <c r="L469" s="42" t="s">
        <v>345</v>
      </c>
      <c r="M469" s="4" t="s">
        <v>3</v>
      </c>
      <c r="N469" s="15">
        <v>28496920</v>
      </c>
      <c r="O469" s="88">
        <v>27284969206</v>
      </c>
      <c r="P469" s="38"/>
      <c r="Q469" s="38"/>
      <c r="R469" s="38"/>
      <c r="S469" s="38"/>
      <c r="T469" s="38"/>
      <c r="U469" s="16" t="s">
        <v>796</v>
      </c>
      <c r="V469" s="16" t="s">
        <v>916</v>
      </c>
      <c r="W469" s="12">
        <v>41213</v>
      </c>
      <c r="X469" s="48">
        <v>42735</v>
      </c>
      <c r="Y469" s="12">
        <v>42735</v>
      </c>
      <c r="Z469" s="2" t="s">
        <v>1817</v>
      </c>
      <c r="AA469" s="2"/>
      <c r="AB469" s="18"/>
      <c r="AC469" s="5">
        <v>1000</v>
      </c>
      <c r="AD469" s="5"/>
      <c r="AE469" s="5">
        <v>1170</v>
      </c>
      <c r="AF469" s="5">
        <f t="shared" si="493"/>
        <v>1310</v>
      </c>
      <c r="AG469" s="5">
        <f t="shared" si="495"/>
        <v>1310</v>
      </c>
      <c r="AH469" s="5">
        <f t="shared" si="495"/>
        <v>1310</v>
      </c>
      <c r="AI469" s="5">
        <f t="shared" ref="AI469:AJ469" si="505">+AH469</f>
        <v>1310</v>
      </c>
      <c r="AJ469" s="5">
        <f t="shared" si="505"/>
        <v>1310</v>
      </c>
      <c r="AK469" s="2"/>
      <c r="AL469" s="105" t="str">
        <f>+Z469</f>
        <v>F0</v>
      </c>
    </row>
    <row r="470" spans="1:38" s="6" customFormat="1" ht="15" customHeight="1" x14ac:dyDescent="0.2">
      <c r="A470" s="29" t="s">
        <v>824</v>
      </c>
      <c r="B470" s="29" t="s">
        <v>822</v>
      </c>
      <c r="C470" s="29" t="s">
        <v>823</v>
      </c>
      <c r="D470" s="2" t="s">
        <v>800</v>
      </c>
      <c r="E470" s="7" t="s">
        <v>501</v>
      </c>
      <c r="F470" s="7"/>
      <c r="G470" s="7"/>
      <c r="H470" s="8"/>
      <c r="I470" s="3"/>
      <c r="J470" s="28" t="s">
        <v>254</v>
      </c>
      <c r="K470" s="28"/>
      <c r="L470" s="42" t="s">
        <v>446</v>
      </c>
      <c r="M470" s="4" t="s">
        <v>3</v>
      </c>
      <c r="N470" s="15">
        <v>30277829</v>
      </c>
      <c r="O470" s="88">
        <v>23302778299</v>
      </c>
      <c r="P470" s="38"/>
      <c r="Q470" s="38"/>
      <c r="R470" s="38"/>
      <c r="S470" s="38"/>
      <c r="T470" s="38"/>
      <c r="U470" s="16" t="s">
        <v>796</v>
      </c>
      <c r="V470" s="16" t="s">
        <v>916</v>
      </c>
      <c r="W470" s="12">
        <v>41213</v>
      </c>
      <c r="X470" s="48">
        <v>42735</v>
      </c>
      <c r="Y470" s="12">
        <v>42735</v>
      </c>
      <c r="Z470" s="2" t="s">
        <v>42</v>
      </c>
      <c r="AA470" s="2"/>
      <c r="AB470" s="18"/>
      <c r="AC470" s="5">
        <v>1000</v>
      </c>
      <c r="AD470" s="5"/>
      <c r="AE470" s="5">
        <v>1170</v>
      </c>
      <c r="AF470" s="5">
        <f t="shared" si="493"/>
        <v>1310</v>
      </c>
      <c r="AG470" s="5">
        <f t="shared" si="495"/>
        <v>1310</v>
      </c>
      <c r="AH470" s="5">
        <f t="shared" si="495"/>
        <v>1310</v>
      </c>
      <c r="AI470" s="5">
        <f t="shared" ref="AI470:AJ470" si="506">+AH470</f>
        <v>1310</v>
      </c>
      <c r="AJ470" s="5">
        <f t="shared" si="506"/>
        <v>1310</v>
      </c>
      <c r="AK470" s="2"/>
      <c r="AL470" s="105" t="str">
        <f>+Z470</f>
        <v>C0</v>
      </c>
    </row>
    <row r="471" spans="1:38" s="6" customFormat="1" ht="15" customHeight="1" x14ac:dyDescent="0.2">
      <c r="A471" s="29" t="s">
        <v>824</v>
      </c>
      <c r="B471" s="2"/>
      <c r="C471" s="3"/>
      <c r="D471" s="2" t="s">
        <v>820</v>
      </c>
      <c r="E471" s="2" t="s">
        <v>921</v>
      </c>
      <c r="F471" s="2" t="s">
        <v>31</v>
      </c>
      <c r="G471" s="2" t="s">
        <v>11</v>
      </c>
      <c r="H471" s="2" t="s">
        <v>11</v>
      </c>
      <c r="I471" s="3"/>
      <c r="J471" s="28"/>
      <c r="K471" s="28"/>
      <c r="L471" s="41" t="s">
        <v>830</v>
      </c>
      <c r="M471" s="4" t="s">
        <v>3</v>
      </c>
      <c r="N471" s="15">
        <v>31641802</v>
      </c>
      <c r="O471" s="88">
        <v>20316418024</v>
      </c>
      <c r="P471" s="61"/>
      <c r="Q471" s="61"/>
      <c r="R471" s="61"/>
      <c r="S471" s="61"/>
      <c r="T471" s="61"/>
      <c r="U471" s="17" t="s">
        <v>796</v>
      </c>
      <c r="V471" s="16" t="s">
        <v>916</v>
      </c>
      <c r="W471" s="12">
        <v>40752</v>
      </c>
      <c r="X471" s="48">
        <v>42735</v>
      </c>
      <c r="Y471" s="12">
        <v>42735</v>
      </c>
      <c r="Z471" s="2" t="s">
        <v>17</v>
      </c>
      <c r="AA471" s="2"/>
      <c r="AB471" s="3"/>
      <c r="AC471" s="5">
        <v>1000</v>
      </c>
      <c r="AD471" s="5"/>
      <c r="AE471" s="5">
        <v>1170</v>
      </c>
      <c r="AF471" s="5">
        <f t="shared" si="493"/>
        <v>1310</v>
      </c>
      <c r="AG471" s="5">
        <f t="shared" si="495"/>
        <v>1310</v>
      </c>
      <c r="AH471" s="5">
        <f t="shared" si="495"/>
        <v>1310</v>
      </c>
      <c r="AI471" s="5">
        <f t="shared" ref="AI471:AJ471" si="507">+AH471</f>
        <v>1310</v>
      </c>
      <c r="AJ471" s="5">
        <f t="shared" si="507"/>
        <v>1310</v>
      </c>
      <c r="AK471" s="2"/>
      <c r="AL471" s="105" t="str">
        <f>+Z471</f>
        <v>C1</v>
      </c>
    </row>
    <row r="472" spans="1:38" s="6" customFormat="1" ht="15" customHeight="1" x14ac:dyDescent="0.2">
      <c r="A472" s="29" t="s">
        <v>824</v>
      </c>
      <c r="B472" s="29"/>
      <c r="C472" s="29"/>
      <c r="D472" s="2" t="s">
        <v>820</v>
      </c>
      <c r="E472" s="2" t="s">
        <v>817</v>
      </c>
      <c r="F472" s="3"/>
      <c r="G472" s="3"/>
      <c r="H472" s="2"/>
      <c r="I472" s="2" t="s">
        <v>1707</v>
      </c>
      <c r="J472" s="28"/>
      <c r="K472" s="28" t="s">
        <v>1765</v>
      </c>
      <c r="L472" s="41" t="s">
        <v>842</v>
      </c>
      <c r="M472" s="4" t="s">
        <v>3</v>
      </c>
      <c r="N472" s="15">
        <v>14289145</v>
      </c>
      <c r="O472" s="88" t="s">
        <v>1160</v>
      </c>
      <c r="P472" s="38">
        <v>22236</v>
      </c>
      <c r="Q472" s="38"/>
      <c r="R472" s="38"/>
      <c r="S472" s="38"/>
      <c r="T472" s="38"/>
      <c r="U472" s="17" t="s">
        <v>215</v>
      </c>
      <c r="V472" s="17" t="s">
        <v>915</v>
      </c>
      <c r="W472" s="12">
        <v>42370</v>
      </c>
      <c r="X472" s="48"/>
      <c r="Y472" s="12">
        <v>42735</v>
      </c>
      <c r="Z472" s="2"/>
      <c r="AA472" s="2" t="s">
        <v>479</v>
      </c>
      <c r="AB472" s="3" t="s">
        <v>10</v>
      </c>
      <c r="AC472" s="5">
        <v>1000</v>
      </c>
      <c r="AD472" s="5">
        <f>+AC472*1.07</f>
        <v>1070</v>
      </c>
      <c r="AE472" s="5">
        <v>1170</v>
      </c>
      <c r="AF472" s="5">
        <f t="shared" si="493"/>
        <v>1310</v>
      </c>
      <c r="AG472" s="5">
        <f t="shared" si="495"/>
        <v>1310</v>
      </c>
      <c r="AH472" s="5">
        <f t="shared" si="495"/>
        <v>1310</v>
      </c>
      <c r="AI472" s="5">
        <f t="shared" ref="AI472:AJ472" si="508">+AH472</f>
        <v>1310</v>
      </c>
      <c r="AJ472" s="5">
        <f t="shared" si="508"/>
        <v>1310</v>
      </c>
      <c r="AK472" s="2" t="s">
        <v>43</v>
      </c>
      <c r="AL472" s="105" t="str">
        <f>+AK472</f>
        <v>A0</v>
      </c>
    </row>
    <row r="473" spans="1:38" s="6" customFormat="1" ht="15" customHeight="1" x14ac:dyDescent="0.2">
      <c r="A473" s="29" t="s">
        <v>824</v>
      </c>
      <c r="B473" s="29"/>
      <c r="C473" s="14"/>
      <c r="D473" s="2" t="s">
        <v>820</v>
      </c>
      <c r="E473" s="2" t="s">
        <v>63</v>
      </c>
      <c r="F473" s="3"/>
      <c r="G473" s="3"/>
      <c r="H473" s="2"/>
      <c r="I473" s="2" t="s">
        <v>1707</v>
      </c>
      <c r="J473" s="28"/>
      <c r="K473" s="28" t="s">
        <v>1765</v>
      </c>
      <c r="L473" s="42" t="s">
        <v>1050</v>
      </c>
      <c r="M473" s="4" t="s">
        <v>3</v>
      </c>
      <c r="N473" s="15">
        <v>35569357</v>
      </c>
      <c r="O473" s="88" t="s">
        <v>1501</v>
      </c>
      <c r="P473" s="38">
        <v>33191</v>
      </c>
      <c r="Q473" s="38"/>
      <c r="R473" s="38"/>
      <c r="S473" s="38"/>
      <c r="T473" s="38"/>
      <c r="U473" s="17" t="s">
        <v>215</v>
      </c>
      <c r="V473" s="16" t="s">
        <v>915</v>
      </c>
      <c r="W473" s="12"/>
      <c r="X473" s="48"/>
      <c r="Y473" s="12">
        <v>42735</v>
      </c>
      <c r="Z473" s="2"/>
      <c r="AA473" s="2" t="s">
        <v>479</v>
      </c>
      <c r="AB473" s="14"/>
      <c r="AC473" s="5">
        <v>1000</v>
      </c>
      <c r="AD473" s="5">
        <f>+AC473*1.07</f>
        <v>1070</v>
      </c>
      <c r="AE473" s="5">
        <v>1170</v>
      </c>
      <c r="AF473" s="5">
        <f t="shared" si="493"/>
        <v>1310</v>
      </c>
      <c r="AG473" s="5">
        <f t="shared" si="495"/>
        <v>1310</v>
      </c>
      <c r="AH473" s="5">
        <f t="shared" si="495"/>
        <v>1310</v>
      </c>
      <c r="AI473" s="5">
        <f t="shared" ref="AI473:AJ473" si="509">+AH473</f>
        <v>1310</v>
      </c>
      <c r="AJ473" s="5">
        <f t="shared" si="509"/>
        <v>1310</v>
      </c>
      <c r="AK473" s="29" t="s">
        <v>42</v>
      </c>
      <c r="AL473" s="105" t="str">
        <f>+AK473</f>
        <v>C0</v>
      </c>
    </row>
    <row r="474" spans="1:38" s="6" customFormat="1" ht="15" customHeight="1" x14ac:dyDescent="0.2">
      <c r="A474" s="29" t="s">
        <v>824</v>
      </c>
      <c r="B474" s="29" t="s">
        <v>822</v>
      </c>
      <c r="C474" s="29" t="s">
        <v>823</v>
      </c>
      <c r="D474" s="2" t="s">
        <v>808</v>
      </c>
      <c r="E474" s="2" t="s">
        <v>909</v>
      </c>
      <c r="F474" s="2" t="s">
        <v>500</v>
      </c>
      <c r="G474" s="3" t="s">
        <v>519</v>
      </c>
      <c r="H474" s="2" t="s">
        <v>233</v>
      </c>
      <c r="I474" s="2" t="s">
        <v>233</v>
      </c>
      <c r="J474" s="28" t="s">
        <v>73</v>
      </c>
      <c r="K474" s="28" t="s">
        <v>1765</v>
      </c>
      <c r="L474" s="43" t="s">
        <v>142</v>
      </c>
      <c r="M474" s="4" t="s">
        <v>3</v>
      </c>
      <c r="N474" s="15">
        <v>35897670</v>
      </c>
      <c r="O474" s="88" t="s">
        <v>1505</v>
      </c>
      <c r="P474" s="38">
        <v>33879</v>
      </c>
      <c r="Q474" s="38"/>
      <c r="R474" s="38"/>
      <c r="S474" s="38"/>
      <c r="T474" s="38"/>
      <c r="U474" s="17" t="s">
        <v>215</v>
      </c>
      <c r="V474" s="17" t="s">
        <v>915</v>
      </c>
      <c r="W474" s="12">
        <v>42156</v>
      </c>
      <c r="X474" s="13"/>
      <c r="Y474" s="12">
        <v>42735</v>
      </c>
      <c r="Z474" s="2"/>
      <c r="AA474" s="2" t="s">
        <v>479</v>
      </c>
      <c r="AB474" s="2" t="s">
        <v>546</v>
      </c>
      <c r="AC474" s="5">
        <v>1000</v>
      </c>
      <c r="AD474" s="5">
        <f>+AC474*1.07</f>
        <v>1070</v>
      </c>
      <c r="AE474" s="5">
        <v>1170</v>
      </c>
      <c r="AF474" s="5">
        <f t="shared" si="493"/>
        <v>1310</v>
      </c>
      <c r="AG474" s="5">
        <f t="shared" si="495"/>
        <v>1310</v>
      </c>
      <c r="AH474" s="5">
        <f t="shared" si="495"/>
        <v>1310</v>
      </c>
      <c r="AI474" s="5">
        <f t="shared" ref="AI474:AJ474" si="510">+AH474</f>
        <v>1310</v>
      </c>
      <c r="AJ474" s="5">
        <f t="shared" si="510"/>
        <v>1310</v>
      </c>
      <c r="AK474" s="29" t="s">
        <v>42</v>
      </c>
      <c r="AL474" s="105" t="str">
        <f>+AK474</f>
        <v>C0</v>
      </c>
    </row>
    <row r="475" spans="1:38" s="6" customFormat="1" ht="15" customHeight="1" x14ac:dyDescent="0.2">
      <c r="A475" s="29" t="s">
        <v>824</v>
      </c>
      <c r="B475" s="29"/>
      <c r="C475" s="29"/>
      <c r="D475" s="2" t="s">
        <v>820</v>
      </c>
      <c r="E475" s="2" t="s">
        <v>921</v>
      </c>
      <c r="F475" s="3" t="s">
        <v>525</v>
      </c>
      <c r="G475" s="3" t="s">
        <v>520</v>
      </c>
      <c r="H475" s="2" t="s">
        <v>234</v>
      </c>
      <c r="I475" s="3"/>
      <c r="J475" s="28" t="s">
        <v>73</v>
      </c>
      <c r="K475" s="28"/>
      <c r="L475" s="45" t="s">
        <v>789</v>
      </c>
      <c r="M475" s="4" t="s">
        <v>3</v>
      </c>
      <c r="N475" s="15">
        <v>14619813</v>
      </c>
      <c r="O475" s="88">
        <v>23146198139</v>
      </c>
      <c r="P475" s="61"/>
      <c r="Q475" s="61"/>
      <c r="R475" s="61"/>
      <c r="S475" s="61"/>
      <c r="T475" s="61"/>
      <c r="U475" s="16" t="s">
        <v>796</v>
      </c>
      <c r="V475" s="16" t="s">
        <v>916</v>
      </c>
      <c r="W475" s="12">
        <v>41974</v>
      </c>
      <c r="X475" s="12">
        <v>42460</v>
      </c>
      <c r="Y475" s="12">
        <v>42735</v>
      </c>
      <c r="Z475" s="2" t="s">
        <v>24</v>
      </c>
      <c r="AA475" s="2"/>
      <c r="AB475" s="7"/>
      <c r="AC475" s="5">
        <v>1000</v>
      </c>
      <c r="AD475" s="5"/>
      <c r="AE475" s="5">
        <v>1170</v>
      </c>
      <c r="AF475" s="5">
        <f t="shared" si="493"/>
        <v>1310</v>
      </c>
      <c r="AG475" s="5">
        <f t="shared" si="495"/>
        <v>1310</v>
      </c>
      <c r="AH475" s="5">
        <f t="shared" si="495"/>
        <v>1310</v>
      </c>
      <c r="AI475" s="5">
        <f t="shared" ref="AI475:AJ475" si="511">+AH475</f>
        <v>1310</v>
      </c>
      <c r="AJ475" s="5">
        <f t="shared" si="511"/>
        <v>1310</v>
      </c>
      <c r="AK475" s="2"/>
      <c r="AL475" s="105" t="str">
        <f>+Z475</f>
        <v>D0</v>
      </c>
    </row>
    <row r="476" spans="1:38" s="6" customFormat="1" ht="15" customHeight="1" x14ac:dyDescent="0.25">
      <c r="A476" s="29" t="s">
        <v>824</v>
      </c>
      <c r="B476" s="2"/>
      <c r="C476" s="3"/>
      <c r="D476" s="2" t="s">
        <v>820</v>
      </c>
      <c r="E476" s="2" t="s">
        <v>921</v>
      </c>
      <c r="F476" s="2" t="s">
        <v>31</v>
      </c>
      <c r="G476" s="2"/>
      <c r="H476" s="2"/>
      <c r="I476" s="3"/>
      <c r="J476" s="28"/>
      <c r="K476" s="28"/>
      <c r="L476" s="42" t="s">
        <v>1045</v>
      </c>
      <c r="M476" s="7" t="s">
        <v>3</v>
      </c>
      <c r="N476" s="15">
        <v>30762932</v>
      </c>
      <c r="O476" s="88">
        <v>27307629327</v>
      </c>
      <c r="P476" s="61"/>
      <c r="Q476" s="61"/>
      <c r="R476" s="61"/>
      <c r="S476" s="61"/>
      <c r="T476" s="61"/>
      <c r="U476" s="16"/>
      <c r="V476" s="16" t="s">
        <v>916</v>
      </c>
      <c r="W476" s="86">
        <v>39722</v>
      </c>
      <c r="X476" s="12"/>
      <c r="Y476" s="12">
        <v>42735</v>
      </c>
      <c r="Z476" s="2" t="s">
        <v>17</v>
      </c>
      <c r="AA476" s="2"/>
      <c r="AB476" s="18"/>
      <c r="AC476" s="5">
        <v>1000</v>
      </c>
      <c r="AD476" s="5"/>
      <c r="AE476" s="5">
        <v>1170</v>
      </c>
      <c r="AF476" s="5">
        <f t="shared" si="493"/>
        <v>1310</v>
      </c>
      <c r="AG476" s="5">
        <f t="shared" si="495"/>
        <v>1310</v>
      </c>
      <c r="AH476" s="5">
        <f t="shared" si="495"/>
        <v>1310</v>
      </c>
      <c r="AI476" s="5">
        <f t="shared" ref="AI476:AJ476" si="512">+AH476</f>
        <v>1310</v>
      </c>
      <c r="AJ476" s="5">
        <f t="shared" si="512"/>
        <v>1310</v>
      </c>
      <c r="AK476" s="2"/>
      <c r="AL476" s="105" t="str">
        <f>+Z476</f>
        <v>C1</v>
      </c>
    </row>
    <row r="477" spans="1:38" s="6" customFormat="1" ht="15" customHeight="1" x14ac:dyDescent="0.2">
      <c r="A477" s="29" t="s">
        <v>824</v>
      </c>
      <c r="B477" s="29"/>
      <c r="C477" s="14"/>
      <c r="D477" s="2" t="s">
        <v>820</v>
      </c>
      <c r="E477" s="2" t="s">
        <v>817</v>
      </c>
      <c r="F477" s="3"/>
      <c r="G477" s="3"/>
      <c r="H477" s="2"/>
      <c r="I477" s="3"/>
      <c r="J477" s="28" t="s">
        <v>73</v>
      </c>
      <c r="K477" s="28"/>
      <c r="L477" s="41" t="s">
        <v>504</v>
      </c>
      <c r="M477" s="4" t="s">
        <v>3</v>
      </c>
      <c r="N477" s="15">
        <v>18780444</v>
      </c>
      <c r="O477" s="88">
        <v>20187804443</v>
      </c>
      <c r="P477" s="61"/>
      <c r="Q477" s="61"/>
      <c r="R477" s="61"/>
      <c r="S477" s="61"/>
      <c r="T477" s="61"/>
      <c r="U477" s="16" t="s">
        <v>796</v>
      </c>
      <c r="V477" s="16" t="s">
        <v>916</v>
      </c>
      <c r="W477" s="12">
        <v>39083</v>
      </c>
      <c r="X477" s="48">
        <v>42735</v>
      </c>
      <c r="Y477" s="12">
        <v>42735</v>
      </c>
      <c r="Z477" s="2" t="s">
        <v>798</v>
      </c>
      <c r="AA477" s="2"/>
      <c r="AB477" s="3"/>
      <c r="AC477" s="5">
        <v>1000</v>
      </c>
      <c r="AD477" s="5"/>
      <c r="AE477" s="5">
        <v>1170</v>
      </c>
      <c r="AF477" s="5">
        <f t="shared" si="493"/>
        <v>1310</v>
      </c>
      <c r="AG477" s="5">
        <f t="shared" si="495"/>
        <v>1310</v>
      </c>
      <c r="AH477" s="5">
        <f t="shared" si="495"/>
        <v>1310</v>
      </c>
      <c r="AI477" s="5">
        <f t="shared" ref="AI477:AJ477" si="513">+AH477</f>
        <v>1310</v>
      </c>
      <c r="AJ477" s="5">
        <f t="shared" si="513"/>
        <v>1310</v>
      </c>
      <c r="AK477" s="2"/>
      <c r="AL477" s="105" t="str">
        <f>+Z477</f>
        <v>A3</v>
      </c>
    </row>
    <row r="478" spans="1:38" s="6" customFormat="1" ht="15" customHeight="1" x14ac:dyDescent="0.2">
      <c r="A478" s="29" t="s">
        <v>824</v>
      </c>
      <c r="B478" s="29" t="s">
        <v>822</v>
      </c>
      <c r="C478" s="14"/>
      <c r="D478" s="2" t="s">
        <v>928</v>
      </c>
      <c r="E478" s="2" t="s">
        <v>11</v>
      </c>
      <c r="F478" s="3"/>
      <c r="G478" s="3"/>
      <c r="H478" s="2"/>
      <c r="I478" s="2" t="s">
        <v>1707</v>
      </c>
      <c r="J478" s="28"/>
      <c r="K478" s="28" t="s">
        <v>1765</v>
      </c>
      <c r="L478" s="41" t="s">
        <v>1641</v>
      </c>
      <c r="M478" s="7" t="s">
        <v>3</v>
      </c>
      <c r="N478" s="15">
        <v>35962369</v>
      </c>
      <c r="O478" s="88">
        <v>27359623696</v>
      </c>
      <c r="P478" s="38">
        <v>33323</v>
      </c>
      <c r="Q478" s="38"/>
      <c r="R478" s="38"/>
      <c r="S478" s="38"/>
      <c r="T478" s="38"/>
      <c r="U478" s="17" t="s">
        <v>215</v>
      </c>
      <c r="V478" s="17" t="s">
        <v>915</v>
      </c>
      <c r="W478" s="12">
        <v>42555</v>
      </c>
      <c r="X478" s="48"/>
      <c r="Y478" s="48">
        <v>42735</v>
      </c>
      <c r="Z478" s="2"/>
      <c r="AA478" s="2" t="s">
        <v>479</v>
      </c>
      <c r="AB478" s="3"/>
      <c r="AC478" s="5"/>
      <c r="AD478" s="5">
        <v>1070</v>
      </c>
      <c r="AE478" s="5">
        <v>1170</v>
      </c>
      <c r="AF478" s="5">
        <f t="shared" si="493"/>
        <v>0</v>
      </c>
      <c r="AG478" s="5">
        <f t="shared" si="495"/>
        <v>0</v>
      </c>
      <c r="AH478" s="5">
        <f t="shared" si="495"/>
        <v>0</v>
      </c>
      <c r="AI478" s="5">
        <f t="shared" ref="AI478:AJ478" si="514">+AH478</f>
        <v>0</v>
      </c>
      <c r="AJ478" s="5">
        <f t="shared" si="514"/>
        <v>0</v>
      </c>
      <c r="AK478" s="2" t="s">
        <v>53</v>
      </c>
      <c r="AL478" s="105" t="str">
        <f>+AK478</f>
        <v>B0</v>
      </c>
    </row>
    <row r="479" spans="1:38" s="6" customFormat="1" ht="15" customHeight="1" x14ac:dyDescent="0.2">
      <c r="A479" s="29" t="s">
        <v>824</v>
      </c>
      <c r="B479" s="29" t="s">
        <v>822</v>
      </c>
      <c r="C479" s="29" t="s">
        <v>823</v>
      </c>
      <c r="D479" s="2" t="s">
        <v>800</v>
      </c>
      <c r="E479" s="7" t="s">
        <v>497</v>
      </c>
      <c r="F479" s="7"/>
      <c r="G479" s="7"/>
      <c r="H479" s="8"/>
      <c r="I479" s="3" t="s">
        <v>1714</v>
      </c>
      <c r="J479" s="28" t="s">
        <v>254</v>
      </c>
      <c r="K479" s="28" t="s">
        <v>1767</v>
      </c>
      <c r="L479" s="42" t="s">
        <v>390</v>
      </c>
      <c r="M479" s="4" t="s">
        <v>3</v>
      </c>
      <c r="N479" s="15">
        <v>35766149</v>
      </c>
      <c r="O479" s="88" t="s">
        <v>1504</v>
      </c>
      <c r="P479" s="38">
        <v>32702</v>
      </c>
      <c r="Q479" s="38"/>
      <c r="R479" s="38"/>
      <c r="S479" s="38"/>
      <c r="T479" s="38"/>
      <c r="U479" s="17" t="s">
        <v>215</v>
      </c>
      <c r="V479" s="17" t="s">
        <v>915</v>
      </c>
      <c r="W479" s="12">
        <v>41730</v>
      </c>
      <c r="X479" s="13"/>
      <c r="Y479" s="12">
        <v>42735</v>
      </c>
      <c r="Z479" s="2"/>
      <c r="AA479" s="2" t="s">
        <v>479</v>
      </c>
      <c r="AB479" s="24" t="s">
        <v>479</v>
      </c>
      <c r="AC479" s="5">
        <v>1000</v>
      </c>
      <c r="AD479" s="5">
        <v>1070</v>
      </c>
      <c r="AE479" s="5">
        <v>1170</v>
      </c>
      <c r="AF479" s="5">
        <f t="shared" si="493"/>
        <v>1310</v>
      </c>
      <c r="AG479" s="5">
        <f t="shared" si="495"/>
        <v>1310</v>
      </c>
      <c r="AH479" s="5">
        <f t="shared" si="495"/>
        <v>1310</v>
      </c>
      <c r="AI479" s="5">
        <f t="shared" ref="AI479:AJ479" si="515">+AH479</f>
        <v>1310</v>
      </c>
      <c r="AJ479" s="5">
        <f t="shared" si="515"/>
        <v>1310</v>
      </c>
      <c r="AK479" s="29" t="s">
        <v>42</v>
      </c>
      <c r="AL479" s="105" t="str">
        <f>+AK479</f>
        <v>C0</v>
      </c>
    </row>
    <row r="480" spans="1:38" s="6" customFormat="1" ht="15" customHeight="1" x14ac:dyDescent="0.2">
      <c r="A480" s="29" t="s">
        <v>824</v>
      </c>
      <c r="B480" s="2" t="s">
        <v>822</v>
      </c>
      <c r="C480" s="3"/>
      <c r="D480" s="2" t="s">
        <v>825</v>
      </c>
      <c r="E480" s="3" t="s">
        <v>18</v>
      </c>
      <c r="F480" s="2" t="s">
        <v>1012</v>
      </c>
      <c r="G480" s="2"/>
      <c r="H480" s="2" t="s">
        <v>37</v>
      </c>
      <c r="I480" s="2" t="s">
        <v>1707</v>
      </c>
      <c r="J480" s="28" t="s">
        <v>548</v>
      </c>
      <c r="K480" s="28" t="s">
        <v>548</v>
      </c>
      <c r="L480" s="44" t="s">
        <v>1002</v>
      </c>
      <c r="M480" s="7" t="s">
        <v>3</v>
      </c>
      <c r="N480" s="47">
        <v>27264874</v>
      </c>
      <c r="O480" s="88" t="s">
        <v>1312</v>
      </c>
      <c r="P480" s="38">
        <v>29063</v>
      </c>
      <c r="Q480" s="38"/>
      <c r="R480" s="38"/>
      <c r="S480" s="38"/>
      <c r="T480" s="38"/>
      <c r="U480" s="17" t="s">
        <v>215</v>
      </c>
      <c r="V480" s="17" t="s">
        <v>915</v>
      </c>
      <c r="W480" s="12">
        <v>41526</v>
      </c>
      <c r="X480" s="12"/>
      <c r="Y480" s="12">
        <v>42735</v>
      </c>
      <c r="Z480" s="2"/>
      <c r="AA480" s="2" t="s">
        <v>479</v>
      </c>
      <c r="AB480" s="7"/>
      <c r="AC480" s="5">
        <v>1000</v>
      </c>
      <c r="AD480" s="5">
        <f>+AC480</f>
        <v>1000</v>
      </c>
      <c r="AE480" s="5">
        <v>1170</v>
      </c>
      <c r="AF480" s="5">
        <f t="shared" si="493"/>
        <v>1310</v>
      </c>
      <c r="AG480" s="5">
        <f t="shared" si="495"/>
        <v>1310</v>
      </c>
      <c r="AH480" s="5">
        <f t="shared" si="495"/>
        <v>1310</v>
      </c>
      <c r="AI480" s="5">
        <f t="shared" ref="AI480:AJ480" si="516">+AH480</f>
        <v>1310</v>
      </c>
      <c r="AJ480" s="5">
        <f t="shared" si="516"/>
        <v>1310</v>
      </c>
      <c r="AK480" s="2"/>
      <c r="AL480" s="106"/>
    </row>
    <row r="481" spans="1:38" s="6" customFormat="1" ht="15" customHeight="1" x14ac:dyDescent="0.2">
      <c r="A481" s="29" t="s">
        <v>824</v>
      </c>
      <c r="B481" s="2" t="s">
        <v>822</v>
      </c>
      <c r="C481" s="29" t="s">
        <v>823</v>
      </c>
      <c r="D481" s="2" t="s">
        <v>808</v>
      </c>
      <c r="E481" s="2" t="s">
        <v>219</v>
      </c>
      <c r="F481" s="2"/>
      <c r="G481" s="2"/>
      <c r="H481" s="2" t="s">
        <v>899</v>
      </c>
      <c r="I481" s="3"/>
      <c r="J481" s="28"/>
      <c r="K481" s="28"/>
      <c r="L481" s="41" t="s">
        <v>898</v>
      </c>
      <c r="M481" s="4" t="s">
        <v>3</v>
      </c>
      <c r="N481" s="15"/>
      <c r="O481" s="88"/>
      <c r="P481" s="38"/>
      <c r="Q481" s="38"/>
      <c r="R481" s="38"/>
      <c r="S481" s="38"/>
      <c r="T481" s="38"/>
      <c r="U481" s="17"/>
      <c r="V481" s="17"/>
      <c r="W481" s="12"/>
      <c r="X481" s="13"/>
      <c r="Y481" s="12">
        <v>42735</v>
      </c>
      <c r="Z481" s="2"/>
      <c r="AA481" s="2"/>
      <c r="AB481" s="9"/>
      <c r="AC481" s="5" t="s">
        <v>914</v>
      </c>
      <c r="AD481" s="5"/>
      <c r="AE481" s="5" t="s">
        <v>1611</v>
      </c>
      <c r="AF481" s="74" t="s">
        <v>1611</v>
      </c>
      <c r="AG481" s="5" t="str">
        <f t="shared" si="495"/>
        <v xml:space="preserve"> ---</v>
      </c>
      <c r="AH481" s="5" t="str">
        <f t="shared" si="495"/>
        <v xml:space="preserve"> ---</v>
      </c>
      <c r="AI481" s="5" t="str">
        <f t="shared" ref="AI481:AJ481" si="517">+AH481</f>
        <v xml:space="preserve"> ---</v>
      </c>
      <c r="AJ481" s="5" t="str">
        <f t="shared" si="517"/>
        <v xml:space="preserve"> ---</v>
      </c>
      <c r="AK481" s="2"/>
      <c r="AL481" s="8"/>
    </row>
    <row r="482" spans="1:38" s="6" customFormat="1" ht="15" customHeight="1" x14ac:dyDescent="0.2">
      <c r="A482" s="29" t="s">
        <v>824</v>
      </c>
      <c r="B482" s="29" t="s">
        <v>822</v>
      </c>
      <c r="C482" s="29"/>
      <c r="D482" s="2" t="s">
        <v>956</v>
      </c>
      <c r="E482" s="2" t="s">
        <v>956</v>
      </c>
      <c r="F482" s="2"/>
      <c r="G482" s="2"/>
      <c r="H482" s="2"/>
      <c r="I482" s="2" t="s">
        <v>1707</v>
      </c>
      <c r="J482" s="28"/>
      <c r="K482" s="28" t="s">
        <v>1765</v>
      </c>
      <c r="L482" s="41" t="s">
        <v>886</v>
      </c>
      <c r="M482" s="4" t="s">
        <v>3</v>
      </c>
      <c r="N482" s="15">
        <v>28950634</v>
      </c>
      <c r="O482" s="88" t="s">
        <v>1341</v>
      </c>
      <c r="P482" s="38">
        <v>29812</v>
      </c>
      <c r="Q482" s="38"/>
      <c r="R482" s="38"/>
      <c r="S482" s="38"/>
      <c r="T482" s="38"/>
      <c r="U482" s="17" t="s">
        <v>215</v>
      </c>
      <c r="V482" s="17" t="s">
        <v>915</v>
      </c>
      <c r="W482" s="12">
        <v>42370</v>
      </c>
      <c r="X482" s="12"/>
      <c r="Y482" s="12">
        <v>42735</v>
      </c>
      <c r="Z482" s="2"/>
      <c r="AA482" s="2" t="s">
        <v>479</v>
      </c>
      <c r="AB482" s="3"/>
      <c r="AC482" s="5">
        <v>1000</v>
      </c>
      <c r="AD482" s="5">
        <f>+AC482*1.07</f>
        <v>1070</v>
      </c>
      <c r="AE482" s="5">
        <v>1170</v>
      </c>
      <c r="AF482" s="5">
        <f t="shared" ref="AF482:AF545" si="518">+AC482*1.31</f>
        <v>1310</v>
      </c>
      <c r="AG482" s="5">
        <f t="shared" si="495"/>
        <v>1310</v>
      </c>
      <c r="AH482" s="5">
        <f t="shared" si="495"/>
        <v>1310</v>
      </c>
      <c r="AI482" s="5">
        <f t="shared" ref="AI482:AJ482" si="519">+AH482</f>
        <v>1310</v>
      </c>
      <c r="AJ482" s="5">
        <f t="shared" si="519"/>
        <v>1310</v>
      </c>
      <c r="AK482" s="2" t="s">
        <v>53</v>
      </c>
      <c r="AL482" s="105" t="str">
        <f>+AK482</f>
        <v>B0</v>
      </c>
    </row>
    <row r="483" spans="1:38" s="6" customFormat="1" ht="15" customHeight="1" x14ac:dyDescent="0.2">
      <c r="A483" s="29" t="s">
        <v>824</v>
      </c>
      <c r="B483" s="29"/>
      <c r="C483" s="14"/>
      <c r="D483" s="2" t="s">
        <v>820</v>
      </c>
      <c r="E483" s="2" t="s">
        <v>818</v>
      </c>
      <c r="F483" s="3"/>
      <c r="G483" s="3"/>
      <c r="H483" s="2" t="s">
        <v>239</v>
      </c>
      <c r="I483" s="2" t="s">
        <v>221</v>
      </c>
      <c r="J483" s="28" t="s">
        <v>73</v>
      </c>
      <c r="K483" s="28" t="s">
        <v>1765</v>
      </c>
      <c r="L483" s="43" t="s">
        <v>143</v>
      </c>
      <c r="M483" s="4" t="s">
        <v>3</v>
      </c>
      <c r="N483" s="15">
        <v>26580826</v>
      </c>
      <c r="O483" s="88" t="s">
        <v>1292</v>
      </c>
      <c r="P483" s="38">
        <v>28485</v>
      </c>
      <c r="Q483" s="38"/>
      <c r="R483" s="38"/>
      <c r="S483" s="38"/>
      <c r="T483" s="38"/>
      <c r="U483" s="17" t="s">
        <v>215</v>
      </c>
      <c r="V483" s="17" t="s">
        <v>915</v>
      </c>
      <c r="W483" s="12">
        <v>41604</v>
      </c>
      <c r="X483" s="13"/>
      <c r="Y483" s="12">
        <v>42735</v>
      </c>
      <c r="Z483" s="2"/>
      <c r="AA483" s="2" t="s">
        <v>479</v>
      </c>
      <c r="AB483" s="2" t="s">
        <v>782</v>
      </c>
      <c r="AC483" s="5">
        <v>1000</v>
      </c>
      <c r="AD483" s="5">
        <f>+AC483*1.07</f>
        <v>1070</v>
      </c>
      <c r="AE483" s="5">
        <v>1170</v>
      </c>
      <c r="AF483" s="5">
        <f t="shared" si="518"/>
        <v>1310</v>
      </c>
      <c r="AG483" s="5">
        <f t="shared" si="495"/>
        <v>1310</v>
      </c>
      <c r="AH483" s="5">
        <f t="shared" si="495"/>
        <v>1310</v>
      </c>
      <c r="AI483" s="5">
        <f t="shared" ref="AI483:AJ483" si="520">+AH483</f>
        <v>1310</v>
      </c>
      <c r="AJ483" s="5">
        <f t="shared" si="520"/>
        <v>1310</v>
      </c>
      <c r="AK483" s="29" t="s">
        <v>42</v>
      </c>
      <c r="AL483" s="105" t="str">
        <f>+AK483</f>
        <v>C0</v>
      </c>
    </row>
    <row r="484" spans="1:38" s="6" customFormat="1" ht="15" customHeight="1" x14ac:dyDescent="0.2">
      <c r="A484" s="29" t="s">
        <v>824</v>
      </c>
      <c r="B484" s="29"/>
      <c r="C484" s="14"/>
      <c r="D484" s="2" t="s">
        <v>820</v>
      </c>
      <c r="E484" s="2" t="s">
        <v>921</v>
      </c>
      <c r="F484" s="2" t="s">
        <v>217</v>
      </c>
      <c r="G484" s="3"/>
      <c r="H484" s="2" t="s">
        <v>230</v>
      </c>
      <c r="I484" s="3"/>
      <c r="J484" s="28" t="s">
        <v>73</v>
      </c>
      <c r="K484" s="28"/>
      <c r="L484" s="43" t="s">
        <v>144</v>
      </c>
      <c r="M484" s="4" t="s">
        <v>3</v>
      </c>
      <c r="N484" s="15">
        <v>23120215</v>
      </c>
      <c r="O484" s="88">
        <v>27231202159</v>
      </c>
      <c r="P484" s="61"/>
      <c r="Q484" s="61"/>
      <c r="R484" s="61"/>
      <c r="S484" s="61"/>
      <c r="T484" s="61"/>
      <c r="U484" s="16" t="s">
        <v>796</v>
      </c>
      <c r="V484" s="16" t="s">
        <v>916</v>
      </c>
      <c r="W484" s="12">
        <v>42145</v>
      </c>
      <c r="X484" s="12">
        <v>42460</v>
      </c>
      <c r="Y484" s="12">
        <v>42735</v>
      </c>
      <c r="Z484" s="2" t="s">
        <v>42</v>
      </c>
      <c r="AA484" s="2"/>
      <c r="AB484" s="14"/>
      <c r="AC484" s="5">
        <v>1000</v>
      </c>
      <c r="AD484" s="5"/>
      <c r="AE484" s="5">
        <v>1170</v>
      </c>
      <c r="AF484" s="5">
        <f t="shared" si="518"/>
        <v>1310</v>
      </c>
      <c r="AG484" s="5">
        <f t="shared" si="495"/>
        <v>1310</v>
      </c>
      <c r="AH484" s="5">
        <f t="shared" si="495"/>
        <v>1310</v>
      </c>
      <c r="AI484" s="5">
        <f t="shared" ref="AI484:AJ484" si="521">+AH484</f>
        <v>1310</v>
      </c>
      <c r="AJ484" s="5">
        <f t="shared" si="521"/>
        <v>1310</v>
      </c>
      <c r="AK484" s="2"/>
      <c r="AL484" s="105" t="str">
        <f>+Z484</f>
        <v>C0</v>
      </c>
    </row>
    <row r="485" spans="1:38" s="6" customFormat="1" ht="15" customHeight="1" x14ac:dyDescent="0.2">
      <c r="A485" s="29" t="s">
        <v>824</v>
      </c>
      <c r="B485" s="2" t="s">
        <v>822</v>
      </c>
      <c r="C485" s="29" t="s">
        <v>823</v>
      </c>
      <c r="D485" s="2" t="s">
        <v>808</v>
      </c>
      <c r="E485" s="2" t="s">
        <v>216</v>
      </c>
      <c r="F485" s="2" t="s">
        <v>1066</v>
      </c>
      <c r="G485" s="2"/>
      <c r="H485" s="3"/>
      <c r="I485" s="2" t="s">
        <v>1066</v>
      </c>
      <c r="J485" s="28"/>
      <c r="K485" s="28" t="s">
        <v>1765</v>
      </c>
      <c r="L485" s="42" t="s">
        <v>1081</v>
      </c>
      <c r="M485" s="7" t="s">
        <v>3</v>
      </c>
      <c r="N485" s="15">
        <v>39910014</v>
      </c>
      <c r="O485" s="88">
        <v>20399100144</v>
      </c>
      <c r="P485" s="38">
        <v>35293</v>
      </c>
      <c r="Q485" s="38"/>
      <c r="R485" s="38"/>
      <c r="S485" s="38"/>
      <c r="T485" s="38"/>
      <c r="U485" s="17" t="s">
        <v>215</v>
      </c>
      <c r="V485" s="17" t="s">
        <v>915</v>
      </c>
      <c r="W485" s="12">
        <v>42505</v>
      </c>
      <c r="X485" s="19"/>
      <c r="Y485" s="12">
        <v>42735</v>
      </c>
      <c r="Z485" s="2"/>
      <c r="AA485" s="2" t="s">
        <v>479</v>
      </c>
      <c r="AB485" s="2"/>
      <c r="AC485" s="5">
        <v>1000</v>
      </c>
      <c r="AD485" s="5">
        <v>1070</v>
      </c>
      <c r="AE485" s="5">
        <v>1170</v>
      </c>
      <c r="AF485" s="5">
        <f t="shared" si="518"/>
        <v>1310</v>
      </c>
      <c r="AG485" s="5">
        <f t="shared" si="495"/>
        <v>1310</v>
      </c>
      <c r="AH485" s="5">
        <f t="shared" si="495"/>
        <v>1310</v>
      </c>
      <c r="AI485" s="5">
        <f t="shared" ref="AI485:AJ485" si="522">+AH485</f>
        <v>1310</v>
      </c>
      <c r="AJ485" s="5">
        <f t="shared" si="522"/>
        <v>1310</v>
      </c>
      <c r="AK485" s="2" t="s">
        <v>42</v>
      </c>
      <c r="AL485" s="105" t="str">
        <f>+AK485</f>
        <v>C0</v>
      </c>
    </row>
    <row r="486" spans="1:38" s="6" customFormat="1" ht="15" customHeight="1" x14ac:dyDescent="0.2">
      <c r="A486" s="29" t="s">
        <v>824</v>
      </c>
      <c r="B486" s="29" t="s">
        <v>822</v>
      </c>
      <c r="C486" s="29" t="s">
        <v>823</v>
      </c>
      <c r="D486" s="2" t="s">
        <v>800</v>
      </c>
      <c r="E486" s="2" t="s">
        <v>486</v>
      </c>
      <c r="F486" s="2"/>
      <c r="G486" s="2"/>
      <c r="H486" s="2" t="s">
        <v>1710</v>
      </c>
      <c r="I486" s="3" t="s">
        <v>1754</v>
      </c>
      <c r="J486" s="28" t="s">
        <v>254</v>
      </c>
      <c r="K486" s="28"/>
      <c r="L486" s="42" t="s">
        <v>310</v>
      </c>
      <c r="M486" s="4" t="s">
        <v>3</v>
      </c>
      <c r="N486" s="15">
        <v>22228890</v>
      </c>
      <c r="O486" s="88">
        <v>27222288903</v>
      </c>
      <c r="P486" s="38">
        <v>26093</v>
      </c>
      <c r="Q486" s="38"/>
      <c r="R486" s="38"/>
      <c r="S486" s="38"/>
      <c r="T486" s="38"/>
      <c r="U486" s="17" t="s">
        <v>215</v>
      </c>
      <c r="V486" s="17" t="s">
        <v>1698</v>
      </c>
      <c r="W486" s="12"/>
      <c r="X486" s="13"/>
      <c r="Y486" s="12">
        <v>42735</v>
      </c>
      <c r="Z486" s="2"/>
      <c r="AA486" s="2" t="s">
        <v>479</v>
      </c>
      <c r="AB486" s="25" t="s">
        <v>479</v>
      </c>
      <c r="AC486" s="5">
        <v>1000</v>
      </c>
      <c r="AD486" s="5">
        <f>+AC486*1.07</f>
        <v>1070</v>
      </c>
      <c r="AE486" s="5">
        <v>1170</v>
      </c>
      <c r="AF486" s="5">
        <f t="shared" si="518"/>
        <v>1310</v>
      </c>
      <c r="AG486" s="5">
        <f t="shared" si="495"/>
        <v>1310</v>
      </c>
      <c r="AH486" s="5">
        <f t="shared" si="495"/>
        <v>1310</v>
      </c>
      <c r="AI486" s="5">
        <f t="shared" ref="AI486:AJ486" si="523">+AH486</f>
        <v>1310</v>
      </c>
      <c r="AJ486" s="5">
        <f t="shared" si="523"/>
        <v>1310</v>
      </c>
      <c r="AK486" s="2"/>
      <c r="AL486" s="107" t="s">
        <v>1818</v>
      </c>
    </row>
    <row r="487" spans="1:38" s="6" customFormat="1" ht="15" customHeight="1" x14ac:dyDescent="0.2">
      <c r="A487" s="29" t="s">
        <v>824</v>
      </c>
      <c r="B487" s="29"/>
      <c r="C487" s="14"/>
      <c r="D487" s="2" t="s">
        <v>820</v>
      </c>
      <c r="E487" s="2" t="s">
        <v>809</v>
      </c>
      <c r="F487" s="3"/>
      <c r="G487" s="3"/>
      <c r="H487" s="2" t="s">
        <v>240</v>
      </c>
      <c r="I487" s="3"/>
      <c r="J487" s="28" t="s">
        <v>73</v>
      </c>
      <c r="K487" s="28"/>
      <c r="L487" s="43" t="s">
        <v>145</v>
      </c>
      <c r="M487" s="4" t="s">
        <v>3</v>
      </c>
      <c r="N487" s="15">
        <v>33546747</v>
      </c>
      <c r="O487" s="88">
        <v>20335467478</v>
      </c>
      <c r="P487" s="61"/>
      <c r="Q487" s="61"/>
      <c r="R487" s="61"/>
      <c r="S487" s="61"/>
      <c r="T487" s="61"/>
      <c r="U487" s="16" t="s">
        <v>796</v>
      </c>
      <c r="V487" s="16" t="s">
        <v>916</v>
      </c>
      <c r="W487" s="12">
        <v>41276</v>
      </c>
      <c r="X487" s="12">
        <v>42460</v>
      </c>
      <c r="Y487" s="12">
        <v>42735</v>
      </c>
      <c r="Z487" s="2" t="s">
        <v>24</v>
      </c>
      <c r="AA487" s="2"/>
      <c r="AB487" s="14"/>
      <c r="AC487" s="5">
        <v>1000</v>
      </c>
      <c r="AD487" s="5"/>
      <c r="AE487" s="5">
        <v>1170</v>
      </c>
      <c r="AF487" s="5">
        <f t="shared" si="518"/>
        <v>1310</v>
      </c>
      <c r="AG487" s="5">
        <f t="shared" si="495"/>
        <v>1310</v>
      </c>
      <c r="AH487" s="5">
        <f t="shared" si="495"/>
        <v>1310</v>
      </c>
      <c r="AI487" s="5">
        <f t="shared" ref="AI487:AJ487" si="524">+AH487</f>
        <v>1310</v>
      </c>
      <c r="AJ487" s="5">
        <f t="shared" si="524"/>
        <v>1310</v>
      </c>
      <c r="AK487" s="2"/>
      <c r="AL487" s="105" t="str">
        <f>+Z487</f>
        <v>D0</v>
      </c>
    </row>
    <row r="488" spans="1:38" s="6" customFormat="1" ht="15" customHeight="1" x14ac:dyDescent="0.2">
      <c r="A488" s="29" t="s">
        <v>824</v>
      </c>
      <c r="B488" s="2" t="s">
        <v>822</v>
      </c>
      <c r="C488" s="3"/>
      <c r="D488" s="2" t="s">
        <v>825</v>
      </c>
      <c r="E488" s="3" t="s">
        <v>18</v>
      </c>
      <c r="F488" s="2" t="s">
        <v>19</v>
      </c>
      <c r="G488" s="2"/>
      <c r="H488" s="2" t="s">
        <v>37</v>
      </c>
      <c r="I488" s="2" t="s">
        <v>1761</v>
      </c>
      <c r="J488" s="28" t="s">
        <v>548</v>
      </c>
      <c r="K488" s="28" t="s">
        <v>548</v>
      </c>
      <c r="L488" s="44" t="s">
        <v>658</v>
      </c>
      <c r="M488" s="4" t="s">
        <v>3</v>
      </c>
      <c r="N488" s="15">
        <v>24921752</v>
      </c>
      <c r="O488" s="88" t="s">
        <v>1251</v>
      </c>
      <c r="P488" s="38">
        <v>27679</v>
      </c>
      <c r="Q488" s="38"/>
      <c r="R488" s="38"/>
      <c r="S488" s="38"/>
      <c r="T488" s="38"/>
      <c r="U488" s="17" t="s">
        <v>215</v>
      </c>
      <c r="V488" s="17" t="s">
        <v>915</v>
      </c>
      <c r="W488" s="12">
        <v>41730</v>
      </c>
      <c r="X488" s="13"/>
      <c r="Y488" s="12">
        <v>42735</v>
      </c>
      <c r="Z488" s="2"/>
      <c r="AA488" s="2" t="s">
        <v>479</v>
      </c>
      <c r="AB488" s="7" t="s">
        <v>787</v>
      </c>
      <c r="AC488" s="5">
        <v>1000</v>
      </c>
      <c r="AD488" s="5">
        <f>+AC488</f>
        <v>1000</v>
      </c>
      <c r="AE488" s="5">
        <v>1170</v>
      </c>
      <c r="AF488" s="5">
        <f t="shared" si="518"/>
        <v>1310</v>
      </c>
      <c r="AG488" s="5">
        <f t="shared" si="495"/>
        <v>1310</v>
      </c>
      <c r="AH488" s="5">
        <f t="shared" si="495"/>
        <v>1310</v>
      </c>
      <c r="AI488" s="5">
        <f t="shared" ref="AI488:AJ488" si="525">+AH488</f>
        <v>1310</v>
      </c>
      <c r="AJ488" s="5">
        <f t="shared" si="525"/>
        <v>1310</v>
      </c>
      <c r="AK488" s="2"/>
      <c r="AL488" s="106"/>
    </row>
    <row r="489" spans="1:38" s="6" customFormat="1" ht="15" customHeight="1" x14ac:dyDescent="0.2">
      <c r="A489" s="29" t="s">
        <v>824</v>
      </c>
      <c r="B489" s="2" t="s">
        <v>822</v>
      </c>
      <c r="C489" s="3"/>
      <c r="D489" s="2" t="s">
        <v>825</v>
      </c>
      <c r="E489" s="3" t="s">
        <v>18</v>
      </c>
      <c r="F489" s="2" t="s">
        <v>19</v>
      </c>
      <c r="G489" s="2"/>
      <c r="H489" s="2" t="s">
        <v>37</v>
      </c>
      <c r="I489" s="2" t="s">
        <v>1761</v>
      </c>
      <c r="J489" s="28" t="s">
        <v>548</v>
      </c>
      <c r="K489" s="28" t="s">
        <v>548</v>
      </c>
      <c r="L489" s="44" t="s">
        <v>979</v>
      </c>
      <c r="M489" s="7" t="s">
        <v>3</v>
      </c>
      <c r="N489" s="47">
        <v>16237010</v>
      </c>
      <c r="O489" s="88" t="s">
        <v>1163</v>
      </c>
      <c r="P489" s="38">
        <v>23023</v>
      </c>
      <c r="Q489" s="38"/>
      <c r="R489" s="38"/>
      <c r="S489" s="38"/>
      <c r="T489" s="38"/>
      <c r="U489" s="17" t="s">
        <v>215</v>
      </c>
      <c r="V489" s="17" t="s">
        <v>915</v>
      </c>
      <c r="W489" s="12">
        <v>41426</v>
      </c>
      <c r="X489" s="12"/>
      <c r="Y489" s="12">
        <v>42735</v>
      </c>
      <c r="Z489" s="2"/>
      <c r="AA489" s="2" t="s">
        <v>479</v>
      </c>
      <c r="AB489" s="7"/>
      <c r="AC489" s="5">
        <v>1000</v>
      </c>
      <c r="AD489" s="5">
        <f>+AC489</f>
        <v>1000</v>
      </c>
      <c r="AE489" s="5">
        <v>1170</v>
      </c>
      <c r="AF489" s="5">
        <f t="shared" si="518"/>
        <v>1310</v>
      </c>
      <c r="AG489" s="5">
        <f t="shared" si="495"/>
        <v>1310</v>
      </c>
      <c r="AH489" s="5">
        <f t="shared" si="495"/>
        <v>1310</v>
      </c>
      <c r="AI489" s="5">
        <f t="shared" ref="AI489:AJ489" si="526">+AH489</f>
        <v>1310</v>
      </c>
      <c r="AJ489" s="5">
        <f t="shared" si="526"/>
        <v>1310</v>
      </c>
      <c r="AK489" s="29"/>
      <c r="AL489" s="8"/>
    </row>
    <row r="490" spans="1:38" s="6" customFormat="1" ht="15" customHeight="1" x14ac:dyDescent="0.2">
      <c r="A490" s="29" t="s">
        <v>824</v>
      </c>
      <c r="B490" s="2" t="s">
        <v>822</v>
      </c>
      <c r="C490" s="29" t="s">
        <v>823</v>
      </c>
      <c r="D490" s="2" t="s">
        <v>808</v>
      </c>
      <c r="E490" s="2" t="s">
        <v>11</v>
      </c>
      <c r="F490" s="2" t="s">
        <v>218</v>
      </c>
      <c r="G490" s="2"/>
      <c r="H490" s="3"/>
      <c r="I490" s="2" t="s">
        <v>1707</v>
      </c>
      <c r="J490" s="28"/>
      <c r="K490" s="28" t="s">
        <v>1765</v>
      </c>
      <c r="L490" s="42" t="s">
        <v>1095</v>
      </c>
      <c r="M490" s="7" t="s">
        <v>3</v>
      </c>
      <c r="N490" s="15">
        <v>28778937</v>
      </c>
      <c r="O490" s="88">
        <v>27287789373</v>
      </c>
      <c r="P490" s="38">
        <v>29721</v>
      </c>
      <c r="Q490" s="38"/>
      <c r="R490" s="38"/>
      <c r="S490" s="38"/>
      <c r="T490" s="38"/>
      <c r="U490" s="17" t="s">
        <v>215</v>
      </c>
      <c r="V490" s="17" t="s">
        <v>915</v>
      </c>
      <c r="W490" s="12">
        <v>42491</v>
      </c>
      <c r="X490" s="19"/>
      <c r="Y490" s="12">
        <v>42735</v>
      </c>
      <c r="Z490" s="2"/>
      <c r="AA490" s="2" t="s">
        <v>479</v>
      </c>
      <c r="AB490" s="2"/>
      <c r="AC490" s="5">
        <v>1000</v>
      </c>
      <c r="AD490" s="5">
        <v>1070</v>
      </c>
      <c r="AE490" s="5">
        <v>1170</v>
      </c>
      <c r="AF490" s="5">
        <f t="shared" si="518"/>
        <v>1310</v>
      </c>
      <c r="AG490" s="5">
        <f t="shared" si="495"/>
        <v>1310</v>
      </c>
      <c r="AH490" s="5">
        <f t="shared" si="495"/>
        <v>1310</v>
      </c>
      <c r="AI490" s="5">
        <f t="shared" ref="AI490:AJ490" si="527">+AH490</f>
        <v>1310</v>
      </c>
      <c r="AJ490" s="5">
        <f t="shared" si="527"/>
        <v>1310</v>
      </c>
      <c r="AK490" s="29" t="s">
        <v>42</v>
      </c>
      <c r="AL490" s="105" t="str">
        <f>+AK490</f>
        <v>C0</v>
      </c>
    </row>
    <row r="491" spans="1:38" s="6" customFormat="1" ht="15" customHeight="1" x14ac:dyDescent="0.2">
      <c r="A491" s="29" t="s">
        <v>824</v>
      </c>
      <c r="B491" s="29" t="s">
        <v>822</v>
      </c>
      <c r="C491" s="29" t="s">
        <v>823</v>
      </c>
      <c r="D491" s="2" t="s">
        <v>1820</v>
      </c>
      <c r="E491" s="2"/>
      <c r="F491" s="2"/>
      <c r="G491" s="3"/>
      <c r="H491" s="2" t="s">
        <v>884</v>
      </c>
      <c r="I491" s="2" t="s">
        <v>1707</v>
      </c>
      <c r="J491" s="28"/>
      <c r="K491" s="28" t="s">
        <v>1765</v>
      </c>
      <c r="L491" s="43" t="s">
        <v>1800</v>
      </c>
      <c r="M491" s="7" t="s">
        <v>3</v>
      </c>
      <c r="N491" s="15"/>
      <c r="O491" s="88"/>
      <c r="P491" s="38"/>
      <c r="Q491" s="38"/>
      <c r="R491" s="38"/>
      <c r="S491" s="38"/>
      <c r="T491" s="38"/>
      <c r="U491" s="17"/>
      <c r="V491" s="17" t="s">
        <v>915</v>
      </c>
      <c r="W491" s="12"/>
      <c r="X491" s="37"/>
      <c r="Y491" s="12">
        <v>42735</v>
      </c>
      <c r="Z491" s="2"/>
      <c r="AA491" s="2" t="s">
        <v>479</v>
      </c>
      <c r="AB491" s="7"/>
      <c r="AC491" s="5"/>
      <c r="AD491" s="5"/>
      <c r="AE491" s="5">
        <v>1170</v>
      </c>
      <c r="AF491" s="5">
        <f t="shared" si="518"/>
        <v>0</v>
      </c>
      <c r="AG491" s="5">
        <f t="shared" si="495"/>
        <v>0</v>
      </c>
      <c r="AH491" s="5">
        <f t="shared" si="495"/>
        <v>0</v>
      </c>
      <c r="AI491" s="5">
        <f t="shared" ref="AI491:AJ491" si="528">+AH491</f>
        <v>0</v>
      </c>
      <c r="AJ491" s="5">
        <f t="shared" si="528"/>
        <v>0</v>
      </c>
      <c r="AK491" s="29" t="s">
        <v>42</v>
      </c>
      <c r="AL491" s="105" t="str">
        <f>+AK491</f>
        <v>C0</v>
      </c>
    </row>
    <row r="492" spans="1:38" s="6" customFormat="1" ht="15" customHeight="1" x14ac:dyDescent="0.2">
      <c r="A492" s="29" t="s">
        <v>824</v>
      </c>
      <c r="B492" s="29" t="s">
        <v>822</v>
      </c>
      <c r="C492" s="3"/>
      <c r="D492" s="2" t="s">
        <v>956</v>
      </c>
      <c r="E492" s="2" t="s">
        <v>956</v>
      </c>
      <c r="F492" s="2"/>
      <c r="G492" s="2"/>
      <c r="H492" s="2"/>
      <c r="I492" s="2" t="s">
        <v>1825</v>
      </c>
      <c r="J492" s="28"/>
      <c r="K492" s="28"/>
      <c r="L492" s="44" t="s">
        <v>1827</v>
      </c>
      <c r="M492" s="7" t="s">
        <v>3</v>
      </c>
      <c r="N492" s="47">
        <v>26392514</v>
      </c>
      <c r="O492" s="88">
        <v>27263925144</v>
      </c>
      <c r="P492" s="38"/>
      <c r="Q492" s="38"/>
      <c r="R492" s="38"/>
      <c r="S492" s="38"/>
      <c r="T492" s="38"/>
      <c r="U492" s="17" t="s">
        <v>215</v>
      </c>
      <c r="V492" s="17" t="s">
        <v>915</v>
      </c>
      <c r="W492" s="12">
        <v>42552</v>
      </c>
      <c r="X492" s="12"/>
      <c r="Y492" s="12">
        <v>42735</v>
      </c>
      <c r="Z492" s="2"/>
      <c r="AA492" s="2"/>
      <c r="AB492" s="7"/>
      <c r="AC492" s="5"/>
      <c r="AD492" s="5"/>
      <c r="AE492" s="5">
        <v>1170</v>
      </c>
      <c r="AF492" s="5">
        <f t="shared" si="518"/>
        <v>0</v>
      </c>
      <c r="AG492" s="5">
        <v>1310</v>
      </c>
      <c r="AH492" s="5">
        <v>14000</v>
      </c>
      <c r="AI492" s="5">
        <f t="shared" ref="AI492:AJ492" si="529">+AH492</f>
        <v>14000</v>
      </c>
      <c r="AJ492" s="5">
        <f t="shared" si="529"/>
        <v>14000</v>
      </c>
      <c r="AK492" s="2"/>
      <c r="AL492" s="106"/>
    </row>
    <row r="493" spans="1:38" s="6" customFormat="1" ht="15" customHeight="1" x14ac:dyDescent="0.2">
      <c r="A493" s="29" t="s">
        <v>824</v>
      </c>
      <c r="B493" s="2" t="s">
        <v>822</v>
      </c>
      <c r="C493" s="3"/>
      <c r="D493" s="2" t="s">
        <v>825</v>
      </c>
      <c r="E493" s="3" t="s">
        <v>18</v>
      </c>
      <c r="F493" s="2" t="s">
        <v>19</v>
      </c>
      <c r="G493" s="2"/>
      <c r="H493" s="2" t="s">
        <v>45</v>
      </c>
      <c r="I493" s="2" t="s">
        <v>1707</v>
      </c>
      <c r="J493" s="28" t="s">
        <v>548</v>
      </c>
      <c r="K493" s="28" t="s">
        <v>548</v>
      </c>
      <c r="L493" s="44" t="s">
        <v>659</v>
      </c>
      <c r="M493" s="4" t="s">
        <v>3</v>
      </c>
      <c r="N493" s="15">
        <v>17964747</v>
      </c>
      <c r="O493" s="88" t="s">
        <v>1179</v>
      </c>
      <c r="P493" s="38">
        <v>24393</v>
      </c>
      <c r="Q493" s="38"/>
      <c r="R493" s="38"/>
      <c r="S493" s="38"/>
      <c r="T493" s="38"/>
      <c r="U493" s="17" t="s">
        <v>215</v>
      </c>
      <c r="V493" s="17" t="s">
        <v>915</v>
      </c>
      <c r="W493" s="12">
        <v>40969</v>
      </c>
      <c r="X493" s="13"/>
      <c r="Y493" s="12">
        <v>42735</v>
      </c>
      <c r="Z493" s="2"/>
      <c r="AA493" s="2" t="s">
        <v>479</v>
      </c>
      <c r="AB493" s="7" t="s">
        <v>787</v>
      </c>
      <c r="AC493" s="5">
        <v>1000</v>
      </c>
      <c r="AD493" s="5">
        <f>+AC493*1.07</f>
        <v>1070</v>
      </c>
      <c r="AE493" s="5">
        <v>1170</v>
      </c>
      <c r="AF493" s="5">
        <f t="shared" si="518"/>
        <v>1310</v>
      </c>
      <c r="AG493" s="5">
        <f t="shared" ref="AG493:AH513" si="530">+AF493</f>
        <v>1310</v>
      </c>
      <c r="AH493" s="5">
        <f t="shared" si="530"/>
        <v>1310</v>
      </c>
      <c r="AI493" s="5">
        <f t="shared" ref="AI493:AJ493" si="531">+AH493</f>
        <v>1310</v>
      </c>
      <c r="AJ493" s="5">
        <f t="shared" si="531"/>
        <v>1310</v>
      </c>
      <c r="AK493" s="2"/>
      <c r="AL493" s="106"/>
    </row>
    <row r="494" spans="1:38" s="6" customFormat="1" ht="15" customHeight="1" x14ac:dyDescent="0.2">
      <c r="A494" s="29" t="s">
        <v>824</v>
      </c>
      <c r="B494" s="29" t="s">
        <v>822</v>
      </c>
      <c r="C494" s="29" t="s">
        <v>823</v>
      </c>
      <c r="D494" s="2" t="s">
        <v>800</v>
      </c>
      <c r="E494" s="2" t="s">
        <v>481</v>
      </c>
      <c r="F494" s="2"/>
      <c r="G494" s="2"/>
      <c r="H494" s="2" t="s">
        <v>229</v>
      </c>
      <c r="I494" s="2"/>
      <c r="J494" s="28" t="s">
        <v>254</v>
      </c>
      <c r="K494" s="28"/>
      <c r="L494" s="42" t="s">
        <v>263</v>
      </c>
      <c r="M494" s="4" t="s">
        <v>3</v>
      </c>
      <c r="N494" s="15">
        <v>28814776</v>
      </c>
      <c r="O494" s="88">
        <v>27288147766</v>
      </c>
      <c r="P494" s="38"/>
      <c r="Q494" s="38"/>
      <c r="R494" s="38"/>
      <c r="S494" s="38"/>
      <c r="T494" s="38"/>
      <c r="U494" s="16" t="s">
        <v>796</v>
      </c>
      <c r="V494" s="16" t="s">
        <v>916</v>
      </c>
      <c r="W494" s="12">
        <v>42064</v>
      </c>
      <c r="X494" s="12">
        <v>42460</v>
      </c>
      <c r="Y494" s="12">
        <v>42735</v>
      </c>
      <c r="Z494" s="2" t="s">
        <v>42</v>
      </c>
      <c r="AA494" s="2"/>
      <c r="AB494" s="18"/>
      <c r="AC494" s="5">
        <v>1000</v>
      </c>
      <c r="AD494" s="5"/>
      <c r="AE494" s="5">
        <v>1170</v>
      </c>
      <c r="AF494" s="5">
        <f t="shared" si="518"/>
        <v>1310</v>
      </c>
      <c r="AG494" s="5">
        <f t="shared" si="530"/>
        <v>1310</v>
      </c>
      <c r="AH494" s="5">
        <f t="shared" si="530"/>
        <v>1310</v>
      </c>
      <c r="AI494" s="5">
        <f t="shared" ref="AI494:AJ494" si="532">+AH494</f>
        <v>1310</v>
      </c>
      <c r="AJ494" s="5">
        <f t="shared" si="532"/>
        <v>1310</v>
      </c>
      <c r="AK494" s="2"/>
      <c r="AL494" s="105" t="str">
        <f>+Z494</f>
        <v>C0</v>
      </c>
    </row>
    <row r="495" spans="1:38" s="6" customFormat="1" ht="15" customHeight="1" x14ac:dyDescent="0.2">
      <c r="A495" s="29" t="s">
        <v>824</v>
      </c>
      <c r="B495" s="29"/>
      <c r="C495" s="14"/>
      <c r="D495" s="2" t="s">
        <v>820</v>
      </c>
      <c r="E495" s="2" t="s">
        <v>817</v>
      </c>
      <c r="F495" s="3"/>
      <c r="G495" s="3"/>
      <c r="H495" s="2" t="s">
        <v>223</v>
      </c>
      <c r="I495" s="3"/>
      <c r="J495" s="28" t="s">
        <v>73</v>
      </c>
      <c r="K495" s="28"/>
      <c r="L495" s="45" t="s">
        <v>146</v>
      </c>
      <c r="M495" s="7" t="s">
        <v>3</v>
      </c>
      <c r="N495" s="15">
        <v>29192074</v>
      </c>
      <c r="O495" s="88">
        <v>20291920749</v>
      </c>
      <c r="P495" s="61"/>
      <c r="Q495" s="61"/>
      <c r="R495" s="61"/>
      <c r="S495" s="61"/>
      <c r="T495" s="61"/>
      <c r="U495" s="16" t="s">
        <v>796</v>
      </c>
      <c r="V495" s="16" t="s">
        <v>916</v>
      </c>
      <c r="W495" s="12">
        <v>40330</v>
      </c>
      <c r="X495" s="48">
        <v>42735</v>
      </c>
      <c r="Y495" s="12">
        <v>42735</v>
      </c>
      <c r="Z495" s="2" t="s">
        <v>17</v>
      </c>
      <c r="AA495" s="2"/>
      <c r="AB495" s="14"/>
      <c r="AC495" s="5">
        <v>1000</v>
      </c>
      <c r="AD495" s="5"/>
      <c r="AE495" s="5">
        <v>1170</v>
      </c>
      <c r="AF495" s="5">
        <f t="shared" si="518"/>
        <v>1310</v>
      </c>
      <c r="AG495" s="5">
        <f t="shared" si="530"/>
        <v>1310</v>
      </c>
      <c r="AH495" s="5">
        <f t="shared" si="530"/>
        <v>1310</v>
      </c>
      <c r="AI495" s="5">
        <f t="shared" ref="AI495:AJ495" si="533">+AH495</f>
        <v>1310</v>
      </c>
      <c r="AJ495" s="5">
        <f t="shared" si="533"/>
        <v>1310</v>
      </c>
      <c r="AK495" s="2"/>
      <c r="AL495" s="105" t="str">
        <f>+Z495</f>
        <v>C1</v>
      </c>
    </row>
    <row r="496" spans="1:38" s="6" customFormat="1" ht="15" customHeight="1" x14ac:dyDescent="0.2">
      <c r="A496" s="29" t="s">
        <v>824</v>
      </c>
      <c r="B496" s="2" t="s">
        <v>822</v>
      </c>
      <c r="C496" s="3"/>
      <c r="D496" s="2" t="s">
        <v>825</v>
      </c>
      <c r="E496" s="3" t="s">
        <v>18</v>
      </c>
      <c r="F496" s="2" t="s">
        <v>19</v>
      </c>
      <c r="G496" s="2"/>
      <c r="H496" s="2" t="s">
        <v>45</v>
      </c>
      <c r="I496" s="2" t="s">
        <v>1760</v>
      </c>
      <c r="J496" s="28" t="s">
        <v>548</v>
      </c>
      <c r="K496" s="28" t="s">
        <v>548</v>
      </c>
      <c r="L496" s="44" t="s">
        <v>660</v>
      </c>
      <c r="M496" s="4" t="s">
        <v>3</v>
      </c>
      <c r="N496" s="15">
        <v>28080101</v>
      </c>
      <c r="O496" s="88" t="s">
        <v>1326</v>
      </c>
      <c r="P496" s="38">
        <v>29325</v>
      </c>
      <c r="Q496" s="38"/>
      <c r="R496" s="38"/>
      <c r="S496" s="38"/>
      <c r="T496" s="38"/>
      <c r="U496" s="17" t="s">
        <v>215</v>
      </c>
      <c r="V496" s="17" t="s">
        <v>915</v>
      </c>
      <c r="W496" s="12">
        <v>42109</v>
      </c>
      <c r="X496" s="13"/>
      <c r="Y496" s="12">
        <v>42735</v>
      </c>
      <c r="Z496" s="2"/>
      <c r="AA496" s="2" t="s">
        <v>479</v>
      </c>
      <c r="AB496" s="7" t="s">
        <v>787</v>
      </c>
      <c r="AC496" s="5">
        <v>1000</v>
      </c>
      <c r="AD496" s="5">
        <f>+AC496</f>
        <v>1000</v>
      </c>
      <c r="AE496" s="5">
        <v>1170</v>
      </c>
      <c r="AF496" s="5">
        <f t="shared" si="518"/>
        <v>1310</v>
      </c>
      <c r="AG496" s="5">
        <f t="shared" si="530"/>
        <v>1310</v>
      </c>
      <c r="AH496" s="5">
        <f t="shared" si="530"/>
        <v>1310</v>
      </c>
      <c r="AI496" s="5">
        <f t="shared" ref="AI496:AJ496" si="534">+AH496</f>
        <v>1310</v>
      </c>
      <c r="AJ496" s="5">
        <f t="shared" si="534"/>
        <v>1310</v>
      </c>
      <c r="AK496" s="2"/>
      <c r="AL496" s="106"/>
    </row>
    <row r="497" spans="1:38" s="6" customFormat="1" ht="15" customHeight="1" x14ac:dyDescent="0.2">
      <c r="A497" s="29" t="s">
        <v>824</v>
      </c>
      <c r="B497" s="2" t="s">
        <v>822</v>
      </c>
      <c r="C497" s="2" t="s">
        <v>823</v>
      </c>
      <c r="D497" s="2" t="s">
        <v>808</v>
      </c>
      <c r="E497" s="2" t="s">
        <v>216</v>
      </c>
      <c r="F497" s="2"/>
      <c r="G497" s="2"/>
      <c r="H497" s="2"/>
      <c r="I497" s="3"/>
      <c r="J497" s="28" t="s">
        <v>73</v>
      </c>
      <c r="K497" s="28"/>
      <c r="L497" s="41" t="s">
        <v>661</v>
      </c>
      <c r="M497" s="4" t="s">
        <v>3</v>
      </c>
      <c r="N497" s="15">
        <v>16765329</v>
      </c>
      <c r="O497" s="88">
        <v>24167653290</v>
      </c>
      <c r="P497" s="38"/>
      <c r="Q497" s="38"/>
      <c r="R497" s="38"/>
      <c r="S497" s="38"/>
      <c r="T497" s="38"/>
      <c r="U497" s="16" t="s">
        <v>796</v>
      </c>
      <c r="V497" s="16" t="s">
        <v>916</v>
      </c>
      <c r="W497" s="12">
        <v>40330</v>
      </c>
      <c r="X497" s="48">
        <v>42735</v>
      </c>
      <c r="Y497" s="12">
        <v>42735</v>
      </c>
      <c r="Z497" s="2" t="s">
        <v>42</v>
      </c>
      <c r="AA497" s="2"/>
      <c r="AB497" s="3"/>
      <c r="AC497" s="5">
        <v>1000</v>
      </c>
      <c r="AD497" s="5"/>
      <c r="AE497" s="5">
        <v>1170</v>
      </c>
      <c r="AF497" s="5">
        <f t="shared" si="518"/>
        <v>1310</v>
      </c>
      <c r="AG497" s="5">
        <f t="shared" si="530"/>
        <v>1310</v>
      </c>
      <c r="AH497" s="5">
        <f t="shared" si="530"/>
        <v>1310</v>
      </c>
      <c r="AI497" s="5">
        <f t="shared" ref="AI497:AJ497" si="535">+AH497</f>
        <v>1310</v>
      </c>
      <c r="AJ497" s="5">
        <f t="shared" si="535"/>
        <v>1310</v>
      </c>
      <c r="AK497" s="2"/>
      <c r="AL497" s="105" t="str">
        <f>+Z497</f>
        <v>C0</v>
      </c>
    </row>
    <row r="498" spans="1:38" s="6" customFormat="1" ht="15" customHeight="1" x14ac:dyDescent="0.2">
      <c r="A498" s="29" t="s">
        <v>824</v>
      </c>
      <c r="B498" s="29" t="s">
        <v>822</v>
      </c>
      <c r="C498" s="29" t="s">
        <v>823</v>
      </c>
      <c r="D498" s="2" t="s">
        <v>800</v>
      </c>
      <c r="E498" s="7" t="s">
        <v>501</v>
      </c>
      <c r="F498" s="7"/>
      <c r="G498" s="7"/>
      <c r="H498" s="8"/>
      <c r="I498" s="3" t="s">
        <v>1739</v>
      </c>
      <c r="J498" s="28" t="s">
        <v>254</v>
      </c>
      <c r="K498" s="28" t="s">
        <v>1767</v>
      </c>
      <c r="L498" s="42" t="s">
        <v>452</v>
      </c>
      <c r="M498" s="4" t="s">
        <v>3</v>
      </c>
      <c r="N498" s="15">
        <v>17802888</v>
      </c>
      <c r="O498" s="88" t="s">
        <v>1176</v>
      </c>
      <c r="P498" s="38">
        <v>24040</v>
      </c>
      <c r="Q498" s="38"/>
      <c r="R498" s="38"/>
      <c r="S498" s="38"/>
      <c r="T498" s="38"/>
      <c r="U498" s="17" t="s">
        <v>215</v>
      </c>
      <c r="V498" s="17" t="s">
        <v>915</v>
      </c>
      <c r="W498" s="12">
        <v>41456</v>
      </c>
      <c r="X498" s="13"/>
      <c r="Y498" s="12">
        <v>42735</v>
      </c>
      <c r="Z498" s="2"/>
      <c r="AA498" s="2" t="s">
        <v>479</v>
      </c>
      <c r="AB498" s="24" t="s">
        <v>479</v>
      </c>
      <c r="AC498" s="5">
        <v>1000</v>
      </c>
      <c r="AD498" s="5">
        <v>1070</v>
      </c>
      <c r="AE498" s="5">
        <v>1170</v>
      </c>
      <c r="AF498" s="5">
        <f t="shared" si="518"/>
        <v>1310</v>
      </c>
      <c r="AG498" s="5">
        <f t="shared" si="530"/>
        <v>1310</v>
      </c>
      <c r="AH498" s="5">
        <f t="shared" si="530"/>
        <v>1310</v>
      </c>
      <c r="AI498" s="5">
        <f t="shared" ref="AI498:AJ498" si="536">+AH498</f>
        <v>1310</v>
      </c>
      <c r="AJ498" s="5">
        <f t="shared" si="536"/>
        <v>1310</v>
      </c>
      <c r="AK498" s="29" t="s">
        <v>42</v>
      </c>
      <c r="AL498" s="105" t="str">
        <f>+AK498</f>
        <v>C0</v>
      </c>
    </row>
    <row r="499" spans="1:38" s="6" customFormat="1" ht="15" customHeight="1" x14ac:dyDescent="0.2">
      <c r="A499" s="29" t="s">
        <v>824</v>
      </c>
      <c r="B499" s="29" t="s">
        <v>822</v>
      </c>
      <c r="C499" s="29" t="s">
        <v>823</v>
      </c>
      <c r="D499" s="2" t="s">
        <v>808</v>
      </c>
      <c r="E499" s="7" t="s">
        <v>503</v>
      </c>
      <c r="F499" s="7"/>
      <c r="G499" s="7"/>
      <c r="H499" s="8"/>
      <c r="I499" s="2" t="s">
        <v>1726</v>
      </c>
      <c r="J499" s="28"/>
      <c r="K499" s="28" t="s">
        <v>1767</v>
      </c>
      <c r="L499" s="42" t="s">
        <v>969</v>
      </c>
      <c r="M499" s="7" t="s">
        <v>3</v>
      </c>
      <c r="N499" s="15">
        <v>14596714</v>
      </c>
      <c r="O499" s="88">
        <v>20145967148</v>
      </c>
      <c r="P499" s="38">
        <v>22465</v>
      </c>
      <c r="Q499" s="38"/>
      <c r="R499" s="38"/>
      <c r="S499" s="38"/>
      <c r="T499" s="38"/>
      <c r="U499" s="17" t="s">
        <v>215</v>
      </c>
      <c r="V499" s="17" t="s">
        <v>915</v>
      </c>
      <c r="W499" s="12">
        <v>42491</v>
      </c>
      <c r="X499" s="13"/>
      <c r="Y499" s="12">
        <v>42735</v>
      </c>
      <c r="Z499" s="2"/>
      <c r="AA499" s="2" t="s">
        <v>479</v>
      </c>
      <c r="AB499" s="24"/>
      <c r="AC499" s="5">
        <v>1000</v>
      </c>
      <c r="AD499" s="5">
        <f>+AC499*1.07</f>
        <v>1070</v>
      </c>
      <c r="AE499" s="5">
        <v>1170</v>
      </c>
      <c r="AF499" s="5">
        <f t="shared" si="518"/>
        <v>1310</v>
      </c>
      <c r="AG499" s="5">
        <f t="shared" si="530"/>
        <v>1310</v>
      </c>
      <c r="AH499" s="5">
        <f t="shared" si="530"/>
        <v>1310</v>
      </c>
      <c r="AI499" s="5">
        <f t="shared" ref="AI499:AJ499" si="537">+AH499</f>
        <v>1310</v>
      </c>
      <c r="AJ499" s="5">
        <f t="shared" si="537"/>
        <v>1310</v>
      </c>
      <c r="AK499" s="29" t="s">
        <v>42</v>
      </c>
      <c r="AL499" s="105" t="str">
        <f>+AK499</f>
        <v>C0</v>
      </c>
    </row>
    <row r="500" spans="1:38" s="6" customFormat="1" ht="15" customHeight="1" x14ac:dyDescent="0.2">
      <c r="A500" s="29" t="s">
        <v>824</v>
      </c>
      <c r="B500" s="2" t="s">
        <v>822</v>
      </c>
      <c r="C500" s="29" t="s">
        <v>823</v>
      </c>
      <c r="D500" s="2" t="s">
        <v>808</v>
      </c>
      <c r="E500" s="2" t="s">
        <v>909</v>
      </c>
      <c r="F500" s="2" t="s">
        <v>1705</v>
      </c>
      <c r="G500" s="3"/>
      <c r="H500" s="2"/>
      <c r="I500" s="3"/>
      <c r="J500" s="28"/>
      <c r="K500" s="28"/>
      <c r="L500" s="41" t="s">
        <v>1702</v>
      </c>
      <c r="M500" s="7" t="s">
        <v>3</v>
      </c>
      <c r="N500" s="85">
        <v>33194188</v>
      </c>
      <c r="O500" s="88"/>
      <c r="P500" s="38"/>
      <c r="Q500" s="38"/>
      <c r="R500" s="38"/>
      <c r="S500" s="38"/>
      <c r="T500" s="38"/>
      <c r="U500" s="16"/>
      <c r="V500" s="16" t="s">
        <v>916</v>
      </c>
      <c r="W500" s="12"/>
      <c r="X500" s="48"/>
      <c r="Y500" s="12">
        <v>42735</v>
      </c>
      <c r="Z500" s="28" t="s">
        <v>17</v>
      </c>
      <c r="AA500" s="2"/>
      <c r="AB500" s="3"/>
      <c r="AC500" s="5">
        <v>1000</v>
      </c>
      <c r="AD500" s="5"/>
      <c r="AE500" s="5">
        <v>1170</v>
      </c>
      <c r="AF500" s="5">
        <f t="shared" si="518"/>
        <v>1310</v>
      </c>
      <c r="AG500" s="5">
        <f t="shared" si="530"/>
        <v>1310</v>
      </c>
      <c r="AH500" s="5">
        <f t="shared" si="530"/>
        <v>1310</v>
      </c>
      <c r="AI500" s="5">
        <f t="shared" ref="AI500:AJ500" si="538">+AH500</f>
        <v>1310</v>
      </c>
      <c r="AJ500" s="5">
        <f t="shared" si="538"/>
        <v>1310</v>
      </c>
      <c r="AK500" s="2"/>
      <c r="AL500" s="105" t="str">
        <f>+Z500</f>
        <v>C1</v>
      </c>
    </row>
    <row r="501" spans="1:38" s="6" customFormat="1" ht="15" customHeight="1" x14ac:dyDescent="0.2">
      <c r="A501" s="29" t="s">
        <v>824</v>
      </c>
      <c r="B501" s="2" t="s">
        <v>822</v>
      </c>
      <c r="C501" s="29" t="s">
        <v>823</v>
      </c>
      <c r="D501" s="2" t="s">
        <v>808</v>
      </c>
      <c r="E501" s="2" t="s">
        <v>216</v>
      </c>
      <c r="F501" s="2" t="s">
        <v>1066</v>
      </c>
      <c r="G501" s="2"/>
      <c r="H501" s="3"/>
      <c r="I501" s="2" t="s">
        <v>1066</v>
      </c>
      <c r="J501" s="28"/>
      <c r="K501" s="28" t="s">
        <v>1765</v>
      </c>
      <c r="L501" s="42" t="s">
        <v>1076</v>
      </c>
      <c r="M501" s="7" t="s">
        <v>3</v>
      </c>
      <c r="N501" s="15">
        <v>39624844</v>
      </c>
      <c r="O501" s="88">
        <v>20396248442</v>
      </c>
      <c r="P501" s="38">
        <v>35155</v>
      </c>
      <c r="Q501" s="38"/>
      <c r="R501" s="38"/>
      <c r="S501" s="38"/>
      <c r="T501" s="38"/>
      <c r="U501" s="17" t="s">
        <v>215</v>
      </c>
      <c r="V501" s="17" t="s">
        <v>915</v>
      </c>
      <c r="W501" s="12">
        <v>42491</v>
      </c>
      <c r="X501" s="19"/>
      <c r="Y501" s="12">
        <v>42735</v>
      </c>
      <c r="Z501" s="2"/>
      <c r="AA501" s="2" t="s">
        <v>479</v>
      </c>
      <c r="AB501" s="2"/>
      <c r="AC501" s="5">
        <v>1000</v>
      </c>
      <c r="AD501" s="5">
        <v>1070</v>
      </c>
      <c r="AE501" s="5">
        <v>1170</v>
      </c>
      <c r="AF501" s="5">
        <f t="shared" si="518"/>
        <v>1310</v>
      </c>
      <c r="AG501" s="5">
        <f t="shared" si="530"/>
        <v>1310</v>
      </c>
      <c r="AH501" s="5">
        <f t="shared" si="530"/>
        <v>1310</v>
      </c>
      <c r="AI501" s="5">
        <f t="shared" ref="AI501:AJ501" si="539">+AH501</f>
        <v>1310</v>
      </c>
      <c r="AJ501" s="5">
        <f t="shared" si="539"/>
        <v>1310</v>
      </c>
      <c r="AK501" s="2" t="s">
        <v>42</v>
      </c>
      <c r="AL501" s="105" t="str">
        <f>+AK501</f>
        <v>C0</v>
      </c>
    </row>
    <row r="502" spans="1:38" s="6" customFormat="1" ht="15" customHeight="1" x14ac:dyDescent="0.2">
      <c r="A502" s="29" t="s">
        <v>824</v>
      </c>
      <c r="B502" s="2" t="s">
        <v>822</v>
      </c>
      <c r="C502" s="29" t="s">
        <v>823</v>
      </c>
      <c r="D502" s="2"/>
      <c r="E502" s="2"/>
      <c r="F502" s="2"/>
      <c r="G502" s="2"/>
      <c r="H502" s="2" t="s">
        <v>884</v>
      </c>
      <c r="I502" s="2"/>
      <c r="J502" s="28" t="s">
        <v>73</v>
      </c>
      <c r="K502" s="28"/>
      <c r="L502" s="42" t="s">
        <v>1837</v>
      </c>
      <c r="M502" s="7" t="s">
        <v>3</v>
      </c>
      <c r="N502" s="15">
        <v>38357064</v>
      </c>
      <c r="O502" s="88">
        <v>20383570647</v>
      </c>
      <c r="P502" s="38"/>
      <c r="Q502" s="38"/>
      <c r="R502" s="38"/>
      <c r="S502" s="38"/>
      <c r="T502" s="38"/>
      <c r="U502" s="17" t="s">
        <v>215</v>
      </c>
      <c r="V502" s="17" t="s">
        <v>915</v>
      </c>
      <c r="W502" s="12"/>
      <c r="X502" s="19"/>
      <c r="Y502" s="12"/>
      <c r="Z502" s="2"/>
      <c r="AA502" s="2"/>
      <c r="AB502" s="2"/>
      <c r="AC502" s="5"/>
      <c r="AD502" s="5"/>
      <c r="AE502" s="5"/>
      <c r="AF502" s="5">
        <f t="shared" si="518"/>
        <v>0</v>
      </c>
      <c r="AG502" s="5"/>
      <c r="AH502" s="5"/>
      <c r="AI502" s="5">
        <f t="shared" ref="AI502:AJ502" si="540">+AH502</f>
        <v>0</v>
      </c>
      <c r="AJ502" s="5">
        <f t="shared" si="540"/>
        <v>0</v>
      </c>
      <c r="AK502" s="2"/>
      <c r="AL502" s="105"/>
    </row>
    <row r="503" spans="1:38" s="6" customFormat="1" ht="15" customHeight="1" x14ac:dyDescent="0.2">
      <c r="A503" s="29" t="s">
        <v>824</v>
      </c>
      <c r="B503" s="2" t="s">
        <v>822</v>
      </c>
      <c r="C503" s="3"/>
      <c r="D503" s="2" t="s">
        <v>825</v>
      </c>
      <c r="E503" s="3" t="s">
        <v>18</v>
      </c>
      <c r="F503" s="2" t="s">
        <v>19</v>
      </c>
      <c r="G503" s="2"/>
      <c r="H503" s="2" t="s">
        <v>45</v>
      </c>
      <c r="I503" s="2" t="s">
        <v>1707</v>
      </c>
      <c r="J503" s="28" t="s">
        <v>548</v>
      </c>
      <c r="K503" s="28" t="s">
        <v>548</v>
      </c>
      <c r="L503" s="44" t="s">
        <v>662</v>
      </c>
      <c r="M503" s="4" t="s">
        <v>3</v>
      </c>
      <c r="N503" s="15">
        <v>22478193</v>
      </c>
      <c r="O503" s="88" t="s">
        <v>1207</v>
      </c>
      <c r="P503" s="38">
        <v>25688</v>
      </c>
      <c r="Q503" s="38"/>
      <c r="R503" s="38"/>
      <c r="S503" s="38"/>
      <c r="T503" s="38"/>
      <c r="U503" s="17" t="s">
        <v>215</v>
      </c>
      <c r="V503" s="17" t="s">
        <v>915</v>
      </c>
      <c r="W503" s="12">
        <v>40695</v>
      </c>
      <c r="X503" s="13"/>
      <c r="Y503" s="12">
        <v>42735</v>
      </c>
      <c r="Z503" s="2"/>
      <c r="AA503" s="2" t="s">
        <v>479</v>
      </c>
      <c r="AB503" s="7" t="s">
        <v>787</v>
      </c>
      <c r="AC503" s="5">
        <v>1000</v>
      </c>
      <c r="AD503" s="5">
        <f>+AC503</f>
        <v>1000</v>
      </c>
      <c r="AE503" s="5">
        <v>1170</v>
      </c>
      <c r="AF503" s="5">
        <f t="shared" si="518"/>
        <v>1310</v>
      </c>
      <c r="AG503" s="5">
        <f t="shared" si="530"/>
        <v>1310</v>
      </c>
      <c r="AH503" s="5">
        <f t="shared" si="530"/>
        <v>1310</v>
      </c>
      <c r="AI503" s="5">
        <f t="shared" ref="AI503:AJ503" si="541">+AH503</f>
        <v>1310</v>
      </c>
      <c r="AJ503" s="5">
        <f t="shared" si="541"/>
        <v>1310</v>
      </c>
      <c r="AK503" s="2"/>
      <c r="AL503" s="106"/>
    </row>
    <row r="504" spans="1:38" s="6" customFormat="1" ht="15" customHeight="1" x14ac:dyDescent="0.2">
      <c r="A504" s="29" t="s">
        <v>824</v>
      </c>
      <c r="B504" s="2" t="s">
        <v>822</v>
      </c>
      <c r="C504" s="3"/>
      <c r="D504" s="2" t="s">
        <v>825</v>
      </c>
      <c r="E504" s="3" t="s">
        <v>18</v>
      </c>
      <c r="F504" s="2" t="s">
        <v>19</v>
      </c>
      <c r="G504" s="2"/>
      <c r="H504" s="2" t="s">
        <v>45</v>
      </c>
      <c r="I504" s="3"/>
      <c r="J504" s="28" t="s">
        <v>548</v>
      </c>
      <c r="K504" s="28"/>
      <c r="L504" s="41" t="s">
        <v>663</v>
      </c>
      <c r="M504" s="4" t="s">
        <v>3</v>
      </c>
      <c r="N504" s="15">
        <v>32890956</v>
      </c>
      <c r="O504" s="88">
        <v>27328909567</v>
      </c>
      <c r="P504" s="61"/>
      <c r="Q504" s="61"/>
      <c r="R504" s="61"/>
      <c r="S504" s="61"/>
      <c r="T504" s="61"/>
      <c r="U504" s="16" t="s">
        <v>796</v>
      </c>
      <c r="V504" s="16" t="s">
        <v>916</v>
      </c>
      <c r="W504" s="12">
        <v>40664</v>
      </c>
      <c r="X504" s="48">
        <v>42735</v>
      </c>
      <c r="Y504" s="12">
        <v>42735</v>
      </c>
      <c r="Z504" s="2" t="s">
        <v>17</v>
      </c>
      <c r="AA504" s="2"/>
      <c r="AB504" s="3"/>
      <c r="AC504" s="5">
        <v>1000</v>
      </c>
      <c r="AD504" s="5"/>
      <c r="AE504" s="5">
        <v>1170</v>
      </c>
      <c r="AF504" s="5">
        <f t="shared" si="518"/>
        <v>1310</v>
      </c>
      <c r="AG504" s="5">
        <f t="shared" si="530"/>
        <v>1310</v>
      </c>
      <c r="AH504" s="5">
        <f t="shared" si="530"/>
        <v>1310</v>
      </c>
      <c r="AI504" s="5">
        <f t="shared" ref="AI504:AJ504" si="542">+AH504</f>
        <v>1310</v>
      </c>
      <c r="AJ504" s="5">
        <f t="shared" si="542"/>
        <v>1310</v>
      </c>
      <c r="AK504" s="2"/>
      <c r="AL504" s="105" t="str">
        <f>+Z504</f>
        <v>C1</v>
      </c>
    </row>
    <row r="505" spans="1:38" s="6" customFormat="1" ht="15" customHeight="1" x14ac:dyDescent="0.2">
      <c r="A505" s="29" t="s">
        <v>824</v>
      </c>
      <c r="B505" s="29"/>
      <c r="C505" s="29"/>
      <c r="D505" s="2" t="s">
        <v>819</v>
      </c>
      <c r="E505" s="2"/>
      <c r="F505" s="3"/>
      <c r="G505" s="3"/>
      <c r="H505" s="2" t="s">
        <v>884</v>
      </c>
      <c r="I505" s="2" t="s">
        <v>1707</v>
      </c>
      <c r="J505" s="28"/>
      <c r="K505" s="28" t="s">
        <v>1765</v>
      </c>
      <c r="L505" s="41" t="s">
        <v>964</v>
      </c>
      <c r="M505" s="7" t="s">
        <v>3</v>
      </c>
      <c r="N505" s="15">
        <v>21850394</v>
      </c>
      <c r="O505" s="88">
        <v>27218503948</v>
      </c>
      <c r="P505" s="38">
        <v>25858</v>
      </c>
      <c r="Q505" s="38"/>
      <c r="R505" s="38"/>
      <c r="S505" s="38"/>
      <c r="T505" s="38"/>
      <c r="U505" s="17" t="s">
        <v>215</v>
      </c>
      <c r="V505" s="17" t="s">
        <v>915</v>
      </c>
      <c r="W505" s="12"/>
      <c r="X505" s="48"/>
      <c r="Y505" s="12">
        <v>42735</v>
      </c>
      <c r="Z505" s="2"/>
      <c r="AA505" s="2" t="s">
        <v>479</v>
      </c>
      <c r="AB505" s="3"/>
      <c r="AC505" s="5">
        <v>1000</v>
      </c>
      <c r="AD505" s="5">
        <f>+AC505*1.07</f>
        <v>1070</v>
      </c>
      <c r="AE505" s="5">
        <v>1170</v>
      </c>
      <c r="AF505" s="5">
        <f t="shared" si="518"/>
        <v>1310</v>
      </c>
      <c r="AG505" s="5">
        <f t="shared" si="530"/>
        <v>1310</v>
      </c>
      <c r="AH505" s="5">
        <f t="shared" si="530"/>
        <v>1310</v>
      </c>
      <c r="AI505" s="5">
        <f t="shared" ref="AI505:AJ505" si="543">+AH505</f>
        <v>1310</v>
      </c>
      <c r="AJ505" s="5">
        <f t="shared" si="543"/>
        <v>1310</v>
      </c>
      <c r="AK505" s="29" t="s">
        <v>42</v>
      </c>
      <c r="AL505" s="105" t="str">
        <f>+AK505</f>
        <v>C0</v>
      </c>
    </row>
    <row r="506" spans="1:38" s="6" customFormat="1" ht="15" customHeight="1" x14ac:dyDescent="0.2">
      <c r="A506" s="29" t="s">
        <v>824</v>
      </c>
      <c r="B506" s="29"/>
      <c r="C506" s="3"/>
      <c r="D506" s="2" t="s">
        <v>820</v>
      </c>
      <c r="E506" s="2" t="s">
        <v>837</v>
      </c>
      <c r="F506" s="2"/>
      <c r="G506" s="2"/>
      <c r="H506" s="2" t="s">
        <v>14</v>
      </c>
      <c r="I506" s="2" t="s">
        <v>1758</v>
      </c>
      <c r="J506" s="33"/>
      <c r="K506" s="97" t="s">
        <v>1765</v>
      </c>
      <c r="L506" s="44" t="s">
        <v>65</v>
      </c>
      <c r="M506" s="3" t="s">
        <v>3</v>
      </c>
      <c r="N506" s="15">
        <v>33839983</v>
      </c>
      <c r="O506" s="88" t="s">
        <v>1457</v>
      </c>
      <c r="P506" s="38">
        <v>32583</v>
      </c>
      <c r="Q506" s="38"/>
      <c r="R506" s="38"/>
      <c r="S506" s="38"/>
      <c r="T506" s="38"/>
      <c r="U506" s="17" t="s">
        <v>215</v>
      </c>
      <c r="V506" s="17" t="s">
        <v>915</v>
      </c>
      <c r="W506" s="12">
        <v>42248</v>
      </c>
      <c r="X506" s="13"/>
      <c r="Y506" s="12">
        <v>42735</v>
      </c>
      <c r="Z506" s="2"/>
      <c r="AA506" s="2" t="s">
        <v>479</v>
      </c>
      <c r="AB506" s="7" t="s">
        <v>784</v>
      </c>
      <c r="AC506" s="5">
        <v>1000</v>
      </c>
      <c r="AD506" s="5">
        <f>+AC506*1.07</f>
        <v>1070</v>
      </c>
      <c r="AE506" s="5">
        <v>1170</v>
      </c>
      <c r="AF506" s="5">
        <f t="shared" si="518"/>
        <v>1310</v>
      </c>
      <c r="AG506" s="5">
        <f t="shared" si="530"/>
        <v>1310</v>
      </c>
      <c r="AH506" s="5">
        <f t="shared" si="530"/>
        <v>1310</v>
      </c>
      <c r="AI506" s="5">
        <f t="shared" ref="AI506:AJ506" si="544">+AH506</f>
        <v>1310</v>
      </c>
      <c r="AJ506" s="5">
        <f t="shared" si="544"/>
        <v>1310</v>
      </c>
      <c r="AK506" s="29" t="s">
        <v>42</v>
      </c>
      <c r="AL506" s="105" t="str">
        <f>+AK506</f>
        <v>C0</v>
      </c>
    </row>
    <row r="507" spans="1:38" s="6" customFormat="1" ht="15" customHeight="1" x14ac:dyDescent="0.2">
      <c r="A507" s="29" t="s">
        <v>824</v>
      </c>
      <c r="B507" s="2" t="s">
        <v>822</v>
      </c>
      <c r="C507" s="29" t="s">
        <v>823</v>
      </c>
      <c r="D507" s="2" t="s">
        <v>808</v>
      </c>
      <c r="E507" s="2" t="s">
        <v>216</v>
      </c>
      <c r="F507" s="2" t="s">
        <v>1066</v>
      </c>
      <c r="G507" s="2"/>
      <c r="H507" s="44"/>
      <c r="I507" s="2" t="s">
        <v>1066</v>
      </c>
      <c r="J507" s="28"/>
      <c r="K507" s="28" t="s">
        <v>1765</v>
      </c>
      <c r="L507" s="44" t="s">
        <v>1132</v>
      </c>
      <c r="M507" s="7" t="s">
        <v>3</v>
      </c>
      <c r="N507" s="15">
        <v>40734118</v>
      </c>
      <c r="O507" s="88">
        <v>27407341185</v>
      </c>
      <c r="P507" s="38">
        <v>35747</v>
      </c>
      <c r="Q507" s="38"/>
      <c r="R507" s="38"/>
      <c r="S507" s="38"/>
      <c r="T507" s="38"/>
      <c r="U507" s="17" t="s">
        <v>215</v>
      </c>
      <c r="V507" s="17" t="s">
        <v>915</v>
      </c>
      <c r="W507" s="12">
        <v>42522</v>
      </c>
      <c r="X507" s="13"/>
      <c r="Y507" s="12">
        <v>42735</v>
      </c>
      <c r="Z507" s="2"/>
      <c r="AA507" s="2" t="s">
        <v>479</v>
      </c>
      <c r="AB507" s="7"/>
      <c r="AC507" s="5"/>
      <c r="AD507" s="5">
        <v>1070</v>
      </c>
      <c r="AE507" s="5">
        <v>1170</v>
      </c>
      <c r="AF507" s="5">
        <f t="shared" si="518"/>
        <v>0</v>
      </c>
      <c r="AG507" s="5">
        <f t="shared" si="530"/>
        <v>0</v>
      </c>
      <c r="AH507" s="5">
        <f t="shared" si="530"/>
        <v>0</v>
      </c>
      <c r="AI507" s="5">
        <f t="shared" ref="AI507:AJ507" si="545">+AH507</f>
        <v>0</v>
      </c>
      <c r="AJ507" s="5">
        <f t="shared" si="545"/>
        <v>0</v>
      </c>
      <c r="AK507" s="2" t="s">
        <v>42</v>
      </c>
      <c r="AL507" s="105" t="str">
        <f>+AK507</f>
        <v>C0</v>
      </c>
    </row>
    <row r="508" spans="1:38" s="6" customFormat="1" ht="15" customHeight="1" x14ac:dyDescent="0.2">
      <c r="A508" s="29" t="s">
        <v>824</v>
      </c>
      <c r="B508" s="2" t="s">
        <v>822</v>
      </c>
      <c r="C508" s="29" t="s">
        <v>823</v>
      </c>
      <c r="D508" s="2" t="s">
        <v>808</v>
      </c>
      <c r="E508" s="2" t="s">
        <v>216</v>
      </c>
      <c r="F508" s="2" t="s">
        <v>1066</v>
      </c>
      <c r="G508" s="2"/>
      <c r="H508" s="44"/>
      <c r="I508" s="2" t="s">
        <v>1066</v>
      </c>
      <c r="J508" s="28"/>
      <c r="K508" s="28" t="s">
        <v>1765</v>
      </c>
      <c r="L508" s="44" t="s">
        <v>1131</v>
      </c>
      <c r="M508" s="7" t="s">
        <v>3</v>
      </c>
      <c r="N508" s="15">
        <v>39214117</v>
      </c>
      <c r="O508" s="88">
        <v>20392141171</v>
      </c>
      <c r="P508" s="38">
        <v>34956</v>
      </c>
      <c r="Q508" s="38"/>
      <c r="R508" s="38"/>
      <c r="S508" s="38"/>
      <c r="T508" s="38"/>
      <c r="U508" s="17" t="s">
        <v>215</v>
      </c>
      <c r="V508" s="17" t="s">
        <v>915</v>
      </c>
      <c r="W508" s="12">
        <v>42522</v>
      </c>
      <c r="X508" s="13"/>
      <c r="Y508" s="12">
        <v>42735</v>
      </c>
      <c r="Z508" s="2"/>
      <c r="AA508" s="2" t="s">
        <v>479</v>
      </c>
      <c r="AB508" s="7"/>
      <c r="AC508" s="5"/>
      <c r="AD508" s="5">
        <v>1070</v>
      </c>
      <c r="AE508" s="5">
        <v>1170</v>
      </c>
      <c r="AF508" s="5">
        <f t="shared" si="518"/>
        <v>0</v>
      </c>
      <c r="AG508" s="5">
        <f t="shared" si="530"/>
        <v>0</v>
      </c>
      <c r="AH508" s="5">
        <f t="shared" si="530"/>
        <v>0</v>
      </c>
      <c r="AI508" s="5">
        <f t="shared" ref="AI508:AJ508" si="546">+AH508</f>
        <v>0</v>
      </c>
      <c r="AJ508" s="5">
        <f t="shared" si="546"/>
        <v>0</v>
      </c>
      <c r="AK508" s="2" t="s">
        <v>42</v>
      </c>
      <c r="AL508" s="105" t="str">
        <f>+AK508</f>
        <v>C0</v>
      </c>
    </row>
    <row r="509" spans="1:38" s="6" customFormat="1" ht="15" customHeight="1" x14ac:dyDescent="0.2">
      <c r="A509" s="29" t="s">
        <v>824</v>
      </c>
      <c r="B509" s="2" t="s">
        <v>822</v>
      </c>
      <c r="C509" s="2" t="s">
        <v>823</v>
      </c>
      <c r="D509" s="2" t="s">
        <v>808</v>
      </c>
      <c r="E509" s="2" t="s">
        <v>11</v>
      </c>
      <c r="F509" s="2"/>
      <c r="G509" s="2"/>
      <c r="H509" s="2"/>
      <c r="I509" s="3"/>
      <c r="J509" s="28" t="s">
        <v>73</v>
      </c>
      <c r="K509" s="28"/>
      <c r="L509" s="41" t="s">
        <v>664</v>
      </c>
      <c r="M509" s="4" t="s">
        <v>3</v>
      </c>
      <c r="N509" s="15">
        <v>27860764</v>
      </c>
      <c r="O509" s="88">
        <v>20278607640</v>
      </c>
      <c r="P509" s="38"/>
      <c r="Q509" s="38"/>
      <c r="R509" s="38"/>
      <c r="S509" s="38"/>
      <c r="T509" s="38"/>
      <c r="U509" s="16" t="s">
        <v>796</v>
      </c>
      <c r="V509" s="16" t="s">
        <v>916</v>
      </c>
      <c r="W509" s="12">
        <v>40848</v>
      </c>
      <c r="X509" s="48">
        <v>42735</v>
      </c>
      <c r="Y509" s="12">
        <v>42735</v>
      </c>
      <c r="Z509" s="2" t="s">
        <v>53</v>
      </c>
      <c r="AA509" s="2"/>
      <c r="AB509" s="3"/>
      <c r="AC509" s="5">
        <v>1000</v>
      </c>
      <c r="AD509" s="5"/>
      <c r="AE509" s="5">
        <v>1170</v>
      </c>
      <c r="AF509" s="5">
        <f t="shared" si="518"/>
        <v>1310</v>
      </c>
      <c r="AG509" s="5">
        <f t="shared" si="530"/>
        <v>1310</v>
      </c>
      <c r="AH509" s="5">
        <f t="shared" si="530"/>
        <v>1310</v>
      </c>
      <c r="AI509" s="5">
        <f t="shared" ref="AI509:AJ509" si="547">+AH509</f>
        <v>1310</v>
      </c>
      <c r="AJ509" s="5">
        <f t="shared" si="547"/>
        <v>1310</v>
      </c>
      <c r="AK509" s="2"/>
      <c r="AL509" s="105" t="str">
        <f>+Z509</f>
        <v>B0</v>
      </c>
    </row>
    <row r="510" spans="1:38" s="6" customFormat="1" ht="15" customHeight="1" x14ac:dyDescent="0.2">
      <c r="A510" s="29" t="s">
        <v>824</v>
      </c>
      <c r="B510" s="2" t="s">
        <v>822</v>
      </c>
      <c r="C510" s="3"/>
      <c r="D510" s="2" t="s">
        <v>825</v>
      </c>
      <c r="E510" s="3" t="s">
        <v>18</v>
      </c>
      <c r="F510" s="2" t="s">
        <v>19</v>
      </c>
      <c r="G510" s="2" t="s">
        <v>73</v>
      </c>
      <c r="H510" s="2" t="s">
        <v>27</v>
      </c>
      <c r="I510" s="2" t="s">
        <v>1707</v>
      </c>
      <c r="J510" s="28" t="s">
        <v>548</v>
      </c>
      <c r="K510" s="28" t="s">
        <v>1765</v>
      </c>
      <c r="L510" s="41" t="s">
        <v>665</v>
      </c>
      <c r="M510" s="4" t="s">
        <v>3</v>
      </c>
      <c r="N510" s="15">
        <v>26365492</v>
      </c>
      <c r="O510" s="88" t="s">
        <v>1287</v>
      </c>
      <c r="P510" s="38">
        <v>28547</v>
      </c>
      <c r="Q510" s="38"/>
      <c r="R510" s="38"/>
      <c r="S510" s="38"/>
      <c r="T510" s="38"/>
      <c r="U510" s="17" t="s">
        <v>215</v>
      </c>
      <c r="V510" s="17" t="s">
        <v>915</v>
      </c>
      <c r="W510" s="12">
        <v>42248</v>
      </c>
      <c r="X510" s="12"/>
      <c r="Y510" s="12">
        <v>42735</v>
      </c>
      <c r="Z510" s="2"/>
      <c r="AA510" s="2" t="s">
        <v>479</v>
      </c>
      <c r="AB510" s="7" t="s">
        <v>787</v>
      </c>
      <c r="AC510" s="5">
        <v>1000</v>
      </c>
      <c r="AD510" s="5">
        <f>+AC510*1.07</f>
        <v>1070</v>
      </c>
      <c r="AE510" s="5">
        <v>1170</v>
      </c>
      <c r="AF510" s="5">
        <f t="shared" si="518"/>
        <v>1310</v>
      </c>
      <c r="AG510" s="5">
        <f t="shared" si="530"/>
        <v>1310</v>
      </c>
      <c r="AH510" s="5">
        <f t="shared" si="530"/>
        <v>1310</v>
      </c>
      <c r="AI510" s="5">
        <f t="shared" ref="AI510:AJ510" si="548">+AH510</f>
        <v>1310</v>
      </c>
      <c r="AJ510" s="5">
        <f t="shared" si="548"/>
        <v>1310</v>
      </c>
      <c r="AK510" s="2"/>
      <c r="AL510" s="106"/>
    </row>
    <row r="511" spans="1:38" s="6" customFormat="1" ht="15" customHeight="1" x14ac:dyDescent="0.2">
      <c r="A511" s="29" t="s">
        <v>824</v>
      </c>
      <c r="B511" s="29"/>
      <c r="C511" s="14"/>
      <c r="D511" s="2" t="s">
        <v>819</v>
      </c>
      <c r="E511" s="2"/>
      <c r="F511" s="3"/>
      <c r="G511" s="3"/>
      <c r="H511" s="2" t="s">
        <v>884</v>
      </c>
      <c r="I511" s="2" t="s">
        <v>1707</v>
      </c>
      <c r="J511" s="28"/>
      <c r="K511" s="28" t="s">
        <v>1765</v>
      </c>
      <c r="L511" s="41" t="s">
        <v>865</v>
      </c>
      <c r="M511" s="4" t="s">
        <v>3</v>
      </c>
      <c r="N511" s="15">
        <v>18393076</v>
      </c>
      <c r="O511" s="88" t="s">
        <v>1588</v>
      </c>
      <c r="P511" s="38">
        <v>24792</v>
      </c>
      <c r="Q511" s="38"/>
      <c r="R511" s="38"/>
      <c r="S511" s="38"/>
      <c r="T511" s="38"/>
      <c r="U511" s="17" t="s">
        <v>215</v>
      </c>
      <c r="V511" s="17" t="s">
        <v>915</v>
      </c>
      <c r="W511" s="12">
        <v>42370</v>
      </c>
      <c r="X511" s="48"/>
      <c r="Y511" s="12">
        <v>42735</v>
      </c>
      <c r="Z511" s="2"/>
      <c r="AA511" s="2" t="s">
        <v>479</v>
      </c>
      <c r="AB511" s="3" t="s">
        <v>10</v>
      </c>
      <c r="AC511" s="5">
        <v>1000</v>
      </c>
      <c r="AD511" s="5">
        <f>+AC511*1.07</f>
        <v>1070</v>
      </c>
      <c r="AE511" s="5">
        <v>1170</v>
      </c>
      <c r="AF511" s="5">
        <f t="shared" si="518"/>
        <v>1310</v>
      </c>
      <c r="AG511" s="5">
        <f t="shared" si="530"/>
        <v>1310</v>
      </c>
      <c r="AH511" s="5">
        <f t="shared" si="530"/>
        <v>1310</v>
      </c>
      <c r="AI511" s="5">
        <f t="shared" ref="AI511:AJ511" si="549">+AH511</f>
        <v>1310</v>
      </c>
      <c r="AJ511" s="5">
        <f t="shared" si="549"/>
        <v>1310</v>
      </c>
      <c r="AK511" s="2" t="s">
        <v>53</v>
      </c>
      <c r="AL511" s="105" t="str">
        <f>+AK511</f>
        <v>B0</v>
      </c>
    </row>
    <row r="512" spans="1:38" s="6" customFormat="1" ht="15" customHeight="1" x14ac:dyDescent="0.2">
      <c r="A512" s="29" t="s">
        <v>824</v>
      </c>
      <c r="B512" s="29" t="s">
        <v>822</v>
      </c>
      <c r="C512" s="29" t="s">
        <v>823</v>
      </c>
      <c r="D512" s="2" t="s">
        <v>808</v>
      </c>
      <c r="E512" s="2" t="s">
        <v>216</v>
      </c>
      <c r="F512" s="3"/>
      <c r="G512" s="3"/>
      <c r="H512" s="2"/>
      <c r="I512" s="2" t="s">
        <v>225</v>
      </c>
      <c r="J512" s="28" t="s">
        <v>73</v>
      </c>
      <c r="K512" s="28" t="s">
        <v>1765</v>
      </c>
      <c r="L512" s="41" t="s">
        <v>879</v>
      </c>
      <c r="M512" s="4" t="s">
        <v>3</v>
      </c>
      <c r="N512" s="15">
        <v>25248374</v>
      </c>
      <c r="O512" s="88">
        <v>27252483743</v>
      </c>
      <c r="P512" s="38">
        <v>27944</v>
      </c>
      <c r="Q512" s="38"/>
      <c r="R512" s="38"/>
      <c r="S512" s="38"/>
      <c r="T512" s="38"/>
      <c r="U512" s="17" t="s">
        <v>215</v>
      </c>
      <c r="V512" s="17" t="s">
        <v>915</v>
      </c>
      <c r="W512" s="12">
        <v>42370</v>
      </c>
      <c r="X512" s="48"/>
      <c r="Y512" s="12">
        <v>42735</v>
      </c>
      <c r="Z512" s="2"/>
      <c r="AA512" s="2" t="s">
        <v>479</v>
      </c>
      <c r="AB512" s="3" t="s">
        <v>10</v>
      </c>
      <c r="AC512" s="5">
        <v>1000</v>
      </c>
      <c r="AD512" s="5">
        <f>+AC512*1.07</f>
        <v>1070</v>
      </c>
      <c r="AE512" s="5">
        <v>1170</v>
      </c>
      <c r="AF512" s="5">
        <f t="shared" si="518"/>
        <v>1310</v>
      </c>
      <c r="AG512" s="5">
        <f t="shared" si="530"/>
        <v>1310</v>
      </c>
      <c r="AH512" s="5">
        <f t="shared" si="530"/>
        <v>1310</v>
      </c>
      <c r="AI512" s="5">
        <f t="shared" ref="AI512:AJ512" si="550">+AH512</f>
        <v>1310</v>
      </c>
      <c r="AJ512" s="5">
        <f t="shared" si="550"/>
        <v>1310</v>
      </c>
      <c r="AK512" s="2" t="s">
        <v>43</v>
      </c>
      <c r="AL512" s="105" t="str">
        <f>+AK512</f>
        <v>A0</v>
      </c>
    </row>
    <row r="513" spans="1:38" s="6" customFormat="1" ht="15" customHeight="1" x14ac:dyDescent="0.2">
      <c r="A513" s="29" t="s">
        <v>824</v>
      </c>
      <c r="B513" s="29"/>
      <c r="C513" s="29"/>
      <c r="D513" s="2" t="s">
        <v>820</v>
      </c>
      <c r="E513" s="2" t="s">
        <v>921</v>
      </c>
      <c r="F513" s="3" t="s">
        <v>525</v>
      </c>
      <c r="G513" s="3" t="s">
        <v>520</v>
      </c>
      <c r="H513" s="2" t="s">
        <v>234</v>
      </c>
      <c r="I513" s="3"/>
      <c r="J513" s="28" t="s">
        <v>73</v>
      </c>
      <c r="K513" s="28"/>
      <c r="L513" s="45" t="s">
        <v>147</v>
      </c>
      <c r="M513" s="4" t="s">
        <v>3</v>
      </c>
      <c r="N513" s="15">
        <v>25974116</v>
      </c>
      <c r="O513" s="88">
        <v>20259741166</v>
      </c>
      <c r="P513" s="61"/>
      <c r="Q513" s="61"/>
      <c r="R513" s="61"/>
      <c r="S513" s="61"/>
      <c r="T513" s="61"/>
      <c r="U513" s="16" t="s">
        <v>796</v>
      </c>
      <c r="V513" s="16" t="s">
        <v>916</v>
      </c>
      <c r="W513" s="12">
        <v>41974</v>
      </c>
      <c r="X513" s="12">
        <v>42460</v>
      </c>
      <c r="Y513" s="12">
        <v>42735</v>
      </c>
      <c r="Z513" s="2" t="s">
        <v>24</v>
      </c>
      <c r="AA513" s="2"/>
      <c r="AB513" s="14"/>
      <c r="AC513" s="5">
        <v>1000</v>
      </c>
      <c r="AD513" s="5"/>
      <c r="AE513" s="5">
        <v>1170</v>
      </c>
      <c r="AF513" s="5">
        <f t="shared" si="518"/>
        <v>1310</v>
      </c>
      <c r="AG513" s="5">
        <f t="shared" si="530"/>
        <v>1310</v>
      </c>
      <c r="AH513" s="5">
        <f t="shared" si="530"/>
        <v>1310</v>
      </c>
      <c r="AI513" s="5">
        <f t="shared" ref="AI513:AJ513" si="551">+AH513</f>
        <v>1310</v>
      </c>
      <c r="AJ513" s="5">
        <f t="shared" si="551"/>
        <v>1310</v>
      </c>
      <c r="AK513" s="2"/>
      <c r="AL513" s="105" t="str">
        <f>+Z513</f>
        <v>D0</v>
      </c>
    </row>
    <row r="514" spans="1:38" s="6" customFormat="1" ht="15" customHeight="1" x14ac:dyDescent="0.2">
      <c r="A514" s="29" t="s">
        <v>824</v>
      </c>
      <c r="B514" s="2" t="s">
        <v>822</v>
      </c>
      <c r="C514" s="3"/>
      <c r="D514" s="2" t="s">
        <v>825</v>
      </c>
      <c r="E514" s="3" t="s">
        <v>18</v>
      </c>
      <c r="F514" s="2" t="s">
        <v>19</v>
      </c>
      <c r="G514" s="2"/>
      <c r="H514" s="2" t="s">
        <v>22</v>
      </c>
      <c r="I514" s="2" t="s">
        <v>1707</v>
      </c>
      <c r="J514" s="28" t="s">
        <v>548</v>
      </c>
      <c r="K514" s="28" t="s">
        <v>548</v>
      </c>
      <c r="L514" s="44" t="s">
        <v>666</v>
      </c>
      <c r="M514" s="4" t="s">
        <v>3</v>
      </c>
      <c r="N514" s="15">
        <v>23510339</v>
      </c>
      <c r="O514" s="88" t="s">
        <v>1233</v>
      </c>
      <c r="P514" s="38">
        <v>26891</v>
      </c>
      <c r="Q514" s="38"/>
      <c r="R514" s="38"/>
      <c r="S514" s="38"/>
      <c r="T514" s="38"/>
      <c r="U514" s="17" t="s">
        <v>215</v>
      </c>
      <c r="V514" s="17" t="s">
        <v>915</v>
      </c>
      <c r="W514" s="12">
        <v>40483</v>
      </c>
      <c r="X514" s="12"/>
      <c r="Y514" s="12">
        <v>42735</v>
      </c>
      <c r="Z514" s="2"/>
      <c r="AA514" s="2" t="s">
        <v>479</v>
      </c>
      <c r="AB514" s="7" t="s">
        <v>787</v>
      </c>
      <c r="AC514" s="5">
        <v>1000</v>
      </c>
      <c r="AD514" s="5">
        <f>+AC514</f>
        <v>1000</v>
      </c>
      <c r="AE514" s="5">
        <v>1170</v>
      </c>
      <c r="AF514" s="5">
        <f t="shared" si="518"/>
        <v>1310</v>
      </c>
      <c r="AG514" s="5">
        <f t="shared" ref="AG514:AH533" si="552">+AF514</f>
        <v>1310</v>
      </c>
      <c r="AH514" s="5">
        <f t="shared" si="552"/>
        <v>1310</v>
      </c>
      <c r="AI514" s="5">
        <f t="shared" ref="AI514:AJ514" si="553">+AH514</f>
        <v>1310</v>
      </c>
      <c r="AJ514" s="5">
        <f t="shared" si="553"/>
        <v>1310</v>
      </c>
      <c r="AK514" s="2"/>
      <c r="AL514" s="8"/>
    </row>
    <row r="515" spans="1:38" s="6" customFormat="1" ht="15" customHeight="1" x14ac:dyDescent="0.2">
      <c r="A515" s="29" t="s">
        <v>824</v>
      </c>
      <c r="B515" s="29" t="s">
        <v>822</v>
      </c>
      <c r="C515" s="29"/>
      <c r="D515" s="2" t="s">
        <v>928</v>
      </c>
      <c r="E515" s="2" t="s">
        <v>11</v>
      </c>
      <c r="F515" s="7"/>
      <c r="G515" s="7"/>
      <c r="H515" s="8"/>
      <c r="I515" s="2" t="s">
        <v>1707</v>
      </c>
      <c r="J515" s="28"/>
      <c r="K515" s="28" t="s">
        <v>1765</v>
      </c>
      <c r="L515" s="42" t="s">
        <v>1116</v>
      </c>
      <c r="M515" s="7" t="s">
        <v>3</v>
      </c>
      <c r="N515" s="15">
        <v>27680627</v>
      </c>
      <c r="O515" s="88">
        <v>27276806276</v>
      </c>
      <c r="P515" s="38">
        <v>29115</v>
      </c>
      <c r="Q515" s="38"/>
      <c r="R515" s="38"/>
      <c r="S515" s="38"/>
      <c r="T515" s="38"/>
      <c r="U515" s="17" t="s">
        <v>215</v>
      </c>
      <c r="V515" s="17" t="s">
        <v>915</v>
      </c>
      <c r="W515" s="12">
        <v>42522</v>
      </c>
      <c r="X515" s="20"/>
      <c r="Y515" s="12">
        <v>42735</v>
      </c>
      <c r="Z515" s="2"/>
      <c r="AA515" s="2" t="s">
        <v>479</v>
      </c>
      <c r="AB515" s="24"/>
      <c r="AC515" s="5">
        <v>1000</v>
      </c>
      <c r="AD515" s="5">
        <f>+AC515*1.07</f>
        <v>1070</v>
      </c>
      <c r="AE515" s="5">
        <v>1170</v>
      </c>
      <c r="AF515" s="5">
        <f t="shared" si="518"/>
        <v>1310</v>
      </c>
      <c r="AG515" s="5">
        <f t="shared" si="552"/>
        <v>1310</v>
      </c>
      <c r="AH515" s="5">
        <f t="shared" si="552"/>
        <v>1310</v>
      </c>
      <c r="AI515" s="5">
        <f t="shared" ref="AI515:AJ515" si="554">+AH515</f>
        <v>1310</v>
      </c>
      <c r="AJ515" s="5">
        <f t="shared" si="554"/>
        <v>1310</v>
      </c>
      <c r="AK515" s="2" t="s">
        <v>53</v>
      </c>
      <c r="AL515" s="105" t="str">
        <f>+AK515</f>
        <v>B0</v>
      </c>
    </row>
    <row r="516" spans="1:38" s="6" customFormat="1" ht="15" customHeight="1" x14ac:dyDescent="0.2">
      <c r="A516" s="29" t="s">
        <v>824</v>
      </c>
      <c r="B516" s="2" t="s">
        <v>822</v>
      </c>
      <c r="C516" s="3"/>
      <c r="D516" s="2" t="s">
        <v>825</v>
      </c>
      <c r="E516" s="3" t="s">
        <v>18</v>
      </c>
      <c r="F516" s="2" t="s">
        <v>19</v>
      </c>
      <c r="G516" s="2"/>
      <c r="H516" s="2" t="s">
        <v>35</v>
      </c>
      <c r="I516" s="2" t="s">
        <v>1707</v>
      </c>
      <c r="J516" s="28" t="s">
        <v>548</v>
      </c>
      <c r="K516" s="28" t="s">
        <v>548</v>
      </c>
      <c r="L516" s="44" t="s">
        <v>667</v>
      </c>
      <c r="M516" s="4" t="s">
        <v>3</v>
      </c>
      <c r="N516" s="15">
        <v>24261523</v>
      </c>
      <c r="O516" s="88" t="s">
        <v>1240</v>
      </c>
      <c r="P516" s="38">
        <v>27392</v>
      </c>
      <c r="Q516" s="38"/>
      <c r="R516" s="38"/>
      <c r="S516" s="38"/>
      <c r="T516" s="38"/>
      <c r="U516" s="17" t="s">
        <v>215</v>
      </c>
      <c r="V516" s="17" t="s">
        <v>915</v>
      </c>
      <c r="W516" s="12">
        <v>42095</v>
      </c>
      <c r="X516" s="12"/>
      <c r="Y516" s="12">
        <v>42735</v>
      </c>
      <c r="Z516" s="2"/>
      <c r="AA516" s="2" t="s">
        <v>479</v>
      </c>
      <c r="AB516" s="7" t="s">
        <v>787</v>
      </c>
      <c r="AC516" s="5">
        <v>1000</v>
      </c>
      <c r="AD516" s="5">
        <f>+AC516</f>
        <v>1000</v>
      </c>
      <c r="AE516" s="5">
        <v>1170</v>
      </c>
      <c r="AF516" s="5">
        <f t="shared" si="518"/>
        <v>1310</v>
      </c>
      <c r="AG516" s="5">
        <f t="shared" si="552"/>
        <v>1310</v>
      </c>
      <c r="AH516" s="5">
        <f t="shared" si="552"/>
        <v>1310</v>
      </c>
      <c r="AI516" s="5">
        <f t="shared" ref="AI516:AJ516" si="555">+AH516</f>
        <v>1310</v>
      </c>
      <c r="AJ516" s="5">
        <f t="shared" si="555"/>
        <v>1310</v>
      </c>
      <c r="AK516" s="2"/>
      <c r="AL516" s="106"/>
    </row>
    <row r="517" spans="1:38" s="6" customFormat="1" ht="15" customHeight="1" x14ac:dyDescent="0.2">
      <c r="A517" s="29" t="s">
        <v>824</v>
      </c>
      <c r="B517" s="29"/>
      <c r="C517" s="29"/>
      <c r="D517" s="2" t="s">
        <v>820</v>
      </c>
      <c r="E517" s="2" t="s">
        <v>921</v>
      </c>
      <c r="F517" s="3" t="s">
        <v>525</v>
      </c>
      <c r="G517" s="3" t="s">
        <v>520</v>
      </c>
      <c r="H517" s="2" t="s">
        <v>234</v>
      </c>
      <c r="I517" s="3"/>
      <c r="J517" s="28" t="s">
        <v>73</v>
      </c>
      <c r="K517" s="28"/>
      <c r="L517" s="45" t="s">
        <v>790</v>
      </c>
      <c r="M517" s="4" t="s">
        <v>3</v>
      </c>
      <c r="N517" s="15">
        <v>17380002</v>
      </c>
      <c r="O517" s="88">
        <v>23173800029</v>
      </c>
      <c r="P517" s="61"/>
      <c r="Q517" s="61"/>
      <c r="R517" s="61"/>
      <c r="S517" s="61"/>
      <c r="T517" s="61"/>
      <c r="U517" s="16" t="s">
        <v>796</v>
      </c>
      <c r="V517" s="16" t="s">
        <v>916</v>
      </c>
      <c r="W517" s="12">
        <v>41974</v>
      </c>
      <c r="X517" s="12">
        <v>42460</v>
      </c>
      <c r="Y517" s="12">
        <v>42735</v>
      </c>
      <c r="Z517" s="2" t="s">
        <v>24</v>
      </c>
      <c r="AA517" s="2"/>
      <c r="AB517" s="14"/>
      <c r="AC517" s="5">
        <v>1000</v>
      </c>
      <c r="AD517" s="5"/>
      <c r="AE517" s="5">
        <v>1170</v>
      </c>
      <c r="AF517" s="5">
        <f t="shared" si="518"/>
        <v>1310</v>
      </c>
      <c r="AG517" s="5">
        <f t="shared" si="552"/>
        <v>1310</v>
      </c>
      <c r="AH517" s="5">
        <f t="shared" si="552"/>
        <v>1310</v>
      </c>
      <c r="AI517" s="5">
        <f t="shared" ref="AI517:AJ517" si="556">+AH517</f>
        <v>1310</v>
      </c>
      <c r="AJ517" s="5">
        <f t="shared" si="556"/>
        <v>1310</v>
      </c>
      <c r="AK517" s="2"/>
      <c r="AL517" s="105" t="str">
        <f>+Z517</f>
        <v>D0</v>
      </c>
    </row>
    <row r="518" spans="1:38" s="6" customFormat="1" ht="15" customHeight="1" x14ac:dyDescent="0.2">
      <c r="A518" s="29" t="s">
        <v>824</v>
      </c>
      <c r="B518" s="29" t="s">
        <v>822</v>
      </c>
      <c r="C518" s="29" t="s">
        <v>823</v>
      </c>
      <c r="D518" s="2" t="s">
        <v>800</v>
      </c>
      <c r="E518" s="2" t="s">
        <v>20</v>
      </c>
      <c r="F518" s="7"/>
      <c r="G518" s="7"/>
      <c r="H518" s="8"/>
      <c r="I518" s="3"/>
      <c r="J518" s="28" t="s">
        <v>254</v>
      </c>
      <c r="K518" s="28"/>
      <c r="L518" s="42" t="s">
        <v>458</v>
      </c>
      <c r="M518" s="4" t="s">
        <v>3</v>
      </c>
      <c r="N518" s="15">
        <v>21671582</v>
      </c>
      <c r="O518" s="88">
        <v>23216715829</v>
      </c>
      <c r="P518" s="38"/>
      <c r="Q518" s="38"/>
      <c r="R518" s="38"/>
      <c r="S518" s="38"/>
      <c r="T518" s="38"/>
      <c r="U518" s="16" t="s">
        <v>796</v>
      </c>
      <c r="V518" s="16" t="s">
        <v>916</v>
      </c>
      <c r="W518" s="12">
        <v>40725</v>
      </c>
      <c r="X518" s="48">
        <v>42735</v>
      </c>
      <c r="Y518" s="12">
        <v>42735</v>
      </c>
      <c r="Z518" s="2" t="s">
        <v>42</v>
      </c>
      <c r="AA518" s="2"/>
      <c r="AB518" s="18"/>
      <c r="AC518" s="5">
        <v>1000</v>
      </c>
      <c r="AD518" s="5"/>
      <c r="AE518" s="5">
        <v>1170</v>
      </c>
      <c r="AF518" s="5">
        <f t="shared" si="518"/>
        <v>1310</v>
      </c>
      <c r="AG518" s="5">
        <f t="shared" si="552"/>
        <v>1310</v>
      </c>
      <c r="AH518" s="5">
        <f t="shared" si="552"/>
        <v>1310</v>
      </c>
      <c r="AI518" s="5">
        <f t="shared" ref="AI518:AJ518" si="557">+AH518</f>
        <v>1310</v>
      </c>
      <c r="AJ518" s="5">
        <f t="shared" si="557"/>
        <v>1310</v>
      </c>
      <c r="AK518" s="2"/>
      <c r="AL518" s="105" t="str">
        <f>+Z518</f>
        <v>C0</v>
      </c>
    </row>
    <row r="519" spans="1:38" s="6" customFormat="1" ht="15" customHeight="1" x14ac:dyDescent="0.2">
      <c r="A519" s="29" t="s">
        <v>824</v>
      </c>
      <c r="B519" s="29" t="s">
        <v>822</v>
      </c>
      <c r="C519" s="29" t="s">
        <v>823</v>
      </c>
      <c r="D519" s="2" t="s">
        <v>808</v>
      </c>
      <c r="E519" s="2" t="s">
        <v>11</v>
      </c>
      <c r="F519" s="2" t="s">
        <v>218</v>
      </c>
      <c r="G519" s="2"/>
      <c r="H519" s="2"/>
      <c r="I519" s="2" t="s">
        <v>1707</v>
      </c>
      <c r="J519" s="28"/>
      <c r="K519" s="28" t="s">
        <v>1765</v>
      </c>
      <c r="L519" s="44" t="s">
        <v>971</v>
      </c>
      <c r="M519" s="7" t="s">
        <v>3</v>
      </c>
      <c r="N519" s="15">
        <v>29591878</v>
      </c>
      <c r="O519" s="88">
        <v>20295918781</v>
      </c>
      <c r="P519" s="38">
        <v>30126</v>
      </c>
      <c r="Q519" s="38"/>
      <c r="R519" s="38"/>
      <c r="S519" s="38"/>
      <c r="T519" s="38"/>
      <c r="U519" s="17" t="s">
        <v>215</v>
      </c>
      <c r="V519" s="17" t="s">
        <v>915</v>
      </c>
      <c r="W519" s="12">
        <v>42522</v>
      </c>
      <c r="X519" s="12"/>
      <c r="Y519" s="12">
        <v>42735</v>
      </c>
      <c r="Z519" s="2"/>
      <c r="AA519" s="2" t="s">
        <v>479</v>
      </c>
      <c r="AB519" s="7"/>
      <c r="AC519" s="5">
        <v>1000</v>
      </c>
      <c r="AD519" s="5">
        <f>+AC519*1.07</f>
        <v>1070</v>
      </c>
      <c r="AE519" s="5">
        <v>1170</v>
      </c>
      <c r="AF519" s="5">
        <f t="shared" si="518"/>
        <v>1310</v>
      </c>
      <c r="AG519" s="5">
        <f t="shared" si="552"/>
        <v>1310</v>
      </c>
      <c r="AH519" s="5">
        <f t="shared" si="552"/>
        <v>1310</v>
      </c>
      <c r="AI519" s="5">
        <f t="shared" ref="AI519:AJ519" si="558">+AH519</f>
        <v>1310</v>
      </c>
      <c r="AJ519" s="5">
        <f t="shared" si="558"/>
        <v>1310</v>
      </c>
      <c r="AK519" s="2" t="s">
        <v>53</v>
      </c>
      <c r="AL519" s="105" t="str">
        <f>+AK519</f>
        <v>B0</v>
      </c>
    </row>
    <row r="520" spans="1:38" s="6" customFormat="1" ht="15" customHeight="1" x14ac:dyDescent="0.2">
      <c r="A520" s="29" t="s">
        <v>824</v>
      </c>
      <c r="B520" s="29" t="s">
        <v>822</v>
      </c>
      <c r="C520" s="29" t="s">
        <v>823</v>
      </c>
      <c r="D520" s="2" t="s">
        <v>808</v>
      </c>
      <c r="E520" s="2" t="s">
        <v>909</v>
      </c>
      <c r="F520" s="2" t="s">
        <v>500</v>
      </c>
      <c r="G520" s="3"/>
      <c r="H520" s="2"/>
      <c r="I520" s="2" t="s">
        <v>233</v>
      </c>
      <c r="J520" s="28"/>
      <c r="K520" s="28" t="s">
        <v>1765</v>
      </c>
      <c r="L520" s="44" t="s">
        <v>1614</v>
      </c>
      <c r="M520" s="7" t="s">
        <v>3</v>
      </c>
      <c r="N520" s="15">
        <v>37878033</v>
      </c>
      <c r="O520" s="88">
        <v>20378780331</v>
      </c>
      <c r="P520" s="38">
        <v>34162</v>
      </c>
      <c r="Q520" s="38"/>
      <c r="R520" s="38"/>
      <c r="S520" s="38"/>
      <c r="T520" s="38"/>
      <c r="U520" s="17" t="s">
        <v>215</v>
      </c>
      <c r="V520" s="17" t="s">
        <v>915</v>
      </c>
      <c r="W520" s="12">
        <v>42552</v>
      </c>
      <c r="X520" s="13"/>
      <c r="Y520" s="12">
        <v>42735</v>
      </c>
      <c r="Z520" s="2"/>
      <c r="AA520" s="2" t="s">
        <v>479</v>
      </c>
      <c r="AB520" s="14"/>
      <c r="AC520" s="5" t="s">
        <v>1611</v>
      </c>
      <c r="AD520" s="5" t="s">
        <v>1611</v>
      </c>
      <c r="AE520" s="5">
        <v>1170</v>
      </c>
      <c r="AF520" s="5">
        <v>1310</v>
      </c>
      <c r="AG520" s="5">
        <f t="shared" si="552"/>
        <v>1310</v>
      </c>
      <c r="AH520" s="5">
        <f t="shared" si="552"/>
        <v>1310</v>
      </c>
      <c r="AI520" s="5">
        <f t="shared" ref="AI520:AJ520" si="559">+AH520</f>
        <v>1310</v>
      </c>
      <c r="AJ520" s="5">
        <f t="shared" si="559"/>
        <v>1310</v>
      </c>
      <c r="AK520" s="29" t="s">
        <v>42</v>
      </c>
      <c r="AL520" s="105" t="str">
        <f>+AK520</f>
        <v>C0</v>
      </c>
    </row>
    <row r="521" spans="1:38" s="6" customFormat="1" ht="15" customHeight="1" x14ac:dyDescent="0.2">
      <c r="A521" s="29" t="s">
        <v>824</v>
      </c>
      <c r="B521" s="29" t="s">
        <v>822</v>
      </c>
      <c r="C521" s="14"/>
      <c r="D521" s="2" t="s">
        <v>1833</v>
      </c>
      <c r="E521" s="2"/>
      <c r="F521" s="3"/>
      <c r="G521" s="3"/>
      <c r="H521" s="2" t="s">
        <v>884</v>
      </c>
      <c r="I521" s="2" t="s">
        <v>1707</v>
      </c>
      <c r="J521" s="28"/>
      <c r="K521" s="28" t="s">
        <v>1765</v>
      </c>
      <c r="L521" s="41" t="s">
        <v>874</v>
      </c>
      <c r="M521" s="4" t="s">
        <v>3</v>
      </c>
      <c r="N521" s="15">
        <v>29353203</v>
      </c>
      <c r="O521" s="88">
        <v>27293532031</v>
      </c>
      <c r="P521" s="38">
        <v>29988</v>
      </c>
      <c r="Q521" s="38"/>
      <c r="R521" s="38"/>
      <c r="S521" s="38"/>
      <c r="T521" s="38"/>
      <c r="U521" s="17" t="s">
        <v>215</v>
      </c>
      <c r="V521" s="17" t="s">
        <v>915</v>
      </c>
      <c r="W521" s="12">
        <v>42370</v>
      </c>
      <c r="X521" s="48"/>
      <c r="Y521" s="12">
        <v>42735</v>
      </c>
      <c r="Z521" s="2"/>
      <c r="AA521" s="2" t="s">
        <v>479</v>
      </c>
      <c r="AB521" s="3" t="s">
        <v>10</v>
      </c>
      <c r="AC521" s="5">
        <v>1000</v>
      </c>
      <c r="AD521" s="5">
        <f>+AC521*1.07</f>
        <v>1070</v>
      </c>
      <c r="AE521" s="5">
        <v>1170</v>
      </c>
      <c r="AF521" s="5">
        <f t="shared" si="518"/>
        <v>1310</v>
      </c>
      <c r="AG521" s="5">
        <f t="shared" si="552"/>
        <v>1310</v>
      </c>
      <c r="AH521" s="5">
        <f t="shared" si="552"/>
        <v>1310</v>
      </c>
      <c r="AI521" s="5">
        <f t="shared" ref="AI521:AJ521" si="560">+AH521</f>
        <v>1310</v>
      </c>
      <c r="AJ521" s="5">
        <f t="shared" si="560"/>
        <v>1310</v>
      </c>
      <c r="AK521" s="2" t="s">
        <v>53</v>
      </c>
      <c r="AL521" s="105" t="str">
        <f>+AK521</f>
        <v>B0</v>
      </c>
    </row>
    <row r="522" spans="1:38" s="6" customFormat="1" ht="15" customHeight="1" x14ac:dyDescent="0.2">
      <c r="A522" s="29" t="s">
        <v>824</v>
      </c>
      <c r="B522" s="2" t="s">
        <v>822</v>
      </c>
      <c r="C522" s="3"/>
      <c r="D522" s="2" t="s">
        <v>825</v>
      </c>
      <c r="E522" s="3" t="s">
        <v>18</v>
      </c>
      <c r="F522" s="2" t="s">
        <v>19</v>
      </c>
      <c r="G522" s="2" t="s">
        <v>73</v>
      </c>
      <c r="H522" s="2" t="s">
        <v>29</v>
      </c>
      <c r="I522" s="3"/>
      <c r="J522" s="28" t="s">
        <v>548</v>
      </c>
      <c r="K522" s="28"/>
      <c r="L522" s="41" t="s">
        <v>668</v>
      </c>
      <c r="M522" s="4" t="s">
        <v>3</v>
      </c>
      <c r="N522" s="15">
        <v>30060661</v>
      </c>
      <c r="O522" s="88">
        <v>27300606615</v>
      </c>
      <c r="P522" s="61"/>
      <c r="Q522" s="61"/>
      <c r="R522" s="61"/>
      <c r="S522" s="61"/>
      <c r="T522" s="61"/>
      <c r="U522" s="16" t="s">
        <v>796</v>
      </c>
      <c r="V522" s="16" t="s">
        <v>916</v>
      </c>
      <c r="W522" s="12">
        <v>40603</v>
      </c>
      <c r="X522" s="48">
        <v>42735</v>
      </c>
      <c r="Y522" s="12">
        <v>42735</v>
      </c>
      <c r="Z522" s="2" t="s">
        <v>17</v>
      </c>
      <c r="AA522" s="2"/>
      <c r="AB522" s="3"/>
      <c r="AC522" s="5">
        <v>1000</v>
      </c>
      <c r="AD522" s="5"/>
      <c r="AE522" s="5">
        <v>1170</v>
      </c>
      <c r="AF522" s="5">
        <f t="shared" si="518"/>
        <v>1310</v>
      </c>
      <c r="AG522" s="5">
        <f t="shared" si="552"/>
        <v>1310</v>
      </c>
      <c r="AH522" s="5">
        <f t="shared" si="552"/>
        <v>1310</v>
      </c>
      <c r="AI522" s="5">
        <f t="shared" ref="AI522:AJ522" si="561">+AH522</f>
        <v>1310</v>
      </c>
      <c r="AJ522" s="5">
        <f t="shared" si="561"/>
        <v>1310</v>
      </c>
      <c r="AK522" s="2"/>
      <c r="AL522" s="105" t="str">
        <f>+Z522</f>
        <v>C1</v>
      </c>
    </row>
    <row r="523" spans="1:38" s="6" customFormat="1" ht="15" customHeight="1" x14ac:dyDescent="0.2">
      <c r="A523" s="29" t="s">
        <v>824</v>
      </c>
      <c r="B523" s="29"/>
      <c r="C523" s="14"/>
      <c r="D523" s="2" t="s">
        <v>820</v>
      </c>
      <c r="E523" s="2" t="s">
        <v>63</v>
      </c>
      <c r="F523" s="3"/>
      <c r="G523" s="3" t="s">
        <v>249</v>
      </c>
      <c r="H523" s="2"/>
      <c r="I523" s="3"/>
      <c r="J523" s="28" t="s">
        <v>73</v>
      </c>
      <c r="K523" s="28"/>
      <c r="L523" s="42" t="s">
        <v>148</v>
      </c>
      <c r="M523" s="4" t="s">
        <v>3</v>
      </c>
      <c r="N523" s="15">
        <v>34253941</v>
      </c>
      <c r="O523" s="88">
        <v>20342539417</v>
      </c>
      <c r="P523" s="61"/>
      <c r="Q523" s="61"/>
      <c r="R523" s="61"/>
      <c r="S523" s="61"/>
      <c r="T523" s="61"/>
      <c r="U523" s="16" t="s">
        <v>796</v>
      </c>
      <c r="V523" s="16" t="s">
        <v>916</v>
      </c>
      <c r="W523" s="12">
        <v>41244</v>
      </c>
      <c r="X523" s="48">
        <v>42735</v>
      </c>
      <c r="Y523" s="12">
        <v>42735</v>
      </c>
      <c r="Z523" s="2" t="s">
        <v>33</v>
      </c>
      <c r="AA523" s="2"/>
      <c r="AB523" s="14"/>
      <c r="AC523" s="5">
        <v>1000</v>
      </c>
      <c r="AD523" s="5"/>
      <c r="AE523" s="5">
        <v>1170</v>
      </c>
      <c r="AF523" s="5">
        <f t="shared" si="518"/>
        <v>1310</v>
      </c>
      <c r="AG523" s="5">
        <f t="shared" si="552"/>
        <v>1310</v>
      </c>
      <c r="AH523" s="5">
        <f t="shared" si="552"/>
        <v>1310</v>
      </c>
      <c r="AI523" s="5">
        <f t="shared" ref="AI523:AJ523" si="562">+AH523</f>
        <v>1310</v>
      </c>
      <c r="AJ523" s="5">
        <f t="shared" si="562"/>
        <v>1310</v>
      </c>
      <c r="AK523" s="2"/>
      <c r="AL523" s="105" t="str">
        <f>+Z523</f>
        <v>A1</v>
      </c>
    </row>
    <row r="524" spans="1:38" s="6" customFormat="1" ht="15" customHeight="1" x14ac:dyDescent="0.2">
      <c r="A524" s="29" t="s">
        <v>824</v>
      </c>
      <c r="B524" s="29"/>
      <c r="C524" s="14"/>
      <c r="D524" s="2" t="s">
        <v>820</v>
      </c>
      <c r="E524" s="2" t="s">
        <v>63</v>
      </c>
      <c r="F524" s="3"/>
      <c r="G524" s="3"/>
      <c r="H524" s="2"/>
      <c r="I524" s="2" t="s">
        <v>1707</v>
      </c>
      <c r="J524" s="28"/>
      <c r="K524" s="28" t="s">
        <v>1765</v>
      </c>
      <c r="L524" s="45" t="s">
        <v>1680</v>
      </c>
      <c r="M524" s="7" t="s">
        <v>3</v>
      </c>
      <c r="N524" s="15">
        <v>35569382</v>
      </c>
      <c r="O524" s="88">
        <v>20355693822</v>
      </c>
      <c r="P524" s="38">
        <v>33226</v>
      </c>
      <c r="Q524" s="38"/>
      <c r="R524" s="38"/>
      <c r="S524" s="38"/>
      <c r="T524" s="38"/>
      <c r="U524" s="16" t="s">
        <v>215</v>
      </c>
      <c r="V524" s="16" t="s">
        <v>915</v>
      </c>
      <c r="W524" s="12">
        <v>42552</v>
      </c>
      <c r="X524" s="48"/>
      <c r="Y524" s="12">
        <v>42735</v>
      </c>
      <c r="Z524" s="2"/>
      <c r="AA524" s="2" t="s">
        <v>479</v>
      </c>
      <c r="AB524" s="14"/>
      <c r="AC524" s="5"/>
      <c r="AD524" s="5"/>
      <c r="AE524" s="5">
        <v>1170</v>
      </c>
      <c r="AF524" s="5">
        <f t="shared" si="518"/>
        <v>0</v>
      </c>
      <c r="AG524" s="5">
        <f t="shared" si="552"/>
        <v>0</v>
      </c>
      <c r="AH524" s="5">
        <f t="shared" si="552"/>
        <v>0</v>
      </c>
      <c r="AI524" s="5">
        <f t="shared" ref="AI524:AJ524" si="563">+AH524</f>
        <v>0</v>
      </c>
      <c r="AJ524" s="5">
        <f t="shared" si="563"/>
        <v>0</v>
      </c>
      <c r="AK524" s="29" t="s">
        <v>42</v>
      </c>
      <c r="AL524" s="105" t="str">
        <f>+AK524</f>
        <v>C0</v>
      </c>
    </row>
    <row r="525" spans="1:38" s="6" customFormat="1" ht="15" customHeight="1" x14ac:dyDescent="0.2">
      <c r="A525" s="29" t="s">
        <v>824</v>
      </c>
      <c r="B525" s="29" t="s">
        <v>822</v>
      </c>
      <c r="C525" s="29"/>
      <c r="D525" s="2" t="s">
        <v>928</v>
      </c>
      <c r="E525" s="2" t="s">
        <v>11</v>
      </c>
      <c r="F525" s="2"/>
      <c r="G525" s="2"/>
      <c r="H525" s="2"/>
      <c r="I525" s="2" t="s">
        <v>1707</v>
      </c>
      <c r="J525" s="28" t="s">
        <v>73</v>
      </c>
      <c r="K525" s="28" t="s">
        <v>1765</v>
      </c>
      <c r="L525" s="42" t="s">
        <v>669</v>
      </c>
      <c r="M525" s="4" t="s">
        <v>3</v>
      </c>
      <c r="N525" s="15">
        <v>32949122</v>
      </c>
      <c r="O525" s="88" t="s">
        <v>1434</v>
      </c>
      <c r="P525" s="38">
        <v>31813</v>
      </c>
      <c r="Q525" s="38"/>
      <c r="R525" s="38"/>
      <c r="S525" s="38"/>
      <c r="T525" s="38"/>
      <c r="U525" s="17" t="s">
        <v>215</v>
      </c>
      <c r="V525" s="17" t="s">
        <v>915</v>
      </c>
      <c r="W525" s="12">
        <v>41791</v>
      </c>
      <c r="X525" s="20"/>
      <c r="Y525" s="12">
        <v>42735</v>
      </c>
      <c r="Z525" s="2"/>
      <c r="AA525" s="2" t="s">
        <v>479</v>
      </c>
      <c r="AB525" s="24" t="s">
        <v>479</v>
      </c>
      <c r="AC525" s="5">
        <v>1000</v>
      </c>
      <c r="AD525" s="5">
        <f>+AC525*1.07</f>
        <v>1070</v>
      </c>
      <c r="AE525" s="5">
        <v>1170</v>
      </c>
      <c r="AF525" s="5">
        <f t="shared" si="518"/>
        <v>1310</v>
      </c>
      <c r="AG525" s="5">
        <f t="shared" si="552"/>
        <v>1310</v>
      </c>
      <c r="AH525" s="5">
        <f t="shared" si="552"/>
        <v>1310</v>
      </c>
      <c r="AI525" s="5">
        <f t="shared" ref="AI525:AJ525" si="564">+AH525</f>
        <v>1310</v>
      </c>
      <c r="AJ525" s="5">
        <f t="shared" si="564"/>
        <v>1310</v>
      </c>
      <c r="AK525" s="29" t="s">
        <v>42</v>
      </c>
      <c r="AL525" s="105" t="str">
        <f>+AK525</f>
        <v>C0</v>
      </c>
    </row>
    <row r="526" spans="1:38" s="6" customFormat="1" ht="15" customHeight="1" x14ac:dyDescent="0.2">
      <c r="A526" s="29" t="s">
        <v>824</v>
      </c>
      <c r="B526" s="2" t="s">
        <v>822</v>
      </c>
      <c r="C526" s="3"/>
      <c r="D526" s="2" t="s">
        <v>825</v>
      </c>
      <c r="E526" s="3" t="s">
        <v>18</v>
      </c>
      <c r="F526" s="2" t="s">
        <v>19</v>
      </c>
      <c r="G526" s="2"/>
      <c r="H526" s="2" t="s">
        <v>50</v>
      </c>
      <c r="I526" s="2" t="s">
        <v>1707</v>
      </c>
      <c r="J526" s="28" t="s">
        <v>548</v>
      </c>
      <c r="K526" s="28" t="s">
        <v>548</v>
      </c>
      <c r="L526" s="44" t="s">
        <v>670</v>
      </c>
      <c r="M526" s="4" t="s">
        <v>3</v>
      </c>
      <c r="N526" s="15">
        <v>32603492</v>
      </c>
      <c r="O526" s="88" t="s">
        <v>1424</v>
      </c>
      <c r="P526" s="38">
        <v>31674</v>
      </c>
      <c r="Q526" s="38"/>
      <c r="R526" s="38"/>
      <c r="S526" s="38"/>
      <c r="T526" s="38"/>
      <c r="U526" s="17" t="s">
        <v>215</v>
      </c>
      <c r="V526" s="17" t="s">
        <v>915</v>
      </c>
      <c r="W526" s="12">
        <v>41306</v>
      </c>
      <c r="X526" s="12"/>
      <c r="Y526" s="12">
        <v>42735</v>
      </c>
      <c r="Z526" s="2"/>
      <c r="AA526" s="2" t="s">
        <v>479</v>
      </c>
      <c r="AB526" s="7" t="s">
        <v>787</v>
      </c>
      <c r="AC526" s="5">
        <v>1000</v>
      </c>
      <c r="AD526" s="5">
        <f>+AC526</f>
        <v>1000</v>
      </c>
      <c r="AE526" s="5">
        <v>1170</v>
      </c>
      <c r="AF526" s="5">
        <f t="shared" si="518"/>
        <v>1310</v>
      </c>
      <c r="AG526" s="5">
        <f t="shared" si="552"/>
        <v>1310</v>
      </c>
      <c r="AH526" s="5">
        <f t="shared" si="552"/>
        <v>1310</v>
      </c>
      <c r="AI526" s="5">
        <f t="shared" ref="AI526:AJ526" si="565">+AH526</f>
        <v>1310</v>
      </c>
      <c r="AJ526" s="5">
        <f t="shared" si="565"/>
        <v>1310</v>
      </c>
      <c r="AK526" s="2"/>
      <c r="AL526" s="106"/>
    </row>
    <row r="527" spans="1:38" s="6" customFormat="1" ht="15" customHeight="1" x14ac:dyDescent="0.2">
      <c r="A527" s="29" t="s">
        <v>824</v>
      </c>
      <c r="B527" s="29" t="s">
        <v>822</v>
      </c>
      <c r="C527" s="29" t="s">
        <v>823</v>
      </c>
      <c r="D527" s="2" t="s">
        <v>800</v>
      </c>
      <c r="E527" s="2" t="s">
        <v>485</v>
      </c>
      <c r="F527" s="2"/>
      <c r="G527" s="2"/>
      <c r="H527" s="2"/>
      <c r="I527" s="3"/>
      <c r="J527" s="28" t="s">
        <v>254</v>
      </c>
      <c r="K527" s="28"/>
      <c r="L527" s="42" t="s">
        <v>282</v>
      </c>
      <c r="M527" s="4" t="s">
        <v>3</v>
      </c>
      <c r="N527" s="15">
        <v>24646302</v>
      </c>
      <c r="O527" s="88">
        <v>20246463027</v>
      </c>
      <c r="P527" s="38"/>
      <c r="Q527" s="38"/>
      <c r="R527" s="38"/>
      <c r="S527" s="38"/>
      <c r="T527" s="38"/>
      <c r="U527" s="16" t="s">
        <v>796</v>
      </c>
      <c r="V527" s="16" t="s">
        <v>916</v>
      </c>
      <c r="W527" s="12">
        <v>41000</v>
      </c>
      <c r="X527" s="48">
        <v>42735</v>
      </c>
      <c r="Y527" s="12">
        <v>42735</v>
      </c>
      <c r="Z527" s="2" t="s">
        <v>42</v>
      </c>
      <c r="AA527" s="2"/>
      <c r="AB527" s="18"/>
      <c r="AC527" s="5">
        <v>1000</v>
      </c>
      <c r="AD527" s="5"/>
      <c r="AE527" s="5">
        <v>1170</v>
      </c>
      <c r="AF527" s="5">
        <f t="shared" si="518"/>
        <v>1310</v>
      </c>
      <c r="AG527" s="5">
        <f t="shared" si="552"/>
        <v>1310</v>
      </c>
      <c r="AH527" s="5">
        <f t="shared" si="552"/>
        <v>1310</v>
      </c>
      <c r="AI527" s="5">
        <f t="shared" ref="AI527:AJ527" si="566">+AH527</f>
        <v>1310</v>
      </c>
      <c r="AJ527" s="5">
        <f t="shared" si="566"/>
        <v>1310</v>
      </c>
      <c r="AK527" s="2"/>
      <c r="AL527" s="105" t="str">
        <f>+Z527</f>
        <v>C0</v>
      </c>
    </row>
    <row r="528" spans="1:38" s="6" customFormat="1" ht="15" customHeight="1" x14ac:dyDescent="0.2">
      <c r="A528" s="29" t="s">
        <v>824</v>
      </c>
      <c r="B528" s="29" t="s">
        <v>822</v>
      </c>
      <c r="C528" s="29"/>
      <c r="D528" s="2" t="s">
        <v>1833</v>
      </c>
      <c r="E528" s="2"/>
      <c r="F528" s="2"/>
      <c r="G528" s="2"/>
      <c r="H528" s="2" t="s">
        <v>884</v>
      </c>
      <c r="I528" s="2" t="s">
        <v>1707</v>
      </c>
      <c r="J528" s="28"/>
      <c r="K528" s="28" t="s">
        <v>1765</v>
      </c>
      <c r="L528" s="42" t="s">
        <v>1665</v>
      </c>
      <c r="M528" s="7" t="s">
        <v>3</v>
      </c>
      <c r="N528" s="15">
        <v>34653242</v>
      </c>
      <c r="O528" s="88">
        <v>23346532424</v>
      </c>
      <c r="P528" s="38">
        <v>31707</v>
      </c>
      <c r="Q528" s="38"/>
      <c r="R528" s="38"/>
      <c r="S528" s="38"/>
      <c r="T528" s="38"/>
      <c r="U528" s="16"/>
      <c r="V528" s="16" t="s">
        <v>915</v>
      </c>
      <c r="W528" s="12"/>
      <c r="X528" s="48"/>
      <c r="Y528" s="12">
        <v>42735</v>
      </c>
      <c r="Z528" s="2"/>
      <c r="AA528" s="2" t="s">
        <v>479</v>
      </c>
      <c r="AB528" s="18"/>
      <c r="AC528" s="5"/>
      <c r="AD528" s="5"/>
      <c r="AE528" s="5">
        <v>1170</v>
      </c>
      <c r="AF528" s="5">
        <f t="shared" si="518"/>
        <v>0</v>
      </c>
      <c r="AG528" s="5">
        <f t="shared" si="552"/>
        <v>0</v>
      </c>
      <c r="AH528" s="5">
        <f t="shared" si="552"/>
        <v>0</v>
      </c>
      <c r="AI528" s="5">
        <f t="shared" ref="AI528:AJ528" si="567">+AH528</f>
        <v>0</v>
      </c>
      <c r="AJ528" s="5">
        <f t="shared" si="567"/>
        <v>0</v>
      </c>
      <c r="AK528" s="2" t="s">
        <v>53</v>
      </c>
      <c r="AL528" s="105" t="str">
        <f>+AK528</f>
        <v>B0</v>
      </c>
    </row>
    <row r="529" spans="1:38" s="6" customFormat="1" ht="15" customHeight="1" x14ac:dyDescent="0.2">
      <c r="A529" s="29" t="s">
        <v>824</v>
      </c>
      <c r="B529" s="29" t="s">
        <v>822</v>
      </c>
      <c r="C529" s="29"/>
      <c r="D529" s="2" t="s">
        <v>1833</v>
      </c>
      <c r="E529" s="2"/>
      <c r="F529" s="2"/>
      <c r="G529" s="2"/>
      <c r="H529" s="2" t="s">
        <v>884</v>
      </c>
      <c r="I529" s="2" t="s">
        <v>1707</v>
      </c>
      <c r="J529" s="28"/>
      <c r="K529" s="28" t="s">
        <v>1765</v>
      </c>
      <c r="L529" s="42" t="s">
        <v>1029</v>
      </c>
      <c r="M529" s="7" t="s">
        <v>3</v>
      </c>
      <c r="N529" s="15">
        <v>32677592</v>
      </c>
      <c r="O529" s="88">
        <v>23326775924</v>
      </c>
      <c r="P529" s="38">
        <v>31707</v>
      </c>
      <c r="Q529" s="38"/>
      <c r="R529" s="38"/>
      <c r="S529" s="38"/>
      <c r="T529" s="38"/>
      <c r="U529" s="17" t="s">
        <v>215</v>
      </c>
      <c r="V529" s="16" t="s">
        <v>915</v>
      </c>
      <c r="W529" s="12"/>
      <c r="X529" s="48"/>
      <c r="Y529" s="12">
        <v>42735</v>
      </c>
      <c r="Z529" s="2"/>
      <c r="AA529" s="2" t="s">
        <v>479</v>
      </c>
      <c r="AB529" s="18"/>
      <c r="AC529" s="5">
        <v>1000</v>
      </c>
      <c r="AD529" s="5">
        <f>+AC529*1.07</f>
        <v>1070</v>
      </c>
      <c r="AE529" s="5">
        <v>1170</v>
      </c>
      <c r="AF529" s="5">
        <f t="shared" si="518"/>
        <v>1310</v>
      </c>
      <c r="AG529" s="5">
        <f t="shared" si="552"/>
        <v>1310</v>
      </c>
      <c r="AH529" s="5">
        <f t="shared" si="552"/>
        <v>1310</v>
      </c>
      <c r="AI529" s="5">
        <f t="shared" ref="AI529:AJ529" si="568">+AH529</f>
        <v>1310</v>
      </c>
      <c r="AJ529" s="5">
        <f t="shared" si="568"/>
        <v>1310</v>
      </c>
      <c r="AK529" s="2" t="s">
        <v>42</v>
      </c>
      <c r="AL529" s="105" t="str">
        <f>+AK529</f>
        <v>C0</v>
      </c>
    </row>
    <row r="530" spans="1:38" s="6" customFormat="1" ht="15" customHeight="1" x14ac:dyDescent="0.2">
      <c r="A530" s="29" t="s">
        <v>824</v>
      </c>
      <c r="B530" s="2" t="s">
        <v>822</v>
      </c>
      <c r="C530" s="3"/>
      <c r="D530" s="2" t="s">
        <v>825</v>
      </c>
      <c r="E530" s="3" t="s">
        <v>18</v>
      </c>
      <c r="F530" s="2" t="s">
        <v>19</v>
      </c>
      <c r="G530" s="2"/>
      <c r="H530" s="2" t="s">
        <v>45</v>
      </c>
      <c r="I530" s="2" t="s">
        <v>1707</v>
      </c>
      <c r="J530" s="28" t="s">
        <v>548</v>
      </c>
      <c r="K530" s="28" t="s">
        <v>548</v>
      </c>
      <c r="L530" s="44" t="s">
        <v>671</v>
      </c>
      <c r="M530" s="4" t="s">
        <v>3</v>
      </c>
      <c r="N530" s="15">
        <v>26338210</v>
      </c>
      <c r="O530" s="88" t="s">
        <v>1284</v>
      </c>
      <c r="P530" s="38">
        <v>28454</v>
      </c>
      <c r="Q530" s="38"/>
      <c r="R530" s="38"/>
      <c r="S530" s="38"/>
      <c r="T530" s="38"/>
      <c r="U530" s="17" t="s">
        <v>215</v>
      </c>
      <c r="V530" s="17" t="s">
        <v>915</v>
      </c>
      <c r="W530" s="12">
        <v>41334</v>
      </c>
      <c r="X530" s="12"/>
      <c r="Y530" s="12">
        <v>42735</v>
      </c>
      <c r="Z530" s="2"/>
      <c r="AA530" s="2" t="s">
        <v>479</v>
      </c>
      <c r="AB530" s="7" t="s">
        <v>787</v>
      </c>
      <c r="AC530" s="5">
        <v>1000</v>
      </c>
      <c r="AD530" s="5">
        <f>+AC530</f>
        <v>1000</v>
      </c>
      <c r="AE530" s="5">
        <v>1170</v>
      </c>
      <c r="AF530" s="5">
        <f t="shared" si="518"/>
        <v>1310</v>
      </c>
      <c r="AG530" s="5">
        <f t="shared" si="552"/>
        <v>1310</v>
      </c>
      <c r="AH530" s="5">
        <f t="shared" si="552"/>
        <v>1310</v>
      </c>
      <c r="AI530" s="5">
        <f t="shared" ref="AI530:AJ530" si="569">+AH530</f>
        <v>1310</v>
      </c>
      <c r="AJ530" s="5">
        <f t="shared" si="569"/>
        <v>1310</v>
      </c>
      <c r="AK530" s="2"/>
      <c r="AL530" s="106"/>
    </row>
    <row r="531" spans="1:38" s="6" customFormat="1" ht="15" customHeight="1" x14ac:dyDescent="0.2">
      <c r="A531" s="29" t="s">
        <v>824</v>
      </c>
      <c r="B531" s="29"/>
      <c r="C531" s="29"/>
      <c r="D531" s="2" t="s">
        <v>820</v>
      </c>
      <c r="E531" s="7" t="s">
        <v>63</v>
      </c>
      <c r="F531" s="7"/>
      <c r="G531" s="7"/>
      <c r="H531" s="8"/>
      <c r="I531" s="2" t="s">
        <v>1707</v>
      </c>
      <c r="J531" s="28"/>
      <c r="K531" s="28" t="s">
        <v>1765</v>
      </c>
      <c r="L531" s="42" t="s">
        <v>1117</v>
      </c>
      <c r="M531" s="7" t="s">
        <v>3</v>
      </c>
      <c r="N531" s="15">
        <v>35634548</v>
      </c>
      <c r="O531" s="88">
        <v>20356345488</v>
      </c>
      <c r="P531" s="38">
        <v>33116</v>
      </c>
      <c r="Q531" s="38"/>
      <c r="R531" s="38"/>
      <c r="S531" s="38"/>
      <c r="T531" s="38"/>
      <c r="U531" s="17" t="s">
        <v>215</v>
      </c>
      <c r="V531" s="17" t="s">
        <v>915</v>
      </c>
      <c r="W531" s="12">
        <v>42522</v>
      </c>
      <c r="X531" s="20"/>
      <c r="Y531" s="12">
        <v>42735</v>
      </c>
      <c r="Z531" s="2"/>
      <c r="AA531" s="2" t="s">
        <v>479</v>
      </c>
      <c r="AB531" s="24"/>
      <c r="AC531" s="5">
        <v>1000</v>
      </c>
      <c r="AD531" s="5">
        <f>+AC531*1.07</f>
        <v>1070</v>
      </c>
      <c r="AE531" s="5">
        <v>1170</v>
      </c>
      <c r="AF531" s="5">
        <f t="shared" si="518"/>
        <v>1310</v>
      </c>
      <c r="AG531" s="5">
        <f t="shared" si="552"/>
        <v>1310</v>
      </c>
      <c r="AH531" s="5">
        <f t="shared" si="552"/>
        <v>1310</v>
      </c>
      <c r="AI531" s="5">
        <f t="shared" ref="AI531:AJ531" si="570">+AH531</f>
        <v>1310</v>
      </c>
      <c r="AJ531" s="5">
        <f t="shared" si="570"/>
        <v>1310</v>
      </c>
      <c r="AK531" s="29" t="s">
        <v>42</v>
      </c>
      <c r="AL531" s="105" t="str">
        <f>+AK531</f>
        <v>C0</v>
      </c>
    </row>
    <row r="532" spans="1:38" s="6" customFormat="1" ht="15" customHeight="1" x14ac:dyDescent="0.2">
      <c r="A532" s="29" t="s">
        <v>824</v>
      </c>
      <c r="B532" s="29"/>
      <c r="C532" s="14"/>
      <c r="D532" s="2" t="s">
        <v>820</v>
      </c>
      <c r="E532" s="2" t="s">
        <v>921</v>
      </c>
      <c r="F532" s="2" t="s">
        <v>217</v>
      </c>
      <c r="G532" s="3"/>
      <c r="H532" s="2" t="s">
        <v>230</v>
      </c>
      <c r="I532" s="3"/>
      <c r="J532" s="28" t="s">
        <v>73</v>
      </c>
      <c r="K532" s="28"/>
      <c r="L532" s="43" t="s">
        <v>810</v>
      </c>
      <c r="M532" s="4" t="s">
        <v>3</v>
      </c>
      <c r="N532" s="15">
        <v>27948229</v>
      </c>
      <c r="O532" s="88">
        <v>27279482293</v>
      </c>
      <c r="P532" s="61"/>
      <c r="Q532" s="61"/>
      <c r="R532" s="61"/>
      <c r="S532" s="61"/>
      <c r="T532" s="61"/>
      <c r="U532" s="36" t="s">
        <v>796</v>
      </c>
      <c r="V532" s="16" t="s">
        <v>916</v>
      </c>
      <c r="W532" s="12">
        <v>42156</v>
      </c>
      <c r="X532" s="12">
        <v>42460</v>
      </c>
      <c r="Y532" s="12">
        <v>42735</v>
      </c>
      <c r="Z532" s="2" t="s">
        <v>53</v>
      </c>
      <c r="AA532" s="2" t="s">
        <v>544</v>
      </c>
      <c r="AB532" s="2" t="s">
        <v>783</v>
      </c>
      <c r="AC532" s="5">
        <v>1000</v>
      </c>
      <c r="AD532" s="5"/>
      <c r="AE532" s="5">
        <v>1170</v>
      </c>
      <c r="AF532" s="5">
        <f t="shared" si="518"/>
        <v>1310</v>
      </c>
      <c r="AG532" s="5">
        <f t="shared" si="552"/>
        <v>1310</v>
      </c>
      <c r="AH532" s="5">
        <f t="shared" si="552"/>
        <v>1310</v>
      </c>
      <c r="AI532" s="5">
        <f t="shared" ref="AI532:AJ532" si="571">+AH532</f>
        <v>1310</v>
      </c>
      <c r="AJ532" s="5">
        <f t="shared" si="571"/>
        <v>1310</v>
      </c>
      <c r="AK532" s="2"/>
      <c r="AL532" s="105" t="str">
        <f>+Z532</f>
        <v>B0</v>
      </c>
    </row>
    <row r="533" spans="1:38" s="6" customFormat="1" ht="15" customHeight="1" x14ac:dyDescent="0.2">
      <c r="A533" s="29" t="s">
        <v>824</v>
      </c>
      <c r="B533" s="29" t="s">
        <v>822</v>
      </c>
      <c r="C533" s="29"/>
      <c r="D533" s="2" t="s">
        <v>825</v>
      </c>
      <c r="E533" s="2"/>
      <c r="F533" s="2"/>
      <c r="G533" s="2"/>
      <c r="H533" s="2"/>
      <c r="I533" s="2" t="s">
        <v>1707</v>
      </c>
      <c r="J533" s="28"/>
      <c r="K533" s="28" t="s">
        <v>1765</v>
      </c>
      <c r="L533" s="42" t="s">
        <v>1025</v>
      </c>
      <c r="M533" s="4" t="s">
        <v>3</v>
      </c>
      <c r="N533" s="15">
        <v>92485428</v>
      </c>
      <c r="O533" s="88">
        <v>20924854287</v>
      </c>
      <c r="P533" s="38">
        <v>28032</v>
      </c>
      <c r="Q533" s="38"/>
      <c r="R533" s="38"/>
      <c r="S533" s="38"/>
      <c r="T533" s="38"/>
      <c r="U533" s="17" t="s">
        <v>215</v>
      </c>
      <c r="V533" s="17" t="s">
        <v>915</v>
      </c>
      <c r="W533" s="12"/>
      <c r="X533" s="20"/>
      <c r="Y533" s="12">
        <v>42735</v>
      </c>
      <c r="Z533" s="2"/>
      <c r="AA533" s="2" t="s">
        <v>479</v>
      </c>
      <c r="AB533" s="24"/>
      <c r="AC533" s="5">
        <v>1000</v>
      </c>
      <c r="AD533" s="5">
        <f>+AC533*1.07</f>
        <v>1070</v>
      </c>
      <c r="AE533" s="5">
        <v>1170</v>
      </c>
      <c r="AF533" s="5">
        <f t="shared" si="518"/>
        <v>1310</v>
      </c>
      <c r="AG533" s="5">
        <f t="shared" si="552"/>
        <v>1310</v>
      </c>
      <c r="AH533" s="5">
        <f t="shared" si="552"/>
        <v>1310</v>
      </c>
      <c r="AI533" s="5">
        <f t="shared" ref="AI533:AJ533" si="572">+AH533</f>
        <v>1310</v>
      </c>
      <c r="AJ533" s="5">
        <f t="shared" si="572"/>
        <v>1310</v>
      </c>
      <c r="AK533" s="2" t="s">
        <v>43</v>
      </c>
      <c r="AL533" s="105" t="str">
        <f>+AK533</f>
        <v>A0</v>
      </c>
    </row>
    <row r="534" spans="1:38" s="6" customFormat="1" ht="15" customHeight="1" x14ac:dyDescent="0.2">
      <c r="A534" s="29" t="s">
        <v>824</v>
      </c>
      <c r="B534" s="29" t="s">
        <v>822</v>
      </c>
      <c r="C534" s="14"/>
      <c r="D534" s="2" t="s">
        <v>1833</v>
      </c>
      <c r="E534" s="2" t="s">
        <v>1109</v>
      </c>
      <c r="F534" s="2" t="s">
        <v>957</v>
      </c>
      <c r="G534" s="2"/>
      <c r="H534" s="2" t="s">
        <v>884</v>
      </c>
      <c r="I534" s="28" t="s">
        <v>1707</v>
      </c>
      <c r="J534" s="28"/>
      <c r="K534" s="28" t="s">
        <v>1766</v>
      </c>
      <c r="L534" s="41" t="s">
        <v>947</v>
      </c>
      <c r="M534" s="4" t="s">
        <v>3</v>
      </c>
      <c r="N534" s="15">
        <v>29998060</v>
      </c>
      <c r="O534" s="88">
        <v>20299980605</v>
      </c>
      <c r="P534" s="38">
        <v>30364</v>
      </c>
      <c r="Q534" s="38"/>
      <c r="R534" s="38"/>
      <c r="S534" s="38"/>
      <c r="T534" s="38"/>
      <c r="U534" s="17" t="s">
        <v>215</v>
      </c>
      <c r="V534" s="17" t="s">
        <v>915</v>
      </c>
      <c r="W534" s="12">
        <v>42444</v>
      </c>
      <c r="X534" s="12"/>
      <c r="Y534" s="12">
        <v>42613</v>
      </c>
      <c r="Z534" s="2"/>
      <c r="AA534" s="2" t="s">
        <v>479</v>
      </c>
      <c r="AB534" s="3"/>
      <c r="AC534" s="5">
        <v>1000</v>
      </c>
      <c r="AD534" s="5">
        <v>1070</v>
      </c>
      <c r="AE534" s="5">
        <v>1170</v>
      </c>
      <c r="AF534" s="5">
        <f t="shared" si="518"/>
        <v>1310</v>
      </c>
      <c r="AG534" s="5"/>
      <c r="AH534" s="5"/>
      <c r="AI534" s="5">
        <f t="shared" ref="AI534:AJ534" si="573">+AH534</f>
        <v>0</v>
      </c>
      <c r="AJ534" s="5">
        <f t="shared" si="573"/>
        <v>0</v>
      </c>
      <c r="AK534" s="29"/>
      <c r="AL534" s="105"/>
    </row>
    <row r="535" spans="1:38" s="6" customFormat="1" ht="15" customHeight="1" x14ac:dyDescent="0.2">
      <c r="A535" s="29" t="s">
        <v>824</v>
      </c>
      <c r="B535" s="2" t="s">
        <v>822</v>
      </c>
      <c r="C535" s="3"/>
      <c r="D535" s="2" t="s">
        <v>825</v>
      </c>
      <c r="E535" s="3" t="s">
        <v>18</v>
      </c>
      <c r="F535" s="2" t="s">
        <v>19</v>
      </c>
      <c r="G535" s="2"/>
      <c r="H535" s="2" t="s">
        <v>20</v>
      </c>
      <c r="I535" s="2" t="s">
        <v>1760</v>
      </c>
      <c r="J535" s="28" t="s">
        <v>548</v>
      </c>
      <c r="K535" s="28" t="s">
        <v>548</v>
      </c>
      <c r="L535" s="44" t="s">
        <v>672</v>
      </c>
      <c r="M535" s="4" t="s">
        <v>3</v>
      </c>
      <c r="N535" s="15">
        <v>34482878</v>
      </c>
      <c r="O535" s="88" t="s">
        <v>1474</v>
      </c>
      <c r="P535" s="38">
        <v>32615</v>
      </c>
      <c r="Q535" s="38"/>
      <c r="R535" s="38"/>
      <c r="S535" s="38"/>
      <c r="T535" s="38"/>
      <c r="U535" s="17" t="s">
        <v>215</v>
      </c>
      <c r="V535" s="17" t="s">
        <v>915</v>
      </c>
      <c r="W535" s="12">
        <v>42156</v>
      </c>
      <c r="X535" s="12"/>
      <c r="Y535" s="12">
        <v>42735</v>
      </c>
      <c r="Z535" s="2"/>
      <c r="AA535" s="2" t="s">
        <v>479</v>
      </c>
      <c r="AB535" s="7" t="s">
        <v>787</v>
      </c>
      <c r="AC535" s="5">
        <v>1000</v>
      </c>
      <c r="AD535" s="5">
        <f>+AC535</f>
        <v>1000</v>
      </c>
      <c r="AE535" s="5">
        <v>1170</v>
      </c>
      <c r="AF535" s="5">
        <f t="shared" si="518"/>
        <v>1310</v>
      </c>
      <c r="AG535" s="5">
        <f t="shared" ref="AG535:AH537" si="574">+AF535</f>
        <v>1310</v>
      </c>
      <c r="AH535" s="5">
        <f t="shared" si="574"/>
        <v>1310</v>
      </c>
      <c r="AI535" s="5">
        <f t="shared" ref="AI535:AJ535" si="575">+AH535</f>
        <v>1310</v>
      </c>
      <c r="AJ535" s="5">
        <f t="shared" si="575"/>
        <v>1310</v>
      </c>
      <c r="AK535" s="2"/>
      <c r="AL535" s="106"/>
    </row>
    <row r="536" spans="1:38" s="6" customFormat="1" ht="15" customHeight="1" x14ac:dyDescent="0.2">
      <c r="A536" s="29" t="s">
        <v>824</v>
      </c>
      <c r="B536" s="2" t="s">
        <v>822</v>
      </c>
      <c r="C536" s="3"/>
      <c r="D536" s="2" t="s">
        <v>825</v>
      </c>
      <c r="E536" s="3" t="s">
        <v>18</v>
      </c>
      <c r="F536" s="2" t="s">
        <v>19</v>
      </c>
      <c r="G536" s="2"/>
      <c r="H536" s="2" t="s">
        <v>37</v>
      </c>
      <c r="I536" s="2" t="s">
        <v>1761</v>
      </c>
      <c r="J536" s="28" t="s">
        <v>548</v>
      </c>
      <c r="K536" s="28" t="s">
        <v>548</v>
      </c>
      <c r="L536" s="44" t="s">
        <v>673</v>
      </c>
      <c r="M536" s="4" t="s">
        <v>3</v>
      </c>
      <c r="N536" s="15">
        <v>31772426</v>
      </c>
      <c r="O536" s="88" t="s">
        <v>1398</v>
      </c>
      <c r="P536" s="38">
        <v>31103</v>
      </c>
      <c r="Q536" s="38"/>
      <c r="R536" s="38"/>
      <c r="S536" s="38"/>
      <c r="T536" s="38"/>
      <c r="U536" s="17" t="s">
        <v>215</v>
      </c>
      <c r="V536" s="17" t="s">
        <v>915</v>
      </c>
      <c r="W536" s="12">
        <v>41620</v>
      </c>
      <c r="X536" s="12"/>
      <c r="Y536" s="12">
        <v>42735</v>
      </c>
      <c r="Z536" s="2"/>
      <c r="AA536" s="2" t="s">
        <v>479</v>
      </c>
      <c r="AB536" s="7" t="s">
        <v>787</v>
      </c>
      <c r="AC536" s="5">
        <v>1000</v>
      </c>
      <c r="AD536" s="5">
        <f>+AC536</f>
        <v>1000</v>
      </c>
      <c r="AE536" s="5">
        <v>1170</v>
      </c>
      <c r="AF536" s="5">
        <f t="shared" si="518"/>
        <v>1310</v>
      </c>
      <c r="AG536" s="5">
        <f t="shared" si="574"/>
        <v>1310</v>
      </c>
      <c r="AH536" s="5">
        <f t="shared" si="574"/>
        <v>1310</v>
      </c>
      <c r="AI536" s="5">
        <f t="shared" ref="AI536:AJ536" si="576">+AH536</f>
        <v>1310</v>
      </c>
      <c r="AJ536" s="5">
        <f t="shared" si="576"/>
        <v>1310</v>
      </c>
      <c r="AK536" s="2"/>
      <c r="AL536" s="106"/>
    </row>
    <row r="537" spans="1:38" s="6" customFormat="1" ht="15" customHeight="1" x14ac:dyDescent="0.2">
      <c r="A537" s="29" t="s">
        <v>824</v>
      </c>
      <c r="B537" s="2" t="s">
        <v>822</v>
      </c>
      <c r="C537" s="3"/>
      <c r="D537" s="2" t="s">
        <v>825</v>
      </c>
      <c r="E537" s="3" t="s">
        <v>18</v>
      </c>
      <c r="F537" s="2" t="s">
        <v>19</v>
      </c>
      <c r="G537" s="2"/>
      <c r="H537" s="2" t="s">
        <v>20</v>
      </c>
      <c r="I537" s="2" t="s">
        <v>1760</v>
      </c>
      <c r="J537" s="28" t="s">
        <v>548</v>
      </c>
      <c r="K537" s="28" t="s">
        <v>548</v>
      </c>
      <c r="L537" s="44" t="s">
        <v>674</v>
      </c>
      <c r="M537" s="4" t="s">
        <v>3</v>
      </c>
      <c r="N537" s="15">
        <v>35269809</v>
      </c>
      <c r="O537" s="88" t="s">
        <v>1490</v>
      </c>
      <c r="P537" s="38">
        <v>33075</v>
      </c>
      <c r="Q537" s="38"/>
      <c r="R537" s="38"/>
      <c r="S537" s="38"/>
      <c r="T537" s="38"/>
      <c r="U537" s="17" t="s">
        <v>215</v>
      </c>
      <c r="V537" s="17" t="s">
        <v>915</v>
      </c>
      <c r="W537" s="12">
        <v>42128</v>
      </c>
      <c r="X537" s="12"/>
      <c r="Y537" s="12">
        <v>42735</v>
      </c>
      <c r="Z537" s="2"/>
      <c r="AA537" s="2" t="s">
        <v>479</v>
      </c>
      <c r="AB537" s="7" t="s">
        <v>787</v>
      </c>
      <c r="AC537" s="5">
        <v>1000</v>
      </c>
      <c r="AD537" s="5">
        <f>+AC537</f>
        <v>1000</v>
      </c>
      <c r="AE537" s="5">
        <v>1170</v>
      </c>
      <c r="AF537" s="5">
        <f t="shared" si="518"/>
        <v>1310</v>
      </c>
      <c r="AG537" s="5">
        <f t="shared" si="574"/>
        <v>1310</v>
      </c>
      <c r="AH537" s="5">
        <f t="shared" si="574"/>
        <v>1310</v>
      </c>
      <c r="AI537" s="5">
        <f t="shared" ref="AI537:AJ537" si="577">+AH537</f>
        <v>1310</v>
      </c>
      <c r="AJ537" s="5">
        <f t="shared" si="577"/>
        <v>1310</v>
      </c>
      <c r="AK537" s="2"/>
      <c r="AL537" s="106"/>
    </row>
    <row r="538" spans="1:38" s="6" customFormat="1" ht="15" customHeight="1" x14ac:dyDescent="0.2">
      <c r="A538" s="29" t="s">
        <v>824</v>
      </c>
      <c r="B538" s="29" t="s">
        <v>822</v>
      </c>
      <c r="C538" s="29" t="s">
        <v>823</v>
      </c>
      <c r="D538" s="2" t="s">
        <v>800</v>
      </c>
      <c r="E538" s="2"/>
      <c r="F538" s="3"/>
      <c r="G538" s="3"/>
      <c r="H538" s="2" t="s">
        <v>884</v>
      </c>
      <c r="I538" s="2" t="s">
        <v>1707</v>
      </c>
      <c r="J538" s="28"/>
      <c r="K538" s="28" t="s">
        <v>1767</v>
      </c>
      <c r="L538" s="41" t="s">
        <v>904</v>
      </c>
      <c r="M538" s="7" t="s">
        <v>3</v>
      </c>
      <c r="N538" s="15">
        <v>14957725</v>
      </c>
      <c r="O538" s="88">
        <v>20149577255</v>
      </c>
      <c r="P538" s="38">
        <v>22864</v>
      </c>
      <c r="Q538" s="38"/>
      <c r="R538" s="38"/>
      <c r="S538" s="38"/>
      <c r="T538" s="38"/>
      <c r="U538" s="17" t="s">
        <v>215</v>
      </c>
      <c r="V538" s="17" t="s">
        <v>915</v>
      </c>
      <c r="W538" s="12">
        <v>42430</v>
      </c>
      <c r="X538" s="48"/>
      <c r="Y538" s="12">
        <v>42735</v>
      </c>
      <c r="Z538" s="2"/>
      <c r="AA538" s="2" t="s">
        <v>479</v>
      </c>
      <c r="AB538" s="3"/>
      <c r="AC538" s="5">
        <v>1000</v>
      </c>
      <c r="AD538" s="5">
        <v>1070</v>
      </c>
      <c r="AE538" s="5">
        <v>1170</v>
      </c>
      <c r="AF538" s="5">
        <f t="shared" si="518"/>
        <v>1310</v>
      </c>
      <c r="AG538" s="5">
        <f t="shared" ref="AG538:AH568" si="578">+AF538</f>
        <v>1310</v>
      </c>
      <c r="AH538" s="5">
        <f t="shared" si="578"/>
        <v>1310</v>
      </c>
      <c r="AI538" s="5">
        <f t="shared" ref="AI538:AJ538" si="579">+AH538</f>
        <v>1310</v>
      </c>
      <c r="AJ538" s="5">
        <f t="shared" si="579"/>
        <v>1310</v>
      </c>
      <c r="AK538" s="2" t="s">
        <v>43</v>
      </c>
      <c r="AL538" s="105" t="str">
        <f>+AK538</f>
        <v>A0</v>
      </c>
    </row>
    <row r="539" spans="1:38" s="6" customFormat="1" ht="15" customHeight="1" x14ac:dyDescent="0.2">
      <c r="A539" s="29" t="s">
        <v>824</v>
      </c>
      <c r="B539" s="2" t="s">
        <v>822</v>
      </c>
      <c r="C539" s="29" t="s">
        <v>823</v>
      </c>
      <c r="D539" s="2" t="s">
        <v>1820</v>
      </c>
      <c r="E539" s="2"/>
      <c r="F539" s="2"/>
      <c r="G539" s="3"/>
      <c r="H539" s="2" t="s">
        <v>884</v>
      </c>
      <c r="I539" s="2" t="s">
        <v>1707</v>
      </c>
      <c r="J539" s="28"/>
      <c r="K539" s="28" t="s">
        <v>1765</v>
      </c>
      <c r="L539" s="43" t="s">
        <v>962</v>
      </c>
      <c r="M539" s="7" t="s">
        <v>3</v>
      </c>
      <c r="N539" s="15">
        <v>24524414</v>
      </c>
      <c r="O539" s="88" t="s">
        <v>1589</v>
      </c>
      <c r="P539" s="38">
        <v>27615</v>
      </c>
      <c r="Q539" s="38"/>
      <c r="R539" s="38"/>
      <c r="S539" s="38"/>
      <c r="T539" s="38"/>
      <c r="U539" s="17" t="s">
        <v>215</v>
      </c>
      <c r="V539" s="17" t="s">
        <v>915</v>
      </c>
      <c r="W539" s="12"/>
      <c r="X539" s="37"/>
      <c r="Y539" s="12">
        <v>42735</v>
      </c>
      <c r="Z539" s="2"/>
      <c r="AA539" s="2" t="s">
        <v>479</v>
      </c>
      <c r="AB539" s="7"/>
      <c r="AC539" s="5">
        <v>1000</v>
      </c>
      <c r="AD539" s="5">
        <f>+AC539*1.07</f>
        <v>1070</v>
      </c>
      <c r="AE539" s="5">
        <v>1170</v>
      </c>
      <c r="AF539" s="5">
        <f t="shared" si="518"/>
        <v>1310</v>
      </c>
      <c r="AG539" s="5">
        <f t="shared" si="578"/>
        <v>1310</v>
      </c>
      <c r="AH539" s="5">
        <f t="shared" si="578"/>
        <v>1310</v>
      </c>
      <c r="AI539" s="5">
        <f t="shared" ref="AI539:AJ539" si="580">+AH539</f>
        <v>1310</v>
      </c>
      <c r="AJ539" s="5">
        <f t="shared" si="580"/>
        <v>1310</v>
      </c>
      <c r="AK539" s="2" t="s">
        <v>53</v>
      </c>
      <c r="AL539" s="105" t="str">
        <f>+AK539</f>
        <v>B0</v>
      </c>
    </row>
    <row r="540" spans="1:38" s="6" customFormat="1" ht="15" customHeight="1" x14ac:dyDescent="0.2">
      <c r="A540" s="29" t="s">
        <v>824</v>
      </c>
      <c r="B540" s="2" t="s">
        <v>822</v>
      </c>
      <c r="C540" s="29"/>
      <c r="D540" s="2" t="s">
        <v>825</v>
      </c>
      <c r="E540" s="3" t="s">
        <v>8</v>
      </c>
      <c r="F540" s="2" t="s">
        <v>913</v>
      </c>
      <c r="G540" s="2"/>
      <c r="H540" s="2" t="s">
        <v>28</v>
      </c>
      <c r="I540" s="2" t="s">
        <v>13</v>
      </c>
      <c r="J540" s="28" t="s">
        <v>549</v>
      </c>
      <c r="K540" s="28" t="s">
        <v>549</v>
      </c>
      <c r="L540" s="41" t="s">
        <v>675</v>
      </c>
      <c r="M540" s="4" t="s">
        <v>3</v>
      </c>
      <c r="N540" s="15">
        <v>35931200</v>
      </c>
      <c r="O540" s="88">
        <v>20359312009</v>
      </c>
      <c r="P540" s="38">
        <v>33435</v>
      </c>
      <c r="Q540" s="38"/>
      <c r="R540" s="38"/>
      <c r="S540" s="38"/>
      <c r="T540" s="38"/>
      <c r="U540" s="17" t="s">
        <v>215</v>
      </c>
      <c r="V540" s="17" t="s">
        <v>915</v>
      </c>
      <c r="W540" s="12">
        <v>42248</v>
      </c>
      <c r="X540" s="12"/>
      <c r="Y540" s="12">
        <v>42735</v>
      </c>
      <c r="Z540" s="2"/>
      <c r="AA540" s="2" t="s">
        <v>479</v>
      </c>
      <c r="AB540" s="3" t="s">
        <v>10</v>
      </c>
      <c r="AC540" s="5">
        <v>1000</v>
      </c>
      <c r="AD540" s="5">
        <f>+AC540*1.07</f>
        <v>1070</v>
      </c>
      <c r="AE540" s="5">
        <v>1170</v>
      </c>
      <c r="AF540" s="5">
        <f t="shared" si="518"/>
        <v>1310</v>
      </c>
      <c r="AG540" s="5">
        <f t="shared" si="578"/>
        <v>1310</v>
      </c>
      <c r="AH540" s="5">
        <f t="shared" si="578"/>
        <v>1310</v>
      </c>
      <c r="AI540" s="5">
        <f t="shared" ref="AI540:AJ540" si="581">+AH540</f>
        <v>1310</v>
      </c>
      <c r="AJ540" s="5">
        <f t="shared" si="581"/>
        <v>1310</v>
      </c>
      <c r="AK540" s="2" t="s">
        <v>1815</v>
      </c>
      <c r="AL540" s="106"/>
    </row>
    <row r="541" spans="1:38" s="6" customFormat="1" ht="15" customHeight="1" x14ac:dyDescent="0.2">
      <c r="A541" s="29" t="s">
        <v>824</v>
      </c>
      <c r="B541" s="2" t="s">
        <v>822</v>
      </c>
      <c r="C541" s="29"/>
      <c r="D541" s="2" t="s">
        <v>825</v>
      </c>
      <c r="E541" s="3" t="s">
        <v>8</v>
      </c>
      <c r="F541" s="2" t="s">
        <v>913</v>
      </c>
      <c r="G541" s="2"/>
      <c r="H541" s="2" t="s">
        <v>38</v>
      </c>
      <c r="I541" s="2" t="s">
        <v>13</v>
      </c>
      <c r="J541" s="28" t="s">
        <v>549</v>
      </c>
      <c r="K541" s="28" t="s">
        <v>549</v>
      </c>
      <c r="L541" s="41" t="s">
        <v>676</v>
      </c>
      <c r="M541" s="4" t="s">
        <v>3</v>
      </c>
      <c r="N541" s="15">
        <v>29419234</v>
      </c>
      <c r="O541" s="88">
        <v>20294192345</v>
      </c>
      <c r="P541" s="38">
        <v>30139</v>
      </c>
      <c r="Q541" s="38"/>
      <c r="R541" s="38"/>
      <c r="S541" s="38"/>
      <c r="T541" s="38"/>
      <c r="U541" s="17" t="s">
        <v>215</v>
      </c>
      <c r="V541" s="17" t="s">
        <v>915</v>
      </c>
      <c r="W541" s="12">
        <v>42248</v>
      </c>
      <c r="X541" s="12"/>
      <c r="Y541" s="12">
        <v>42735</v>
      </c>
      <c r="Z541" s="2"/>
      <c r="AA541" s="2" t="s">
        <v>479</v>
      </c>
      <c r="AB541" s="3" t="s">
        <v>10</v>
      </c>
      <c r="AC541" s="5">
        <v>1000</v>
      </c>
      <c r="AD541" s="5">
        <f>+AC541*1.07</f>
        <v>1070</v>
      </c>
      <c r="AE541" s="5">
        <v>1170</v>
      </c>
      <c r="AF541" s="5">
        <f t="shared" si="518"/>
        <v>1310</v>
      </c>
      <c r="AG541" s="5">
        <f t="shared" si="578"/>
        <v>1310</v>
      </c>
      <c r="AH541" s="5">
        <f t="shared" si="578"/>
        <v>1310</v>
      </c>
      <c r="AI541" s="5">
        <f t="shared" ref="AI541:AJ541" si="582">+AH541</f>
        <v>1310</v>
      </c>
      <c r="AJ541" s="5">
        <f t="shared" si="582"/>
        <v>1310</v>
      </c>
      <c r="AK541" s="2" t="s">
        <v>1815</v>
      </c>
      <c r="AL541" s="106"/>
    </row>
    <row r="542" spans="1:38" s="6" customFormat="1" ht="15" customHeight="1" x14ac:dyDescent="0.2">
      <c r="A542" s="29" t="s">
        <v>824</v>
      </c>
      <c r="B542" s="29" t="s">
        <v>822</v>
      </c>
      <c r="C542" s="29" t="s">
        <v>823</v>
      </c>
      <c r="D542" s="2" t="s">
        <v>808</v>
      </c>
      <c r="E542" s="2" t="s">
        <v>909</v>
      </c>
      <c r="F542" s="2" t="s">
        <v>23</v>
      </c>
      <c r="G542" s="3" t="s">
        <v>516</v>
      </c>
      <c r="H542" s="2" t="s">
        <v>222</v>
      </c>
      <c r="I542" s="2" t="s">
        <v>222</v>
      </c>
      <c r="J542" s="28" t="s">
        <v>73</v>
      </c>
      <c r="K542" s="28" t="s">
        <v>1765</v>
      </c>
      <c r="L542" s="43" t="s">
        <v>149</v>
      </c>
      <c r="M542" s="4" t="s">
        <v>3</v>
      </c>
      <c r="N542" s="15">
        <v>39000432</v>
      </c>
      <c r="O542" s="88" t="s">
        <v>1558</v>
      </c>
      <c r="P542" s="38">
        <v>31528</v>
      </c>
      <c r="Q542" s="38"/>
      <c r="R542" s="38"/>
      <c r="S542" s="38"/>
      <c r="T542" s="38"/>
      <c r="U542" s="17" t="s">
        <v>215</v>
      </c>
      <c r="V542" s="17" t="s">
        <v>915</v>
      </c>
      <c r="W542" s="12">
        <v>42165</v>
      </c>
      <c r="X542" s="37"/>
      <c r="Y542" s="12">
        <v>42735</v>
      </c>
      <c r="Z542" s="2"/>
      <c r="AA542" s="2" t="s">
        <v>479</v>
      </c>
      <c r="AB542" s="14" t="s">
        <v>479</v>
      </c>
      <c r="AC542" s="5">
        <v>1000</v>
      </c>
      <c r="AD542" s="5">
        <f>+AC542*1.07</f>
        <v>1070</v>
      </c>
      <c r="AE542" s="5">
        <v>1170</v>
      </c>
      <c r="AF542" s="5">
        <f t="shared" si="518"/>
        <v>1310</v>
      </c>
      <c r="AG542" s="5">
        <f t="shared" si="578"/>
        <v>1310</v>
      </c>
      <c r="AH542" s="5">
        <f t="shared" si="578"/>
        <v>1310</v>
      </c>
      <c r="AI542" s="5">
        <f t="shared" ref="AI542:AJ542" si="583">+AH542</f>
        <v>1310</v>
      </c>
      <c r="AJ542" s="5">
        <f t="shared" si="583"/>
        <v>1310</v>
      </c>
      <c r="AK542" s="29" t="s">
        <v>42</v>
      </c>
      <c r="AL542" s="105" t="str">
        <f>+AK542</f>
        <v>C0</v>
      </c>
    </row>
    <row r="543" spans="1:38" s="6" customFormat="1" ht="15" customHeight="1" x14ac:dyDescent="0.2">
      <c r="A543" s="29" t="s">
        <v>824</v>
      </c>
      <c r="B543" s="2" t="s">
        <v>822</v>
      </c>
      <c r="C543" s="3"/>
      <c r="D543" s="2" t="s">
        <v>825</v>
      </c>
      <c r="E543" s="3" t="s">
        <v>18</v>
      </c>
      <c r="F543" s="2" t="s">
        <v>19</v>
      </c>
      <c r="G543" s="2"/>
      <c r="H543" s="2" t="s">
        <v>37</v>
      </c>
      <c r="I543" s="2" t="s">
        <v>1761</v>
      </c>
      <c r="J543" s="28" t="s">
        <v>548</v>
      </c>
      <c r="K543" s="28" t="s">
        <v>548</v>
      </c>
      <c r="L543" s="44" t="s">
        <v>980</v>
      </c>
      <c r="M543" s="7" t="s">
        <v>3</v>
      </c>
      <c r="N543" s="47">
        <v>92778623</v>
      </c>
      <c r="O543" s="88" t="s">
        <v>1571</v>
      </c>
      <c r="P543" s="38">
        <v>30277</v>
      </c>
      <c r="Q543" s="38"/>
      <c r="R543" s="38"/>
      <c r="S543" s="38"/>
      <c r="T543" s="38"/>
      <c r="U543" s="17" t="s">
        <v>215</v>
      </c>
      <c r="V543" s="17" t="s">
        <v>915</v>
      </c>
      <c r="W543" s="12">
        <v>41384</v>
      </c>
      <c r="X543" s="12"/>
      <c r="Y543" s="12">
        <v>42735</v>
      </c>
      <c r="Z543" s="2"/>
      <c r="AA543" s="2" t="s">
        <v>479</v>
      </c>
      <c r="AB543" s="7"/>
      <c r="AC543" s="5">
        <v>1000</v>
      </c>
      <c r="AD543" s="5">
        <f>+AC543</f>
        <v>1000</v>
      </c>
      <c r="AE543" s="5">
        <v>1170</v>
      </c>
      <c r="AF543" s="5">
        <f t="shared" si="518"/>
        <v>1310</v>
      </c>
      <c r="AG543" s="5">
        <f t="shared" si="578"/>
        <v>1310</v>
      </c>
      <c r="AH543" s="5">
        <f t="shared" si="578"/>
        <v>1310</v>
      </c>
      <c r="AI543" s="5">
        <f t="shared" ref="AI543:AJ543" si="584">+AH543</f>
        <v>1310</v>
      </c>
      <c r="AJ543" s="5">
        <f t="shared" si="584"/>
        <v>1310</v>
      </c>
      <c r="AK543" s="2"/>
      <c r="AL543" s="106"/>
    </row>
    <row r="544" spans="1:38" s="6" customFormat="1" ht="15" customHeight="1" x14ac:dyDescent="0.2">
      <c r="A544" s="29" t="s">
        <v>824</v>
      </c>
      <c r="B544" s="29" t="s">
        <v>822</v>
      </c>
      <c r="C544" s="29" t="s">
        <v>823</v>
      </c>
      <c r="D544" s="2" t="s">
        <v>800</v>
      </c>
      <c r="E544" s="7" t="s">
        <v>497</v>
      </c>
      <c r="F544" s="7"/>
      <c r="G544" s="7"/>
      <c r="H544" s="8"/>
      <c r="I544" s="3"/>
      <c r="J544" s="28" t="s">
        <v>254</v>
      </c>
      <c r="K544" s="28"/>
      <c r="L544" s="42" t="s">
        <v>379</v>
      </c>
      <c r="M544" s="4" t="s">
        <v>3</v>
      </c>
      <c r="N544" s="15">
        <v>39761602</v>
      </c>
      <c r="O544" s="88">
        <v>23397616029</v>
      </c>
      <c r="P544" s="38"/>
      <c r="Q544" s="38"/>
      <c r="R544" s="38"/>
      <c r="S544" s="38"/>
      <c r="T544" s="38"/>
      <c r="U544" s="16" t="s">
        <v>796</v>
      </c>
      <c r="V544" s="16" t="s">
        <v>916</v>
      </c>
      <c r="W544" s="12">
        <v>40725</v>
      </c>
      <c r="X544" s="48">
        <v>42735</v>
      </c>
      <c r="Y544" s="12">
        <v>42735</v>
      </c>
      <c r="Z544" s="2" t="s">
        <v>24</v>
      </c>
      <c r="AA544" s="2"/>
      <c r="AB544" s="18"/>
      <c r="AC544" s="5">
        <v>1000</v>
      </c>
      <c r="AD544" s="5"/>
      <c r="AE544" s="5">
        <v>1170</v>
      </c>
      <c r="AF544" s="5">
        <f t="shared" si="518"/>
        <v>1310</v>
      </c>
      <c r="AG544" s="5">
        <f t="shared" si="578"/>
        <v>1310</v>
      </c>
      <c r="AH544" s="5">
        <f t="shared" si="578"/>
        <v>1310</v>
      </c>
      <c r="AI544" s="5">
        <f t="shared" ref="AI544:AJ544" si="585">+AH544</f>
        <v>1310</v>
      </c>
      <c r="AJ544" s="5">
        <f t="shared" si="585"/>
        <v>1310</v>
      </c>
      <c r="AK544" s="2"/>
      <c r="AL544" s="105" t="str">
        <f>+Z544</f>
        <v>D0</v>
      </c>
    </row>
    <row r="545" spans="1:38" s="6" customFormat="1" ht="15" customHeight="1" x14ac:dyDescent="0.2">
      <c r="A545" s="29" t="s">
        <v>824</v>
      </c>
      <c r="B545" s="29" t="s">
        <v>822</v>
      </c>
      <c r="C545" s="29" t="s">
        <v>823</v>
      </c>
      <c r="D545" s="2" t="s">
        <v>800</v>
      </c>
      <c r="E545" s="2" t="s">
        <v>486</v>
      </c>
      <c r="F545" s="2"/>
      <c r="G545" s="2"/>
      <c r="H545" s="2" t="s">
        <v>1710</v>
      </c>
      <c r="I545" s="3" t="s">
        <v>1751</v>
      </c>
      <c r="J545" s="28" t="s">
        <v>254</v>
      </c>
      <c r="K545" s="28"/>
      <c r="L545" s="42" t="s">
        <v>312</v>
      </c>
      <c r="M545" s="4" t="s">
        <v>3</v>
      </c>
      <c r="N545" s="15">
        <v>36175840</v>
      </c>
      <c r="O545" s="88">
        <v>20361758405</v>
      </c>
      <c r="P545" s="38"/>
      <c r="Q545" s="38"/>
      <c r="R545" s="38"/>
      <c r="S545" s="38"/>
      <c r="T545" s="38"/>
      <c r="U545" s="17" t="s">
        <v>215</v>
      </c>
      <c r="V545" s="17" t="s">
        <v>1698</v>
      </c>
      <c r="W545" s="12"/>
      <c r="X545" s="20"/>
      <c r="Y545" s="12">
        <v>42735</v>
      </c>
      <c r="Z545" s="2"/>
      <c r="AA545" s="2" t="s">
        <v>479</v>
      </c>
      <c r="AB545" s="25" t="s">
        <v>479</v>
      </c>
      <c r="AC545" s="5">
        <v>1000</v>
      </c>
      <c r="AD545" s="5">
        <f>+AC545*1.07</f>
        <v>1070</v>
      </c>
      <c r="AE545" s="5">
        <v>1170</v>
      </c>
      <c r="AF545" s="5">
        <f t="shared" si="518"/>
        <v>1310</v>
      </c>
      <c r="AG545" s="5">
        <v>1310</v>
      </c>
      <c r="AH545" s="5">
        <f t="shared" si="578"/>
        <v>1310</v>
      </c>
      <c r="AI545" s="5">
        <f t="shared" ref="AI545:AJ545" si="586">+AH545</f>
        <v>1310</v>
      </c>
      <c r="AJ545" s="5">
        <f t="shared" si="586"/>
        <v>1310</v>
      </c>
      <c r="AK545" s="2"/>
      <c r="AL545" s="107" t="s">
        <v>1818</v>
      </c>
    </row>
    <row r="546" spans="1:38" s="6" customFormat="1" ht="15" customHeight="1" x14ac:dyDescent="0.2">
      <c r="A546" s="29" t="s">
        <v>824</v>
      </c>
      <c r="B546" s="29" t="s">
        <v>822</v>
      </c>
      <c r="C546" s="29" t="s">
        <v>823</v>
      </c>
      <c r="D546" s="2" t="s">
        <v>800</v>
      </c>
      <c r="E546" s="2" t="s">
        <v>486</v>
      </c>
      <c r="F546" s="2"/>
      <c r="G546" s="2"/>
      <c r="H546" s="2" t="s">
        <v>1710</v>
      </c>
      <c r="I546" s="2" t="s">
        <v>1710</v>
      </c>
      <c r="J546" s="28" t="s">
        <v>254</v>
      </c>
      <c r="K546" s="28"/>
      <c r="L546" s="42" t="s">
        <v>311</v>
      </c>
      <c r="M546" s="4" t="s">
        <v>3</v>
      </c>
      <c r="N546" s="15">
        <v>23033997</v>
      </c>
      <c r="O546" s="88"/>
      <c r="P546" s="38"/>
      <c r="Q546" s="38"/>
      <c r="R546" s="38"/>
      <c r="S546" s="38"/>
      <c r="T546" s="38"/>
      <c r="U546" s="17" t="s">
        <v>215</v>
      </c>
      <c r="V546" s="17" t="s">
        <v>1698</v>
      </c>
      <c r="W546" s="12"/>
      <c r="X546" s="20"/>
      <c r="Y546" s="12">
        <v>42735</v>
      </c>
      <c r="Z546" s="2"/>
      <c r="AA546" s="2" t="s">
        <v>479</v>
      </c>
      <c r="AB546" s="25" t="s">
        <v>479</v>
      </c>
      <c r="AC546" s="5">
        <v>1000</v>
      </c>
      <c r="AD546" s="5">
        <f>+AC546*1.07</f>
        <v>1070</v>
      </c>
      <c r="AE546" s="5">
        <v>1170</v>
      </c>
      <c r="AF546" s="5">
        <f t="shared" ref="AF546:AF577" si="587">+AC546*1.31</f>
        <v>1310</v>
      </c>
      <c r="AG546" s="5">
        <v>1310</v>
      </c>
      <c r="AH546" s="5">
        <f t="shared" si="578"/>
        <v>1310</v>
      </c>
      <c r="AI546" s="5">
        <f t="shared" ref="AI546:AJ546" si="588">+AH546</f>
        <v>1310</v>
      </c>
      <c r="AJ546" s="5">
        <f t="shared" si="588"/>
        <v>1310</v>
      </c>
      <c r="AK546" s="2"/>
      <c r="AL546" s="107" t="s">
        <v>1818</v>
      </c>
    </row>
    <row r="547" spans="1:38" s="6" customFormat="1" ht="15" customHeight="1" x14ac:dyDescent="0.2">
      <c r="A547" s="29" t="s">
        <v>824</v>
      </c>
      <c r="B547" s="29" t="s">
        <v>822</v>
      </c>
      <c r="C547" s="29" t="s">
        <v>823</v>
      </c>
      <c r="D547" s="2" t="s">
        <v>808</v>
      </c>
      <c r="E547" s="2"/>
      <c r="F547" s="2"/>
      <c r="G547" s="3"/>
      <c r="H547" s="2"/>
      <c r="I547" s="2" t="s">
        <v>225</v>
      </c>
      <c r="J547" s="28" t="s">
        <v>73</v>
      </c>
      <c r="K547" s="28" t="s">
        <v>1765</v>
      </c>
      <c r="L547" s="43" t="s">
        <v>150</v>
      </c>
      <c r="M547" s="4" t="s">
        <v>3</v>
      </c>
      <c r="N547" s="15">
        <v>23447824</v>
      </c>
      <c r="O547" s="88" t="s">
        <v>1230</v>
      </c>
      <c r="P547" s="38">
        <v>26870</v>
      </c>
      <c r="Q547" s="38"/>
      <c r="R547" s="38"/>
      <c r="S547" s="38"/>
      <c r="T547" s="38"/>
      <c r="U547" s="17" t="s">
        <v>215</v>
      </c>
      <c r="V547" s="17" t="s">
        <v>915</v>
      </c>
      <c r="W547" s="12">
        <v>41519</v>
      </c>
      <c r="X547" s="37"/>
      <c r="Y547" s="12">
        <v>42735</v>
      </c>
      <c r="Z547" s="2"/>
      <c r="AA547" s="2" t="s">
        <v>479</v>
      </c>
      <c r="AB547" s="7" t="s">
        <v>784</v>
      </c>
      <c r="AC547" s="5">
        <v>1000</v>
      </c>
      <c r="AD547" s="5">
        <f>+AC547*1.07</f>
        <v>1070</v>
      </c>
      <c r="AE547" s="5">
        <v>1170</v>
      </c>
      <c r="AF547" s="5">
        <f t="shared" si="587"/>
        <v>1310</v>
      </c>
      <c r="AG547" s="5">
        <f t="shared" si="578"/>
        <v>1310</v>
      </c>
      <c r="AH547" s="5">
        <f t="shared" si="578"/>
        <v>1310</v>
      </c>
      <c r="AI547" s="5">
        <f t="shared" ref="AI547:AJ547" si="589">+AH547</f>
        <v>1310</v>
      </c>
      <c r="AJ547" s="5">
        <f t="shared" si="589"/>
        <v>1310</v>
      </c>
      <c r="AK547" s="2" t="s">
        <v>53</v>
      </c>
      <c r="AL547" s="105" t="str">
        <f>+AK547</f>
        <v>B0</v>
      </c>
    </row>
    <row r="548" spans="1:38" s="6" customFormat="1" ht="15" customHeight="1" x14ac:dyDescent="0.2">
      <c r="A548" s="29" t="s">
        <v>824</v>
      </c>
      <c r="B548" s="29" t="s">
        <v>822</v>
      </c>
      <c r="C548" s="29" t="s">
        <v>823</v>
      </c>
      <c r="D548" s="2" t="s">
        <v>808</v>
      </c>
      <c r="E548" s="2" t="s">
        <v>517</v>
      </c>
      <c r="F548" s="2"/>
      <c r="G548" s="2"/>
      <c r="H548" s="2"/>
      <c r="I548" s="3"/>
      <c r="J548" s="28" t="s">
        <v>73</v>
      </c>
      <c r="K548" s="28" t="s">
        <v>1765</v>
      </c>
      <c r="L548" s="42" t="s">
        <v>295</v>
      </c>
      <c r="M548" s="4" t="s">
        <v>3</v>
      </c>
      <c r="N548" s="15">
        <v>29191202</v>
      </c>
      <c r="O548" s="88">
        <v>20291912029</v>
      </c>
      <c r="P548" s="38"/>
      <c r="Q548" s="38"/>
      <c r="R548" s="38"/>
      <c r="S548" s="38"/>
      <c r="T548" s="38"/>
      <c r="U548" s="16" t="s">
        <v>796</v>
      </c>
      <c r="V548" s="16" t="s">
        <v>916</v>
      </c>
      <c r="W548" s="12">
        <v>41091</v>
      </c>
      <c r="X548" s="48">
        <v>42735</v>
      </c>
      <c r="Y548" s="12">
        <v>42735</v>
      </c>
      <c r="Z548" s="2" t="s">
        <v>42</v>
      </c>
      <c r="AA548" s="2"/>
      <c r="AB548" s="18"/>
      <c r="AC548" s="5">
        <v>1000</v>
      </c>
      <c r="AD548" s="5"/>
      <c r="AE548" s="5">
        <v>1170</v>
      </c>
      <c r="AF548" s="5">
        <f t="shared" si="587"/>
        <v>1310</v>
      </c>
      <c r="AG548" s="5">
        <f t="shared" si="578"/>
        <v>1310</v>
      </c>
      <c r="AH548" s="5">
        <f t="shared" si="578"/>
        <v>1310</v>
      </c>
      <c r="AI548" s="5">
        <f t="shared" ref="AI548:AJ548" si="590">+AH548</f>
        <v>1310</v>
      </c>
      <c r="AJ548" s="5">
        <f t="shared" si="590"/>
        <v>1310</v>
      </c>
      <c r="AK548" s="2"/>
      <c r="AL548" s="105" t="str">
        <f>+Z548</f>
        <v>C0</v>
      </c>
    </row>
    <row r="549" spans="1:38" s="6" customFormat="1" ht="15" customHeight="1" x14ac:dyDescent="0.2">
      <c r="A549" s="29" t="s">
        <v>824</v>
      </c>
      <c r="B549" s="2"/>
      <c r="C549" s="3"/>
      <c r="D549" s="2" t="s">
        <v>820</v>
      </c>
      <c r="E549" s="2" t="s">
        <v>921</v>
      </c>
      <c r="F549" s="2" t="s">
        <v>795</v>
      </c>
      <c r="G549" s="2"/>
      <c r="H549" s="2" t="s">
        <v>31</v>
      </c>
      <c r="I549" s="3"/>
      <c r="J549" s="28" t="s">
        <v>548</v>
      </c>
      <c r="K549" s="28"/>
      <c r="L549" s="41" t="s">
        <v>677</v>
      </c>
      <c r="M549" s="4" t="s">
        <v>3</v>
      </c>
      <c r="N549" s="15">
        <v>27382228</v>
      </c>
      <c r="O549" s="88">
        <v>27273822289</v>
      </c>
      <c r="P549" s="61"/>
      <c r="Q549" s="61"/>
      <c r="R549" s="61"/>
      <c r="S549" s="61"/>
      <c r="T549" s="61"/>
      <c r="U549" s="16" t="s">
        <v>796</v>
      </c>
      <c r="V549" s="16" t="s">
        <v>916</v>
      </c>
      <c r="W549" s="12">
        <v>40269</v>
      </c>
      <c r="X549" s="48">
        <v>42735</v>
      </c>
      <c r="Y549" s="12">
        <v>42735</v>
      </c>
      <c r="Z549" s="2" t="s">
        <v>30</v>
      </c>
      <c r="AA549" s="2"/>
      <c r="AB549" s="3"/>
      <c r="AC549" s="5">
        <v>1000</v>
      </c>
      <c r="AD549" s="5"/>
      <c r="AE549" s="5">
        <v>1170</v>
      </c>
      <c r="AF549" s="5">
        <f t="shared" si="587"/>
        <v>1310</v>
      </c>
      <c r="AG549" s="5">
        <f t="shared" si="578"/>
        <v>1310</v>
      </c>
      <c r="AH549" s="5">
        <f t="shared" si="578"/>
        <v>1310</v>
      </c>
      <c r="AI549" s="5">
        <f t="shared" ref="AI549:AJ549" si="591">+AH549</f>
        <v>1310</v>
      </c>
      <c r="AJ549" s="5">
        <f t="shared" si="591"/>
        <v>1310</v>
      </c>
      <c r="AK549" s="2"/>
      <c r="AL549" s="105" t="str">
        <f>+Z549</f>
        <v>B1</v>
      </c>
    </row>
    <row r="550" spans="1:38" s="6" customFormat="1" ht="15" customHeight="1" x14ac:dyDescent="0.2">
      <c r="A550" s="29" t="s">
        <v>824</v>
      </c>
      <c r="B550" s="2" t="s">
        <v>822</v>
      </c>
      <c r="C550" s="3"/>
      <c r="D550" s="2" t="s">
        <v>825</v>
      </c>
      <c r="E550" s="3" t="s">
        <v>18</v>
      </c>
      <c r="F550" s="2" t="s">
        <v>1012</v>
      </c>
      <c r="G550" s="2"/>
      <c r="H550" s="2" t="s">
        <v>20</v>
      </c>
      <c r="I550" s="2" t="s">
        <v>1760</v>
      </c>
      <c r="J550" s="28" t="s">
        <v>548</v>
      </c>
      <c r="K550" s="28" t="s">
        <v>548</v>
      </c>
      <c r="L550" s="44" t="s">
        <v>1003</v>
      </c>
      <c r="M550" s="7" t="s">
        <v>3</v>
      </c>
      <c r="N550" s="47">
        <v>31732531</v>
      </c>
      <c r="O550" s="88" t="s">
        <v>1397</v>
      </c>
      <c r="P550" s="38">
        <v>31203</v>
      </c>
      <c r="Q550" s="38"/>
      <c r="R550" s="38"/>
      <c r="S550" s="38"/>
      <c r="T550" s="38"/>
      <c r="U550" s="17" t="s">
        <v>215</v>
      </c>
      <c r="V550" s="17" t="s">
        <v>915</v>
      </c>
      <c r="W550" s="12">
        <v>41618</v>
      </c>
      <c r="X550" s="12"/>
      <c r="Y550" s="12">
        <v>42735</v>
      </c>
      <c r="Z550" s="2"/>
      <c r="AA550" s="2" t="s">
        <v>479</v>
      </c>
      <c r="AB550" s="7"/>
      <c r="AC550" s="5">
        <v>1000</v>
      </c>
      <c r="AD550" s="5">
        <f>+AC550</f>
        <v>1000</v>
      </c>
      <c r="AE550" s="5">
        <v>1170</v>
      </c>
      <c r="AF550" s="5">
        <f t="shared" si="587"/>
        <v>1310</v>
      </c>
      <c r="AG550" s="5">
        <f t="shared" si="578"/>
        <v>1310</v>
      </c>
      <c r="AH550" s="5">
        <f t="shared" si="578"/>
        <v>1310</v>
      </c>
      <c r="AI550" s="5">
        <f t="shared" ref="AI550:AJ550" si="592">+AH550</f>
        <v>1310</v>
      </c>
      <c r="AJ550" s="5">
        <f t="shared" si="592"/>
        <v>1310</v>
      </c>
      <c r="AK550" s="2"/>
      <c r="AL550" s="106"/>
    </row>
    <row r="551" spans="1:38" s="6" customFormat="1" ht="15" customHeight="1" x14ac:dyDescent="0.2">
      <c r="A551" s="29" t="s">
        <v>824</v>
      </c>
      <c r="B551" s="29"/>
      <c r="C551" s="14"/>
      <c r="D551" s="2" t="s">
        <v>820</v>
      </c>
      <c r="E551" s="2" t="s">
        <v>837</v>
      </c>
      <c r="F551" s="3"/>
      <c r="G551" s="3"/>
      <c r="H551" s="2"/>
      <c r="I551" s="3"/>
      <c r="J551" s="28" t="s">
        <v>73</v>
      </c>
      <c r="K551" s="28"/>
      <c r="L551" s="41" t="s">
        <v>508</v>
      </c>
      <c r="M551" s="7" t="s">
        <v>3</v>
      </c>
      <c r="N551" s="50">
        <v>32576720</v>
      </c>
      <c r="O551" s="88">
        <v>20325767201</v>
      </c>
      <c r="P551" s="61"/>
      <c r="Q551" s="61"/>
      <c r="R551" s="61"/>
      <c r="S551" s="61"/>
      <c r="T551" s="61"/>
      <c r="U551" s="16" t="s">
        <v>796</v>
      </c>
      <c r="V551" s="16" t="s">
        <v>916</v>
      </c>
      <c r="W551" s="12">
        <v>41275</v>
      </c>
      <c r="X551" s="12">
        <v>42460</v>
      </c>
      <c r="Y551" s="12">
        <v>42735</v>
      </c>
      <c r="Z551" s="2" t="s">
        <v>53</v>
      </c>
      <c r="AA551" s="2"/>
      <c r="AB551" s="3"/>
      <c r="AC551" s="5">
        <v>1000</v>
      </c>
      <c r="AD551" s="5"/>
      <c r="AE551" s="5">
        <v>1170</v>
      </c>
      <c r="AF551" s="5">
        <f t="shared" si="587"/>
        <v>1310</v>
      </c>
      <c r="AG551" s="5">
        <f t="shared" si="578"/>
        <v>1310</v>
      </c>
      <c r="AH551" s="5">
        <f t="shared" si="578"/>
        <v>1310</v>
      </c>
      <c r="AI551" s="5">
        <f t="shared" ref="AI551:AJ551" si="593">+AH551</f>
        <v>1310</v>
      </c>
      <c r="AJ551" s="5">
        <f t="shared" si="593"/>
        <v>1310</v>
      </c>
      <c r="AK551" s="2"/>
      <c r="AL551" s="105" t="str">
        <f>+Z551</f>
        <v>B0</v>
      </c>
    </row>
    <row r="552" spans="1:38" s="6" customFormat="1" ht="15" customHeight="1" x14ac:dyDescent="0.2">
      <c r="A552" s="29" t="s">
        <v>824</v>
      </c>
      <c r="B552" s="2" t="s">
        <v>822</v>
      </c>
      <c r="C552" s="3"/>
      <c r="D552" s="2" t="s">
        <v>825</v>
      </c>
      <c r="E552" s="3" t="s">
        <v>18</v>
      </c>
      <c r="F552" s="2" t="s">
        <v>19</v>
      </c>
      <c r="G552" s="2"/>
      <c r="H552" s="2" t="s">
        <v>39</v>
      </c>
      <c r="I552" s="2" t="s">
        <v>1707</v>
      </c>
      <c r="J552" s="28" t="s">
        <v>548</v>
      </c>
      <c r="K552" s="28" t="s">
        <v>548</v>
      </c>
      <c r="L552" s="44" t="s">
        <v>678</v>
      </c>
      <c r="M552" s="4" t="s">
        <v>3</v>
      </c>
      <c r="N552" s="15">
        <v>29951587</v>
      </c>
      <c r="O552" s="88" t="s">
        <v>1358</v>
      </c>
      <c r="P552" s="38">
        <v>30288</v>
      </c>
      <c r="Q552" s="38"/>
      <c r="R552" s="38"/>
      <c r="S552" s="38"/>
      <c r="T552" s="38"/>
      <c r="U552" s="17" t="s">
        <v>215</v>
      </c>
      <c r="V552" s="17" t="s">
        <v>915</v>
      </c>
      <c r="W552" s="12">
        <v>41122</v>
      </c>
      <c r="X552" s="12"/>
      <c r="Y552" s="12">
        <v>42735</v>
      </c>
      <c r="Z552" s="2"/>
      <c r="AA552" s="2" t="s">
        <v>479</v>
      </c>
      <c r="AB552" s="7" t="s">
        <v>787</v>
      </c>
      <c r="AC552" s="5">
        <v>1000</v>
      </c>
      <c r="AD552" s="5">
        <f>+AC552</f>
        <v>1000</v>
      </c>
      <c r="AE552" s="5">
        <v>1170</v>
      </c>
      <c r="AF552" s="5">
        <f t="shared" si="587"/>
        <v>1310</v>
      </c>
      <c r="AG552" s="5">
        <f t="shared" si="578"/>
        <v>1310</v>
      </c>
      <c r="AH552" s="5">
        <f t="shared" si="578"/>
        <v>1310</v>
      </c>
      <c r="AI552" s="5">
        <f t="shared" ref="AI552:AJ552" si="594">+AH552</f>
        <v>1310</v>
      </c>
      <c r="AJ552" s="5">
        <f t="shared" si="594"/>
        <v>1310</v>
      </c>
      <c r="AK552" s="2"/>
      <c r="AL552" s="106"/>
    </row>
    <row r="553" spans="1:38" s="6" customFormat="1" ht="15" customHeight="1" x14ac:dyDescent="0.2">
      <c r="A553" s="29" t="s">
        <v>824</v>
      </c>
      <c r="B553" s="29" t="s">
        <v>822</v>
      </c>
      <c r="C553" s="29" t="s">
        <v>823</v>
      </c>
      <c r="D553" s="2" t="s">
        <v>800</v>
      </c>
      <c r="E553" s="2" t="s">
        <v>486</v>
      </c>
      <c r="F553" s="2"/>
      <c r="G553" s="2"/>
      <c r="H553" s="2" t="s">
        <v>1710</v>
      </c>
      <c r="I553" s="3" t="s">
        <v>1718</v>
      </c>
      <c r="J553" s="28" t="s">
        <v>254</v>
      </c>
      <c r="K553" s="28"/>
      <c r="L553" s="42" t="s">
        <v>1845</v>
      </c>
      <c r="M553" s="4" t="s">
        <v>3</v>
      </c>
      <c r="N553" s="15">
        <v>14620292</v>
      </c>
      <c r="O553" s="88">
        <v>27146202921</v>
      </c>
      <c r="P553" s="38"/>
      <c r="Q553" s="38"/>
      <c r="R553" s="38"/>
      <c r="S553" s="38"/>
      <c r="T553" s="38"/>
      <c r="U553" s="17" t="s">
        <v>215</v>
      </c>
      <c r="V553" s="17" t="s">
        <v>1698</v>
      </c>
      <c r="W553" s="12"/>
      <c r="X553" s="20"/>
      <c r="Y553" s="12">
        <v>42735</v>
      </c>
      <c r="Z553" s="2"/>
      <c r="AA553" s="2" t="s">
        <v>479</v>
      </c>
      <c r="AB553" s="25" t="s">
        <v>479</v>
      </c>
      <c r="AC553" s="5">
        <v>1000</v>
      </c>
      <c r="AD553" s="5">
        <f>+AC553*1.07</f>
        <v>1070</v>
      </c>
      <c r="AE553" s="5">
        <v>1170</v>
      </c>
      <c r="AF553" s="5">
        <f t="shared" si="587"/>
        <v>1310</v>
      </c>
      <c r="AG553" s="5">
        <v>1310</v>
      </c>
      <c r="AH553" s="5">
        <f t="shared" si="578"/>
        <v>1310</v>
      </c>
      <c r="AI553" s="5">
        <f t="shared" ref="AI553:AJ553" si="595">+AH553</f>
        <v>1310</v>
      </c>
      <c r="AJ553" s="5">
        <f t="shared" si="595"/>
        <v>1310</v>
      </c>
      <c r="AK553" s="2"/>
      <c r="AL553" s="107" t="s">
        <v>1818</v>
      </c>
    </row>
    <row r="554" spans="1:38" s="6" customFormat="1" ht="15" customHeight="1" x14ac:dyDescent="0.2">
      <c r="A554" s="29" t="s">
        <v>824</v>
      </c>
      <c r="B554" s="2" t="s">
        <v>822</v>
      </c>
      <c r="C554" s="3"/>
      <c r="D554" s="2" t="s">
        <v>825</v>
      </c>
      <c r="E554" s="3" t="s">
        <v>18</v>
      </c>
      <c r="F554" s="2" t="s">
        <v>19</v>
      </c>
      <c r="G554" s="2"/>
      <c r="H554" s="2" t="s">
        <v>36</v>
      </c>
      <c r="I554" s="2" t="s">
        <v>1707</v>
      </c>
      <c r="J554" s="28" t="s">
        <v>548</v>
      </c>
      <c r="K554" s="28" t="s">
        <v>548</v>
      </c>
      <c r="L554" s="44" t="s">
        <v>679</v>
      </c>
      <c r="M554" s="4" t="s">
        <v>3</v>
      </c>
      <c r="N554" s="15">
        <v>34001226</v>
      </c>
      <c r="O554" s="88" t="s">
        <v>1459</v>
      </c>
      <c r="P554" s="38">
        <v>32353</v>
      </c>
      <c r="Q554" s="38"/>
      <c r="R554" s="38"/>
      <c r="S554" s="38"/>
      <c r="T554" s="38"/>
      <c r="U554" s="17" t="s">
        <v>215</v>
      </c>
      <c r="V554" s="17" t="s">
        <v>915</v>
      </c>
      <c r="W554" s="12">
        <v>42278</v>
      </c>
      <c r="X554" s="12"/>
      <c r="Y554" s="12">
        <v>42735</v>
      </c>
      <c r="Z554" s="2"/>
      <c r="AA554" s="2" t="s">
        <v>479</v>
      </c>
      <c r="AB554" s="7" t="s">
        <v>787</v>
      </c>
      <c r="AC554" s="5">
        <v>1000</v>
      </c>
      <c r="AD554" s="5">
        <f>+AC554</f>
        <v>1000</v>
      </c>
      <c r="AE554" s="5">
        <v>1170</v>
      </c>
      <c r="AF554" s="5">
        <f t="shared" si="587"/>
        <v>1310</v>
      </c>
      <c r="AG554" s="5">
        <f t="shared" si="578"/>
        <v>1310</v>
      </c>
      <c r="AH554" s="5">
        <f t="shared" si="578"/>
        <v>1310</v>
      </c>
      <c r="AI554" s="5">
        <f t="shared" ref="AI554:AJ554" si="596">+AH554</f>
        <v>1310</v>
      </c>
      <c r="AJ554" s="5">
        <f t="shared" si="596"/>
        <v>1310</v>
      </c>
      <c r="AK554" s="2"/>
      <c r="AL554" s="106"/>
    </row>
    <row r="555" spans="1:38" s="6" customFormat="1" ht="15" customHeight="1" x14ac:dyDescent="0.2">
      <c r="A555" s="29" t="s">
        <v>824</v>
      </c>
      <c r="B555" s="2" t="s">
        <v>822</v>
      </c>
      <c r="C555" s="3"/>
      <c r="D555" s="2" t="s">
        <v>825</v>
      </c>
      <c r="E555" s="3" t="s">
        <v>18</v>
      </c>
      <c r="F555" s="2" t="s">
        <v>19</v>
      </c>
      <c r="G555" s="2"/>
      <c r="H555" s="2" t="s">
        <v>37</v>
      </c>
      <c r="I555" s="2" t="s">
        <v>1761</v>
      </c>
      <c r="J555" s="28" t="s">
        <v>548</v>
      </c>
      <c r="K555" s="28" t="s">
        <v>548</v>
      </c>
      <c r="L555" s="44" t="s">
        <v>680</v>
      </c>
      <c r="M555" s="4" t="s">
        <v>3</v>
      </c>
      <c r="N555" s="15">
        <v>18205034</v>
      </c>
      <c r="O555" s="88" t="s">
        <v>1181</v>
      </c>
      <c r="P555" s="38">
        <v>24275</v>
      </c>
      <c r="Q555" s="38"/>
      <c r="R555" s="38"/>
      <c r="S555" s="38"/>
      <c r="T555" s="38"/>
      <c r="U555" s="17" t="s">
        <v>215</v>
      </c>
      <c r="V555" s="17" t="s">
        <v>915</v>
      </c>
      <c r="W555" s="12">
        <v>41037</v>
      </c>
      <c r="X555" s="12"/>
      <c r="Y555" s="12">
        <v>42735</v>
      </c>
      <c r="Z555" s="2"/>
      <c r="AA555" s="2" t="s">
        <v>479</v>
      </c>
      <c r="AB555" s="7" t="s">
        <v>787</v>
      </c>
      <c r="AC555" s="5">
        <v>1000</v>
      </c>
      <c r="AD555" s="5">
        <f>+AC555</f>
        <v>1000</v>
      </c>
      <c r="AE555" s="5">
        <v>1170</v>
      </c>
      <c r="AF555" s="5">
        <f t="shared" si="587"/>
        <v>1310</v>
      </c>
      <c r="AG555" s="5">
        <f t="shared" si="578"/>
        <v>1310</v>
      </c>
      <c r="AH555" s="5">
        <f t="shared" si="578"/>
        <v>1310</v>
      </c>
      <c r="AI555" s="5">
        <f t="shared" ref="AI555:AJ555" si="597">+AH555</f>
        <v>1310</v>
      </c>
      <c r="AJ555" s="5">
        <f t="shared" si="597"/>
        <v>1310</v>
      </c>
      <c r="AK555" s="2"/>
      <c r="AL555" s="106"/>
    </row>
    <row r="556" spans="1:38" s="6" customFormat="1" ht="15" customHeight="1" x14ac:dyDescent="0.2">
      <c r="A556" s="29" t="s">
        <v>824</v>
      </c>
      <c r="B556" s="29" t="s">
        <v>822</v>
      </c>
      <c r="C556" s="29" t="s">
        <v>823</v>
      </c>
      <c r="D556" s="2" t="s">
        <v>808</v>
      </c>
      <c r="E556" s="2" t="s">
        <v>909</v>
      </c>
      <c r="F556" s="2" t="s">
        <v>507</v>
      </c>
      <c r="G556" s="2"/>
      <c r="H556" s="2" t="s">
        <v>0</v>
      </c>
      <c r="I556" s="3"/>
      <c r="J556" s="28" t="s">
        <v>73</v>
      </c>
      <c r="K556" s="28"/>
      <c r="L556" s="41" t="s">
        <v>681</v>
      </c>
      <c r="M556" s="2" t="s">
        <v>66</v>
      </c>
      <c r="N556" s="15">
        <v>27642766</v>
      </c>
      <c r="O556" s="88">
        <v>27276427666</v>
      </c>
      <c r="P556" s="38"/>
      <c r="Q556" s="38"/>
      <c r="R556" s="38"/>
      <c r="S556" s="38"/>
      <c r="T556" s="38"/>
      <c r="U556" s="16" t="s">
        <v>796</v>
      </c>
      <c r="V556" s="16" t="s">
        <v>916</v>
      </c>
      <c r="W556" s="12">
        <v>38808</v>
      </c>
      <c r="X556" s="48">
        <v>42735</v>
      </c>
      <c r="Y556" s="12">
        <v>42735</v>
      </c>
      <c r="Z556" s="2" t="s">
        <v>15</v>
      </c>
      <c r="AA556" s="2"/>
      <c r="AB556" s="3"/>
      <c r="AC556" s="5">
        <v>1000</v>
      </c>
      <c r="AD556" s="5"/>
      <c r="AE556" s="5">
        <v>1170</v>
      </c>
      <c r="AF556" s="5">
        <f t="shared" si="587"/>
        <v>1310</v>
      </c>
      <c r="AG556" s="5">
        <f t="shared" si="578"/>
        <v>1310</v>
      </c>
      <c r="AH556" s="5">
        <f t="shared" si="578"/>
        <v>1310</v>
      </c>
      <c r="AI556" s="5">
        <f t="shared" ref="AI556:AJ556" si="598">+AH556</f>
        <v>1310</v>
      </c>
      <c r="AJ556" s="5">
        <f t="shared" si="598"/>
        <v>1310</v>
      </c>
      <c r="AK556" s="2"/>
      <c r="AL556" s="105" t="str">
        <f>+Z556</f>
        <v>B3</v>
      </c>
    </row>
    <row r="557" spans="1:38" s="6" customFormat="1" ht="15" customHeight="1" x14ac:dyDescent="0.2">
      <c r="A557" s="29" t="s">
        <v>824</v>
      </c>
      <c r="B557" s="29" t="s">
        <v>822</v>
      </c>
      <c r="C557" s="29" t="s">
        <v>823</v>
      </c>
      <c r="D557" s="2" t="s">
        <v>800</v>
      </c>
      <c r="E557" s="2"/>
      <c r="F557" s="3"/>
      <c r="G557" s="3"/>
      <c r="H557" s="2" t="s">
        <v>884</v>
      </c>
      <c r="I557" s="2" t="s">
        <v>1707</v>
      </c>
      <c r="J557" s="28"/>
      <c r="K557" s="28" t="s">
        <v>1767</v>
      </c>
      <c r="L557" s="41" t="s">
        <v>903</v>
      </c>
      <c r="M557" s="7" t="s">
        <v>3</v>
      </c>
      <c r="N557" s="15">
        <v>22792210</v>
      </c>
      <c r="O557" s="88">
        <v>27227922104</v>
      </c>
      <c r="P557" s="38">
        <v>26513</v>
      </c>
      <c r="Q557" s="38"/>
      <c r="R557" s="38"/>
      <c r="S557" s="38"/>
      <c r="T557" s="38"/>
      <c r="U557" s="17" t="s">
        <v>215</v>
      </c>
      <c r="V557" s="17" t="s">
        <v>915</v>
      </c>
      <c r="W557" s="12">
        <v>42430</v>
      </c>
      <c r="X557" s="48"/>
      <c r="Y557" s="12">
        <v>42735</v>
      </c>
      <c r="Z557" s="2"/>
      <c r="AA557" s="2" t="s">
        <v>479</v>
      </c>
      <c r="AB557" s="3"/>
      <c r="AC557" s="5">
        <v>1000</v>
      </c>
      <c r="AD557" s="5">
        <f>+AC557*1.07</f>
        <v>1070</v>
      </c>
      <c r="AE557" s="5">
        <v>1170</v>
      </c>
      <c r="AF557" s="5">
        <f t="shared" si="587"/>
        <v>1310</v>
      </c>
      <c r="AG557" s="5">
        <f t="shared" si="578"/>
        <v>1310</v>
      </c>
      <c r="AH557" s="5">
        <f t="shared" si="578"/>
        <v>1310</v>
      </c>
      <c r="AI557" s="5">
        <f t="shared" ref="AI557:AJ557" si="599">+AH557</f>
        <v>1310</v>
      </c>
      <c r="AJ557" s="5">
        <f t="shared" si="599"/>
        <v>1310</v>
      </c>
      <c r="AK557" s="2" t="s">
        <v>53</v>
      </c>
      <c r="AL557" s="105" t="str">
        <f>+AK557</f>
        <v>B0</v>
      </c>
    </row>
    <row r="558" spans="1:38" s="6" customFormat="1" ht="15" customHeight="1" x14ac:dyDescent="0.2">
      <c r="A558" s="29" t="s">
        <v>824</v>
      </c>
      <c r="B558" s="29" t="s">
        <v>822</v>
      </c>
      <c r="C558" s="29" t="s">
        <v>823</v>
      </c>
      <c r="D558" s="2" t="s">
        <v>808</v>
      </c>
      <c r="E558" s="2" t="s">
        <v>909</v>
      </c>
      <c r="F558" s="2" t="s">
        <v>524</v>
      </c>
      <c r="G558" s="3"/>
      <c r="H558" s="2" t="s">
        <v>241</v>
      </c>
      <c r="I558" s="2" t="s">
        <v>241</v>
      </c>
      <c r="J558" s="28" t="s">
        <v>73</v>
      </c>
      <c r="K558" s="28" t="s">
        <v>1765</v>
      </c>
      <c r="L558" s="43" t="s">
        <v>151</v>
      </c>
      <c r="M558" s="4" t="s">
        <v>3</v>
      </c>
      <c r="N558" s="15">
        <v>11387784</v>
      </c>
      <c r="O558" s="88">
        <v>20113877848</v>
      </c>
      <c r="P558" s="38">
        <v>20293</v>
      </c>
      <c r="Q558" s="38"/>
      <c r="R558" s="38"/>
      <c r="S558" s="38"/>
      <c r="T558" s="38"/>
      <c r="U558" s="17" t="s">
        <v>215</v>
      </c>
      <c r="V558" s="17" t="s">
        <v>915</v>
      </c>
      <c r="W558" s="12">
        <v>42126</v>
      </c>
      <c r="X558" s="37"/>
      <c r="Y558" s="12">
        <v>42735</v>
      </c>
      <c r="Z558" s="2"/>
      <c r="AA558" s="2" t="s">
        <v>479</v>
      </c>
      <c r="AB558" s="7" t="s">
        <v>61</v>
      </c>
      <c r="AC558" s="5">
        <v>1000</v>
      </c>
      <c r="AD558" s="5">
        <v>1070</v>
      </c>
      <c r="AE558" s="5">
        <v>1170</v>
      </c>
      <c r="AF558" s="5">
        <f t="shared" si="587"/>
        <v>1310</v>
      </c>
      <c r="AG558" s="5">
        <f t="shared" si="578"/>
        <v>1310</v>
      </c>
      <c r="AH558" s="5">
        <f t="shared" si="578"/>
        <v>1310</v>
      </c>
      <c r="AI558" s="5">
        <f t="shared" ref="AI558:AJ558" si="600">+AH558</f>
        <v>1310</v>
      </c>
      <c r="AJ558" s="5">
        <f t="shared" si="600"/>
        <v>1310</v>
      </c>
      <c r="AK558" s="2" t="s">
        <v>43</v>
      </c>
      <c r="AL558" s="105" t="str">
        <f>+AK558</f>
        <v>A0</v>
      </c>
    </row>
    <row r="559" spans="1:38" s="6" customFormat="1" ht="15" customHeight="1" x14ac:dyDescent="0.2">
      <c r="A559" s="29" t="s">
        <v>824</v>
      </c>
      <c r="B559" s="29" t="s">
        <v>822</v>
      </c>
      <c r="C559" s="29" t="s">
        <v>823</v>
      </c>
      <c r="D559" s="2" t="s">
        <v>800</v>
      </c>
      <c r="E559" s="2" t="s">
        <v>490</v>
      </c>
      <c r="F559" s="2"/>
      <c r="G559" s="2"/>
      <c r="H559" s="2"/>
      <c r="I559" s="3"/>
      <c r="J559" s="28" t="s">
        <v>254</v>
      </c>
      <c r="K559" s="28"/>
      <c r="L559" s="42" t="s">
        <v>334</v>
      </c>
      <c r="M559" s="4" t="s">
        <v>3</v>
      </c>
      <c r="N559" s="15">
        <v>27344679</v>
      </c>
      <c r="O559" s="88">
        <v>20273446797</v>
      </c>
      <c r="P559" s="38"/>
      <c r="Q559" s="38"/>
      <c r="R559" s="38"/>
      <c r="S559" s="38"/>
      <c r="T559" s="38"/>
      <c r="U559" s="16" t="s">
        <v>796</v>
      </c>
      <c r="V559" s="16" t="s">
        <v>916</v>
      </c>
      <c r="W559" s="12">
        <v>40603</v>
      </c>
      <c r="X559" s="48">
        <v>42735</v>
      </c>
      <c r="Y559" s="12">
        <v>42735</v>
      </c>
      <c r="Z559" s="2" t="s">
        <v>42</v>
      </c>
      <c r="AA559" s="2"/>
      <c r="AB559" s="18"/>
      <c r="AC559" s="5">
        <v>1000</v>
      </c>
      <c r="AD559" s="5"/>
      <c r="AE559" s="5">
        <v>1170</v>
      </c>
      <c r="AF559" s="5">
        <f t="shared" si="587"/>
        <v>1310</v>
      </c>
      <c r="AG559" s="5">
        <f t="shared" si="578"/>
        <v>1310</v>
      </c>
      <c r="AH559" s="5">
        <f t="shared" si="578"/>
        <v>1310</v>
      </c>
      <c r="AI559" s="5">
        <f t="shared" ref="AI559:AJ559" si="601">+AH559</f>
        <v>1310</v>
      </c>
      <c r="AJ559" s="5">
        <f t="shared" si="601"/>
        <v>1310</v>
      </c>
      <c r="AK559" s="2"/>
      <c r="AL559" s="105" t="str">
        <f>+Z559</f>
        <v>C0</v>
      </c>
    </row>
    <row r="560" spans="1:38" s="6" customFormat="1" ht="15" customHeight="1" x14ac:dyDescent="0.2">
      <c r="A560" s="29" t="s">
        <v>824</v>
      </c>
      <c r="B560" s="2" t="s">
        <v>822</v>
      </c>
      <c r="C560" s="3"/>
      <c r="D560" s="2" t="s">
        <v>825</v>
      </c>
      <c r="E560" s="3" t="s">
        <v>18</v>
      </c>
      <c r="F560" s="2" t="s">
        <v>19</v>
      </c>
      <c r="G560" s="2"/>
      <c r="H560" s="2" t="s">
        <v>27</v>
      </c>
      <c r="I560" s="3"/>
      <c r="J560" s="28" t="s">
        <v>548</v>
      </c>
      <c r="K560" s="28"/>
      <c r="L560" s="41" t="s">
        <v>682</v>
      </c>
      <c r="M560" s="4" t="s">
        <v>3</v>
      </c>
      <c r="N560" s="15">
        <v>31376447</v>
      </c>
      <c r="O560" s="88">
        <v>20313764479</v>
      </c>
      <c r="P560" s="61"/>
      <c r="Q560" s="61"/>
      <c r="R560" s="61"/>
      <c r="S560" s="61"/>
      <c r="T560" s="61"/>
      <c r="U560" s="16" t="s">
        <v>796</v>
      </c>
      <c r="V560" s="16" t="s">
        <v>916</v>
      </c>
      <c r="W560" s="12">
        <v>40603</v>
      </c>
      <c r="X560" s="48">
        <v>42735</v>
      </c>
      <c r="Y560" s="12">
        <v>42735</v>
      </c>
      <c r="Z560" s="2" t="s">
        <v>49</v>
      </c>
      <c r="AA560" s="2"/>
      <c r="AB560" s="3"/>
      <c r="AC560" s="5">
        <v>1000</v>
      </c>
      <c r="AD560" s="5"/>
      <c r="AE560" s="5">
        <v>1170</v>
      </c>
      <c r="AF560" s="5">
        <f t="shared" si="587"/>
        <v>1310</v>
      </c>
      <c r="AG560" s="5">
        <f t="shared" si="578"/>
        <v>1310</v>
      </c>
      <c r="AH560" s="5">
        <f t="shared" si="578"/>
        <v>1310</v>
      </c>
      <c r="AI560" s="5">
        <f t="shared" ref="AI560:AJ560" si="602">+AH560</f>
        <v>1310</v>
      </c>
      <c r="AJ560" s="5">
        <f t="shared" si="602"/>
        <v>1310</v>
      </c>
      <c r="AK560" s="2"/>
      <c r="AL560" s="105" t="str">
        <f>+Z560</f>
        <v>D1</v>
      </c>
    </row>
    <row r="561" spans="1:38" s="6" customFormat="1" ht="15" customHeight="1" x14ac:dyDescent="0.2">
      <c r="A561" s="29" t="s">
        <v>824</v>
      </c>
      <c r="B561" s="2" t="s">
        <v>822</v>
      </c>
      <c r="C561" s="29"/>
      <c r="D561" s="2" t="s">
        <v>825</v>
      </c>
      <c r="E561" s="3" t="s">
        <v>8</v>
      </c>
      <c r="F561" s="2" t="s">
        <v>913</v>
      </c>
      <c r="G561" s="2"/>
      <c r="H561" s="2" t="s">
        <v>9</v>
      </c>
      <c r="I561" s="2" t="s">
        <v>13</v>
      </c>
      <c r="J561" s="28" t="s">
        <v>549</v>
      </c>
      <c r="K561" s="28" t="s">
        <v>549</v>
      </c>
      <c r="L561" s="41" t="s">
        <v>683</v>
      </c>
      <c r="M561" s="4" t="s">
        <v>3</v>
      </c>
      <c r="N561" s="15">
        <v>31961383</v>
      </c>
      <c r="O561" s="88">
        <v>20319613839</v>
      </c>
      <c r="P561" s="38">
        <v>31493</v>
      </c>
      <c r="Q561" s="38"/>
      <c r="R561" s="38"/>
      <c r="S561" s="38"/>
      <c r="T561" s="38"/>
      <c r="U561" s="17" t="s">
        <v>215</v>
      </c>
      <c r="V561" s="17" t="s">
        <v>915</v>
      </c>
      <c r="W561" s="12">
        <v>42248</v>
      </c>
      <c r="X561" s="12"/>
      <c r="Y561" s="12">
        <v>42735</v>
      </c>
      <c r="Z561" s="2"/>
      <c r="AA561" s="2" t="s">
        <v>479</v>
      </c>
      <c r="AB561" s="3" t="s">
        <v>10</v>
      </c>
      <c r="AC561" s="5">
        <v>1000</v>
      </c>
      <c r="AD561" s="5">
        <f>+AC561*1.07</f>
        <v>1070</v>
      </c>
      <c r="AE561" s="5">
        <v>1170</v>
      </c>
      <c r="AF561" s="5">
        <f t="shared" si="587"/>
        <v>1310</v>
      </c>
      <c r="AG561" s="5">
        <f t="shared" si="578"/>
        <v>1310</v>
      </c>
      <c r="AH561" s="5">
        <f t="shared" si="578"/>
        <v>1310</v>
      </c>
      <c r="AI561" s="5">
        <f t="shared" ref="AI561:AJ561" si="603">+AH561</f>
        <v>1310</v>
      </c>
      <c r="AJ561" s="5">
        <f t="shared" si="603"/>
        <v>1310</v>
      </c>
      <c r="AK561" s="2" t="s">
        <v>1815</v>
      </c>
      <c r="AL561" s="106"/>
    </row>
    <row r="562" spans="1:38" s="6" customFormat="1" ht="15" customHeight="1" x14ac:dyDescent="0.2">
      <c r="A562" s="29" t="s">
        <v>824</v>
      </c>
      <c r="B562" s="2"/>
      <c r="C562" s="3"/>
      <c r="D562" s="2" t="s">
        <v>820</v>
      </c>
      <c r="E562" s="2" t="s">
        <v>818</v>
      </c>
      <c r="F562" s="2"/>
      <c r="G562" s="2"/>
      <c r="H562" s="2"/>
      <c r="I562" s="3"/>
      <c r="J562" s="28" t="s">
        <v>73</v>
      </c>
      <c r="K562" s="28" t="s">
        <v>1765</v>
      </c>
      <c r="L562" s="41" t="s">
        <v>684</v>
      </c>
      <c r="M562" s="4" t="s">
        <v>3</v>
      </c>
      <c r="N562" s="15">
        <v>34489609</v>
      </c>
      <c r="O562" s="88">
        <v>27344896092</v>
      </c>
      <c r="P562" s="61"/>
      <c r="Q562" s="61"/>
      <c r="R562" s="61"/>
      <c r="S562" s="61"/>
      <c r="T562" s="61"/>
      <c r="U562" s="16" t="s">
        <v>796</v>
      </c>
      <c r="V562" s="16" t="s">
        <v>916</v>
      </c>
      <c r="W562" s="12">
        <v>41487</v>
      </c>
      <c r="X562" s="12">
        <v>42460</v>
      </c>
      <c r="Y562" s="12">
        <v>42735</v>
      </c>
      <c r="Z562" s="2" t="s">
        <v>53</v>
      </c>
      <c r="AA562" s="2"/>
      <c r="AB562" s="3"/>
      <c r="AC562" s="5">
        <v>1000</v>
      </c>
      <c r="AD562" s="5"/>
      <c r="AE562" s="5">
        <v>1170</v>
      </c>
      <c r="AF562" s="5">
        <f t="shared" si="587"/>
        <v>1310</v>
      </c>
      <c r="AG562" s="5">
        <f t="shared" si="578"/>
        <v>1310</v>
      </c>
      <c r="AH562" s="5">
        <f t="shared" si="578"/>
        <v>1310</v>
      </c>
      <c r="AI562" s="5">
        <f t="shared" ref="AI562:AJ562" si="604">+AH562</f>
        <v>1310</v>
      </c>
      <c r="AJ562" s="5">
        <f t="shared" si="604"/>
        <v>1310</v>
      </c>
      <c r="AK562" s="2"/>
      <c r="AL562" s="105" t="str">
        <f>+Z562</f>
        <v>B0</v>
      </c>
    </row>
    <row r="563" spans="1:38" s="6" customFormat="1" ht="15" customHeight="1" x14ac:dyDescent="0.2">
      <c r="A563" s="29" t="s">
        <v>824</v>
      </c>
      <c r="B563" s="2" t="s">
        <v>822</v>
      </c>
      <c r="C563" s="3"/>
      <c r="D563" s="2" t="s">
        <v>825</v>
      </c>
      <c r="E563" s="3" t="s">
        <v>18</v>
      </c>
      <c r="F563" s="2" t="s">
        <v>1012</v>
      </c>
      <c r="G563" s="2"/>
      <c r="H563" s="2" t="s">
        <v>37</v>
      </c>
      <c r="I563" s="2" t="s">
        <v>1707</v>
      </c>
      <c r="J563" s="28" t="s">
        <v>548</v>
      </c>
      <c r="K563" s="28" t="s">
        <v>548</v>
      </c>
      <c r="L563" s="44" t="s">
        <v>1004</v>
      </c>
      <c r="M563" s="7" t="s">
        <v>3</v>
      </c>
      <c r="N563" s="47">
        <v>28801969</v>
      </c>
      <c r="O563" s="88" t="s">
        <v>1337</v>
      </c>
      <c r="P563" s="38">
        <v>29694</v>
      </c>
      <c r="Q563" s="38"/>
      <c r="R563" s="38"/>
      <c r="S563" s="38"/>
      <c r="T563" s="38"/>
      <c r="U563" s="17" t="s">
        <v>215</v>
      </c>
      <c r="V563" s="17" t="s">
        <v>915</v>
      </c>
      <c r="W563" s="12">
        <v>40909</v>
      </c>
      <c r="X563" s="12"/>
      <c r="Y563" s="12">
        <v>42735</v>
      </c>
      <c r="Z563" s="2"/>
      <c r="AA563" s="2" t="s">
        <v>479</v>
      </c>
      <c r="AB563" s="7"/>
      <c r="AC563" s="5">
        <v>1000</v>
      </c>
      <c r="AD563" s="5">
        <f>+AC563</f>
        <v>1000</v>
      </c>
      <c r="AE563" s="5">
        <v>1170</v>
      </c>
      <c r="AF563" s="5">
        <f t="shared" si="587"/>
        <v>1310</v>
      </c>
      <c r="AG563" s="5">
        <f t="shared" si="578"/>
        <v>1310</v>
      </c>
      <c r="AH563" s="5">
        <f t="shared" si="578"/>
        <v>1310</v>
      </c>
      <c r="AI563" s="5">
        <f t="shared" ref="AI563:AJ563" si="605">+AH563</f>
        <v>1310</v>
      </c>
      <c r="AJ563" s="5">
        <f t="shared" si="605"/>
        <v>1310</v>
      </c>
      <c r="AK563" s="2"/>
      <c r="AL563" s="106"/>
    </row>
    <row r="564" spans="1:38" s="6" customFormat="1" ht="15" customHeight="1" x14ac:dyDescent="0.2">
      <c r="A564" s="29" t="s">
        <v>824</v>
      </c>
      <c r="B564" s="2" t="s">
        <v>822</v>
      </c>
      <c r="C564" s="29" t="s">
        <v>823</v>
      </c>
      <c r="D564" s="2" t="s">
        <v>808</v>
      </c>
      <c r="E564" s="2" t="s">
        <v>20</v>
      </c>
      <c r="F564" s="2"/>
      <c r="G564" s="2"/>
      <c r="H564" s="2"/>
      <c r="I564" s="2" t="s">
        <v>235</v>
      </c>
      <c r="J564" s="28"/>
      <c r="K564" s="28" t="s">
        <v>1765</v>
      </c>
      <c r="L564" s="44" t="s">
        <v>1623</v>
      </c>
      <c r="M564" s="7" t="s">
        <v>3</v>
      </c>
      <c r="N564" s="15">
        <v>34411918</v>
      </c>
      <c r="O564" s="88">
        <v>20344119180</v>
      </c>
      <c r="P564" s="38">
        <v>32432</v>
      </c>
      <c r="Q564" s="38"/>
      <c r="R564" s="38"/>
      <c r="S564" s="38"/>
      <c r="T564" s="38"/>
      <c r="U564" s="17" t="s">
        <v>215</v>
      </c>
      <c r="V564" s="17" t="s">
        <v>915</v>
      </c>
      <c r="W564" s="12">
        <v>42522</v>
      </c>
      <c r="X564" s="13"/>
      <c r="Y564" s="12">
        <v>42735</v>
      </c>
      <c r="Z564" s="2"/>
      <c r="AA564" s="2" t="s">
        <v>479</v>
      </c>
      <c r="AB564" s="7"/>
      <c r="AC564" s="5"/>
      <c r="AD564" s="5">
        <v>1070</v>
      </c>
      <c r="AE564" s="5">
        <v>1170</v>
      </c>
      <c r="AF564" s="5">
        <f t="shared" si="587"/>
        <v>0</v>
      </c>
      <c r="AG564" s="5">
        <f t="shared" si="578"/>
        <v>0</v>
      </c>
      <c r="AH564" s="5">
        <f t="shared" si="578"/>
        <v>0</v>
      </c>
      <c r="AI564" s="5">
        <f t="shared" ref="AI564:AJ564" si="606">+AH564</f>
        <v>0</v>
      </c>
      <c r="AJ564" s="5">
        <f t="shared" si="606"/>
        <v>0</v>
      </c>
      <c r="AK564" s="2" t="s">
        <v>53</v>
      </c>
      <c r="AL564" s="105" t="str">
        <f>+AK564</f>
        <v>B0</v>
      </c>
    </row>
    <row r="565" spans="1:38" s="6" customFormat="1" ht="15" customHeight="1" x14ac:dyDescent="0.2">
      <c r="A565" s="29" t="s">
        <v>824</v>
      </c>
      <c r="B565" s="29" t="s">
        <v>822</v>
      </c>
      <c r="C565" s="29" t="s">
        <v>823</v>
      </c>
      <c r="D565" s="2" t="s">
        <v>800</v>
      </c>
      <c r="E565" s="2" t="s">
        <v>485</v>
      </c>
      <c r="F565" s="2"/>
      <c r="G565" s="2"/>
      <c r="H565" s="2"/>
      <c r="I565" s="3" t="s">
        <v>1740</v>
      </c>
      <c r="J565" s="28" t="s">
        <v>254</v>
      </c>
      <c r="K565" s="28" t="s">
        <v>1767</v>
      </c>
      <c r="L565" s="42" t="s">
        <v>285</v>
      </c>
      <c r="M565" s="4" t="s">
        <v>3</v>
      </c>
      <c r="N565" s="15">
        <v>4607118</v>
      </c>
      <c r="O565" s="88" t="s">
        <v>1140</v>
      </c>
      <c r="P565" s="38">
        <v>16402</v>
      </c>
      <c r="Q565" s="38"/>
      <c r="R565" s="38"/>
      <c r="S565" s="38"/>
      <c r="T565" s="38"/>
      <c r="U565" s="17" t="s">
        <v>215</v>
      </c>
      <c r="V565" s="17" t="s">
        <v>915</v>
      </c>
      <c r="W565" s="12">
        <v>41000</v>
      </c>
      <c r="X565" s="20"/>
      <c r="Y565" s="12">
        <v>42735</v>
      </c>
      <c r="Z565" s="2"/>
      <c r="AA565" s="2" t="s">
        <v>479</v>
      </c>
      <c r="AB565" s="24" t="s">
        <v>479</v>
      </c>
      <c r="AC565" s="5">
        <v>1000</v>
      </c>
      <c r="AD565" s="5">
        <v>1070</v>
      </c>
      <c r="AE565" s="5">
        <v>1170</v>
      </c>
      <c r="AF565" s="5">
        <f t="shared" si="587"/>
        <v>1310</v>
      </c>
      <c r="AG565" s="5">
        <f t="shared" si="578"/>
        <v>1310</v>
      </c>
      <c r="AH565" s="5">
        <f t="shared" si="578"/>
        <v>1310</v>
      </c>
      <c r="AI565" s="5">
        <f t="shared" ref="AI565:AJ565" si="607">+AH565</f>
        <v>1310</v>
      </c>
      <c r="AJ565" s="5">
        <f t="shared" si="607"/>
        <v>1310</v>
      </c>
      <c r="AK565" s="2" t="s">
        <v>53</v>
      </c>
      <c r="AL565" s="105" t="str">
        <f>+AK565</f>
        <v>B0</v>
      </c>
    </row>
    <row r="566" spans="1:38" s="6" customFormat="1" ht="15" customHeight="1" x14ac:dyDescent="0.2">
      <c r="A566" s="29" t="s">
        <v>824</v>
      </c>
      <c r="B566" s="29" t="s">
        <v>822</v>
      </c>
      <c r="C566" s="29" t="s">
        <v>823</v>
      </c>
      <c r="D566" s="2" t="s">
        <v>800</v>
      </c>
      <c r="E566" s="2" t="s">
        <v>484</v>
      </c>
      <c r="F566" s="2"/>
      <c r="G566" s="2"/>
      <c r="H566" s="2" t="s">
        <v>1707</v>
      </c>
      <c r="I566" s="2"/>
      <c r="J566" s="28" t="s">
        <v>254</v>
      </c>
      <c r="K566" s="28"/>
      <c r="L566" s="42" t="s">
        <v>274</v>
      </c>
      <c r="M566" s="4" t="s">
        <v>3</v>
      </c>
      <c r="N566" s="15">
        <v>36741755</v>
      </c>
      <c r="O566" s="88">
        <v>27367417558</v>
      </c>
      <c r="P566" s="38"/>
      <c r="Q566" s="38"/>
      <c r="R566" s="38"/>
      <c r="S566" s="38"/>
      <c r="T566" s="38"/>
      <c r="U566" s="16" t="s">
        <v>796</v>
      </c>
      <c r="V566" s="16" t="s">
        <v>916</v>
      </c>
      <c r="W566" s="12">
        <v>40848</v>
      </c>
      <c r="X566" s="48">
        <v>42735</v>
      </c>
      <c r="Y566" s="12">
        <v>42735</v>
      </c>
      <c r="Z566" s="2" t="s">
        <v>42</v>
      </c>
      <c r="AA566" s="2"/>
      <c r="AB566" s="18"/>
      <c r="AC566" s="5">
        <v>1000</v>
      </c>
      <c r="AD566" s="5"/>
      <c r="AE566" s="5">
        <v>1170</v>
      </c>
      <c r="AF566" s="5">
        <f t="shared" si="587"/>
        <v>1310</v>
      </c>
      <c r="AG566" s="5">
        <f t="shared" si="578"/>
        <v>1310</v>
      </c>
      <c r="AH566" s="5">
        <f t="shared" si="578"/>
        <v>1310</v>
      </c>
      <c r="AI566" s="5">
        <f t="shared" ref="AI566:AJ566" si="608">+AH566</f>
        <v>1310</v>
      </c>
      <c r="AJ566" s="5">
        <f t="shared" si="608"/>
        <v>1310</v>
      </c>
      <c r="AK566" s="2"/>
      <c r="AL566" s="105" t="str">
        <f>+Z566</f>
        <v>C0</v>
      </c>
    </row>
    <row r="567" spans="1:38" s="6" customFormat="1" ht="15" customHeight="1" x14ac:dyDescent="0.2">
      <c r="A567" s="29" t="s">
        <v>824</v>
      </c>
      <c r="B567" s="2" t="s">
        <v>822</v>
      </c>
      <c r="C567" s="29" t="s">
        <v>823</v>
      </c>
      <c r="D567" s="2" t="s">
        <v>1820</v>
      </c>
      <c r="E567" s="2"/>
      <c r="F567" s="2"/>
      <c r="G567" s="3"/>
      <c r="H567" s="2" t="s">
        <v>884</v>
      </c>
      <c r="I567" s="2" t="s">
        <v>1707</v>
      </c>
      <c r="J567" s="28"/>
      <c r="K567" s="28" t="s">
        <v>1765</v>
      </c>
      <c r="L567" s="43" t="s">
        <v>959</v>
      </c>
      <c r="M567" s="7" t="s">
        <v>3</v>
      </c>
      <c r="N567" s="15">
        <v>29319713</v>
      </c>
      <c r="O567" s="88">
        <v>27293197135</v>
      </c>
      <c r="P567" s="38">
        <v>29630</v>
      </c>
      <c r="Q567" s="38"/>
      <c r="R567" s="38"/>
      <c r="S567" s="38"/>
      <c r="T567" s="38"/>
      <c r="U567" s="17" t="s">
        <v>215</v>
      </c>
      <c r="V567" s="17" t="s">
        <v>915</v>
      </c>
      <c r="W567" s="12"/>
      <c r="X567" s="37"/>
      <c r="Y567" s="12">
        <v>42735</v>
      </c>
      <c r="Z567" s="2"/>
      <c r="AA567" s="2" t="s">
        <v>479</v>
      </c>
      <c r="AB567" s="7"/>
      <c r="AC567" s="5">
        <v>1000</v>
      </c>
      <c r="AD567" s="5">
        <f>+AC567*1.07</f>
        <v>1070</v>
      </c>
      <c r="AE567" s="5">
        <v>1170</v>
      </c>
      <c r="AF567" s="5">
        <f t="shared" si="587"/>
        <v>1310</v>
      </c>
      <c r="AG567" s="5">
        <f t="shared" si="578"/>
        <v>1310</v>
      </c>
      <c r="AH567" s="5">
        <f t="shared" si="578"/>
        <v>1310</v>
      </c>
      <c r="AI567" s="5">
        <f t="shared" ref="AI567:AJ567" si="609">+AH567</f>
        <v>1310</v>
      </c>
      <c r="AJ567" s="5">
        <f t="shared" si="609"/>
        <v>1310</v>
      </c>
      <c r="AK567" s="2" t="s">
        <v>53</v>
      </c>
      <c r="AL567" s="105" t="str">
        <f>+AK567</f>
        <v>B0</v>
      </c>
    </row>
    <row r="568" spans="1:38" s="6" customFormat="1" ht="15" customHeight="1" x14ac:dyDescent="0.2">
      <c r="A568" s="29" t="s">
        <v>824</v>
      </c>
      <c r="B568" s="2" t="s">
        <v>822</v>
      </c>
      <c r="C568" s="3"/>
      <c r="D568" s="2" t="s">
        <v>825</v>
      </c>
      <c r="E568" s="3" t="s">
        <v>18</v>
      </c>
      <c r="F568" s="2" t="s">
        <v>19</v>
      </c>
      <c r="G568" s="2"/>
      <c r="H568" s="2" t="s">
        <v>44</v>
      </c>
      <c r="I568" s="2" t="s">
        <v>1707</v>
      </c>
      <c r="J568" s="28" t="s">
        <v>548</v>
      </c>
      <c r="K568" s="28" t="s">
        <v>548</v>
      </c>
      <c r="L568" s="44" t="s">
        <v>685</v>
      </c>
      <c r="M568" s="4" t="s">
        <v>3</v>
      </c>
      <c r="N568" s="15">
        <v>27576288</v>
      </c>
      <c r="O568" s="88" t="s">
        <v>1316</v>
      </c>
      <c r="P568" s="38">
        <v>28972</v>
      </c>
      <c r="Q568" s="38"/>
      <c r="R568" s="38"/>
      <c r="S568" s="38"/>
      <c r="T568" s="38"/>
      <c r="U568" s="17" t="s">
        <v>215</v>
      </c>
      <c r="V568" s="17" t="s">
        <v>915</v>
      </c>
      <c r="W568" s="12">
        <v>41548</v>
      </c>
      <c r="X568" s="12"/>
      <c r="Y568" s="12">
        <v>42735</v>
      </c>
      <c r="Z568" s="2"/>
      <c r="AA568" s="2" t="s">
        <v>479</v>
      </c>
      <c r="AB568" s="7" t="s">
        <v>787</v>
      </c>
      <c r="AC568" s="5">
        <v>1000</v>
      </c>
      <c r="AD568" s="5">
        <f>+AC568</f>
        <v>1000</v>
      </c>
      <c r="AE568" s="5">
        <v>1170</v>
      </c>
      <c r="AF568" s="5">
        <f t="shared" si="587"/>
        <v>1310</v>
      </c>
      <c r="AG568" s="5">
        <f t="shared" si="578"/>
        <v>1310</v>
      </c>
      <c r="AH568" s="5">
        <f t="shared" si="578"/>
        <v>1310</v>
      </c>
      <c r="AI568" s="5">
        <f t="shared" ref="AI568:AJ568" si="610">+AH568</f>
        <v>1310</v>
      </c>
      <c r="AJ568" s="5">
        <f t="shared" si="610"/>
        <v>1310</v>
      </c>
      <c r="AK568" s="2"/>
      <c r="AL568" s="8"/>
    </row>
    <row r="569" spans="1:38" s="6" customFormat="1" ht="15" customHeight="1" x14ac:dyDescent="0.2">
      <c r="A569" s="29" t="s">
        <v>824</v>
      </c>
      <c r="B569" s="29" t="s">
        <v>822</v>
      </c>
      <c r="C569" s="29"/>
      <c r="D569" s="2" t="s">
        <v>956</v>
      </c>
      <c r="E569" s="2" t="s">
        <v>956</v>
      </c>
      <c r="F569" s="3"/>
      <c r="G569" s="3"/>
      <c r="H569" s="2"/>
      <c r="I569" s="2"/>
      <c r="J569" s="28"/>
      <c r="K569" s="28"/>
      <c r="L569" s="41" t="s">
        <v>1804</v>
      </c>
      <c r="M569" s="4" t="s">
        <v>3</v>
      </c>
      <c r="N569" s="15">
        <v>12471569</v>
      </c>
      <c r="O569" s="88">
        <v>20124715696</v>
      </c>
      <c r="P569" s="38"/>
      <c r="Q569" s="38"/>
      <c r="R569" s="38"/>
      <c r="S569" s="38"/>
      <c r="T569" s="38"/>
      <c r="U569" s="17"/>
      <c r="V569" s="17" t="s">
        <v>915</v>
      </c>
      <c r="W569" s="12">
        <v>42552</v>
      </c>
      <c r="X569" s="48"/>
      <c r="Y569" s="48">
        <v>42613</v>
      </c>
      <c r="Z569" s="2"/>
      <c r="AA569" s="2" t="s">
        <v>479</v>
      </c>
      <c r="AB569" s="3"/>
      <c r="AC569" s="5"/>
      <c r="AD569" s="5"/>
      <c r="AE569" s="5">
        <v>1170</v>
      </c>
      <c r="AF569" s="5">
        <f t="shared" si="587"/>
        <v>0</v>
      </c>
      <c r="AG569" s="5"/>
      <c r="AH569" s="5"/>
      <c r="AI569" s="5">
        <f t="shared" ref="AI569:AJ569" si="611">+AH569</f>
        <v>0</v>
      </c>
      <c r="AJ569" s="5">
        <f t="shared" si="611"/>
        <v>0</v>
      </c>
      <c r="AK569" s="29"/>
      <c r="AL569" s="105"/>
    </row>
    <row r="570" spans="1:38" s="6" customFormat="1" ht="15" customHeight="1" x14ac:dyDescent="0.25">
      <c r="A570" s="29" t="s">
        <v>824</v>
      </c>
      <c r="B570" s="2"/>
      <c r="C570" s="3"/>
      <c r="D570" s="2" t="s">
        <v>820</v>
      </c>
      <c r="E570" s="2" t="s">
        <v>921</v>
      </c>
      <c r="F570" s="2" t="s">
        <v>31</v>
      </c>
      <c r="G570" s="2"/>
      <c r="H570" s="2"/>
      <c r="I570" s="3"/>
      <c r="J570" s="28"/>
      <c r="K570" s="28"/>
      <c r="L570" s="42" t="s">
        <v>1043</v>
      </c>
      <c r="M570" s="7" t="s">
        <v>3</v>
      </c>
      <c r="N570" s="15">
        <v>3243932</v>
      </c>
      <c r="O570" s="88">
        <v>27324397324</v>
      </c>
      <c r="P570" s="61"/>
      <c r="Q570" s="61"/>
      <c r="R570" s="61"/>
      <c r="S570" s="61"/>
      <c r="T570" s="61"/>
      <c r="U570" s="16"/>
      <c r="V570" s="16" t="s">
        <v>916</v>
      </c>
      <c r="W570" s="86">
        <v>39052</v>
      </c>
      <c r="X570" s="12"/>
      <c r="Y570" s="12">
        <v>42735</v>
      </c>
      <c r="Z570" s="2" t="s">
        <v>1046</v>
      </c>
      <c r="AA570" s="2"/>
      <c r="AB570" s="18"/>
      <c r="AC570" s="5">
        <v>1000</v>
      </c>
      <c r="AD570" s="5"/>
      <c r="AE570" s="5">
        <v>1170</v>
      </c>
      <c r="AF570" s="5">
        <f t="shared" si="587"/>
        <v>1310</v>
      </c>
      <c r="AG570" s="5">
        <f t="shared" ref="AG570:AH588" si="612">+AF570</f>
        <v>1310</v>
      </c>
      <c r="AH570" s="5">
        <f t="shared" si="612"/>
        <v>1310</v>
      </c>
      <c r="AI570" s="5">
        <f t="shared" ref="AI570:AJ570" si="613">+AH570</f>
        <v>1310</v>
      </c>
      <c r="AJ570" s="5">
        <f t="shared" si="613"/>
        <v>1310</v>
      </c>
      <c r="AK570" s="2"/>
      <c r="AL570" s="105" t="str">
        <f>+Z570</f>
        <v>D2</v>
      </c>
    </row>
    <row r="571" spans="1:38" s="6" customFormat="1" ht="15" customHeight="1" x14ac:dyDescent="0.2">
      <c r="A571" s="29" t="s">
        <v>824</v>
      </c>
      <c r="B571" s="2" t="s">
        <v>822</v>
      </c>
      <c r="C571" s="3"/>
      <c r="D571" s="2" t="s">
        <v>825</v>
      </c>
      <c r="E571" s="3" t="s">
        <v>18</v>
      </c>
      <c r="F571" s="2" t="s">
        <v>19</v>
      </c>
      <c r="G571" s="2"/>
      <c r="H571" s="2" t="s">
        <v>35</v>
      </c>
      <c r="I571" s="2" t="s">
        <v>1707</v>
      </c>
      <c r="J571" s="28" t="s">
        <v>548</v>
      </c>
      <c r="K571" s="28" t="s">
        <v>548</v>
      </c>
      <c r="L571" s="44" t="s">
        <v>686</v>
      </c>
      <c r="M571" s="4" t="s">
        <v>3</v>
      </c>
      <c r="N571" s="15">
        <v>30927415</v>
      </c>
      <c r="O571" s="88" t="s">
        <v>1380</v>
      </c>
      <c r="P571" s="38">
        <v>30801</v>
      </c>
      <c r="Q571" s="38"/>
      <c r="R571" s="38"/>
      <c r="S571" s="38"/>
      <c r="T571" s="38"/>
      <c r="U571" s="17" t="s">
        <v>215</v>
      </c>
      <c r="V571" s="17" t="s">
        <v>915</v>
      </c>
      <c r="W571" s="12">
        <v>41122</v>
      </c>
      <c r="X571" s="12"/>
      <c r="Y571" s="12">
        <v>42735</v>
      </c>
      <c r="Z571" s="2"/>
      <c r="AA571" s="2" t="s">
        <v>479</v>
      </c>
      <c r="AB571" s="7" t="s">
        <v>787</v>
      </c>
      <c r="AC571" s="5">
        <v>1000</v>
      </c>
      <c r="AD571" s="5">
        <f>+AC571</f>
        <v>1000</v>
      </c>
      <c r="AE571" s="5">
        <v>1170</v>
      </c>
      <c r="AF571" s="5">
        <f t="shared" si="587"/>
        <v>1310</v>
      </c>
      <c r="AG571" s="5">
        <f t="shared" si="612"/>
        <v>1310</v>
      </c>
      <c r="AH571" s="5">
        <f t="shared" si="612"/>
        <v>1310</v>
      </c>
      <c r="AI571" s="5">
        <f t="shared" ref="AI571:AJ571" si="614">+AH571</f>
        <v>1310</v>
      </c>
      <c r="AJ571" s="5">
        <f t="shared" si="614"/>
        <v>1310</v>
      </c>
      <c r="AK571" s="2"/>
      <c r="AL571" s="106"/>
    </row>
    <row r="572" spans="1:38" s="6" customFormat="1" ht="15" customHeight="1" x14ac:dyDescent="0.2">
      <c r="A572" s="29" t="s">
        <v>824</v>
      </c>
      <c r="B572" s="29" t="s">
        <v>822</v>
      </c>
      <c r="C572" s="29" t="s">
        <v>823</v>
      </c>
      <c r="D572" s="2" t="s">
        <v>800</v>
      </c>
      <c r="E572" s="7" t="s">
        <v>541</v>
      </c>
      <c r="F572" s="7"/>
      <c r="G572" s="7"/>
      <c r="H572" s="8"/>
      <c r="I572" s="3"/>
      <c r="J572" s="28" t="s">
        <v>254</v>
      </c>
      <c r="K572" s="28"/>
      <c r="L572" s="42" t="s">
        <v>411</v>
      </c>
      <c r="M572" s="4" t="s">
        <v>3</v>
      </c>
      <c r="N572" s="15">
        <v>94048478</v>
      </c>
      <c r="O572" s="88">
        <v>20940484783</v>
      </c>
      <c r="P572" s="38"/>
      <c r="Q572" s="38"/>
      <c r="R572" s="38"/>
      <c r="S572" s="38"/>
      <c r="T572" s="38"/>
      <c r="U572" s="16" t="s">
        <v>796</v>
      </c>
      <c r="V572" s="16" t="s">
        <v>916</v>
      </c>
      <c r="W572" s="12">
        <v>41030</v>
      </c>
      <c r="X572" s="48">
        <v>42735</v>
      </c>
      <c r="Y572" s="12">
        <v>42735</v>
      </c>
      <c r="Z572" s="2" t="s">
        <v>24</v>
      </c>
      <c r="AA572" s="2"/>
      <c r="AB572" s="18"/>
      <c r="AC572" s="5">
        <v>1000</v>
      </c>
      <c r="AD572" s="5"/>
      <c r="AE572" s="5">
        <v>1170</v>
      </c>
      <c r="AF572" s="5">
        <f t="shared" si="587"/>
        <v>1310</v>
      </c>
      <c r="AG572" s="5">
        <f t="shared" si="612"/>
        <v>1310</v>
      </c>
      <c r="AH572" s="5">
        <f t="shared" si="612"/>
        <v>1310</v>
      </c>
      <c r="AI572" s="5">
        <f t="shared" ref="AI572:AJ572" si="615">+AH572</f>
        <v>1310</v>
      </c>
      <c r="AJ572" s="5">
        <f t="shared" si="615"/>
        <v>1310</v>
      </c>
      <c r="AK572" s="2"/>
      <c r="AL572" s="105" t="str">
        <f>+Z572</f>
        <v>D0</v>
      </c>
    </row>
    <row r="573" spans="1:38" s="6" customFormat="1" ht="15" customHeight="1" x14ac:dyDescent="0.2">
      <c r="A573" s="29" t="s">
        <v>824</v>
      </c>
      <c r="B573" s="2" t="s">
        <v>822</v>
      </c>
      <c r="C573" s="3"/>
      <c r="D573" s="2" t="s">
        <v>825</v>
      </c>
      <c r="E573" s="3" t="s">
        <v>18</v>
      </c>
      <c r="F573" s="2" t="s">
        <v>19</v>
      </c>
      <c r="G573" s="2"/>
      <c r="H573" s="2" t="s">
        <v>35</v>
      </c>
      <c r="I573" s="2" t="s">
        <v>1707</v>
      </c>
      <c r="J573" s="28" t="s">
        <v>548</v>
      </c>
      <c r="K573" s="28" t="s">
        <v>548</v>
      </c>
      <c r="L573" s="44" t="s">
        <v>687</v>
      </c>
      <c r="M573" s="4" t="s">
        <v>3</v>
      </c>
      <c r="N573" s="15">
        <v>38402296</v>
      </c>
      <c r="O573" s="88" t="s">
        <v>1546</v>
      </c>
      <c r="P573" s="38">
        <v>34646</v>
      </c>
      <c r="Q573" s="38"/>
      <c r="R573" s="38"/>
      <c r="S573" s="38"/>
      <c r="T573" s="38"/>
      <c r="U573" s="17" t="s">
        <v>215</v>
      </c>
      <c r="V573" s="17" t="s">
        <v>915</v>
      </c>
      <c r="W573" s="12">
        <v>42248</v>
      </c>
      <c r="X573" s="12"/>
      <c r="Y573" s="12">
        <v>42735</v>
      </c>
      <c r="Z573" s="2"/>
      <c r="AA573" s="2" t="s">
        <v>479</v>
      </c>
      <c r="AB573" s="7" t="s">
        <v>787</v>
      </c>
      <c r="AC573" s="5">
        <v>1000</v>
      </c>
      <c r="AD573" s="5">
        <f>+AC573</f>
        <v>1000</v>
      </c>
      <c r="AE573" s="5">
        <v>1170</v>
      </c>
      <c r="AF573" s="5">
        <f t="shared" si="587"/>
        <v>1310</v>
      </c>
      <c r="AG573" s="5">
        <f t="shared" si="612"/>
        <v>1310</v>
      </c>
      <c r="AH573" s="5">
        <f t="shared" si="612"/>
        <v>1310</v>
      </c>
      <c r="AI573" s="5">
        <f t="shared" ref="AI573:AJ573" si="616">+AH573</f>
        <v>1310</v>
      </c>
      <c r="AJ573" s="5">
        <f t="shared" si="616"/>
        <v>1310</v>
      </c>
      <c r="AK573" s="2"/>
      <c r="AL573" s="106"/>
    </row>
    <row r="574" spans="1:38" s="6" customFormat="1" ht="15" customHeight="1" x14ac:dyDescent="0.2">
      <c r="A574" s="29" t="s">
        <v>824</v>
      </c>
      <c r="B574" s="29" t="s">
        <v>822</v>
      </c>
      <c r="C574" s="29"/>
      <c r="D574" s="2" t="s">
        <v>928</v>
      </c>
      <c r="E574" s="2" t="s">
        <v>11</v>
      </c>
      <c r="F574" s="2"/>
      <c r="G574" s="2"/>
      <c r="H574" s="2"/>
      <c r="I574" s="3"/>
      <c r="J574" s="28" t="s">
        <v>73</v>
      </c>
      <c r="K574" s="28" t="s">
        <v>1765</v>
      </c>
      <c r="L574" s="42" t="s">
        <v>296</v>
      </c>
      <c r="M574" s="4" t="s">
        <v>3</v>
      </c>
      <c r="N574" s="15">
        <v>29040990</v>
      </c>
      <c r="O574" s="88">
        <v>27290409905</v>
      </c>
      <c r="P574" s="61"/>
      <c r="Q574" s="61"/>
      <c r="R574" s="61"/>
      <c r="S574" s="61"/>
      <c r="T574" s="61"/>
      <c r="U574" s="16" t="s">
        <v>796</v>
      </c>
      <c r="V574" s="16" t="s">
        <v>916</v>
      </c>
      <c r="W574" s="12">
        <v>41071</v>
      </c>
      <c r="X574" s="48">
        <v>42735</v>
      </c>
      <c r="Y574" s="12">
        <v>42735</v>
      </c>
      <c r="Z574" s="2" t="s">
        <v>53</v>
      </c>
      <c r="AA574" s="2"/>
      <c r="AB574" s="23"/>
      <c r="AC574" s="5">
        <v>1000</v>
      </c>
      <c r="AD574" s="5"/>
      <c r="AE574" s="5">
        <v>1170</v>
      </c>
      <c r="AF574" s="5">
        <f t="shared" si="587"/>
        <v>1310</v>
      </c>
      <c r="AG574" s="5">
        <f t="shared" si="612"/>
        <v>1310</v>
      </c>
      <c r="AH574" s="5">
        <f t="shared" si="612"/>
        <v>1310</v>
      </c>
      <c r="AI574" s="5">
        <f t="shared" ref="AI574:AJ574" si="617">+AH574</f>
        <v>1310</v>
      </c>
      <c r="AJ574" s="5">
        <f t="shared" si="617"/>
        <v>1310</v>
      </c>
      <c r="AK574" s="2"/>
      <c r="AL574" s="105" t="str">
        <f>+Z574</f>
        <v>B0</v>
      </c>
    </row>
    <row r="575" spans="1:38" s="6" customFormat="1" ht="15" customHeight="1" x14ac:dyDescent="0.2">
      <c r="A575" s="29" t="s">
        <v>824</v>
      </c>
      <c r="B575" s="29" t="s">
        <v>822</v>
      </c>
      <c r="C575" s="29" t="s">
        <v>823</v>
      </c>
      <c r="D575" s="2" t="s">
        <v>800</v>
      </c>
      <c r="E575" s="7" t="s">
        <v>541</v>
      </c>
      <c r="F575" s="7"/>
      <c r="G575" s="7"/>
      <c r="H575" s="8"/>
      <c r="I575" s="3" t="s">
        <v>1716</v>
      </c>
      <c r="J575" s="28" t="s">
        <v>254</v>
      </c>
      <c r="K575" s="28" t="s">
        <v>1767</v>
      </c>
      <c r="L575" s="42" t="s">
        <v>423</v>
      </c>
      <c r="M575" s="4" t="s">
        <v>3</v>
      </c>
      <c r="N575" s="15">
        <v>12803975</v>
      </c>
      <c r="O575" s="88" t="s">
        <v>1154</v>
      </c>
      <c r="P575" s="38">
        <v>20864</v>
      </c>
      <c r="Q575" s="38"/>
      <c r="R575" s="38"/>
      <c r="S575" s="38"/>
      <c r="T575" s="38"/>
      <c r="U575" s="17" t="s">
        <v>215</v>
      </c>
      <c r="V575" s="17" t="s">
        <v>915</v>
      </c>
      <c r="W575" s="12">
        <v>41791</v>
      </c>
      <c r="X575" s="20"/>
      <c r="Y575" s="12">
        <v>42735</v>
      </c>
      <c r="Z575" s="2"/>
      <c r="AA575" s="2" t="s">
        <v>479</v>
      </c>
      <c r="AB575" s="24" t="s">
        <v>479</v>
      </c>
      <c r="AC575" s="5">
        <v>1000</v>
      </c>
      <c r="AD575" s="5">
        <v>1070</v>
      </c>
      <c r="AE575" s="5">
        <v>1170</v>
      </c>
      <c r="AF575" s="5">
        <f t="shared" si="587"/>
        <v>1310</v>
      </c>
      <c r="AG575" s="5">
        <f t="shared" si="612"/>
        <v>1310</v>
      </c>
      <c r="AH575" s="5">
        <f t="shared" si="612"/>
        <v>1310</v>
      </c>
      <c r="AI575" s="5">
        <f t="shared" ref="AI575:AJ575" si="618">+AH575</f>
        <v>1310</v>
      </c>
      <c r="AJ575" s="5">
        <f t="shared" si="618"/>
        <v>1310</v>
      </c>
      <c r="AK575" s="29" t="s">
        <v>42</v>
      </c>
      <c r="AL575" s="105" t="str">
        <f>+AK575</f>
        <v>C0</v>
      </c>
    </row>
    <row r="576" spans="1:38" s="6" customFormat="1" ht="15" customHeight="1" x14ac:dyDescent="0.2">
      <c r="A576" s="29" t="s">
        <v>824</v>
      </c>
      <c r="B576" s="29" t="s">
        <v>822</v>
      </c>
      <c r="C576" s="29" t="s">
        <v>823</v>
      </c>
      <c r="D576" s="2" t="s">
        <v>808</v>
      </c>
      <c r="E576" s="2" t="s">
        <v>909</v>
      </c>
      <c r="F576" s="2" t="s">
        <v>811</v>
      </c>
      <c r="G576" s="3" t="s">
        <v>516</v>
      </c>
      <c r="H576" s="2" t="s">
        <v>222</v>
      </c>
      <c r="I576" s="2" t="s">
        <v>811</v>
      </c>
      <c r="J576" s="28" t="s">
        <v>73</v>
      </c>
      <c r="K576" s="28" t="s">
        <v>1765</v>
      </c>
      <c r="L576" s="43" t="s">
        <v>152</v>
      </c>
      <c r="M576" s="4" t="s">
        <v>3</v>
      </c>
      <c r="N576" s="15">
        <v>16095673</v>
      </c>
      <c r="O576" s="88" t="s">
        <v>1162</v>
      </c>
      <c r="P576" s="38">
        <v>23026</v>
      </c>
      <c r="Q576" s="38"/>
      <c r="R576" s="38"/>
      <c r="S576" s="38"/>
      <c r="T576" s="38"/>
      <c r="U576" s="17" t="s">
        <v>215</v>
      </c>
      <c r="V576" s="17" t="s">
        <v>915</v>
      </c>
      <c r="W576" s="12">
        <v>42165</v>
      </c>
      <c r="X576" s="37"/>
      <c r="Y576" s="12">
        <v>42735</v>
      </c>
      <c r="Z576" s="2"/>
      <c r="AA576" s="2" t="s">
        <v>479</v>
      </c>
      <c r="AB576" s="14" t="s">
        <v>479</v>
      </c>
      <c r="AC576" s="5">
        <v>1000</v>
      </c>
      <c r="AD576" s="5">
        <f>+AC576*1.07</f>
        <v>1070</v>
      </c>
      <c r="AE576" s="5">
        <v>1170</v>
      </c>
      <c r="AF576" s="5">
        <f t="shared" si="587"/>
        <v>1310</v>
      </c>
      <c r="AG576" s="5">
        <f t="shared" si="612"/>
        <v>1310</v>
      </c>
      <c r="AH576" s="5">
        <f t="shared" si="612"/>
        <v>1310</v>
      </c>
      <c r="AI576" s="5">
        <f t="shared" ref="AI576:AJ576" si="619">+AH576</f>
        <v>1310</v>
      </c>
      <c r="AJ576" s="5">
        <f t="shared" si="619"/>
        <v>1310</v>
      </c>
      <c r="AK576" s="29" t="s">
        <v>42</v>
      </c>
      <c r="AL576" s="105" t="str">
        <f>+AK576</f>
        <v>C0</v>
      </c>
    </row>
    <row r="577" spans="1:38" s="6" customFormat="1" ht="15" customHeight="1" x14ac:dyDescent="0.2">
      <c r="A577" s="29" t="s">
        <v>824</v>
      </c>
      <c r="B577" s="29" t="s">
        <v>822</v>
      </c>
      <c r="C577" s="29" t="s">
        <v>823</v>
      </c>
      <c r="D577" s="2" t="s">
        <v>808</v>
      </c>
      <c r="E577" s="2" t="s">
        <v>909</v>
      </c>
      <c r="F577" s="2" t="s">
        <v>507</v>
      </c>
      <c r="G577" s="3" t="s">
        <v>526</v>
      </c>
      <c r="H577" s="2" t="s">
        <v>229</v>
      </c>
      <c r="I577" s="2" t="s">
        <v>1707</v>
      </c>
      <c r="J577" s="28" t="s">
        <v>73</v>
      </c>
      <c r="K577" s="28" t="s">
        <v>1765</v>
      </c>
      <c r="L577" s="45" t="s">
        <v>153</v>
      </c>
      <c r="M577" s="4" t="s">
        <v>3</v>
      </c>
      <c r="N577" s="15">
        <v>17332501</v>
      </c>
      <c r="O577" s="88" t="s">
        <v>1173</v>
      </c>
      <c r="P577" s="38">
        <v>23718</v>
      </c>
      <c r="Q577" s="38"/>
      <c r="R577" s="38"/>
      <c r="S577" s="38"/>
      <c r="T577" s="38"/>
      <c r="U577" s="17" t="s">
        <v>215</v>
      </c>
      <c r="V577" s="17" t="s">
        <v>915</v>
      </c>
      <c r="W577" s="12">
        <v>42186</v>
      </c>
      <c r="X577" s="37"/>
      <c r="Y577" s="12">
        <v>42735</v>
      </c>
      <c r="Z577" s="2"/>
      <c r="AA577" s="2" t="s">
        <v>479</v>
      </c>
      <c r="AB577" s="7" t="s">
        <v>61</v>
      </c>
      <c r="AC577" s="5">
        <v>1000</v>
      </c>
      <c r="AD577" s="5">
        <v>1070</v>
      </c>
      <c r="AE577" s="5">
        <v>1170</v>
      </c>
      <c r="AF577" s="5">
        <f t="shared" si="587"/>
        <v>1310</v>
      </c>
      <c r="AG577" s="5">
        <f t="shared" si="612"/>
        <v>1310</v>
      </c>
      <c r="AH577" s="5">
        <f t="shared" si="612"/>
        <v>1310</v>
      </c>
      <c r="AI577" s="5">
        <f t="shared" ref="AI577:AJ577" si="620">+AH577</f>
        <v>1310</v>
      </c>
      <c r="AJ577" s="5">
        <f t="shared" si="620"/>
        <v>1310</v>
      </c>
      <c r="AK577" s="2" t="s">
        <v>53</v>
      </c>
      <c r="AL577" s="105" t="str">
        <f>+AK577</f>
        <v>B0</v>
      </c>
    </row>
    <row r="578" spans="1:38" s="6" customFormat="1" ht="15" customHeight="1" x14ac:dyDescent="0.2">
      <c r="A578" s="29" t="s">
        <v>824</v>
      </c>
      <c r="B578" s="29" t="s">
        <v>822</v>
      </c>
      <c r="C578" s="14"/>
      <c r="D578" s="2" t="s">
        <v>1833</v>
      </c>
      <c r="E578" s="2"/>
      <c r="F578" s="3"/>
      <c r="G578" s="3"/>
      <c r="H578" s="2" t="s">
        <v>884</v>
      </c>
      <c r="I578" s="3"/>
      <c r="J578" s="28"/>
      <c r="K578" s="28"/>
      <c r="L578" s="41" t="s">
        <v>871</v>
      </c>
      <c r="M578" s="4" t="s">
        <v>3</v>
      </c>
      <c r="N578" s="15">
        <v>26333383</v>
      </c>
      <c r="O578" s="88"/>
      <c r="P578" s="38">
        <v>28444</v>
      </c>
      <c r="Q578" s="38"/>
      <c r="R578" s="38"/>
      <c r="S578" s="38"/>
      <c r="T578" s="38"/>
      <c r="U578" s="16"/>
      <c r="V578" s="17"/>
      <c r="W578" s="12">
        <v>42370</v>
      </c>
      <c r="X578" s="48"/>
      <c r="Y578" s="12">
        <v>42735</v>
      </c>
      <c r="Z578" s="2"/>
      <c r="AA578" s="2" t="s">
        <v>545</v>
      </c>
      <c r="AB578" s="3" t="s">
        <v>10</v>
      </c>
      <c r="AC578" s="5">
        <v>1000</v>
      </c>
      <c r="AD578" s="5">
        <f>+AC578*1.07</f>
        <v>1070</v>
      </c>
      <c r="AE578" s="5" t="s">
        <v>1611</v>
      </c>
      <c r="AF578" s="74" t="s">
        <v>1611</v>
      </c>
      <c r="AG578" s="5" t="str">
        <f t="shared" si="612"/>
        <v xml:space="preserve"> ---</v>
      </c>
      <c r="AH578" s="5" t="str">
        <f t="shared" si="612"/>
        <v xml:space="preserve"> ---</v>
      </c>
      <c r="AI578" s="5" t="str">
        <f t="shared" ref="AI578:AJ578" si="621">+AH578</f>
        <v xml:space="preserve"> ---</v>
      </c>
      <c r="AJ578" s="5" t="str">
        <f t="shared" si="621"/>
        <v xml:space="preserve"> ---</v>
      </c>
      <c r="AK578" s="2"/>
      <c r="AL578" s="8"/>
    </row>
    <row r="579" spans="1:38" s="6" customFormat="1" ht="15" customHeight="1" x14ac:dyDescent="0.2">
      <c r="A579" s="29" t="s">
        <v>824</v>
      </c>
      <c r="B579" s="29"/>
      <c r="C579" s="29"/>
      <c r="D579" s="2" t="s">
        <v>820</v>
      </c>
      <c r="E579" s="2" t="s">
        <v>63</v>
      </c>
      <c r="F579" s="2"/>
      <c r="G579" s="2"/>
      <c r="H579" s="2"/>
      <c r="I579" s="2" t="s">
        <v>1707</v>
      </c>
      <c r="J579" s="28"/>
      <c r="K579" s="28"/>
      <c r="L579" s="44" t="s">
        <v>1671</v>
      </c>
      <c r="M579" s="7" t="s">
        <v>3</v>
      </c>
      <c r="N579" s="15">
        <v>33897153</v>
      </c>
      <c r="O579" s="88"/>
      <c r="P579" s="96"/>
      <c r="Q579" s="96"/>
      <c r="R579" s="96"/>
      <c r="S579" s="96"/>
      <c r="T579" s="96"/>
      <c r="U579" s="17" t="s">
        <v>796</v>
      </c>
      <c r="V579" s="17" t="s">
        <v>916</v>
      </c>
      <c r="W579" s="12"/>
      <c r="X579" s="12"/>
      <c r="Y579" s="12">
        <v>42735</v>
      </c>
      <c r="Z579" s="2" t="s">
        <v>17</v>
      </c>
      <c r="AA579" s="2"/>
      <c r="AB579" s="7"/>
      <c r="AC579" s="5"/>
      <c r="AD579" s="5"/>
      <c r="AE579" s="5"/>
      <c r="AF579" s="5">
        <f>+AE579*1.092</f>
        <v>0</v>
      </c>
      <c r="AG579" s="5">
        <f t="shared" si="612"/>
        <v>0</v>
      </c>
      <c r="AH579" s="5">
        <f t="shared" si="612"/>
        <v>0</v>
      </c>
      <c r="AI579" s="5">
        <f t="shared" ref="AI579:AJ579" si="622">+AH579</f>
        <v>0</v>
      </c>
      <c r="AJ579" s="5">
        <f t="shared" si="622"/>
        <v>0</v>
      </c>
      <c r="AK579" s="2"/>
      <c r="AL579" s="105" t="str">
        <f>+Z579</f>
        <v>C1</v>
      </c>
    </row>
    <row r="580" spans="1:38" s="6" customFormat="1" ht="15" customHeight="1" x14ac:dyDescent="0.2">
      <c r="A580" s="29" t="s">
        <v>824</v>
      </c>
      <c r="B580" s="2" t="s">
        <v>822</v>
      </c>
      <c r="C580" s="3"/>
      <c r="D580" s="2" t="s">
        <v>825</v>
      </c>
      <c r="E580" s="3" t="s">
        <v>18</v>
      </c>
      <c r="F580" s="2" t="s">
        <v>19</v>
      </c>
      <c r="G580" s="2"/>
      <c r="H580" s="2" t="s">
        <v>37</v>
      </c>
      <c r="I580" s="2" t="s">
        <v>1761</v>
      </c>
      <c r="J580" s="28" t="s">
        <v>548</v>
      </c>
      <c r="K580" s="28" t="s">
        <v>548</v>
      </c>
      <c r="L580" s="44" t="s">
        <v>688</v>
      </c>
      <c r="M580" s="4" t="s">
        <v>3</v>
      </c>
      <c r="N580" s="15">
        <v>29359743</v>
      </c>
      <c r="O580" s="88" t="s">
        <v>1349</v>
      </c>
      <c r="P580" s="38">
        <v>30036</v>
      </c>
      <c r="Q580" s="38"/>
      <c r="R580" s="38"/>
      <c r="S580" s="38"/>
      <c r="T580" s="38"/>
      <c r="U580" s="17" t="s">
        <v>215</v>
      </c>
      <c r="V580" s="17" t="s">
        <v>915</v>
      </c>
      <c r="W580" s="12">
        <v>42186</v>
      </c>
      <c r="X580" s="12"/>
      <c r="Y580" s="12">
        <v>42735</v>
      </c>
      <c r="Z580" s="2"/>
      <c r="AA580" s="2" t="s">
        <v>479</v>
      </c>
      <c r="AB580" s="7" t="s">
        <v>787</v>
      </c>
      <c r="AC580" s="5">
        <v>1000</v>
      </c>
      <c r="AD580" s="5">
        <f>+AC580</f>
        <v>1000</v>
      </c>
      <c r="AE580" s="5">
        <v>1170</v>
      </c>
      <c r="AF580" s="5">
        <f t="shared" ref="AF580:AF612" si="623">+AC580*1.31</f>
        <v>1310</v>
      </c>
      <c r="AG580" s="5">
        <f t="shared" si="612"/>
        <v>1310</v>
      </c>
      <c r="AH580" s="5">
        <f t="shared" si="612"/>
        <v>1310</v>
      </c>
      <c r="AI580" s="5">
        <f t="shared" ref="AI580:AJ580" si="624">+AH580</f>
        <v>1310</v>
      </c>
      <c r="AJ580" s="5">
        <f t="shared" si="624"/>
        <v>1310</v>
      </c>
      <c r="AK580" s="2"/>
      <c r="AL580" s="106"/>
    </row>
    <row r="581" spans="1:38" s="6" customFormat="1" ht="15" customHeight="1" x14ac:dyDescent="0.2">
      <c r="A581" s="29" t="s">
        <v>824</v>
      </c>
      <c r="B581" s="2" t="s">
        <v>822</v>
      </c>
      <c r="C581" s="29"/>
      <c r="D581" s="2" t="s">
        <v>825</v>
      </c>
      <c r="E581" s="3" t="s">
        <v>18</v>
      </c>
      <c r="F581" s="2" t="s">
        <v>19</v>
      </c>
      <c r="G581" s="3"/>
      <c r="H581" s="2" t="s">
        <v>242</v>
      </c>
      <c r="I581" s="3"/>
      <c r="J581" s="28" t="s">
        <v>548</v>
      </c>
      <c r="K581" s="28"/>
      <c r="L581" s="42" t="s">
        <v>154</v>
      </c>
      <c r="M581" s="4" t="s">
        <v>3</v>
      </c>
      <c r="N581" s="15">
        <v>23889942</v>
      </c>
      <c r="O581" s="88">
        <v>20238899428</v>
      </c>
      <c r="P581" s="61"/>
      <c r="Q581" s="61"/>
      <c r="R581" s="61"/>
      <c r="S581" s="61"/>
      <c r="T581" s="61"/>
      <c r="U581" s="16" t="s">
        <v>796</v>
      </c>
      <c r="V581" s="16" t="s">
        <v>916</v>
      </c>
      <c r="W581" s="12">
        <v>42005</v>
      </c>
      <c r="X581" s="12">
        <v>42460</v>
      </c>
      <c r="Y581" s="12">
        <v>42735</v>
      </c>
      <c r="Z581" s="2" t="s">
        <v>33</v>
      </c>
      <c r="AA581" s="2"/>
      <c r="AB581" s="14"/>
      <c r="AC581" s="5">
        <v>1000</v>
      </c>
      <c r="AD581" s="5"/>
      <c r="AE581" s="5">
        <v>1170</v>
      </c>
      <c r="AF581" s="5">
        <f t="shared" si="623"/>
        <v>1310</v>
      </c>
      <c r="AG581" s="5">
        <f t="shared" si="612"/>
        <v>1310</v>
      </c>
      <c r="AH581" s="5">
        <f t="shared" si="612"/>
        <v>1310</v>
      </c>
      <c r="AI581" s="5">
        <f t="shared" ref="AI581:AJ581" si="625">+AH581</f>
        <v>1310</v>
      </c>
      <c r="AJ581" s="5">
        <f t="shared" si="625"/>
        <v>1310</v>
      </c>
      <c r="AK581" s="2"/>
      <c r="AL581" s="105" t="str">
        <f>+Z581</f>
        <v>A1</v>
      </c>
    </row>
    <row r="582" spans="1:38" s="6" customFormat="1" ht="15" customHeight="1" x14ac:dyDescent="0.2">
      <c r="A582" s="29" t="s">
        <v>824</v>
      </c>
      <c r="B582" s="29"/>
      <c r="C582" s="14"/>
      <c r="D582" s="2" t="s">
        <v>820</v>
      </c>
      <c r="E582" s="2" t="s">
        <v>63</v>
      </c>
      <c r="F582" s="3"/>
      <c r="G582" s="3"/>
      <c r="H582" s="2"/>
      <c r="I582" s="2" t="s">
        <v>1707</v>
      </c>
      <c r="J582" s="28"/>
      <c r="K582" s="28" t="s">
        <v>1765</v>
      </c>
      <c r="L582" s="42" t="s">
        <v>926</v>
      </c>
      <c r="M582" s="4" t="s">
        <v>3</v>
      </c>
      <c r="N582" s="15">
        <v>38551275</v>
      </c>
      <c r="O582" s="88" t="s">
        <v>1551</v>
      </c>
      <c r="P582" s="38">
        <v>34673</v>
      </c>
      <c r="Q582" s="38"/>
      <c r="R582" s="38"/>
      <c r="S582" s="38"/>
      <c r="T582" s="38"/>
      <c r="U582" s="17" t="s">
        <v>215</v>
      </c>
      <c r="V582" s="16" t="s">
        <v>915</v>
      </c>
      <c r="W582" s="12"/>
      <c r="X582" s="48"/>
      <c r="Y582" s="12">
        <v>42735</v>
      </c>
      <c r="Z582" s="2"/>
      <c r="AA582" s="2" t="s">
        <v>479</v>
      </c>
      <c r="AB582" s="14"/>
      <c r="AC582" s="5">
        <v>1000</v>
      </c>
      <c r="AD582" s="5">
        <f>+AC582*1.07</f>
        <v>1070</v>
      </c>
      <c r="AE582" s="5">
        <v>1170</v>
      </c>
      <c r="AF582" s="5">
        <f t="shared" si="623"/>
        <v>1310</v>
      </c>
      <c r="AG582" s="5">
        <f t="shared" si="612"/>
        <v>1310</v>
      </c>
      <c r="AH582" s="5">
        <f t="shared" si="612"/>
        <v>1310</v>
      </c>
      <c r="AI582" s="5">
        <f t="shared" ref="AI582:AJ582" si="626">+AH582</f>
        <v>1310</v>
      </c>
      <c r="AJ582" s="5">
        <f t="shared" si="626"/>
        <v>1310</v>
      </c>
      <c r="AK582" s="29" t="s">
        <v>42</v>
      </c>
      <c r="AL582" s="105" t="str">
        <f>+AK582</f>
        <v>C0</v>
      </c>
    </row>
    <row r="583" spans="1:38" s="6" customFormat="1" ht="15" customHeight="1" x14ac:dyDescent="0.2">
      <c r="A583" s="29" t="s">
        <v>824</v>
      </c>
      <c r="B583" s="29"/>
      <c r="C583" s="29"/>
      <c r="D583" s="2" t="s">
        <v>820</v>
      </c>
      <c r="E583" s="2" t="s">
        <v>817</v>
      </c>
      <c r="F583" s="3"/>
      <c r="G583" s="3"/>
      <c r="H583" s="2" t="s">
        <v>221</v>
      </c>
      <c r="I583" s="2" t="s">
        <v>1707</v>
      </c>
      <c r="J583" s="28"/>
      <c r="K583" s="28" t="s">
        <v>1765</v>
      </c>
      <c r="L583" s="45" t="s">
        <v>931</v>
      </c>
      <c r="M583" s="4" t="s">
        <v>3</v>
      </c>
      <c r="N583" s="15">
        <v>32102678</v>
      </c>
      <c r="O583" s="88" t="s">
        <v>1407</v>
      </c>
      <c r="P583" s="38">
        <v>31799</v>
      </c>
      <c r="Q583" s="38"/>
      <c r="R583" s="38"/>
      <c r="S583" s="38"/>
      <c r="T583" s="38"/>
      <c r="U583" s="17" t="s">
        <v>215</v>
      </c>
      <c r="V583" s="16" t="s">
        <v>915</v>
      </c>
      <c r="W583" s="12">
        <v>42492</v>
      </c>
      <c r="X583" s="48"/>
      <c r="Y583" s="12">
        <v>42735</v>
      </c>
      <c r="Z583" s="2"/>
      <c r="AA583" s="2" t="s">
        <v>479</v>
      </c>
      <c r="AB583" s="14"/>
      <c r="AC583" s="5">
        <v>1000</v>
      </c>
      <c r="AD583" s="5">
        <f>+AC583*1.07</f>
        <v>1070</v>
      </c>
      <c r="AE583" s="5">
        <v>1170</v>
      </c>
      <c r="AF583" s="5">
        <f t="shared" si="623"/>
        <v>1310</v>
      </c>
      <c r="AG583" s="5">
        <f t="shared" si="612"/>
        <v>1310</v>
      </c>
      <c r="AH583" s="5">
        <f t="shared" si="612"/>
        <v>1310</v>
      </c>
      <c r="AI583" s="5">
        <f t="shared" ref="AI583:AJ583" si="627">+AH583</f>
        <v>1310</v>
      </c>
      <c r="AJ583" s="5">
        <f t="shared" si="627"/>
        <v>1310</v>
      </c>
      <c r="AK583" s="29" t="s">
        <v>42</v>
      </c>
      <c r="AL583" s="105" t="str">
        <f>+AK583</f>
        <v>C0</v>
      </c>
    </row>
    <row r="584" spans="1:38" s="6" customFormat="1" ht="15" customHeight="1" x14ac:dyDescent="0.2">
      <c r="A584" s="29" t="s">
        <v>824</v>
      </c>
      <c r="B584" s="29" t="s">
        <v>822</v>
      </c>
      <c r="C584" s="29" t="s">
        <v>823</v>
      </c>
      <c r="D584" s="2" t="s">
        <v>808</v>
      </c>
      <c r="E584" s="2" t="s">
        <v>59</v>
      </c>
      <c r="F584" s="3"/>
      <c r="G584" s="3"/>
      <c r="H584" s="2" t="s">
        <v>229</v>
      </c>
      <c r="I584" s="2" t="s">
        <v>1707</v>
      </c>
      <c r="J584" s="28" t="s">
        <v>73</v>
      </c>
      <c r="K584" s="28" t="s">
        <v>1765</v>
      </c>
      <c r="L584" s="45" t="s">
        <v>155</v>
      </c>
      <c r="M584" s="4" t="s">
        <v>3</v>
      </c>
      <c r="N584" s="15">
        <v>28077190</v>
      </c>
      <c r="O584" s="88" t="s">
        <v>1324</v>
      </c>
      <c r="P584" s="38">
        <v>29305</v>
      </c>
      <c r="Q584" s="38"/>
      <c r="R584" s="38"/>
      <c r="S584" s="38"/>
      <c r="T584" s="38"/>
      <c r="U584" s="17" t="s">
        <v>215</v>
      </c>
      <c r="V584" s="17" t="s">
        <v>915</v>
      </c>
      <c r="W584" s="12">
        <v>41988</v>
      </c>
      <c r="X584" s="37"/>
      <c r="Y584" s="12">
        <v>42735</v>
      </c>
      <c r="Z584" s="2"/>
      <c r="AA584" s="2" t="s">
        <v>479</v>
      </c>
      <c r="AB584" s="14" t="s">
        <v>505</v>
      </c>
      <c r="AC584" s="5">
        <v>1000</v>
      </c>
      <c r="AD584" s="5">
        <f>+AC584*1.07</f>
        <v>1070</v>
      </c>
      <c r="AE584" s="5">
        <v>1170</v>
      </c>
      <c r="AF584" s="5">
        <f t="shared" si="623"/>
        <v>1310</v>
      </c>
      <c r="AG584" s="5">
        <f t="shared" si="612"/>
        <v>1310</v>
      </c>
      <c r="AH584" s="5">
        <f t="shared" si="612"/>
        <v>1310</v>
      </c>
      <c r="AI584" s="5">
        <f t="shared" ref="AI584:AJ584" si="628">+AH584</f>
        <v>1310</v>
      </c>
      <c r="AJ584" s="5">
        <f t="shared" si="628"/>
        <v>1310</v>
      </c>
      <c r="AK584" s="2" t="s">
        <v>53</v>
      </c>
      <c r="AL584" s="105" t="str">
        <f>+AK584</f>
        <v>B0</v>
      </c>
    </row>
    <row r="585" spans="1:38" s="6" customFormat="1" ht="15" customHeight="1" x14ac:dyDescent="0.2">
      <c r="A585" s="29" t="s">
        <v>824</v>
      </c>
      <c r="B585" s="29" t="s">
        <v>822</v>
      </c>
      <c r="C585" s="29" t="s">
        <v>823</v>
      </c>
      <c r="D585" s="2" t="s">
        <v>808</v>
      </c>
      <c r="E585" s="2" t="s">
        <v>909</v>
      </c>
      <c r="F585" s="2" t="s">
        <v>812</v>
      </c>
      <c r="G585" s="2"/>
      <c r="H585" s="2" t="s">
        <v>70</v>
      </c>
      <c r="I585" s="2" t="s">
        <v>1707</v>
      </c>
      <c r="J585" s="28" t="s">
        <v>73</v>
      </c>
      <c r="K585" s="28" t="s">
        <v>1765</v>
      </c>
      <c r="L585" s="43" t="s">
        <v>803</v>
      </c>
      <c r="M585" s="4" t="s">
        <v>3</v>
      </c>
      <c r="N585" s="15">
        <v>23179837</v>
      </c>
      <c r="O585" s="88" t="s">
        <v>1222</v>
      </c>
      <c r="P585" s="38">
        <v>26812</v>
      </c>
      <c r="Q585" s="38"/>
      <c r="R585" s="38"/>
      <c r="S585" s="38"/>
      <c r="T585" s="38"/>
      <c r="U585" s="17" t="s">
        <v>215</v>
      </c>
      <c r="V585" s="17" t="s">
        <v>915</v>
      </c>
      <c r="W585" s="12"/>
      <c r="X585" s="37"/>
      <c r="Y585" s="12">
        <v>42735</v>
      </c>
      <c r="Z585" s="2"/>
      <c r="AA585" s="2" t="s">
        <v>479</v>
      </c>
      <c r="AB585" s="3" t="s">
        <v>10</v>
      </c>
      <c r="AC585" s="5">
        <v>1000</v>
      </c>
      <c r="AD585" s="5">
        <v>1070</v>
      </c>
      <c r="AE585" s="5">
        <v>1170</v>
      </c>
      <c r="AF585" s="5">
        <f t="shared" si="623"/>
        <v>1310</v>
      </c>
      <c r="AG585" s="5">
        <f t="shared" si="612"/>
        <v>1310</v>
      </c>
      <c r="AH585" s="5">
        <f t="shared" si="612"/>
        <v>1310</v>
      </c>
      <c r="AI585" s="5">
        <f t="shared" ref="AI585:AJ585" si="629">+AH585</f>
        <v>1310</v>
      </c>
      <c r="AJ585" s="5">
        <f t="shared" si="629"/>
        <v>1310</v>
      </c>
      <c r="AK585" s="2" t="s">
        <v>43</v>
      </c>
      <c r="AL585" s="105" t="str">
        <f>+AK585</f>
        <v>A0</v>
      </c>
    </row>
    <row r="586" spans="1:38" s="6" customFormat="1" ht="15" customHeight="1" x14ac:dyDescent="0.2">
      <c r="A586" s="29" t="s">
        <v>824</v>
      </c>
      <c r="B586" s="2"/>
      <c r="C586" s="3"/>
      <c r="D586" s="2" t="s">
        <v>820</v>
      </c>
      <c r="E586" s="2" t="s">
        <v>817</v>
      </c>
      <c r="F586" s="2"/>
      <c r="G586" s="2"/>
      <c r="H586" s="2" t="s">
        <v>885</v>
      </c>
      <c r="I586" s="2" t="s">
        <v>1707</v>
      </c>
      <c r="J586" s="28" t="s">
        <v>73</v>
      </c>
      <c r="K586" s="28" t="s">
        <v>1765</v>
      </c>
      <c r="L586" s="41" t="s">
        <v>689</v>
      </c>
      <c r="M586" s="4" t="s">
        <v>3</v>
      </c>
      <c r="N586" s="15">
        <v>32478554</v>
      </c>
      <c r="O586" s="88" t="s">
        <v>1419</v>
      </c>
      <c r="P586" s="38">
        <v>31620</v>
      </c>
      <c r="Q586" s="38"/>
      <c r="R586" s="38"/>
      <c r="S586" s="38"/>
      <c r="T586" s="38"/>
      <c r="U586" s="17" t="s">
        <v>215</v>
      </c>
      <c r="V586" s="17" t="s">
        <v>915</v>
      </c>
      <c r="W586" s="12">
        <v>42114</v>
      </c>
      <c r="X586" s="13"/>
      <c r="Y586" s="12">
        <v>42735</v>
      </c>
      <c r="Z586" s="2"/>
      <c r="AA586" s="2" t="s">
        <v>479</v>
      </c>
      <c r="AB586" s="3" t="s">
        <v>10</v>
      </c>
      <c r="AC586" s="5">
        <v>1000</v>
      </c>
      <c r="AD586" s="5">
        <f>+AC586*1.07</f>
        <v>1070</v>
      </c>
      <c r="AE586" s="5">
        <v>1170</v>
      </c>
      <c r="AF586" s="5">
        <f t="shared" si="623"/>
        <v>1310</v>
      </c>
      <c r="AG586" s="5">
        <f t="shared" si="612"/>
        <v>1310</v>
      </c>
      <c r="AH586" s="5">
        <f t="shared" si="612"/>
        <v>1310</v>
      </c>
      <c r="AI586" s="5">
        <f t="shared" ref="AI586:AJ586" si="630">+AH586</f>
        <v>1310</v>
      </c>
      <c r="AJ586" s="5">
        <f t="shared" si="630"/>
        <v>1310</v>
      </c>
      <c r="AK586" s="2" t="s">
        <v>53</v>
      </c>
      <c r="AL586" s="105" t="str">
        <f>+AK586</f>
        <v>B0</v>
      </c>
    </row>
    <row r="587" spans="1:38" s="6" customFormat="1" ht="15" customHeight="1" x14ac:dyDescent="0.2">
      <c r="A587" s="29" t="s">
        <v>824</v>
      </c>
      <c r="B587" s="29" t="s">
        <v>822</v>
      </c>
      <c r="C587" s="29" t="s">
        <v>823</v>
      </c>
      <c r="D587" s="2" t="s">
        <v>800</v>
      </c>
      <c r="E587" s="2" t="s">
        <v>494</v>
      </c>
      <c r="F587" s="2"/>
      <c r="G587" s="2"/>
      <c r="H587" s="2"/>
      <c r="I587" s="3"/>
      <c r="J587" s="28" t="s">
        <v>254</v>
      </c>
      <c r="K587" s="28"/>
      <c r="L587" s="42" t="s">
        <v>343</v>
      </c>
      <c r="M587" s="4" t="s">
        <v>3</v>
      </c>
      <c r="N587" s="15">
        <v>29014857</v>
      </c>
      <c r="O587" s="88">
        <v>27290148575</v>
      </c>
      <c r="P587" s="38"/>
      <c r="Q587" s="38"/>
      <c r="R587" s="38"/>
      <c r="S587" s="38"/>
      <c r="T587" s="38"/>
      <c r="U587" s="16" t="s">
        <v>796</v>
      </c>
      <c r="V587" s="16" t="s">
        <v>916</v>
      </c>
      <c r="W587" s="12">
        <v>40725</v>
      </c>
      <c r="X587" s="48">
        <v>42735</v>
      </c>
      <c r="Y587" s="12">
        <v>42735</v>
      </c>
      <c r="Z587" s="2" t="s">
        <v>49</v>
      </c>
      <c r="AA587" s="2"/>
      <c r="AB587" s="18"/>
      <c r="AC587" s="5">
        <v>1000</v>
      </c>
      <c r="AD587" s="5"/>
      <c r="AE587" s="5">
        <v>1170</v>
      </c>
      <c r="AF587" s="5">
        <f t="shared" si="623"/>
        <v>1310</v>
      </c>
      <c r="AG587" s="5">
        <f t="shared" si="612"/>
        <v>1310</v>
      </c>
      <c r="AH587" s="5">
        <f t="shared" si="612"/>
        <v>1310</v>
      </c>
      <c r="AI587" s="5">
        <f t="shared" ref="AI587:AJ587" si="631">+AH587</f>
        <v>1310</v>
      </c>
      <c r="AJ587" s="5">
        <f t="shared" si="631"/>
        <v>1310</v>
      </c>
      <c r="AK587" s="2"/>
      <c r="AL587" s="105" t="str">
        <f>+Z587</f>
        <v>D1</v>
      </c>
    </row>
    <row r="588" spans="1:38" s="6" customFormat="1" ht="15" customHeight="1" x14ac:dyDescent="0.2">
      <c r="A588" s="29" t="s">
        <v>824</v>
      </c>
      <c r="B588" s="2" t="s">
        <v>822</v>
      </c>
      <c r="C588" s="3"/>
      <c r="D588" s="2" t="s">
        <v>825</v>
      </c>
      <c r="E588" s="3" t="s">
        <v>18</v>
      </c>
      <c r="F588" s="2" t="s">
        <v>19</v>
      </c>
      <c r="G588" s="2"/>
      <c r="H588" s="2" t="s">
        <v>37</v>
      </c>
      <c r="I588" s="2" t="s">
        <v>1761</v>
      </c>
      <c r="J588" s="28" t="s">
        <v>548</v>
      </c>
      <c r="K588" s="28" t="s">
        <v>548</v>
      </c>
      <c r="L588" s="44" t="s">
        <v>981</v>
      </c>
      <c r="M588" s="7" t="s">
        <v>3</v>
      </c>
      <c r="N588" s="47">
        <v>27113656</v>
      </c>
      <c r="O588" s="88" t="s">
        <v>1307</v>
      </c>
      <c r="P588" s="38">
        <v>28846</v>
      </c>
      <c r="Q588" s="38"/>
      <c r="R588" s="38"/>
      <c r="S588" s="38"/>
      <c r="T588" s="38"/>
      <c r="U588" s="17" t="s">
        <v>215</v>
      </c>
      <c r="V588" s="17" t="s">
        <v>915</v>
      </c>
      <c r="W588" s="12">
        <v>41122</v>
      </c>
      <c r="X588" s="12"/>
      <c r="Y588" s="12">
        <v>42735</v>
      </c>
      <c r="Z588" s="2"/>
      <c r="AA588" s="2" t="s">
        <v>479</v>
      </c>
      <c r="AB588" s="7"/>
      <c r="AC588" s="5">
        <v>1000</v>
      </c>
      <c r="AD588" s="5">
        <f>+AC588</f>
        <v>1000</v>
      </c>
      <c r="AE588" s="5">
        <v>1170</v>
      </c>
      <c r="AF588" s="5">
        <f t="shared" si="623"/>
        <v>1310</v>
      </c>
      <c r="AG588" s="5">
        <f t="shared" si="612"/>
        <v>1310</v>
      </c>
      <c r="AH588" s="5">
        <f t="shared" si="612"/>
        <v>1310</v>
      </c>
      <c r="AI588" s="5">
        <f t="shared" ref="AI588:AJ588" si="632">+AH588</f>
        <v>1310</v>
      </c>
      <c r="AJ588" s="5">
        <f t="shared" si="632"/>
        <v>1310</v>
      </c>
      <c r="AK588" s="2"/>
      <c r="AL588" s="106"/>
    </row>
    <row r="589" spans="1:38" s="6" customFormat="1" ht="15" customHeight="1" x14ac:dyDescent="0.2">
      <c r="A589" s="29" t="s">
        <v>824</v>
      </c>
      <c r="B589" s="29" t="s">
        <v>822</v>
      </c>
      <c r="C589" s="29" t="s">
        <v>823</v>
      </c>
      <c r="D589" s="2" t="s">
        <v>808</v>
      </c>
      <c r="E589" s="2" t="s">
        <v>909</v>
      </c>
      <c r="F589" s="2" t="s">
        <v>52</v>
      </c>
      <c r="G589" s="3"/>
      <c r="H589" s="2" t="s">
        <v>236</v>
      </c>
      <c r="I589" s="2" t="s">
        <v>1707</v>
      </c>
      <c r="J589" s="28" t="s">
        <v>73</v>
      </c>
      <c r="K589" s="28" t="s">
        <v>1765</v>
      </c>
      <c r="L589" s="43" t="s">
        <v>156</v>
      </c>
      <c r="M589" s="4" t="s">
        <v>3</v>
      </c>
      <c r="N589" s="15">
        <v>33403626</v>
      </c>
      <c r="O589" s="88" t="s">
        <v>1444</v>
      </c>
      <c r="P589" s="38">
        <v>32102</v>
      </c>
      <c r="Q589" s="38"/>
      <c r="R589" s="38"/>
      <c r="S589" s="38"/>
      <c r="T589" s="38"/>
      <c r="U589" s="17" t="s">
        <v>215</v>
      </c>
      <c r="V589" s="17" t="s">
        <v>915</v>
      </c>
      <c r="W589" s="12">
        <v>42157</v>
      </c>
      <c r="X589" s="37"/>
      <c r="Y589" s="12">
        <v>42735</v>
      </c>
      <c r="Z589" s="2"/>
      <c r="AA589" s="2" t="s">
        <v>479</v>
      </c>
      <c r="AB589" s="7" t="s">
        <v>61</v>
      </c>
      <c r="AC589" s="5">
        <v>1000</v>
      </c>
      <c r="AD589" s="5">
        <f>+AC589*1.07</f>
        <v>1070</v>
      </c>
      <c r="AE589" s="5">
        <v>1170</v>
      </c>
      <c r="AF589" s="5">
        <f t="shared" si="623"/>
        <v>1310</v>
      </c>
      <c r="AG589" s="5">
        <f t="shared" ref="AG589:AH602" si="633">+AF589</f>
        <v>1310</v>
      </c>
      <c r="AH589" s="5">
        <f t="shared" si="633"/>
        <v>1310</v>
      </c>
      <c r="AI589" s="5">
        <f t="shared" ref="AI589:AJ589" si="634">+AH589</f>
        <v>1310</v>
      </c>
      <c r="AJ589" s="5">
        <f t="shared" si="634"/>
        <v>1310</v>
      </c>
      <c r="AK589" s="29" t="s">
        <v>42</v>
      </c>
      <c r="AL589" s="105" t="str">
        <f>+AK589</f>
        <v>C0</v>
      </c>
    </row>
    <row r="590" spans="1:38" s="6" customFormat="1" ht="15" customHeight="1" x14ac:dyDescent="0.2">
      <c r="A590" s="29" t="s">
        <v>824</v>
      </c>
      <c r="B590" s="29"/>
      <c r="C590" s="14"/>
      <c r="D590" s="2" t="s">
        <v>820</v>
      </c>
      <c r="E590" s="2" t="s">
        <v>818</v>
      </c>
      <c r="F590" s="3"/>
      <c r="G590" s="3"/>
      <c r="H590" s="2" t="s">
        <v>221</v>
      </c>
      <c r="I590" s="2" t="s">
        <v>221</v>
      </c>
      <c r="J590" s="28" t="s">
        <v>73</v>
      </c>
      <c r="K590" s="28" t="s">
        <v>1765</v>
      </c>
      <c r="L590" s="45" t="s">
        <v>157</v>
      </c>
      <c r="M590" s="4" t="s">
        <v>3</v>
      </c>
      <c r="N590" s="15">
        <v>37007907</v>
      </c>
      <c r="O590" s="88" t="s">
        <v>1521</v>
      </c>
      <c r="P590" s="38">
        <v>33778</v>
      </c>
      <c r="Q590" s="38"/>
      <c r="R590" s="38"/>
      <c r="S590" s="38"/>
      <c r="T590" s="38"/>
      <c r="U590" s="17" t="s">
        <v>215</v>
      </c>
      <c r="V590" s="17" t="s">
        <v>915</v>
      </c>
      <c r="W590" s="12">
        <v>42278</v>
      </c>
      <c r="X590" s="37"/>
      <c r="Y590" s="12">
        <v>42735</v>
      </c>
      <c r="Z590" s="2"/>
      <c r="AA590" s="2" t="s">
        <v>479</v>
      </c>
      <c r="AB590" s="2" t="s">
        <v>782</v>
      </c>
      <c r="AC590" s="5">
        <v>1000</v>
      </c>
      <c r="AD590" s="5">
        <f>+AC590*1.07</f>
        <v>1070</v>
      </c>
      <c r="AE590" s="5">
        <v>1170</v>
      </c>
      <c r="AF590" s="5">
        <f t="shared" si="623"/>
        <v>1310</v>
      </c>
      <c r="AG590" s="5">
        <f t="shared" si="633"/>
        <v>1310</v>
      </c>
      <c r="AH590" s="5">
        <f t="shared" si="633"/>
        <v>1310</v>
      </c>
      <c r="AI590" s="5">
        <f t="shared" ref="AI590:AJ590" si="635">+AH590</f>
        <v>1310</v>
      </c>
      <c r="AJ590" s="5">
        <f t="shared" si="635"/>
        <v>1310</v>
      </c>
      <c r="AK590" s="29" t="s">
        <v>42</v>
      </c>
      <c r="AL590" s="105" t="str">
        <f>+AK590</f>
        <v>C0</v>
      </c>
    </row>
    <row r="591" spans="1:38" s="6" customFormat="1" ht="15" customHeight="1" x14ac:dyDescent="0.2">
      <c r="A591" s="29" t="s">
        <v>824</v>
      </c>
      <c r="B591" s="29"/>
      <c r="C591" s="14"/>
      <c r="D591" s="2" t="s">
        <v>819</v>
      </c>
      <c r="E591" s="2"/>
      <c r="F591" s="3"/>
      <c r="G591" s="3"/>
      <c r="H591" s="2" t="s">
        <v>884</v>
      </c>
      <c r="I591" s="2" t="s">
        <v>1707</v>
      </c>
      <c r="J591" s="28"/>
      <c r="K591" s="28" t="s">
        <v>1765</v>
      </c>
      <c r="L591" s="41" t="s">
        <v>1652</v>
      </c>
      <c r="M591" s="7" t="s">
        <v>3</v>
      </c>
      <c r="N591" s="15">
        <v>24963883</v>
      </c>
      <c r="O591" s="88">
        <v>27249638833</v>
      </c>
      <c r="P591" s="38">
        <v>27700</v>
      </c>
      <c r="Q591" s="38"/>
      <c r="R591" s="38"/>
      <c r="S591" s="38"/>
      <c r="T591" s="38"/>
      <c r="U591" s="17" t="s">
        <v>215</v>
      </c>
      <c r="V591" s="17" t="s">
        <v>915</v>
      </c>
      <c r="W591" s="12">
        <v>42370</v>
      </c>
      <c r="X591" s="48"/>
      <c r="Y591" s="12">
        <v>42735</v>
      </c>
      <c r="Z591" s="2"/>
      <c r="AA591" s="2" t="s">
        <v>479</v>
      </c>
      <c r="AB591" s="3" t="s">
        <v>10</v>
      </c>
      <c r="AC591" s="5">
        <v>1000</v>
      </c>
      <c r="AD591" s="5">
        <f>+AC591*1.07</f>
        <v>1070</v>
      </c>
      <c r="AE591" s="5">
        <v>1170</v>
      </c>
      <c r="AF591" s="5">
        <f t="shared" si="623"/>
        <v>1310</v>
      </c>
      <c r="AG591" s="5">
        <f t="shared" si="633"/>
        <v>1310</v>
      </c>
      <c r="AH591" s="5">
        <f t="shared" si="633"/>
        <v>1310</v>
      </c>
      <c r="AI591" s="5">
        <f t="shared" ref="AI591:AJ591" si="636">+AH591</f>
        <v>1310</v>
      </c>
      <c r="AJ591" s="5">
        <f t="shared" si="636"/>
        <v>1310</v>
      </c>
      <c r="AK591" s="29" t="s">
        <v>42</v>
      </c>
      <c r="AL591" s="105" t="str">
        <f>+AK591</f>
        <v>C0</v>
      </c>
    </row>
    <row r="592" spans="1:38" s="6" customFormat="1" ht="15" customHeight="1" x14ac:dyDescent="0.2">
      <c r="A592" s="29" t="s">
        <v>824</v>
      </c>
      <c r="B592" s="2" t="s">
        <v>822</v>
      </c>
      <c r="C592" s="3"/>
      <c r="D592" s="2" t="s">
        <v>825</v>
      </c>
      <c r="E592" s="3" t="s">
        <v>18</v>
      </c>
      <c r="F592" s="2" t="s">
        <v>19</v>
      </c>
      <c r="G592" s="2"/>
      <c r="H592" s="2" t="s">
        <v>50</v>
      </c>
      <c r="I592" s="3"/>
      <c r="J592" s="28" t="s">
        <v>548</v>
      </c>
      <c r="K592" s="28"/>
      <c r="L592" s="41" t="s">
        <v>690</v>
      </c>
      <c r="M592" s="4" t="s">
        <v>3</v>
      </c>
      <c r="N592" s="15">
        <v>29193974</v>
      </c>
      <c r="O592" s="88">
        <v>27291939746</v>
      </c>
      <c r="P592" s="61"/>
      <c r="Q592" s="61"/>
      <c r="R592" s="61"/>
      <c r="S592" s="61"/>
      <c r="T592" s="61"/>
      <c r="U592" s="16" t="s">
        <v>796</v>
      </c>
      <c r="V592" s="16" t="s">
        <v>916</v>
      </c>
      <c r="W592" s="12">
        <v>41609</v>
      </c>
      <c r="X592" s="12">
        <v>42460</v>
      </c>
      <c r="Y592" s="12">
        <v>42735</v>
      </c>
      <c r="Z592" s="2" t="s">
        <v>33</v>
      </c>
      <c r="AA592" s="2"/>
      <c r="AB592" s="3"/>
      <c r="AC592" s="5">
        <v>1000</v>
      </c>
      <c r="AD592" s="5"/>
      <c r="AE592" s="5">
        <v>1170</v>
      </c>
      <c r="AF592" s="5">
        <f t="shared" si="623"/>
        <v>1310</v>
      </c>
      <c r="AG592" s="5">
        <f t="shared" si="633"/>
        <v>1310</v>
      </c>
      <c r="AH592" s="5">
        <f t="shared" si="633"/>
        <v>1310</v>
      </c>
      <c r="AI592" s="5">
        <f t="shared" ref="AI592:AJ592" si="637">+AH592</f>
        <v>1310</v>
      </c>
      <c r="AJ592" s="5">
        <f t="shared" si="637"/>
        <v>1310</v>
      </c>
      <c r="AK592" s="2"/>
      <c r="AL592" s="105" t="str">
        <f>+Z592</f>
        <v>A1</v>
      </c>
    </row>
    <row r="593" spans="1:38" s="6" customFormat="1" ht="15" customHeight="1" x14ac:dyDescent="0.2">
      <c r="A593" s="29" t="s">
        <v>824</v>
      </c>
      <c r="B593" s="29" t="s">
        <v>822</v>
      </c>
      <c r="C593" s="29" t="s">
        <v>823</v>
      </c>
      <c r="D593" s="2" t="s">
        <v>800</v>
      </c>
      <c r="E593" s="2"/>
      <c r="F593" s="2"/>
      <c r="G593" s="2"/>
      <c r="H593" s="2"/>
      <c r="I593" s="3" t="s">
        <v>1718</v>
      </c>
      <c r="J593" s="28"/>
      <c r="K593" s="28" t="s">
        <v>1767</v>
      </c>
      <c r="L593" s="41" t="s">
        <v>1060</v>
      </c>
      <c r="M593" s="7" t="s">
        <v>3</v>
      </c>
      <c r="N593" s="15">
        <v>36492782</v>
      </c>
      <c r="O593" s="88" t="s">
        <v>1511</v>
      </c>
      <c r="P593" s="38">
        <v>33566</v>
      </c>
      <c r="Q593" s="38"/>
      <c r="R593" s="38"/>
      <c r="S593" s="38"/>
      <c r="T593" s="38"/>
      <c r="U593" s="17" t="s">
        <v>215</v>
      </c>
      <c r="V593" s="16" t="s">
        <v>915</v>
      </c>
      <c r="W593" s="12"/>
      <c r="X593" s="12"/>
      <c r="Y593" s="12">
        <v>42735</v>
      </c>
      <c r="Z593" s="2"/>
      <c r="AA593" s="2" t="s">
        <v>479</v>
      </c>
      <c r="AB593" s="3"/>
      <c r="AC593" s="5"/>
      <c r="AD593" s="5">
        <v>1070</v>
      </c>
      <c r="AE593" s="5">
        <v>1170</v>
      </c>
      <c r="AF593" s="5">
        <f t="shared" si="623"/>
        <v>0</v>
      </c>
      <c r="AG593" s="5">
        <f t="shared" si="633"/>
        <v>0</v>
      </c>
      <c r="AH593" s="5">
        <f t="shared" si="633"/>
        <v>0</v>
      </c>
      <c r="AI593" s="5">
        <f t="shared" ref="AI593:AJ593" si="638">+AH593</f>
        <v>0</v>
      </c>
      <c r="AJ593" s="5">
        <f t="shared" si="638"/>
        <v>0</v>
      </c>
      <c r="AK593" s="29" t="s">
        <v>42</v>
      </c>
      <c r="AL593" s="105" t="str">
        <f>+AK593</f>
        <v>C0</v>
      </c>
    </row>
    <row r="594" spans="1:38" s="6" customFormat="1" ht="15" customHeight="1" x14ac:dyDescent="0.2">
      <c r="A594" s="29" t="s">
        <v>824</v>
      </c>
      <c r="B594" s="29" t="s">
        <v>822</v>
      </c>
      <c r="C594" s="29" t="s">
        <v>823</v>
      </c>
      <c r="D594" s="2" t="s">
        <v>800</v>
      </c>
      <c r="E594" s="7" t="s">
        <v>487</v>
      </c>
      <c r="F594" s="7"/>
      <c r="G594" s="7"/>
      <c r="H594" s="2" t="s">
        <v>1711</v>
      </c>
      <c r="I594" s="3" t="s">
        <v>1741</v>
      </c>
      <c r="J594" s="28"/>
      <c r="K594" s="28" t="s">
        <v>1767</v>
      </c>
      <c r="L594" s="42" t="s">
        <v>1118</v>
      </c>
      <c r="M594" s="7" t="s">
        <v>3</v>
      </c>
      <c r="N594" s="15">
        <v>31764002</v>
      </c>
      <c r="O594" s="88">
        <v>20317640022</v>
      </c>
      <c r="P594" s="38">
        <v>31263</v>
      </c>
      <c r="Q594" s="38"/>
      <c r="R594" s="38"/>
      <c r="S594" s="38"/>
      <c r="T594" s="38"/>
      <c r="U594" s="17" t="s">
        <v>215</v>
      </c>
      <c r="V594" s="17" t="s">
        <v>915</v>
      </c>
      <c r="W594" s="12">
        <v>42491</v>
      </c>
      <c r="X594" s="20"/>
      <c r="Y594" s="12">
        <v>42735</v>
      </c>
      <c r="Z594" s="2"/>
      <c r="AA594" s="2" t="s">
        <v>479</v>
      </c>
      <c r="AB594" s="24"/>
      <c r="AC594" s="5">
        <v>1000</v>
      </c>
      <c r="AD594" s="5">
        <f>+AC594*1.07</f>
        <v>1070</v>
      </c>
      <c r="AE594" s="5">
        <v>1170</v>
      </c>
      <c r="AF594" s="5">
        <f t="shared" si="623"/>
        <v>1310</v>
      </c>
      <c r="AG594" s="5">
        <f t="shared" si="633"/>
        <v>1310</v>
      </c>
      <c r="AH594" s="5">
        <f t="shared" si="633"/>
        <v>1310</v>
      </c>
      <c r="AI594" s="5">
        <f t="shared" ref="AI594:AJ594" si="639">+AH594</f>
        <v>1310</v>
      </c>
      <c r="AJ594" s="5">
        <f t="shared" si="639"/>
        <v>1310</v>
      </c>
      <c r="AK594" s="2" t="s">
        <v>53</v>
      </c>
      <c r="AL594" s="105" t="str">
        <f>+AK594</f>
        <v>B0</v>
      </c>
    </row>
    <row r="595" spans="1:38" s="6" customFormat="1" ht="15" customHeight="1" x14ac:dyDescent="0.2">
      <c r="A595" s="29" t="s">
        <v>824</v>
      </c>
      <c r="B595" s="29"/>
      <c r="C595" s="29"/>
      <c r="D595" s="2" t="s">
        <v>820</v>
      </c>
      <c r="E595" s="2" t="s">
        <v>817</v>
      </c>
      <c r="F595" s="2"/>
      <c r="G595" s="2"/>
      <c r="H595" s="2"/>
      <c r="I595" s="2" t="s">
        <v>1707</v>
      </c>
      <c r="J595" s="28"/>
      <c r="K595" s="28" t="s">
        <v>1765</v>
      </c>
      <c r="L595" s="42" t="s">
        <v>1026</v>
      </c>
      <c r="M595" s="4" t="s">
        <v>3</v>
      </c>
      <c r="N595" s="15">
        <v>37755992</v>
      </c>
      <c r="O595" s="88" t="s">
        <v>1534</v>
      </c>
      <c r="P595" s="38">
        <v>34137</v>
      </c>
      <c r="Q595" s="38"/>
      <c r="R595" s="38"/>
      <c r="S595" s="38"/>
      <c r="T595" s="38"/>
      <c r="U595" s="17" t="s">
        <v>215</v>
      </c>
      <c r="V595" s="17" t="s">
        <v>915</v>
      </c>
      <c r="W595" s="12"/>
      <c r="X595" s="20"/>
      <c r="Y595" s="12">
        <v>42735</v>
      </c>
      <c r="Z595" s="2"/>
      <c r="AA595" s="2" t="s">
        <v>479</v>
      </c>
      <c r="AB595" s="24"/>
      <c r="AC595" s="5">
        <v>1000</v>
      </c>
      <c r="AD595" s="5">
        <v>1070</v>
      </c>
      <c r="AE595" s="5">
        <v>1170</v>
      </c>
      <c r="AF595" s="5">
        <f t="shared" si="623"/>
        <v>1310</v>
      </c>
      <c r="AG595" s="5">
        <f t="shared" si="633"/>
        <v>1310</v>
      </c>
      <c r="AH595" s="5">
        <f t="shared" si="633"/>
        <v>1310</v>
      </c>
      <c r="AI595" s="5">
        <f t="shared" ref="AI595:AJ595" si="640">+AH595</f>
        <v>1310</v>
      </c>
      <c r="AJ595" s="5">
        <f t="shared" si="640"/>
        <v>1310</v>
      </c>
      <c r="AK595" s="29" t="s">
        <v>42</v>
      </c>
      <c r="AL595" s="105" t="str">
        <f>+AK595</f>
        <v>C0</v>
      </c>
    </row>
    <row r="596" spans="1:38" s="6" customFormat="1" ht="15" customHeight="1" x14ac:dyDescent="0.2">
      <c r="A596" s="29" t="s">
        <v>824</v>
      </c>
      <c r="B596" s="2" t="s">
        <v>822</v>
      </c>
      <c r="C596" s="29" t="s">
        <v>823</v>
      </c>
      <c r="D596" s="2" t="s">
        <v>808</v>
      </c>
      <c r="E596" s="2" t="s">
        <v>216</v>
      </c>
      <c r="F596" s="2" t="s">
        <v>1066</v>
      </c>
      <c r="G596" s="7"/>
      <c r="H596" s="8"/>
      <c r="I596" s="2" t="s">
        <v>1066</v>
      </c>
      <c r="J596" s="28"/>
      <c r="K596" s="28" t="s">
        <v>1765</v>
      </c>
      <c r="L596" s="42" t="s">
        <v>1133</v>
      </c>
      <c r="M596" s="7" t="s">
        <v>3</v>
      </c>
      <c r="N596" s="15">
        <v>37424425</v>
      </c>
      <c r="O596" s="88">
        <v>27374244251</v>
      </c>
      <c r="P596" s="38">
        <v>34087</v>
      </c>
      <c r="Q596" s="38"/>
      <c r="R596" s="38"/>
      <c r="S596" s="38"/>
      <c r="T596" s="38"/>
      <c r="U596" s="17" t="s">
        <v>215</v>
      </c>
      <c r="V596" s="16" t="s">
        <v>915</v>
      </c>
      <c r="W596" s="12">
        <v>42522</v>
      </c>
      <c r="X596" s="48"/>
      <c r="Y596" s="12">
        <v>42735</v>
      </c>
      <c r="Z596" s="2"/>
      <c r="AA596" s="2" t="s">
        <v>479</v>
      </c>
      <c r="AB596" s="18"/>
      <c r="AC596" s="5"/>
      <c r="AD596" s="5">
        <v>1070</v>
      </c>
      <c r="AE596" s="5">
        <v>1170</v>
      </c>
      <c r="AF596" s="5">
        <f t="shared" si="623"/>
        <v>0</v>
      </c>
      <c r="AG596" s="5">
        <f t="shared" si="633"/>
        <v>0</v>
      </c>
      <c r="AH596" s="5">
        <f t="shared" si="633"/>
        <v>0</v>
      </c>
      <c r="AI596" s="5">
        <f t="shared" ref="AI596:AJ596" si="641">+AH596</f>
        <v>0</v>
      </c>
      <c r="AJ596" s="5">
        <f t="shared" si="641"/>
        <v>0</v>
      </c>
      <c r="AK596" s="2" t="s">
        <v>42</v>
      </c>
      <c r="AL596" s="105" t="str">
        <f>+AK596</f>
        <v>C0</v>
      </c>
    </row>
    <row r="597" spans="1:38" s="6" customFormat="1" ht="15" customHeight="1" x14ac:dyDescent="0.2">
      <c r="A597" s="29" t="s">
        <v>824</v>
      </c>
      <c r="B597" s="2" t="s">
        <v>822</v>
      </c>
      <c r="C597" s="3"/>
      <c r="D597" s="2" t="s">
        <v>825</v>
      </c>
      <c r="E597" s="3" t="s">
        <v>18</v>
      </c>
      <c r="F597" s="2" t="s">
        <v>19</v>
      </c>
      <c r="G597" s="2"/>
      <c r="H597" s="2" t="s">
        <v>35</v>
      </c>
      <c r="I597" s="2" t="s">
        <v>1707</v>
      </c>
      <c r="J597" s="28" t="s">
        <v>548</v>
      </c>
      <c r="K597" s="28" t="s">
        <v>548</v>
      </c>
      <c r="L597" s="44" t="s">
        <v>691</v>
      </c>
      <c r="M597" s="4" t="s">
        <v>3</v>
      </c>
      <c r="N597" s="15">
        <v>37806458</v>
      </c>
      <c r="O597" s="88" t="s">
        <v>1535</v>
      </c>
      <c r="P597" s="38">
        <v>34194</v>
      </c>
      <c r="Q597" s="38"/>
      <c r="R597" s="38"/>
      <c r="S597" s="38"/>
      <c r="T597" s="38"/>
      <c r="U597" s="17" t="s">
        <v>215</v>
      </c>
      <c r="V597" s="17" t="s">
        <v>915</v>
      </c>
      <c r="W597" s="12">
        <v>41183</v>
      </c>
      <c r="X597" s="12"/>
      <c r="Y597" s="12">
        <v>42735</v>
      </c>
      <c r="Z597" s="2"/>
      <c r="AA597" s="2" t="s">
        <v>479</v>
      </c>
      <c r="AB597" s="7" t="s">
        <v>787</v>
      </c>
      <c r="AC597" s="5">
        <v>1000</v>
      </c>
      <c r="AD597" s="5">
        <f>+AC597</f>
        <v>1000</v>
      </c>
      <c r="AE597" s="5">
        <v>1170</v>
      </c>
      <c r="AF597" s="5">
        <f t="shared" si="623"/>
        <v>1310</v>
      </c>
      <c r="AG597" s="5">
        <f t="shared" si="633"/>
        <v>1310</v>
      </c>
      <c r="AH597" s="5">
        <f t="shared" si="633"/>
        <v>1310</v>
      </c>
      <c r="AI597" s="5">
        <f t="shared" ref="AI597:AJ597" si="642">+AH597</f>
        <v>1310</v>
      </c>
      <c r="AJ597" s="5">
        <f t="shared" si="642"/>
        <v>1310</v>
      </c>
      <c r="AK597" s="2"/>
      <c r="AL597" s="106"/>
    </row>
    <row r="598" spans="1:38" s="6" customFormat="1" ht="15" customHeight="1" x14ac:dyDescent="0.2">
      <c r="A598" s="29" t="s">
        <v>824</v>
      </c>
      <c r="B598" s="29"/>
      <c r="C598" s="14"/>
      <c r="D598" s="2" t="s">
        <v>820</v>
      </c>
      <c r="E598" s="2" t="s">
        <v>63</v>
      </c>
      <c r="F598" s="2" t="s">
        <v>927</v>
      </c>
      <c r="G598" s="3"/>
      <c r="H598" s="2" t="s">
        <v>223</v>
      </c>
      <c r="I598" s="2" t="s">
        <v>1707</v>
      </c>
      <c r="J598" s="28" t="s">
        <v>73</v>
      </c>
      <c r="K598" s="28" t="s">
        <v>1765</v>
      </c>
      <c r="L598" s="43" t="s">
        <v>158</v>
      </c>
      <c r="M598" s="4" t="s">
        <v>3</v>
      </c>
      <c r="N598" s="15">
        <v>32969084</v>
      </c>
      <c r="O598" s="88" t="s">
        <v>1435</v>
      </c>
      <c r="P598" s="38">
        <v>32078</v>
      </c>
      <c r="Q598" s="38"/>
      <c r="R598" s="38"/>
      <c r="S598" s="38"/>
      <c r="T598" s="38"/>
      <c r="U598" s="17" t="s">
        <v>215</v>
      </c>
      <c r="V598" s="17" t="s">
        <v>915</v>
      </c>
      <c r="W598" s="12">
        <v>41983</v>
      </c>
      <c r="X598" s="37"/>
      <c r="Y598" s="12">
        <v>42735</v>
      </c>
      <c r="Z598" s="2"/>
      <c r="AA598" s="2" t="s">
        <v>479</v>
      </c>
      <c r="AB598" s="29" t="s">
        <v>539</v>
      </c>
      <c r="AC598" s="5">
        <v>1000</v>
      </c>
      <c r="AD598" s="5">
        <f>+AC598*1.07</f>
        <v>1070</v>
      </c>
      <c r="AE598" s="5">
        <v>1170</v>
      </c>
      <c r="AF598" s="5">
        <f t="shared" si="623"/>
        <v>1310</v>
      </c>
      <c r="AG598" s="5">
        <f t="shared" si="633"/>
        <v>1310</v>
      </c>
      <c r="AH598" s="5">
        <f t="shared" si="633"/>
        <v>1310</v>
      </c>
      <c r="AI598" s="5">
        <f t="shared" ref="AI598:AJ598" si="643">+AH598</f>
        <v>1310</v>
      </c>
      <c r="AJ598" s="5">
        <f t="shared" si="643"/>
        <v>1310</v>
      </c>
      <c r="AK598" s="29" t="s">
        <v>42</v>
      </c>
      <c r="AL598" s="105" t="str">
        <f>+AK598</f>
        <v>C0</v>
      </c>
    </row>
    <row r="599" spans="1:38" s="6" customFormat="1" ht="15" customHeight="1" x14ac:dyDescent="0.2">
      <c r="A599" s="29" t="s">
        <v>824</v>
      </c>
      <c r="B599" s="29" t="s">
        <v>822</v>
      </c>
      <c r="C599" s="29" t="s">
        <v>823</v>
      </c>
      <c r="D599" s="2" t="s">
        <v>808</v>
      </c>
      <c r="E599" s="2" t="s">
        <v>909</v>
      </c>
      <c r="F599" s="2" t="s">
        <v>811</v>
      </c>
      <c r="G599" s="3" t="s">
        <v>519</v>
      </c>
      <c r="H599" s="2" t="s">
        <v>243</v>
      </c>
      <c r="I599" s="2" t="s">
        <v>811</v>
      </c>
      <c r="J599" s="28" t="s">
        <v>73</v>
      </c>
      <c r="K599" s="28" t="s">
        <v>1765</v>
      </c>
      <c r="L599" s="43" t="s">
        <v>159</v>
      </c>
      <c r="M599" s="4" t="s">
        <v>3</v>
      </c>
      <c r="N599" s="15">
        <v>30920038</v>
      </c>
      <c r="O599" s="88" t="s">
        <v>1378</v>
      </c>
      <c r="P599" s="38">
        <v>30859</v>
      </c>
      <c r="Q599" s="38"/>
      <c r="R599" s="38"/>
      <c r="S599" s="38"/>
      <c r="T599" s="38"/>
      <c r="U599" s="17" t="s">
        <v>215</v>
      </c>
      <c r="V599" s="17" t="s">
        <v>915</v>
      </c>
      <c r="W599" s="12">
        <v>42198</v>
      </c>
      <c r="X599" s="37"/>
      <c r="Y599" s="12">
        <v>42735</v>
      </c>
      <c r="Z599" s="2"/>
      <c r="AA599" s="2" t="s">
        <v>479</v>
      </c>
      <c r="AB599" s="7" t="s">
        <v>61</v>
      </c>
      <c r="AC599" s="5">
        <v>1000</v>
      </c>
      <c r="AD599" s="5">
        <f>+AC599*1.07</f>
        <v>1070</v>
      </c>
      <c r="AE599" s="5">
        <v>1170</v>
      </c>
      <c r="AF599" s="5">
        <f t="shared" si="623"/>
        <v>1310</v>
      </c>
      <c r="AG599" s="5">
        <f t="shared" si="633"/>
        <v>1310</v>
      </c>
      <c r="AH599" s="5">
        <f t="shared" si="633"/>
        <v>1310</v>
      </c>
      <c r="AI599" s="5">
        <f t="shared" ref="AI599:AJ599" si="644">+AH599</f>
        <v>1310</v>
      </c>
      <c r="AJ599" s="5">
        <f t="shared" si="644"/>
        <v>1310</v>
      </c>
      <c r="AK599" s="29" t="s">
        <v>42</v>
      </c>
      <c r="AL599" s="105" t="str">
        <f>+AK599</f>
        <v>C0</v>
      </c>
    </row>
    <row r="600" spans="1:38" s="6" customFormat="1" ht="15" customHeight="1" x14ac:dyDescent="0.2">
      <c r="A600" s="29" t="s">
        <v>824</v>
      </c>
      <c r="B600" s="29" t="s">
        <v>822</v>
      </c>
      <c r="C600" s="29" t="s">
        <v>823</v>
      </c>
      <c r="D600" s="2" t="s">
        <v>800</v>
      </c>
      <c r="E600" s="7" t="s">
        <v>541</v>
      </c>
      <c r="F600" s="7"/>
      <c r="G600" s="7"/>
      <c r="H600" s="8"/>
      <c r="I600" s="3"/>
      <c r="J600" s="28" t="s">
        <v>254</v>
      </c>
      <c r="K600" s="28"/>
      <c r="L600" s="42" t="s">
        <v>412</v>
      </c>
      <c r="M600" s="4" t="s">
        <v>3</v>
      </c>
      <c r="N600" s="15">
        <v>23331504</v>
      </c>
      <c r="O600" s="88">
        <v>20233315045</v>
      </c>
      <c r="P600" s="38"/>
      <c r="Q600" s="38"/>
      <c r="R600" s="38"/>
      <c r="S600" s="38"/>
      <c r="T600" s="38"/>
      <c r="U600" s="16" t="s">
        <v>796</v>
      </c>
      <c r="V600" s="16" t="s">
        <v>916</v>
      </c>
      <c r="W600" s="12">
        <v>41395</v>
      </c>
      <c r="X600" s="12">
        <v>42460</v>
      </c>
      <c r="Y600" s="12">
        <v>42735</v>
      </c>
      <c r="Z600" s="2" t="s">
        <v>42</v>
      </c>
      <c r="AA600" s="2"/>
      <c r="AB600" s="18"/>
      <c r="AC600" s="5">
        <v>1000</v>
      </c>
      <c r="AD600" s="5"/>
      <c r="AE600" s="5">
        <v>1170</v>
      </c>
      <c r="AF600" s="5">
        <f t="shared" si="623"/>
        <v>1310</v>
      </c>
      <c r="AG600" s="5">
        <f t="shared" si="633"/>
        <v>1310</v>
      </c>
      <c r="AH600" s="5">
        <f t="shared" si="633"/>
        <v>1310</v>
      </c>
      <c r="AI600" s="5">
        <f t="shared" ref="AI600:AJ600" si="645">+AH600</f>
        <v>1310</v>
      </c>
      <c r="AJ600" s="5">
        <f t="shared" si="645"/>
        <v>1310</v>
      </c>
      <c r="AK600" s="2"/>
      <c r="AL600" s="105" t="str">
        <f>+Z600</f>
        <v>C0</v>
      </c>
    </row>
    <row r="601" spans="1:38" s="6" customFormat="1" ht="15" customHeight="1" x14ac:dyDescent="0.2">
      <c r="A601" s="29" t="s">
        <v>824</v>
      </c>
      <c r="B601" s="2" t="s">
        <v>822</v>
      </c>
      <c r="C601" s="3"/>
      <c r="D601" s="2" t="s">
        <v>825</v>
      </c>
      <c r="E601" s="3" t="s">
        <v>18</v>
      </c>
      <c r="F601" s="2" t="s">
        <v>19</v>
      </c>
      <c r="G601" s="2"/>
      <c r="H601" s="2" t="s">
        <v>50</v>
      </c>
      <c r="I601" s="3"/>
      <c r="J601" s="28" t="s">
        <v>548</v>
      </c>
      <c r="K601" s="28"/>
      <c r="L601" s="41" t="s">
        <v>692</v>
      </c>
      <c r="M601" s="4" t="s">
        <v>3</v>
      </c>
      <c r="N601" s="15">
        <v>34152110</v>
      </c>
      <c r="O601" s="88">
        <v>27341521101</v>
      </c>
      <c r="P601" s="61"/>
      <c r="Q601" s="61"/>
      <c r="R601" s="61"/>
      <c r="S601" s="61"/>
      <c r="T601" s="61"/>
      <c r="U601" s="16" t="s">
        <v>796</v>
      </c>
      <c r="V601" s="16" t="s">
        <v>916</v>
      </c>
      <c r="W601" s="12">
        <v>39814</v>
      </c>
      <c r="X601" s="48">
        <v>42735</v>
      </c>
      <c r="Y601" s="12">
        <v>42735</v>
      </c>
      <c r="Z601" s="2" t="s">
        <v>67</v>
      </c>
      <c r="AA601" s="2"/>
      <c r="AB601" s="3"/>
      <c r="AC601" s="5">
        <v>1000</v>
      </c>
      <c r="AD601" s="5"/>
      <c r="AE601" s="5">
        <v>1170</v>
      </c>
      <c r="AF601" s="5">
        <f t="shared" si="623"/>
        <v>1310</v>
      </c>
      <c r="AG601" s="5">
        <f t="shared" si="633"/>
        <v>1310</v>
      </c>
      <c r="AH601" s="5">
        <f t="shared" si="633"/>
        <v>1310</v>
      </c>
      <c r="AI601" s="5">
        <f t="shared" ref="AI601:AJ601" si="646">+AH601</f>
        <v>1310</v>
      </c>
      <c r="AJ601" s="5">
        <f t="shared" si="646"/>
        <v>1310</v>
      </c>
      <c r="AK601" s="2"/>
      <c r="AL601" s="105" t="str">
        <f>+Z601</f>
        <v>C2</v>
      </c>
    </row>
    <row r="602" spans="1:38" s="6" customFormat="1" ht="15" customHeight="1" x14ac:dyDescent="0.2">
      <c r="A602" s="29" t="s">
        <v>824</v>
      </c>
      <c r="B602" s="29" t="s">
        <v>822</v>
      </c>
      <c r="C602" s="14"/>
      <c r="D602" s="2" t="s">
        <v>1833</v>
      </c>
      <c r="E602" s="2"/>
      <c r="F602" s="3"/>
      <c r="G602" s="3"/>
      <c r="H602" s="2" t="s">
        <v>884</v>
      </c>
      <c r="I602" s="2" t="s">
        <v>1707</v>
      </c>
      <c r="J602" s="28"/>
      <c r="K602" s="28" t="s">
        <v>1765</v>
      </c>
      <c r="L602" s="41" t="s">
        <v>1651</v>
      </c>
      <c r="M602" s="7" t="s">
        <v>3</v>
      </c>
      <c r="N602" s="15">
        <v>24230223</v>
      </c>
      <c r="O602" s="88">
        <v>20242302231</v>
      </c>
      <c r="P602" s="38">
        <v>27483</v>
      </c>
      <c r="Q602" s="38"/>
      <c r="R602" s="38"/>
      <c r="S602" s="38"/>
      <c r="T602" s="38"/>
      <c r="U602" s="17" t="s">
        <v>215</v>
      </c>
      <c r="V602" s="17" t="s">
        <v>915</v>
      </c>
      <c r="W602" s="12"/>
      <c r="X602" s="48"/>
      <c r="Y602" s="12">
        <v>42735</v>
      </c>
      <c r="Z602" s="2"/>
      <c r="AA602" s="2" t="s">
        <v>479</v>
      </c>
      <c r="AB602" s="3"/>
      <c r="AC602" s="5"/>
      <c r="AD602" s="5">
        <v>1070</v>
      </c>
      <c r="AE602" s="5">
        <v>1170</v>
      </c>
      <c r="AF602" s="5">
        <f t="shared" si="623"/>
        <v>0</v>
      </c>
      <c r="AG602" s="5">
        <f t="shared" si="633"/>
        <v>0</v>
      </c>
      <c r="AH602" s="5">
        <f t="shared" si="633"/>
        <v>0</v>
      </c>
      <c r="AI602" s="5">
        <f t="shared" ref="AI602:AJ602" si="647">+AH602</f>
        <v>0</v>
      </c>
      <c r="AJ602" s="5">
        <f t="shared" si="647"/>
        <v>0</v>
      </c>
      <c r="AK602" s="2" t="s">
        <v>53</v>
      </c>
      <c r="AL602" s="105" t="str">
        <f>+AK602</f>
        <v>B0</v>
      </c>
    </row>
    <row r="603" spans="1:38" s="6" customFormat="1" ht="15" customHeight="1" x14ac:dyDescent="0.2">
      <c r="A603" s="29" t="s">
        <v>824</v>
      </c>
      <c r="B603" s="29" t="s">
        <v>822</v>
      </c>
      <c r="C603" s="29"/>
      <c r="D603" s="2" t="s">
        <v>825</v>
      </c>
      <c r="E603" s="7"/>
      <c r="F603" s="7"/>
      <c r="G603" s="7"/>
      <c r="H603" s="8"/>
      <c r="I603" s="2" t="s">
        <v>1707</v>
      </c>
      <c r="J603" s="28"/>
      <c r="K603" s="28" t="s">
        <v>1765</v>
      </c>
      <c r="L603" s="42" t="s">
        <v>1119</v>
      </c>
      <c r="M603" s="7" t="s">
        <v>3</v>
      </c>
      <c r="N603" s="15">
        <v>21731906</v>
      </c>
      <c r="O603" s="88">
        <v>20217319065</v>
      </c>
      <c r="P603" s="38">
        <v>25823</v>
      </c>
      <c r="Q603" s="38"/>
      <c r="R603" s="38"/>
      <c r="S603" s="38"/>
      <c r="T603" s="38"/>
      <c r="U603" s="17" t="s">
        <v>215</v>
      </c>
      <c r="V603" s="17" t="s">
        <v>915</v>
      </c>
      <c r="W603" s="12">
        <v>42461</v>
      </c>
      <c r="X603" s="20"/>
      <c r="Y603" s="20">
        <v>42613</v>
      </c>
      <c r="Z603" s="2"/>
      <c r="AA603" s="2" t="s">
        <v>479</v>
      </c>
      <c r="AB603" s="24"/>
      <c r="AC603" s="5">
        <v>1000</v>
      </c>
      <c r="AD603" s="5">
        <f>+AC603*1.07</f>
        <v>1070</v>
      </c>
      <c r="AE603" s="5">
        <v>1170</v>
      </c>
      <c r="AF603" s="5">
        <f t="shared" si="623"/>
        <v>1310</v>
      </c>
      <c r="AG603" s="5"/>
      <c r="AH603" s="5"/>
      <c r="AI603" s="5">
        <f t="shared" ref="AI603:AJ603" si="648">+AH603</f>
        <v>0</v>
      </c>
      <c r="AJ603" s="5">
        <f t="shared" si="648"/>
        <v>0</v>
      </c>
      <c r="AK603" s="2"/>
      <c r="AL603" s="105"/>
    </row>
    <row r="604" spans="1:38" s="6" customFormat="1" ht="15" customHeight="1" x14ac:dyDescent="0.2">
      <c r="A604" s="29" t="s">
        <v>824</v>
      </c>
      <c r="B604" s="2" t="s">
        <v>822</v>
      </c>
      <c r="C604" s="29" t="s">
        <v>823</v>
      </c>
      <c r="D604" s="2" t="s">
        <v>1820</v>
      </c>
      <c r="E604" s="2"/>
      <c r="F604" s="3"/>
      <c r="G604" s="3"/>
      <c r="H604" s="2" t="s">
        <v>884</v>
      </c>
      <c r="I604" s="2" t="s">
        <v>1707</v>
      </c>
      <c r="J604" s="28"/>
      <c r="K604" s="28" t="s">
        <v>1765</v>
      </c>
      <c r="L604" s="41" t="s">
        <v>841</v>
      </c>
      <c r="M604" s="4" t="s">
        <v>3</v>
      </c>
      <c r="N604" s="15">
        <v>21167373</v>
      </c>
      <c r="O604" s="88" t="s">
        <v>1200</v>
      </c>
      <c r="P604" s="38">
        <v>25541</v>
      </c>
      <c r="Q604" s="38"/>
      <c r="R604" s="38"/>
      <c r="S604" s="38"/>
      <c r="T604" s="38"/>
      <c r="U604" s="17" t="s">
        <v>215</v>
      </c>
      <c r="V604" s="17" t="s">
        <v>915</v>
      </c>
      <c r="W604" s="12">
        <v>42370</v>
      </c>
      <c r="X604" s="48"/>
      <c r="Y604" s="12">
        <v>42735</v>
      </c>
      <c r="Z604" s="2"/>
      <c r="AA604" s="2" t="s">
        <v>479</v>
      </c>
      <c r="AB604" s="3" t="s">
        <v>10</v>
      </c>
      <c r="AC604" s="5">
        <v>1000</v>
      </c>
      <c r="AD604" s="5">
        <f>+AC604*1.07</f>
        <v>1070</v>
      </c>
      <c r="AE604" s="5">
        <v>1170</v>
      </c>
      <c r="AF604" s="5">
        <f t="shared" si="623"/>
        <v>1310</v>
      </c>
      <c r="AG604" s="5">
        <f t="shared" ref="AG604:AH611" si="649">+AF604</f>
        <v>1310</v>
      </c>
      <c r="AH604" s="5">
        <f t="shared" si="649"/>
        <v>1310</v>
      </c>
      <c r="AI604" s="5">
        <f t="shared" ref="AI604:AJ604" si="650">+AH604</f>
        <v>1310</v>
      </c>
      <c r="AJ604" s="5">
        <f t="shared" si="650"/>
        <v>1310</v>
      </c>
      <c r="AK604" s="2" t="s">
        <v>53</v>
      </c>
      <c r="AL604" s="105" t="str">
        <f>+AK604</f>
        <v>B0</v>
      </c>
    </row>
    <row r="605" spans="1:38" s="6" customFormat="1" ht="15" customHeight="1" x14ac:dyDescent="0.2">
      <c r="A605" s="29" t="s">
        <v>824</v>
      </c>
      <c r="B605" s="2" t="s">
        <v>822</v>
      </c>
      <c r="C605" s="29" t="s">
        <v>823</v>
      </c>
      <c r="D605" s="2" t="s">
        <v>808</v>
      </c>
      <c r="E605" s="2" t="s">
        <v>20</v>
      </c>
      <c r="F605" s="2"/>
      <c r="G605" s="2"/>
      <c r="H605" s="2"/>
      <c r="I605" s="2" t="s">
        <v>235</v>
      </c>
      <c r="J605" s="28"/>
      <c r="K605" s="28" t="s">
        <v>1765</v>
      </c>
      <c r="L605" s="44" t="s">
        <v>945</v>
      </c>
      <c r="M605" s="7" t="s">
        <v>3</v>
      </c>
      <c r="N605" s="15">
        <v>16988106</v>
      </c>
      <c r="O605" s="88">
        <v>20169881066</v>
      </c>
      <c r="P605" s="38">
        <v>23045</v>
      </c>
      <c r="Q605" s="38"/>
      <c r="R605" s="38"/>
      <c r="S605" s="38"/>
      <c r="T605" s="38"/>
      <c r="U605" s="17" t="s">
        <v>215</v>
      </c>
      <c r="V605" s="17" t="s">
        <v>915</v>
      </c>
      <c r="W605" s="12">
        <v>42475</v>
      </c>
      <c r="X605" s="13"/>
      <c r="Y605" s="12">
        <v>42735</v>
      </c>
      <c r="Z605" s="2"/>
      <c r="AA605" s="2" t="s">
        <v>479</v>
      </c>
      <c r="AB605" s="7"/>
      <c r="AC605" s="5">
        <v>1000</v>
      </c>
      <c r="AD605" s="5">
        <f>+AC605*1.07</f>
        <v>1070</v>
      </c>
      <c r="AE605" s="5">
        <v>1170</v>
      </c>
      <c r="AF605" s="5">
        <f t="shared" si="623"/>
        <v>1310</v>
      </c>
      <c r="AG605" s="5">
        <f t="shared" si="649"/>
        <v>1310</v>
      </c>
      <c r="AH605" s="5">
        <f t="shared" si="649"/>
        <v>1310</v>
      </c>
      <c r="AI605" s="5">
        <f t="shared" ref="AI605:AJ605" si="651">+AH605</f>
        <v>1310</v>
      </c>
      <c r="AJ605" s="5">
        <f t="shared" si="651"/>
        <v>1310</v>
      </c>
      <c r="AK605" s="2" t="s">
        <v>53</v>
      </c>
      <c r="AL605" s="105" t="str">
        <f>+AK605</f>
        <v>B0</v>
      </c>
    </row>
    <row r="606" spans="1:38" s="6" customFormat="1" ht="15" customHeight="1" x14ac:dyDescent="0.2">
      <c r="A606" s="29" t="s">
        <v>824</v>
      </c>
      <c r="B606" s="2" t="s">
        <v>822</v>
      </c>
      <c r="C606" s="29" t="s">
        <v>823</v>
      </c>
      <c r="D606" s="2" t="s">
        <v>808</v>
      </c>
      <c r="E606" s="2" t="s">
        <v>216</v>
      </c>
      <c r="F606" s="2"/>
      <c r="G606" s="2"/>
      <c r="H606" s="2"/>
      <c r="I606" s="3"/>
      <c r="J606" s="28" t="s">
        <v>73</v>
      </c>
      <c r="K606" s="28"/>
      <c r="L606" s="41" t="s">
        <v>693</v>
      </c>
      <c r="M606" s="4" t="s">
        <v>3</v>
      </c>
      <c r="N606" s="15">
        <v>29946823</v>
      </c>
      <c r="O606" s="88">
        <v>27292468933</v>
      </c>
      <c r="P606" s="38"/>
      <c r="Q606" s="38"/>
      <c r="R606" s="38"/>
      <c r="S606" s="38"/>
      <c r="T606" s="38"/>
      <c r="U606" s="16" t="s">
        <v>796</v>
      </c>
      <c r="V606" s="16" t="s">
        <v>916</v>
      </c>
      <c r="W606" s="12">
        <v>41244</v>
      </c>
      <c r="X606" s="48">
        <v>42735</v>
      </c>
      <c r="Y606" s="12">
        <v>42735</v>
      </c>
      <c r="Z606" s="2" t="s">
        <v>33</v>
      </c>
      <c r="AA606" s="2"/>
      <c r="AB606" s="3"/>
      <c r="AC606" s="5">
        <v>1000</v>
      </c>
      <c r="AD606" s="5"/>
      <c r="AE606" s="5">
        <v>1170</v>
      </c>
      <c r="AF606" s="5">
        <f t="shared" si="623"/>
        <v>1310</v>
      </c>
      <c r="AG606" s="5">
        <f t="shared" si="649"/>
        <v>1310</v>
      </c>
      <c r="AH606" s="5">
        <f t="shared" si="649"/>
        <v>1310</v>
      </c>
      <c r="AI606" s="5">
        <f t="shared" ref="AI606:AJ606" si="652">+AH606</f>
        <v>1310</v>
      </c>
      <c r="AJ606" s="5">
        <f t="shared" si="652"/>
        <v>1310</v>
      </c>
      <c r="AK606" s="2"/>
      <c r="AL606" s="105" t="str">
        <f>+Z606</f>
        <v>A1</v>
      </c>
    </row>
    <row r="607" spans="1:38" s="6" customFormat="1" ht="15" customHeight="1" x14ac:dyDescent="0.2">
      <c r="A607" s="29" t="s">
        <v>824</v>
      </c>
      <c r="B607" s="29" t="s">
        <v>822</v>
      </c>
      <c r="C607" s="29" t="s">
        <v>823</v>
      </c>
      <c r="D607" s="2" t="s">
        <v>800</v>
      </c>
      <c r="E607" s="7" t="s">
        <v>499</v>
      </c>
      <c r="F607" s="7"/>
      <c r="G607" s="7"/>
      <c r="H607" s="8"/>
      <c r="I607" s="3" t="s">
        <v>1718</v>
      </c>
      <c r="J607" s="28" t="s">
        <v>254</v>
      </c>
      <c r="K607" s="28" t="s">
        <v>1767</v>
      </c>
      <c r="L607" s="42" t="s">
        <v>406</v>
      </c>
      <c r="M607" s="4" t="s">
        <v>3</v>
      </c>
      <c r="N607" s="15">
        <v>39706510</v>
      </c>
      <c r="O607" s="88" t="s">
        <v>1562</v>
      </c>
      <c r="P607" s="38">
        <v>34935</v>
      </c>
      <c r="Q607" s="38"/>
      <c r="R607" s="38"/>
      <c r="S607" s="38"/>
      <c r="T607" s="38"/>
      <c r="U607" s="17" t="s">
        <v>215</v>
      </c>
      <c r="V607" s="17" t="s">
        <v>915</v>
      </c>
      <c r="W607" s="12">
        <v>41791</v>
      </c>
      <c r="X607" s="20"/>
      <c r="Y607" s="12">
        <v>42735</v>
      </c>
      <c r="Z607" s="2"/>
      <c r="AA607" s="2" t="s">
        <v>479</v>
      </c>
      <c r="AB607" s="24" t="s">
        <v>479</v>
      </c>
      <c r="AC607" s="5">
        <v>1000</v>
      </c>
      <c r="AD607" s="5">
        <v>1070</v>
      </c>
      <c r="AE607" s="5">
        <v>1170</v>
      </c>
      <c r="AF607" s="5">
        <f t="shared" si="623"/>
        <v>1310</v>
      </c>
      <c r="AG607" s="5">
        <f t="shared" si="649"/>
        <v>1310</v>
      </c>
      <c r="AH607" s="5">
        <f t="shared" si="649"/>
        <v>1310</v>
      </c>
      <c r="AI607" s="5">
        <f t="shared" ref="AI607:AJ607" si="653">+AH607</f>
        <v>1310</v>
      </c>
      <c r="AJ607" s="5">
        <f t="shared" si="653"/>
        <v>1310</v>
      </c>
      <c r="AK607" s="29" t="s">
        <v>42</v>
      </c>
      <c r="AL607" s="105" t="str">
        <f>+AK607</f>
        <v>C0</v>
      </c>
    </row>
    <row r="608" spans="1:38" s="6" customFormat="1" ht="15" customHeight="1" x14ac:dyDescent="0.2">
      <c r="A608" s="29" t="s">
        <v>824</v>
      </c>
      <c r="B608" s="29" t="s">
        <v>822</v>
      </c>
      <c r="C608" s="29" t="s">
        <v>823</v>
      </c>
      <c r="D608" s="2" t="s">
        <v>808</v>
      </c>
      <c r="E608" s="2" t="s">
        <v>909</v>
      </c>
      <c r="F608" s="2" t="s">
        <v>219</v>
      </c>
      <c r="G608" s="3" t="s">
        <v>249</v>
      </c>
      <c r="H608" s="2" t="s">
        <v>244</v>
      </c>
      <c r="I608" s="2" t="s">
        <v>1707</v>
      </c>
      <c r="J608" s="28" t="s">
        <v>73</v>
      </c>
      <c r="K608" s="28" t="s">
        <v>1765</v>
      </c>
      <c r="L608" s="43" t="s">
        <v>160</v>
      </c>
      <c r="M608" s="4" t="s">
        <v>3</v>
      </c>
      <c r="N608" s="15">
        <v>32944728</v>
      </c>
      <c r="O608" s="88" t="s">
        <v>1590</v>
      </c>
      <c r="P608" s="38">
        <v>31842</v>
      </c>
      <c r="Q608" s="38"/>
      <c r="R608" s="38"/>
      <c r="S608" s="38"/>
      <c r="T608" s="38"/>
      <c r="U608" s="17" t="s">
        <v>215</v>
      </c>
      <c r="V608" s="17" t="s">
        <v>915</v>
      </c>
      <c r="W608" s="12">
        <v>42036</v>
      </c>
      <c r="X608" s="37"/>
      <c r="Y608" s="12">
        <v>42735</v>
      </c>
      <c r="Z608" s="2"/>
      <c r="AA608" s="2" t="s">
        <v>479</v>
      </c>
      <c r="AB608" s="7" t="s">
        <v>61</v>
      </c>
      <c r="AC608" s="5">
        <v>1000</v>
      </c>
      <c r="AD608" s="5">
        <f>+AC608*1.07</f>
        <v>1070</v>
      </c>
      <c r="AE608" s="5">
        <v>1170</v>
      </c>
      <c r="AF608" s="5">
        <f t="shared" si="623"/>
        <v>1310</v>
      </c>
      <c r="AG608" s="5">
        <f t="shared" si="649"/>
        <v>1310</v>
      </c>
      <c r="AH608" s="5">
        <f t="shared" si="649"/>
        <v>1310</v>
      </c>
      <c r="AI608" s="5">
        <f t="shared" ref="AI608:AJ608" si="654">+AH608</f>
        <v>1310</v>
      </c>
      <c r="AJ608" s="5">
        <f t="shared" si="654"/>
        <v>1310</v>
      </c>
      <c r="AK608" s="2" t="s">
        <v>43</v>
      </c>
      <c r="AL608" s="105" t="str">
        <f>+AK608</f>
        <v>A0</v>
      </c>
    </row>
    <row r="609" spans="1:38" s="6" customFormat="1" ht="15" customHeight="1" x14ac:dyDescent="0.2">
      <c r="A609" s="29" t="s">
        <v>824</v>
      </c>
      <c r="B609" s="29" t="s">
        <v>822</v>
      </c>
      <c r="C609" s="29" t="s">
        <v>823</v>
      </c>
      <c r="D609" s="2" t="s">
        <v>800</v>
      </c>
      <c r="E609" s="2"/>
      <c r="F609" s="3"/>
      <c r="G609" s="3"/>
      <c r="H609" s="2" t="s">
        <v>884</v>
      </c>
      <c r="I609" s="2" t="s">
        <v>1707</v>
      </c>
      <c r="J609" s="28" t="s">
        <v>254</v>
      </c>
      <c r="K609" s="28" t="s">
        <v>1767</v>
      </c>
      <c r="L609" s="41" t="s">
        <v>891</v>
      </c>
      <c r="M609" s="4" t="s">
        <v>3</v>
      </c>
      <c r="N609" s="15">
        <v>23415236</v>
      </c>
      <c r="O609" s="88">
        <v>27234152365</v>
      </c>
      <c r="P609" s="38">
        <v>26920</v>
      </c>
      <c r="Q609" s="38"/>
      <c r="R609" s="38"/>
      <c r="S609" s="38"/>
      <c r="T609" s="38"/>
      <c r="U609" s="17" t="s">
        <v>215</v>
      </c>
      <c r="V609" s="17" t="s">
        <v>915</v>
      </c>
      <c r="W609" s="12">
        <v>42370</v>
      </c>
      <c r="X609" s="48"/>
      <c r="Y609" s="12">
        <v>42735</v>
      </c>
      <c r="Z609" s="2"/>
      <c r="AA609" s="2" t="s">
        <v>479</v>
      </c>
      <c r="AB609" s="3" t="s">
        <v>10</v>
      </c>
      <c r="AC609" s="5">
        <v>1000</v>
      </c>
      <c r="AD609" s="5">
        <v>1070</v>
      </c>
      <c r="AE609" s="5">
        <v>1170</v>
      </c>
      <c r="AF609" s="5">
        <f t="shared" si="623"/>
        <v>1310</v>
      </c>
      <c r="AG609" s="5">
        <f t="shared" si="649"/>
        <v>1310</v>
      </c>
      <c r="AH609" s="5">
        <f t="shared" si="649"/>
        <v>1310</v>
      </c>
      <c r="AI609" s="5">
        <f t="shared" ref="AI609:AJ609" si="655">+AH609</f>
        <v>1310</v>
      </c>
      <c r="AJ609" s="5">
        <f t="shared" si="655"/>
        <v>1310</v>
      </c>
      <c r="AK609" s="2" t="s">
        <v>43</v>
      </c>
      <c r="AL609" s="105" t="str">
        <f>+AK609</f>
        <v>A0</v>
      </c>
    </row>
    <row r="610" spans="1:38" s="6" customFormat="1" ht="15" customHeight="1" x14ac:dyDescent="0.2">
      <c r="A610" s="29" t="s">
        <v>824</v>
      </c>
      <c r="B610" s="29" t="s">
        <v>822</v>
      </c>
      <c r="C610" s="29" t="s">
        <v>823</v>
      </c>
      <c r="D610" s="2" t="s">
        <v>800</v>
      </c>
      <c r="E610" s="2" t="s">
        <v>487</v>
      </c>
      <c r="F610" s="3"/>
      <c r="G610" s="3"/>
      <c r="H610" s="2"/>
      <c r="I610" s="2" t="s">
        <v>1707</v>
      </c>
      <c r="J610" s="28" t="s">
        <v>254</v>
      </c>
      <c r="K610" s="28"/>
      <c r="L610" s="41" t="s">
        <v>1860</v>
      </c>
      <c r="M610" s="7" t="s">
        <v>3</v>
      </c>
      <c r="N610" s="15">
        <v>28972145</v>
      </c>
      <c r="O610" s="88">
        <v>27289721458</v>
      </c>
      <c r="P610" s="38">
        <v>29714</v>
      </c>
      <c r="Q610" s="38"/>
      <c r="R610" s="38"/>
      <c r="S610" s="38"/>
      <c r="T610" s="38"/>
      <c r="U610" s="17" t="s">
        <v>215</v>
      </c>
      <c r="V610" s="17" t="s">
        <v>915</v>
      </c>
      <c r="W610" s="12"/>
      <c r="X610" s="48"/>
      <c r="Y610" s="12"/>
      <c r="Z610" s="2"/>
      <c r="AA610" s="2"/>
      <c r="AB610" s="3"/>
      <c r="AC610" s="52"/>
      <c r="AD610" s="5"/>
      <c r="AE610" s="5">
        <v>1170</v>
      </c>
      <c r="AF610" s="5">
        <f t="shared" si="623"/>
        <v>0</v>
      </c>
      <c r="AG610" s="5">
        <f>+AF610</f>
        <v>0</v>
      </c>
      <c r="AH610" s="5">
        <f>+AG610</f>
        <v>0</v>
      </c>
      <c r="AI610" s="5">
        <f t="shared" ref="AI610:AJ610" si="656">+AH610</f>
        <v>0</v>
      </c>
      <c r="AJ610" s="5">
        <f t="shared" si="656"/>
        <v>0</v>
      </c>
      <c r="AK610" s="2"/>
      <c r="AL610" s="105"/>
    </row>
    <row r="611" spans="1:38" s="6" customFormat="1" ht="15" customHeight="1" x14ac:dyDescent="0.2">
      <c r="A611" s="29" t="s">
        <v>824</v>
      </c>
      <c r="B611" s="2" t="s">
        <v>822</v>
      </c>
      <c r="C611" s="29"/>
      <c r="D611" s="2" t="s">
        <v>825</v>
      </c>
      <c r="E611" s="3" t="s">
        <v>8</v>
      </c>
      <c r="F611" s="2" t="s">
        <v>913</v>
      </c>
      <c r="G611" s="2"/>
      <c r="H611" s="2" t="s">
        <v>28</v>
      </c>
      <c r="I611" s="2" t="s">
        <v>13</v>
      </c>
      <c r="J611" s="28" t="s">
        <v>549</v>
      </c>
      <c r="K611" s="28" t="s">
        <v>549</v>
      </c>
      <c r="L611" s="41" t="s">
        <v>694</v>
      </c>
      <c r="M611" s="4" t="s">
        <v>3</v>
      </c>
      <c r="N611" s="15">
        <v>26451548</v>
      </c>
      <c r="O611" s="88">
        <v>20264515484</v>
      </c>
      <c r="P611" s="38">
        <v>28597</v>
      </c>
      <c r="Q611" s="38"/>
      <c r="R611" s="38"/>
      <c r="S611" s="38"/>
      <c r="T611" s="38"/>
      <c r="U611" s="17" t="s">
        <v>215</v>
      </c>
      <c r="V611" s="17" t="s">
        <v>915</v>
      </c>
      <c r="W611" s="12">
        <v>42248</v>
      </c>
      <c r="X611" s="12"/>
      <c r="Y611" s="12">
        <v>42735</v>
      </c>
      <c r="Z611" s="2"/>
      <c r="AA611" s="2" t="s">
        <v>479</v>
      </c>
      <c r="AB611" s="3" t="s">
        <v>10</v>
      </c>
      <c r="AC611" s="5">
        <v>1000</v>
      </c>
      <c r="AD611" s="5">
        <f>+AC611*1.07</f>
        <v>1070</v>
      </c>
      <c r="AE611" s="5">
        <v>1170</v>
      </c>
      <c r="AF611" s="5">
        <f t="shared" si="623"/>
        <v>1310</v>
      </c>
      <c r="AG611" s="5">
        <f t="shared" si="649"/>
        <v>1310</v>
      </c>
      <c r="AH611" s="5">
        <f t="shared" si="649"/>
        <v>1310</v>
      </c>
      <c r="AI611" s="5">
        <f t="shared" ref="AI611:AJ611" si="657">+AH611</f>
        <v>1310</v>
      </c>
      <c r="AJ611" s="5">
        <f t="shared" si="657"/>
        <v>1310</v>
      </c>
      <c r="AK611" s="2" t="s">
        <v>1815</v>
      </c>
      <c r="AL611" s="106"/>
    </row>
    <row r="612" spans="1:38" s="6" customFormat="1" ht="15" customHeight="1" x14ac:dyDescent="0.2">
      <c r="A612" s="29" t="s">
        <v>824</v>
      </c>
      <c r="B612" s="29" t="s">
        <v>822</v>
      </c>
      <c r="C612" s="3"/>
      <c r="D612" s="2" t="s">
        <v>956</v>
      </c>
      <c r="E612" s="2" t="s">
        <v>956</v>
      </c>
      <c r="F612" s="2"/>
      <c r="G612" s="2"/>
      <c r="H612" s="2"/>
      <c r="I612" s="2" t="s">
        <v>1825</v>
      </c>
      <c r="J612" s="28"/>
      <c r="K612" s="28"/>
      <c r="L612" s="44" t="s">
        <v>1831</v>
      </c>
      <c r="M612" s="7" t="s">
        <v>3</v>
      </c>
      <c r="N612" s="47">
        <v>94779981</v>
      </c>
      <c r="O612" s="88">
        <v>27947799814</v>
      </c>
      <c r="P612" s="38"/>
      <c r="Q612" s="38"/>
      <c r="R612" s="38"/>
      <c r="S612" s="38"/>
      <c r="T612" s="38"/>
      <c r="U612" s="17" t="s">
        <v>215</v>
      </c>
      <c r="V612" s="17" t="s">
        <v>915</v>
      </c>
      <c r="W612" s="12">
        <v>42552</v>
      </c>
      <c r="X612" s="12"/>
      <c r="Y612" s="12">
        <v>42735</v>
      </c>
      <c r="Z612" s="2"/>
      <c r="AA612" s="2"/>
      <c r="AB612" s="7"/>
      <c r="AC612" s="5"/>
      <c r="AD612" s="5"/>
      <c r="AE612" s="5">
        <v>1170</v>
      </c>
      <c r="AF612" s="5">
        <f t="shared" si="623"/>
        <v>0</v>
      </c>
      <c r="AG612" s="5">
        <v>1310</v>
      </c>
      <c r="AH612" s="5">
        <v>14000</v>
      </c>
      <c r="AI612" s="5">
        <f t="shared" ref="AI612:AJ612" si="658">+AH612</f>
        <v>14000</v>
      </c>
      <c r="AJ612" s="5">
        <f t="shared" si="658"/>
        <v>14000</v>
      </c>
      <c r="AK612" s="2"/>
      <c r="AL612" s="106"/>
    </row>
    <row r="613" spans="1:38" s="6" customFormat="1" ht="15" customHeight="1" x14ac:dyDescent="0.25">
      <c r="A613" s="29" t="s">
        <v>824</v>
      </c>
      <c r="B613" s="2"/>
      <c r="C613" s="3"/>
      <c r="D613" s="2" t="s">
        <v>820</v>
      </c>
      <c r="E613" s="2" t="s">
        <v>921</v>
      </c>
      <c r="F613" s="2" t="s">
        <v>31</v>
      </c>
      <c r="G613" s="2"/>
      <c r="H613" s="2"/>
      <c r="I613" s="3"/>
      <c r="J613" s="28"/>
      <c r="K613" s="28"/>
      <c r="L613" s="44" t="s">
        <v>1114</v>
      </c>
      <c r="M613" s="7" t="s">
        <v>3</v>
      </c>
      <c r="N613" s="15">
        <v>31985771</v>
      </c>
      <c r="O613" s="88">
        <v>20319857711</v>
      </c>
      <c r="P613" s="61"/>
      <c r="Q613" s="61"/>
      <c r="R613" s="61"/>
      <c r="S613" s="61"/>
      <c r="T613" s="61"/>
      <c r="U613" s="16" t="s">
        <v>796</v>
      </c>
      <c r="V613" s="17" t="s">
        <v>916</v>
      </c>
      <c r="W613" s="86">
        <v>42064</v>
      </c>
      <c r="X613" s="12"/>
      <c r="Y613" s="12">
        <v>42735</v>
      </c>
      <c r="Z613" s="2" t="s">
        <v>30</v>
      </c>
      <c r="AA613" s="2"/>
      <c r="AB613" s="7"/>
      <c r="AC613" s="5"/>
      <c r="AD613" s="5"/>
      <c r="AE613" s="5"/>
      <c r="AF613" s="5">
        <f>+AE613*1.092</f>
        <v>0</v>
      </c>
      <c r="AG613" s="5">
        <f t="shared" ref="AG613:AH622" si="659">+AF613</f>
        <v>0</v>
      </c>
      <c r="AH613" s="5">
        <f t="shared" si="659"/>
        <v>0</v>
      </c>
      <c r="AI613" s="5">
        <f t="shared" ref="AI613:AJ613" si="660">+AH613</f>
        <v>0</v>
      </c>
      <c r="AJ613" s="5">
        <f t="shared" si="660"/>
        <v>0</v>
      </c>
      <c r="AK613" s="2"/>
      <c r="AL613" s="105" t="str">
        <f>+Z613</f>
        <v>B1</v>
      </c>
    </row>
    <row r="614" spans="1:38" s="6" customFormat="1" ht="15" customHeight="1" x14ac:dyDescent="0.2">
      <c r="A614" s="29" t="s">
        <v>824</v>
      </c>
      <c r="B614" s="29" t="s">
        <v>822</v>
      </c>
      <c r="C614" s="29" t="s">
        <v>823</v>
      </c>
      <c r="D614" s="2" t="s">
        <v>808</v>
      </c>
      <c r="E614" s="2" t="s">
        <v>59</v>
      </c>
      <c r="F614" s="3"/>
      <c r="G614" s="3"/>
      <c r="H614" s="2" t="s">
        <v>229</v>
      </c>
      <c r="I614" s="2" t="s">
        <v>1707</v>
      </c>
      <c r="J614" s="28" t="s">
        <v>73</v>
      </c>
      <c r="K614" s="28" t="s">
        <v>1765</v>
      </c>
      <c r="L614" s="45" t="s">
        <v>161</v>
      </c>
      <c r="M614" s="4" t="s">
        <v>3</v>
      </c>
      <c r="N614" s="15">
        <v>27704110</v>
      </c>
      <c r="O614" s="88" t="s">
        <v>1318</v>
      </c>
      <c r="P614" s="38">
        <v>29201</v>
      </c>
      <c r="Q614" s="38"/>
      <c r="R614" s="38"/>
      <c r="S614" s="38"/>
      <c r="T614" s="38"/>
      <c r="U614" s="17" t="s">
        <v>215</v>
      </c>
      <c r="V614" s="17" t="s">
        <v>915</v>
      </c>
      <c r="W614" s="12">
        <v>41913</v>
      </c>
      <c r="X614" s="37"/>
      <c r="Y614" s="12">
        <v>42735</v>
      </c>
      <c r="Z614" s="2"/>
      <c r="AA614" s="2" t="s">
        <v>479</v>
      </c>
      <c r="AB614" s="14" t="s">
        <v>505</v>
      </c>
      <c r="AC614" s="5">
        <v>1000</v>
      </c>
      <c r="AD614" s="5">
        <f>+AC614*1.07</f>
        <v>1070</v>
      </c>
      <c r="AE614" s="5">
        <v>1170</v>
      </c>
      <c r="AF614" s="5">
        <f t="shared" ref="AF614:AF675" si="661">+AC614*1.31</f>
        <v>1310</v>
      </c>
      <c r="AG614" s="5">
        <f t="shared" si="659"/>
        <v>1310</v>
      </c>
      <c r="AH614" s="5">
        <f t="shared" si="659"/>
        <v>1310</v>
      </c>
      <c r="AI614" s="5">
        <f t="shared" ref="AI614:AJ614" si="662">+AH614</f>
        <v>1310</v>
      </c>
      <c r="AJ614" s="5">
        <f t="shared" si="662"/>
        <v>1310</v>
      </c>
      <c r="AK614" s="2" t="s">
        <v>53</v>
      </c>
      <c r="AL614" s="105" t="str">
        <f>+AK614</f>
        <v>B0</v>
      </c>
    </row>
    <row r="615" spans="1:38" s="6" customFormat="1" ht="15" customHeight="1" x14ac:dyDescent="0.2">
      <c r="A615" s="29" t="s">
        <v>824</v>
      </c>
      <c r="B615" s="2" t="s">
        <v>822</v>
      </c>
      <c r="C615" s="3"/>
      <c r="D615" s="2" t="s">
        <v>825</v>
      </c>
      <c r="E615" s="3" t="s">
        <v>18</v>
      </c>
      <c r="F615" s="2" t="s">
        <v>1012</v>
      </c>
      <c r="G615" s="2"/>
      <c r="H615" s="2" t="s">
        <v>20</v>
      </c>
      <c r="I615" s="2" t="s">
        <v>1760</v>
      </c>
      <c r="J615" s="28" t="s">
        <v>548</v>
      </c>
      <c r="K615" s="28" t="s">
        <v>548</v>
      </c>
      <c r="L615" s="44" t="s">
        <v>695</v>
      </c>
      <c r="M615" s="4" t="s">
        <v>3</v>
      </c>
      <c r="N615" s="15">
        <v>30278656</v>
      </c>
      <c r="O615" s="88" t="s">
        <v>1366</v>
      </c>
      <c r="P615" s="38">
        <v>30412</v>
      </c>
      <c r="Q615" s="38"/>
      <c r="R615" s="38"/>
      <c r="S615" s="38"/>
      <c r="T615" s="38"/>
      <c r="U615" s="17" t="s">
        <v>215</v>
      </c>
      <c r="V615" s="17" t="s">
        <v>915</v>
      </c>
      <c r="W615" s="12">
        <v>42079</v>
      </c>
      <c r="X615" s="12"/>
      <c r="Y615" s="12">
        <v>42735</v>
      </c>
      <c r="Z615" s="2"/>
      <c r="AA615" s="2" t="s">
        <v>479</v>
      </c>
      <c r="AB615" s="7" t="s">
        <v>787</v>
      </c>
      <c r="AC615" s="5">
        <v>1000</v>
      </c>
      <c r="AD615" s="5">
        <f>+AC615</f>
        <v>1000</v>
      </c>
      <c r="AE615" s="5">
        <v>1170</v>
      </c>
      <c r="AF615" s="5">
        <f t="shared" si="661"/>
        <v>1310</v>
      </c>
      <c r="AG615" s="5">
        <f t="shared" si="659"/>
        <v>1310</v>
      </c>
      <c r="AH615" s="5">
        <f t="shared" si="659"/>
        <v>1310</v>
      </c>
      <c r="AI615" s="5">
        <f t="shared" ref="AI615:AJ615" si="663">+AH615</f>
        <v>1310</v>
      </c>
      <c r="AJ615" s="5">
        <f t="shared" si="663"/>
        <v>1310</v>
      </c>
      <c r="AK615" s="2"/>
      <c r="AL615" s="106"/>
    </row>
    <row r="616" spans="1:38" s="6" customFormat="1" ht="15" customHeight="1" x14ac:dyDescent="0.2">
      <c r="A616" s="29" t="s">
        <v>824</v>
      </c>
      <c r="B616" s="2"/>
      <c r="C616" s="3"/>
      <c r="D616" s="2" t="s">
        <v>820</v>
      </c>
      <c r="E616" s="2" t="s">
        <v>921</v>
      </c>
      <c r="F616" s="2" t="s">
        <v>31</v>
      </c>
      <c r="G616" s="2" t="s">
        <v>11</v>
      </c>
      <c r="H616" s="2" t="s">
        <v>11</v>
      </c>
      <c r="I616" s="3"/>
      <c r="J616" s="28" t="s">
        <v>73</v>
      </c>
      <c r="K616" s="28"/>
      <c r="L616" s="41" t="s">
        <v>696</v>
      </c>
      <c r="M616" s="4" t="s">
        <v>3</v>
      </c>
      <c r="N616" s="15">
        <v>28807853</v>
      </c>
      <c r="O616" s="88">
        <v>27288078535</v>
      </c>
      <c r="P616" s="61"/>
      <c r="Q616" s="61"/>
      <c r="R616" s="61"/>
      <c r="S616" s="61"/>
      <c r="T616" s="61"/>
      <c r="U616" s="16" t="s">
        <v>796</v>
      </c>
      <c r="V616" s="16" t="s">
        <v>916</v>
      </c>
      <c r="W616" s="12">
        <v>41609</v>
      </c>
      <c r="X616" s="12">
        <v>42460</v>
      </c>
      <c r="Y616" s="12">
        <v>42735</v>
      </c>
      <c r="Z616" s="2" t="s">
        <v>30</v>
      </c>
      <c r="AA616" s="2"/>
      <c r="AB616" s="3"/>
      <c r="AC616" s="5">
        <v>1000</v>
      </c>
      <c r="AD616" s="5"/>
      <c r="AE616" s="5">
        <v>1170</v>
      </c>
      <c r="AF616" s="5">
        <f t="shared" si="661"/>
        <v>1310</v>
      </c>
      <c r="AG616" s="5">
        <f t="shared" si="659"/>
        <v>1310</v>
      </c>
      <c r="AH616" s="5">
        <f t="shared" si="659"/>
        <v>1310</v>
      </c>
      <c r="AI616" s="5">
        <f t="shared" ref="AI616:AJ616" si="664">+AH616</f>
        <v>1310</v>
      </c>
      <c r="AJ616" s="5">
        <f t="shared" si="664"/>
        <v>1310</v>
      </c>
      <c r="AK616" s="2"/>
      <c r="AL616" s="105" t="str">
        <f>+Z616</f>
        <v>B1</v>
      </c>
    </row>
    <row r="617" spans="1:38" s="6" customFormat="1" ht="15" customHeight="1" x14ac:dyDescent="0.2">
      <c r="A617" s="29" t="s">
        <v>824</v>
      </c>
      <c r="B617" s="29"/>
      <c r="C617" s="29"/>
      <c r="D617" s="2" t="s">
        <v>820</v>
      </c>
      <c r="E617" s="2" t="s">
        <v>921</v>
      </c>
      <c r="F617" s="3" t="s">
        <v>525</v>
      </c>
      <c r="G617" s="3" t="s">
        <v>520</v>
      </c>
      <c r="H617" s="2" t="s">
        <v>234</v>
      </c>
      <c r="I617" s="3"/>
      <c r="J617" s="28" t="s">
        <v>73</v>
      </c>
      <c r="K617" s="28"/>
      <c r="L617" s="45" t="s">
        <v>162</v>
      </c>
      <c r="M617" s="4" t="s">
        <v>3</v>
      </c>
      <c r="N617" s="15">
        <v>17513017</v>
      </c>
      <c r="O617" s="88">
        <v>23175130179</v>
      </c>
      <c r="P617" s="61"/>
      <c r="Q617" s="61"/>
      <c r="R617" s="61"/>
      <c r="S617" s="61"/>
      <c r="T617" s="61"/>
      <c r="U617" s="16" t="s">
        <v>796</v>
      </c>
      <c r="V617" s="16" t="s">
        <v>916</v>
      </c>
      <c r="W617" s="12">
        <v>41974</v>
      </c>
      <c r="X617" s="12">
        <v>42460</v>
      </c>
      <c r="Y617" s="12">
        <v>42735</v>
      </c>
      <c r="Z617" s="2" t="s">
        <v>24</v>
      </c>
      <c r="AA617" s="2"/>
      <c r="AB617" s="14"/>
      <c r="AC617" s="5">
        <v>1000</v>
      </c>
      <c r="AD617" s="5"/>
      <c r="AE617" s="5">
        <v>1170</v>
      </c>
      <c r="AF617" s="5">
        <f t="shared" si="661"/>
        <v>1310</v>
      </c>
      <c r="AG617" s="5">
        <f t="shared" si="659"/>
        <v>1310</v>
      </c>
      <c r="AH617" s="5">
        <f t="shared" si="659"/>
        <v>1310</v>
      </c>
      <c r="AI617" s="5">
        <f t="shared" ref="AI617:AJ617" si="665">+AH617</f>
        <v>1310</v>
      </c>
      <c r="AJ617" s="5">
        <f t="shared" si="665"/>
        <v>1310</v>
      </c>
      <c r="AK617" s="2"/>
      <c r="AL617" s="105" t="str">
        <f>+Z617</f>
        <v>D0</v>
      </c>
    </row>
    <row r="618" spans="1:38" s="6" customFormat="1" ht="15" customHeight="1" x14ac:dyDescent="0.2">
      <c r="A618" s="29" t="s">
        <v>824</v>
      </c>
      <c r="B618" s="2" t="s">
        <v>822</v>
      </c>
      <c r="C618" s="3"/>
      <c r="D618" s="2" t="s">
        <v>825</v>
      </c>
      <c r="E618" s="3" t="s">
        <v>18</v>
      </c>
      <c r="F618" s="2" t="s">
        <v>19</v>
      </c>
      <c r="G618" s="2"/>
      <c r="H618" s="2" t="s">
        <v>37</v>
      </c>
      <c r="I618" s="2" t="s">
        <v>1761</v>
      </c>
      <c r="J618" s="28" t="s">
        <v>548</v>
      </c>
      <c r="K618" s="28" t="s">
        <v>548</v>
      </c>
      <c r="L618" s="44" t="s">
        <v>982</v>
      </c>
      <c r="M618" s="7" t="s">
        <v>3</v>
      </c>
      <c r="N618" s="47">
        <v>29414541</v>
      </c>
      <c r="O618" s="88" t="s">
        <v>1350</v>
      </c>
      <c r="P618" s="38">
        <v>30040</v>
      </c>
      <c r="Q618" s="38"/>
      <c r="R618" s="38"/>
      <c r="S618" s="38"/>
      <c r="T618" s="38"/>
      <c r="U618" s="17" t="s">
        <v>215</v>
      </c>
      <c r="V618" s="17" t="s">
        <v>915</v>
      </c>
      <c r="W618" s="12">
        <v>42309</v>
      </c>
      <c r="X618" s="12"/>
      <c r="Y618" s="12">
        <v>42735</v>
      </c>
      <c r="Z618" s="2"/>
      <c r="AA618" s="2" t="s">
        <v>479</v>
      </c>
      <c r="AB618" s="7"/>
      <c r="AC618" s="5">
        <v>1000</v>
      </c>
      <c r="AD618" s="5">
        <f>+AC618</f>
        <v>1000</v>
      </c>
      <c r="AE618" s="5">
        <v>1170</v>
      </c>
      <c r="AF618" s="5">
        <f t="shared" si="661"/>
        <v>1310</v>
      </c>
      <c r="AG618" s="5">
        <f t="shared" si="659"/>
        <v>1310</v>
      </c>
      <c r="AH618" s="5">
        <f t="shared" si="659"/>
        <v>1310</v>
      </c>
      <c r="AI618" s="5">
        <f t="shared" ref="AI618:AJ618" si="666">+AH618</f>
        <v>1310</v>
      </c>
      <c r="AJ618" s="5">
        <f t="shared" si="666"/>
        <v>1310</v>
      </c>
      <c r="AK618" s="2"/>
      <c r="AL618" s="106"/>
    </row>
    <row r="619" spans="1:38" s="6" customFormat="1" ht="15" customHeight="1" x14ac:dyDescent="0.2">
      <c r="A619" s="29" t="s">
        <v>824</v>
      </c>
      <c r="B619" s="2" t="s">
        <v>822</v>
      </c>
      <c r="C619" s="29"/>
      <c r="D619" s="2" t="s">
        <v>825</v>
      </c>
      <c r="E619" s="3" t="s">
        <v>8</v>
      </c>
      <c r="F619" s="2" t="s">
        <v>913</v>
      </c>
      <c r="G619" s="2"/>
      <c r="H619" s="2" t="s">
        <v>28</v>
      </c>
      <c r="I619" s="2" t="s">
        <v>13</v>
      </c>
      <c r="J619" s="28" t="s">
        <v>549</v>
      </c>
      <c r="K619" s="28" t="s">
        <v>549</v>
      </c>
      <c r="L619" s="41" t="s">
        <v>697</v>
      </c>
      <c r="M619" s="4" t="s">
        <v>3</v>
      </c>
      <c r="N619" s="15">
        <v>23053676</v>
      </c>
      <c r="O619" s="88">
        <v>20230536768</v>
      </c>
      <c r="P619" s="38">
        <v>26565</v>
      </c>
      <c r="Q619" s="38"/>
      <c r="R619" s="38"/>
      <c r="S619" s="38"/>
      <c r="T619" s="38"/>
      <c r="U619" s="17" t="s">
        <v>215</v>
      </c>
      <c r="V619" s="17" t="s">
        <v>915</v>
      </c>
      <c r="W619" s="12">
        <v>42248</v>
      </c>
      <c r="X619" s="12"/>
      <c r="Y619" s="12">
        <v>42735</v>
      </c>
      <c r="Z619" s="2"/>
      <c r="AA619" s="2" t="s">
        <v>479</v>
      </c>
      <c r="AB619" s="3" t="s">
        <v>10</v>
      </c>
      <c r="AC619" s="5">
        <v>1000</v>
      </c>
      <c r="AD619" s="5">
        <f>+AC619*1.07</f>
        <v>1070</v>
      </c>
      <c r="AE619" s="5">
        <v>1170</v>
      </c>
      <c r="AF619" s="5">
        <f t="shared" si="661"/>
        <v>1310</v>
      </c>
      <c r="AG619" s="5">
        <f t="shared" si="659"/>
        <v>1310</v>
      </c>
      <c r="AH619" s="5">
        <f t="shared" si="659"/>
        <v>1310</v>
      </c>
      <c r="AI619" s="5">
        <f t="shared" ref="AI619:AJ619" si="667">+AH619</f>
        <v>1310</v>
      </c>
      <c r="AJ619" s="5">
        <f t="shared" si="667"/>
        <v>1310</v>
      </c>
      <c r="AK619" s="2" t="s">
        <v>1815</v>
      </c>
      <c r="AL619" s="106"/>
    </row>
    <row r="620" spans="1:38" s="6" customFormat="1" ht="15" customHeight="1" x14ac:dyDescent="0.2">
      <c r="A620" s="29" t="s">
        <v>824</v>
      </c>
      <c r="B620" s="2" t="s">
        <v>822</v>
      </c>
      <c r="C620" s="29" t="s">
        <v>823</v>
      </c>
      <c r="D620" s="2" t="s">
        <v>808</v>
      </c>
      <c r="E620" s="2" t="s">
        <v>216</v>
      </c>
      <c r="F620" s="2" t="s">
        <v>1066</v>
      </c>
      <c r="G620" s="2"/>
      <c r="H620" s="3"/>
      <c r="I620" s="2" t="s">
        <v>1066</v>
      </c>
      <c r="J620" s="28"/>
      <c r="K620" s="28" t="s">
        <v>1765</v>
      </c>
      <c r="L620" s="42" t="s">
        <v>1079</v>
      </c>
      <c r="M620" s="7" t="s">
        <v>3</v>
      </c>
      <c r="N620" s="15">
        <v>34304285</v>
      </c>
      <c r="O620" s="88">
        <v>20343042850</v>
      </c>
      <c r="P620" s="38">
        <v>32546</v>
      </c>
      <c r="Q620" s="38"/>
      <c r="R620" s="38"/>
      <c r="S620" s="38"/>
      <c r="T620" s="38"/>
      <c r="U620" s="17" t="s">
        <v>215</v>
      </c>
      <c r="V620" s="17" t="s">
        <v>915</v>
      </c>
      <c r="W620" s="12">
        <v>42491</v>
      </c>
      <c r="X620" s="19"/>
      <c r="Y620" s="12">
        <v>42735</v>
      </c>
      <c r="Z620" s="2"/>
      <c r="AA620" s="2" t="s">
        <v>479</v>
      </c>
      <c r="AB620" s="2"/>
      <c r="AC620" s="5">
        <v>1000</v>
      </c>
      <c r="AD620" s="5">
        <v>1070</v>
      </c>
      <c r="AE620" s="5">
        <v>1170</v>
      </c>
      <c r="AF620" s="5">
        <f t="shared" si="661"/>
        <v>1310</v>
      </c>
      <c r="AG620" s="5">
        <f t="shared" si="659"/>
        <v>1310</v>
      </c>
      <c r="AH620" s="5">
        <f t="shared" si="659"/>
        <v>1310</v>
      </c>
      <c r="AI620" s="5">
        <f t="shared" ref="AI620:AJ620" si="668">+AH620</f>
        <v>1310</v>
      </c>
      <c r="AJ620" s="5">
        <f t="shared" si="668"/>
        <v>1310</v>
      </c>
      <c r="AK620" s="2" t="s">
        <v>42</v>
      </c>
      <c r="AL620" s="105" t="str">
        <f>+AK620</f>
        <v>C0</v>
      </c>
    </row>
    <row r="621" spans="1:38" s="6" customFormat="1" ht="15" customHeight="1" x14ac:dyDescent="0.2">
      <c r="A621" s="29" t="s">
        <v>824</v>
      </c>
      <c r="B621" s="2" t="s">
        <v>822</v>
      </c>
      <c r="C621" s="3"/>
      <c r="D621" s="2" t="s">
        <v>825</v>
      </c>
      <c r="E621" s="3" t="s">
        <v>18</v>
      </c>
      <c r="F621" s="2" t="s">
        <v>19</v>
      </c>
      <c r="G621" s="2"/>
      <c r="H621" s="2" t="s">
        <v>29</v>
      </c>
      <c r="I621" s="3"/>
      <c r="J621" s="28" t="s">
        <v>548</v>
      </c>
      <c r="K621" s="28"/>
      <c r="L621" s="41" t="s">
        <v>698</v>
      </c>
      <c r="M621" s="4" t="s">
        <v>3</v>
      </c>
      <c r="N621" s="15">
        <v>16598752</v>
      </c>
      <c r="O621" s="88">
        <v>20165987528</v>
      </c>
      <c r="P621" s="61"/>
      <c r="Q621" s="61"/>
      <c r="R621" s="61"/>
      <c r="S621" s="61"/>
      <c r="T621" s="61"/>
      <c r="U621" s="16" t="s">
        <v>796</v>
      </c>
      <c r="V621" s="16" t="s">
        <v>916</v>
      </c>
      <c r="W621" s="12">
        <v>41609</v>
      </c>
      <c r="X621" s="12">
        <v>42460</v>
      </c>
      <c r="Y621" s="12">
        <v>42735</v>
      </c>
      <c r="Z621" s="2" t="s">
        <v>30</v>
      </c>
      <c r="AA621" s="2"/>
      <c r="AB621" s="3"/>
      <c r="AC621" s="5">
        <v>1000</v>
      </c>
      <c r="AD621" s="5"/>
      <c r="AE621" s="5">
        <v>1170</v>
      </c>
      <c r="AF621" s="5">
        <f t="shared" si="661"/>
        <v>1310</v>
      </c>
      <c r="AG621" s="5">
        <f t="shared" si="659"/>
        <v>1310</v>
      </c>
      <c r="AH621" s="5">
        <f t="shared" si="659"/>
        <v>1310</v>
      </c>
      <c r="AI621" s="5">
        <f t="shared" ref="AI621:AJ621" si="669">+AH621</f>
        <v>1310</v>
      </c>
      <c r="AJ621" s="5">
        <f t="shared" si="669"/>
        <v>1310</v>
      </c>
      <c r="AK621" s="2"/>
      <c r="AL621" s="105" t="str">
        <f>+Z621</f>
        <v>B1</v>
      </c>
    </row>
    <row r="622" spans="1:38" s="6" customFormat="1" ht="15" customHeight="1" x14ac:dyDescent="0.2">
      <c r="A622" s="29" t="s">
        <v>824</v>
      </c>
      <c r="B622" s="2" t="s">
        <v>822</v>
      </c>
      <c r="C622" s="29" t="s">
        <v>823</v>
      </c>
      <c r="D622" s="2" t="s">
        <v>808</v>
      </c>
      <c r="E622" s="2" t="s">
        <v>20</v>
      </c>
      <c r="F622" s="2"/>
      <c r="G622" s="2"/>
      <c r="H622" s="3"/>
      <c r="I622" s="2" t="s">
        <v>1707</v>
      </c>
      <c r="J622" s="28"/>
      <c r="K622" s="28" t="s">
        <v>1765</v>
      </c>
      <c r="L622" s="42" t="s">
        <v>1071</v>
      </c>
      <c r="M622" s="7" t="s">
        <v>3</v>
      </c>
      <c r="N622" s="15">
        <v>27113663</v>
      </c>
      <c r="O622" s="88">
        <v>27271136639</v>
      </c>
      <c r="P622" s="38">
        <v>28849</v>
      </c>
      <c r="Q622" s="38"/>
      <c r="R622" s="38"/>
      <c r="S622" s="38"/>
      <c r="T622" s="38"/>
      <c r="U622" s="17" t="s">
        <v>215</v>
      </c>
      <c r="V622" s="17" t="s">
        <v>915</v>
      </c>
      <c r="W622" s="12">
        <v>42505</v>
      </c>
      <c r="X622" s="19"/>
      <c r="Y622" s="12">
        <v>42735</v>
      </c>
      <c r="Z622" s="2"/>
      <c r="AA622" s="2" t="s">
        <v>479</v>
      </c>
      <c r="AB622" s="2"/>
      <c r="AC622" s="5">
        <v>1000</v>
      </c>
      <c r="AD622" s="5">
        <v>1070</v>
      </c>
      <c r="AE622" s="5">
        <v>1170</v>
      </c>
      <c r="AF622" s="5">
        <f t="shared" si="661"/>
        <v>1310</v>
      </c>
      <c r="AG622" s="5">
        <f t="shared" si="659"/>
        <v>1310</v>
      </c>
      <c r="AH622" s="5">
        <f t="shared" si="659"/>
        <v>1310</v>
      </c>
      <c r="AI622" s="5">
        <f t="shared" ref="AI622:AJ622" si="670">+AH622</f>
        <v>1310</v>
      </c>
      <c r="AJ622" s="5">
        <f t="shared" si="670"/>
        <v>1310</v>
      </c>
      <c r="AK622" s="2" t="s">
        <v>53</v>
      </c>
      <c r="AL622" s="105" t="str">
        <f>+AK622</f>
        <v>B0</v>
      </c>
    </row>
    <row r="623" spans="1:38" s="6" customFormat="1" ht="15" customHeight="1" x14ac:dyDescent="0.2">
      <c r="A623" s="29" t="s">
        <v>824</v>
      </c>
      <c r="B623" s="29" t="s">
        <v>822</v>
      </c>
      <c r="C623" s="3"/>
      <c r="D623" s="2" t="s">
        <v>956</v>
      </c>
      <c r="E623" s="2" t="s">
        <v>956</v>
      </c>
      <c r="F623" s="2"/>
      <c r="G623" s="2"/>
      <c r="H623" s="2"/>
      <c r="I623" s="2" t="s">
        <v>1825</v>
      </c>
      <c r="J623" s="28"/>
      <c r="K623" s="28"/>
      <c r="L623" s="44" t="s">
        <v>1832</v>
      </c>
      <c r="M623" s="7" t="s">
        <v>3</v>
      </c>
      <c r="N623" s="47">
        <v>38865071</v>
      </c>
      <c r="O623" s="88">
        <v>27388650716</v>
      </c>
      <c r="P623" s="38"/>
      <c r="Q623" s="38"/>
      <c r="R623" s="38"/>
      <c r="S623" s="38"/>
      <c r="T623" s="38"/>
      <c r="U623" s="17" t="s">
        <v>215</v>
      </c>
      <c r="V623" s="17" t="s">
        <v>915</v>
      </c>
      <c r="W623" s="12">
        <v>42552</v>
      </c>
      <c r="X623" s="12"/>
      <c r="Y623" s="12">
        <v>42735</v>
      </c>
      <c r="Z623" s="2"/>
      <c r="AA623" s="2"/>
      <c r="AB623" s="7"/>
      <c r="AC623" s="5"/>
      <c r="AD623" s="5"/>
      <c r="AE623" s="5">
        <v>1170</v>
      </c>
      <c r="AF623" s="5">
        <f t="shared" si="661"/>
        <v>0</v>
      </c>
      <c r="AG623" s="5">
        <v>1310</v>
      </c>
      <c r="AH623" s="5">
        <v>14000</v>
      </c>
      <c r="AI623" s="5">
        <f t="shared" ref="AI623:AJ623" si="671">+AH623</f>
        <v>14000</v>
      </c>
      <c r="AJ623" s="5">
        <f t="shared" si="671"/>
        <v>14000</v>
      </c>
      <c r="AK623" s="2"/>
      <c r="AL623" s="106"/>
    </row>
    <row r="624" spans="1:38" s="6" customFormat="1" ht="15" customHeight="1" x14ac:dyDescent="0.2">
      <c r="A624" s="29" t="s">
        <v>824</v>
      </c>
      <c r="B624" s="29" t="s">
        <v>822</v>
      </c>
      <c r="C624" s="29" t="s">
        <v>823</v>
      </c>
      <c r="D624" s="2" t="s">
        <v>808</v>
      </c>
      <c r="E624" s="2" t="s">
        <v>909</v>
      </c>
      <c r="F624" s="2" t="s">
        <v>811</v>
      </c>
      <c r="G624" s="3" t="s">
        <v>519</v>
      </c>
      <c r="H624" s="2" t="s">
        <v>243</v>
      </c>
      <c r="I624" s="2" t="s">
        <v>811</v>
      </c>
      <c r="J624" s="28" t="s">
        <v>73</v>
      </c>
      <c r="K624" s="28" t="s">
        <v>1765</v>
      </c>
      <c r="L624" s="43" t="s">
        <v>163</v>
      </c>
      <c r="M624" s="4" t="s">
        <v>3</v>
      </c>
      <c r="N624" s="15">
        <v>29704359</v>
      </c>
      <c r="O624" s="88" t="s">
        <v>1354</v>
      </c>
      <c r="P624" s="38">
        <v>30252</v>
      </c>
      <c r="Q624" s="38"/>
      <c r="R624" s="38"/>
      <c r="S624" s="38"/>
      <c r="T624" s="38"/>
      <c r="U624" s="17" t="s">
        <v>215</v>
      </c>
      <c r="V624" s="17" t="s">
        <v>915</v>
      </c>
      <c r="W624" s="12">
        <v>42186</v>
      </c>
      <c r="X624" s="37"/>
      <c r="Y624" s="12">
        <v>42735</v>
      </c>
      <c r="Z624" s="2"/>
      <c r="AA624" s="2" t="s">
        <v>479</v>
      </c>
      <c r="AB624" s="7" t="s">
        <v>61</v>
      </c>
      <c r="AC624" s="5">
        <v>1000</v>
      </c>
      <c r="AD624" s="5">
        <f>+AC624*1.07</f>
        <v>1070</v>
      </c>
      <c r="AE624" s="5">
        <v>1170</v>
      </c>
      <c r="AF624" s="5">
        <f t="shared" si="661"/>
        <v>1310</v>
      </c>
      <c r="AG624" s="5">
        <f t="shared" ref="AG624:AH643" si="672">+AF624</f>
        <v>1310</v>
      </c>
      <c r="AH624" s="5">
        <f t="shared" si="672"/>
        <v>1310</v>
      </c>
      <c r="AI624" s="5">
        <f t="shared" ref="AI624:AJ624" si="673">+AH624</f>
        <v>1310</v>
      </c>
      <c r="AJ624" s="5">
        <f t="shared" si="673"/>
        <v>1310</v>
      </c>
      <c r="AK624" s="29" t="s">
        <v>42</v>
      </c>
      <c r="AL624" s="105" t="str">
        <f>+AK624</f>
        <v>C0</v>
      </c>
    </row>
    <row r="625" spans="1:38" s="6" customFormat="1" ht="15" customHeight="1" x14ac:dyDescent="0.2">
      <c r="A625" s="29" t="s">
        <v>824</v>
      </c>
      <c r="B625" s="2" t="s">
        <v>822</v>
      </c>
      <c r="C625" s="29" t="s">
        <v>823</v>
      </c>
      <c r="D625" s="2" t="s">
        <v>808</v>
      </c>
      <c r="E625" s="2" t="s">
        <v>909</v>
      </c>
      <c r="F625" s="2" t="s">
        <v>1704</v>
      </c>
      <c r="G625" s="3"/>
      <c r="H625" s="2"/>
      <c r="I625" s="3"/>
      <c r="J625" s="28"/>
      <c r="K625" s="28"/>
      <c r="L625" s="41" t="s">
        <v>1703</v>
      </c>
      <c r="M625" s="7" t="s">
        <v>3</v>
      </c>
      <c r="N625" s="85">
        <v>10776913</v>
      </c>
      <c r="O625" s="88"/>
      <c r="P625" s="38"/>
      <c r="Q625" s="38"/>
      <c r="R625" s="38"/>
      <c r="S625" s="38"/>
      <c r="T625" s="38"/>
      <c r="U625" s="16"/>
      <c r="V625" s="16" t="s">
        <v>916</v>
      </c>
      <c r="W625" s="12"/>
      <c r="X625" s="48"/>
      <c r="Y625" s="12">
        <v>42735</v>
      </c>
      <c r="Z625" s="28" t="s">
        <v>15</v>
      </c>
      <c r="AA625" s="2"/>
      <c r="AB625" s="3"/>
      <c r="AC625" s="5">
        <v>1000</v>
      </c>
      <c r="AD625" s="5"/>
      <c r="AE625" s="5">
        <v>1170</v>
      </c>
      <c r="AF625" s="5">
        <f t="shared" si="661"/>
        <v>1310</v>
      </c>
      <c r="AG625" s="5">
        <f t="shared" si="672"/>
        <v>1310</v>
      </c>
      <c r="AH625" s="5">
        <f t="shared" si="672"/>
        <v>1310</v>
      </c>
      <c r="AI625" s="5">
        <f t="shared" ref="AI625:AJ625" si="674">+AH625</f>
        <v>1310</v>
      </c>
      <c r="AJ625" s="5">
        <f t="shared" si="674"/>
        <v>1310</v>
      </c>
      <c r="AK625" s="2"/>
      <c r="AL625" s="105" t="str">
        <f>+Z625</f>
        <v>B3</v>
      </c>
    </row>
    <row r="626" spans="1:38" s="6" customFormat="1" ht="15" customHeight="1" x14ac:dyDescent="0.2">
      <c r="A626" s="29" t="s">
        <v>824</v>
      </c>
      <c r="B626" s="2" t="s">
        <v>822</v>
      </c>
      <c r="C626" s="29"/>
      <c r="D626" s="2" t="s">
        <v>825</v>
      </c>
      <c r="E626" s="3" t="s">
        <v>8</v>
      </c>
      <c r="F626" s="2" t="s">
        <v>913</v>
      </c>
      <c r="G626" s="2"/>
      <c r="H626" s="2" t="s">
        <v>28</v>
      </c>
      <c r="I626" s="2" t="s">
        <v>13</v>
      </c>
      <c r="J626" s="28" t="s">
        <v>549</v>
      </c>
      <c r="K626" s="28" t="s">
        <v>549</v>
      </c>
      <c r="L626" s="41" t="s">
        <v>699</v>
      </c>
      <c r="M626" s="4" t="s">
        <v>3</v>
      </c>
      <c r="N626" s="15">
        <v>34524500</v>
      </c>
      <c r="O626" s="88" t="s">
        <v>1606</v>
      </c>
      <c r="P626" s="38">
        <v>32636</v>
      </c>
      <c r="Q626" s="38"/>
      <c r="R626" s="38"/>
      <c r="S626" s="38"/>
      <c r="T626" s="38"/>
      <c r="U626" s="17" t="s">
        <v>215</v>
      </c>
      <c r="V626" s="17" t="s">
        <v>915</v>
      </c>
      <c r="W626" s="12">
        <v>42248</v>
      </c>
      <c r="X626" s="12"/>
      <c r="Y626" s="12">
        <v>42735</v>
      </c>
      <c r="Z626" s="2"/>
      <c r="AA626" s="2" t="s">
        <v>479</v>
      </c>
      <c r="AB626" s="3" t="s">
        <v>10</v>
      </c>
      <c r="AC626" s="5">
        <v>1000</v>
      </c>
      <c r="AD626" s="5">
        <f>+AC626*1.07</f>
        <v>1070</v>
      </c>
      <c r="AE626" s="5">
        <v>1170</v>
      </c>
      <c r="AF626" s="5">
        <f t="shared" si="661"/>
        <v>1310</v>
      </c>
      <c r="AG626" s="5">
        <f t="shared" si="672"/>
        <v>1310</v>
      </c>
      <c r="AH626" s="5">
        <f t="shared" si="672"/>
        <v>1310</v>
      </c>
      <c r="AI626" s="5">
        <f t="shared" ref="AI626:AJ626" si="675">+AH626</f>
        <v>1310</v>
      </c>
      <c r="AJ626" s="5">
        <f t="shared" si="675"/>
        <v>1310</v>
      </c>
      <c r="AK626" s="2" t="s">
        <v>1815</v>
      </c>
      <c r="AL626" s="106"/>
    </row>
    <row r="627" spans="1:38" s="6" customFormat="1" ht="15" customHeight="1" x14ac:dyDescent="0.2">
      <c r="A627" s="29" t="s">
        <v>824</v>
      </c>
      <c r="B627" s="2" t="s">
        <v>822</v>
      </c>
      <c r="C627" s="3"/>
      <c r="D627" s="2" t="s">
        <v>825</v>
      </c>
      <c r="E627" s="3" t="s">
        <v>18</v>
      </c>
      <c r="F627" s="2" t="s">
        <v>19</v>
      </c>
      <c r="G627" s="2"/>
      <c r="H627" s="2" t="s">
        <v>44</v>
      </c>
      <c r="I627" s="2" t="s">
        <v>1707</v>
      </c>
      <c r="J627" s="28" t="s">
        <v>548</v>
      </c>
      <c r="K627" s="28" t="s">
        <v>548</v>
      </c>
      <c r="L627" s="44" t="s">
        <v>700</v>
      </c>
      <c r="M627" s="4" t="s">
        <v>3</v>
      </c>
      <c r="N627" s="15">
        <v>31632162</v>
      </c>
      <c r="O627" s="88" t="s">
        <v>1396</v>
      </c>
      <c r="P627" s="38">
        <v>31209</v>
      </c>
      <c r="Q627" s="38"/>
      <c r="R627" s="38"/>
      <c r="S627" s="38"/>
      <c r="T627" s="38"/>
      <c r="U627" s="17" t="s">
        <v>215</v>
      </c>
      <c r="V627" s="17" t="s">
        <v>915</v>
      </c>
      <c r="W627" s="12">
        <v>42139</v>
      </c>
      <c r="X627" s="12"/>
      <c r="Y627" s="12">
        <v>42735</v>
      </c>
      <c r="Z627" s="2"/>
      <c r="AA627" s="2" t="s">
        <v>479</v>
      </c>
      <c r="AB627" s="7" t="s">
        <v>787</v>
      </c>
      <c r="AC627" s="5">
        <v>1000</v>
      </c>
      <c r="AD627" s="5">
        <f>+AC627</f>
        <v>1000</v>
      </c>
      <c r="AE627" s="5">
        <v>1170</v>
      </c>
      <c r="AF627" s="5">
        <f t="shared" si="661"/>
        <v>1310</v>
      </c>
      <c r="AG627" s="5">
        <f t="shared" si="672"/>
        <v>1310</v>
      </c>
      <c r="AH627" s="5">
        <f t="shared" si="672"/>
        <v>1310</v>
      </c>
      <c r="AI627" s="5">
        <f t="shared" ref="AI627:AJ627" si="676">+AH627</f>
        <v>1310</v>
      </c>
      <c r="AJ627" s="5">
        <f t="shared" si="676"/>
        <v>1310</v>
      </c>
      <c r="AK627" s="2"/>
      <c r="AL627" s="106"/>
    </row>
    <row r="628" spans="1:38" s="6" customFormat="1" ht="15" customHeight="1" x14ac:dyDescent="0.2">
      <c r="A628" s="29" t="s">
        <v>824</v>
      </c>
      <c r="B628" s="29"/>
      <c r="C628" s="14"/>
      <c r="D628" s="2" t="s">
        <v>820</v>
      </c>
      <c r="E628" s="2" t="s">
        <v>817</v>
      </c>
      <c r="F628" s="3"/>
      <c r="G628" s="3"/>
      <c r="H628" s="2" t="s">
        <v>229</v>
      </c>
      <c r="I628" s="3"/>
      <c r="J628" s="28" t="s">
        <v>73</v>
      </c>
      <c r="K628" s="28"/>
      <c r="L628" s="45" t="s">
        <v>164</v>
      </c>
      <c r="M628" s="4" t="s">
        <v>3</v>
      </c>
      <c r="N628" s="15">
        <v>30652310</v>
      </c>
      <c r="O628" s="88">
        <v>20306523105</v>
      </c>
      <c r="P628" s="61"/>
      <c r="Q628" s="61"/>
      <c r="R628" s="61"/>
      <c r="S628" s="61"/>
      <c r="T628" s="61"/>
      <c r="U628" s="16" t="s">
        <v>796</v>
      </c>
      <c r="V628" s="16" t="s">
        <v>916</v>
      </c>
      <c r="W628" s="12">
        <v>40026</v>
      </c>
      <c r="X628" s="48">
        <v>42735</v>
      </c>
      <c r="Y628" s="12">
        <v>42735</v>
      </c>
      <c r="Z628" s="2" t="s">
        <v>24</v>
      </c>
      <c r="AA628" s="2"/>
      <c r="AB628" s="14"/>
      <c r="AC628" s="5">
        <v>1000</v>
      </c>
      <c r="AD628" s="5"/>
      <c r="AE628" s="5">
        <v>1170</v>
      </c>
      <c r="AF628" s="5">
        <f t="shared" si="661"/>
        <v>1310</v>
      </c>
      <c r="AG628" s="5">
        <f t="shared" si="672"/>
        <v>1310</v>
      </c>
      <c r="AH628" s="5">
        <f t="shared" si="672"/>
        <v>1310</v>
      </c>
      <c r="AI628" s="5">
        <f t="shared" ref="AI628:AJ628" si="677">+AH628</f>
        <v>1310</v>
      </c>
      <c r="AJ628" s="5">
        <f t="shared" si="677"/>
        <v>1310</v>
      </c>
      <c r="AK628" s="2"/>
      <c r="AL628" s="105" t="str">
        <f>+Z628</f>
        <v>D0</v>
      </c>
    </row>
    <row r="629" spans="1:38" s="6" customFormat="1" ht="15" customHeight="1" x14ac:dyDescent="0.2">
      <c r="A629" s="29" t="s">
        <v>824</v>
      </c>
      <c r="B629" s="29" t="s">
        <v>822</v>
      </c>
      <c r="C629" s="29"/>
      <c r="D629" s="2" t="s">
        <v>928</v>
      </c>
      <c r="E629" s="2" t="s">
        <v>11</v>
      </c>
      <c r="F629" s="2"/>
      <c r="G629" s="2"/>
      <c r="H629" s="2"/>
      <c r="I629" s="3"/>
      <c r="J629" s="28" t="s">
        <v>73</v>
      </c>
      <c r="K629" s="28" t="s">
        <v>1765</v>
      </c>
      <c r="L629" s="42" t="s">
        <v>297</v>
      </c>
      <c r="M629" s="4" t="s">
        <v>3</v>
      </c>
      <c r="N629" s="15">
        <v>33850467</v>
      </c>
      <c r="O629" s="88">
        <v>27338504670</v>
      </c>
      <c r="P629" s="61"/>
      <c r="Q629" s="61"/>
      <c r="R629" s="61"/>
      <c r="S629" s="61"/>
      <c r="T629" s="61"/>
      <c r="U629" s="16" t="s">
        <v>796</v>
      </c>
      <c r="V629" s="16" t="s">
        <v>916</v>
      </c>
      <c r="W629" s="12">
        <v>41091</v>
      </c>
      <c r="X629" s="48">
        <v>42735</v>
      </c>
      <c r="Y629" s="12">
        <v>42735</v>
      </c>
      <c r="Z629" s="2" t="s">
        <v>42</v>
      </c>
      <c r="AA629" s="2"/>
      <c r="AB629" s="18"/>
      <c r="AC629" s="5">
        <v>1000</v>
      </c>
      <c r="AD629" s="5"/>
      <c r="AE629" s="5">
        <v>1170</v>
      </c>
      <c r="AF629" s="5">
        <f t="shared" si="661"/>
        <v>1310</v>
      </c>
      <c r="AG629" s="5">
        <f t="shared" si="672"/>
        <v>1310</v>
      </c>
      <c r="AH629" s="5">
        <f t="shared" si="672"/>
        <v>1310</v>
      </c>
      <c r="AI629" s="5">
        <f t="shared" ref="AI629:AJ629" si="678">+AH629</f>
        <v>1310</v>
      </c>
      <c r="AJ629" s="5">
        <f t="shared" si="678"/>
        <v>1310</v>
      </c>
      <c r="AK629" s="2"/>
      <c r="AL629" s="105" t="str">
        <f>+Z629</f>
        <v>C0</v>
      </c>
    </row>
    <row r="630" spans="1:38" s="6" customFormat="1" ht="15" customHeight="1" x14ac:dyDescent="0.2">
      <c r="A630" s="29" t="s">
        <v>824</v>
      </c>
      <c r="B630" s="29"/>
      <c r="C630" s="29"/>
      <c r="D630" s="2" t="s">
        <v>820</v>
      </c>
      <c r="E630" s="2" t="s">
        <v>63</v>
      </c>
      <c r="F630" s="2"/>
      <c r="G630" s="3"/>
      <c r="H630" s="2"/>
      <c r="I630" s="2" t="s">
        <v>1707</v>
      </c>
      <c r="J630" s="28"/>
      <c r="K630" s="28" t="s">
        <v>1765</v>
      </c>
      <c r="L630" s="43" t="s">
        <v>1612</v>
      </c>
      <c r="M630" s="7" t="s">
        <v>3</v>
      </c>
      <c r="N630" s="15">
        <v>36735601</v>
      </c>
      <c r="O630" s="88">
        <v>27367356019</v>
      </c>
      <c r="P630" s="38">
        <v>33598</v>
      </c>
      <c r="Q630" s="38"/>
      <c r="R630" s="38"/>
      <c r="S630" s="38"/>
      <c r="T630" s="38"/>
      <c r="U630" s="17" t="s">
        <v>215</v>
      </c>
      <c r="V630" s="17" t="s">
        <v>915</v>
      </c>
      <c r="W630" s="12">
        <v>42552</v>
      </c>
      <c r="X630" s="37"/>
      <c r="Y630" s="12">
        <v>42735</v>
      </c>
      <c r="Z630" s="2"/>
      <c r="AA630" s="2" t="s">
        <v>479</v>
      </c>
      <c r="AB630" s="7"/>
      <c r="AC630" s="5" t="s">
        <v>1611</v>
      </c>
      <c r="AD630" s="5" t="s">
        <v>1611</v>
      </c>
      <c r="AE630" s="5">
        <v>1170</v>
      </c>
      <c r="AF630" s="5">
        <v>1310</v>
      </c>
      <c r="AG630" s="5">
        <f t="shared" si="672"/>
        <v>1310</v>
      </c>
      <c r="AH630" s="5">
        <f t="shared" si="672"/>
        <v>1310</v>
      </c>
      <c r="AI630" s="5">
        <f t="shared" ref="AI630:AJ630" si="679">+AH630</f>
        <v>1310</v>
      </c>
      <c r="AJ630" s="5">
        <f t="shared" si="679"/>
        <v>1310</v>
      </c>
      <c r="AK630" s="29" t="s">
        <v>42</v>
      </c>
      <c r="AL630" s="105" t="str">
        <f>+AK630</f>
        <v>C0</v>
      </c>
    </row>
    <row r="631" spans="1:38" s="6" customFormat="1" ht="15" customHeight="1" x14ac:dyDescent="0.2">
      <c r="A631" s="29" t="s">
        <v>824</v>
      </c>
      <c r="B631" s="29"/>
      <c r="C631" s="14"/>
      <c r="D631" s="2" t="s">
        <v>820</v>
      </c>
      <c r="E631" s="2" t="s">
        <v>817</v>
      </c>
      <c r="F631" s="3"/>
      <c r="G631" s="3"/>
      <c r="H631" s="2" t="s">
        <v>229</v>
      </c>
      <c r="I631" s="3"/>
      <c r="J631" s="28" t="s">
        <v>73</v>
      </c>
      <c r="K631" s="28"/>
      <c r="L631" s="45" t="s">
        <v>165</v>
      </c>
      <c r="M631" s="4" t="s">
        <v>3</v>
      </c>
      <c r="N631" s="15">
        <v>23587261</v>
      </c>
      <c r="O631" s="88">
        <v>27235872612</v>
      </c>
      <c r="P631" s="61"/>
      <c r="Q631" s="61"/>
      <c r="R631" s="61"/>
      <c r="S631" s="61"/>
      <c r="T631" s="61"/>
      <c r="U631" s="16" t="s">
        <v>796</v>
      </c>
      <c r="V631" s="16" t="s">
        <v>916</v>
      </c>
      <c r="W631" s="12">
        <v>41913</v>
      </c>
      <c r="X631" s="12">
        <v>42460</v>
      </c>
      <c r="Y631" s="12">
        <v>42735</v>
      </c>
      <c r="Z631" s="2" t="s">
        <v>30</v>
      </c>
      <c r="AA631" s="2"/>
      <c r="AB631" s="14"/>
      <c r="AC631" s="5">
        <v>1000</v>
      </c>
      <c r="AD631" s="5"/>
      <c r="AE631" s="5">
        <v>1170</v>
      </c>
      <c r="AF631" s="5">
        <f t="shared" si="661"/>
        <v>1310</v>
      </c>
      <c r="AG631" s="5">
        <f t="shared" si="672"/>
        <v>1310</v>
      </c>
      <c r="AH631" s="5">
        <f t="shared" si="672"/>
        <v>1310</v>
      </c>
      <c r="AI631" s="5">
        <f t="shared" ref="AI631:AJ631" si="680">+AH631</f>
        <v>1310</v>
      </c>
      <c r="AJ631" s="5">
        <f t="shared" si="680"/>
        <v>1310</v>
      </c>
      <c r="AK631" s="2"/>
      <c r="AL631" s="105" t="str">
        <f>+Z631</f>
        <v>B1</v>
      </c>
    </row>
    <row r="632" spans="1:38" s="6" customFormat="1" ht="15" customHeight="1" x14ac:dyDescent="0.2">
      <c r="A632" s="29" t="s">
        <v>824</v>
      </c>
      <c r="B632" s="29"/>
      <c r="C632" s="29"/>
      <c r="D632" s="2" t="s">
        <v>820</v>
      </c>
      <c r="E632" s="2" t="s">
        <v>817</v>
      </c>
      <c r="F632" s="3"/>
      <c r="G632" s="3"/>
      <c r="H632" s="2" t="s">
        <v>221</v>
      </c>
      <c r="I632" s="2" t="s">
        <v>1707</v>
      </c>
      <c r="J632" s="28"/>
      <c r="K632" s="28" t="s">
        <v>1765</v>
      </c>
      <c r="L632" s="45" t="s">
        <v>933</v>
      </c>
      <c r="M632" s="4" t="s">
        <v>3</v>
      </c>
      <c r="N632" s="15">
        <v>27664255</v>
      </c>
      <c r="O632" s="88" t="s">
        <v>1317</v>
      </c>
      <c r="P632" s="38">
        <v>29141</v>
      </c>
      <c r="Q632" s="38"/>
      <c r="R632" s="38"/>
      <c r="S632" s="38"/>
      <c r="T632" s="38"/>
      <c r="U632" s="17" t="s">
        <v>215</v>
      </c>
      <c r="V632" s="16" t="s">
        <v>915</v>
      </c>
      <c r="W632" s="12">
        <v>42492</v>
      </c>
      <c r="X632" s="48"/>
      <c r="Y632" s="12">
        <v>42735</v>
      </c>
      <c r="Z632" s="2"/>
      <c r="AA632" s="2" t="s">
        <v>479</v>
      </c>
      <c r="AB632" s="14"/>
      <c r="AC632" s="5">
        <v>1000</v>
      </c>
      <c r="AD632" s="5">
        <f>+AC632*1.07</f>
        <v>1070</v>
      </c>
      <c r="AE632" s="5">
        <v>1170</v>
      </c>
      <c r="AF632" s="5">
        <f t="shared" si="661"/>
        <v>1310</v>
      </c>
      <c r="AG632" s="5">
        <f t="shared" si="672"/>
        <v>1310</v>
      </c>
      <c r="AH632" s="5">
        <f t="shared" si="672"/>
        <v>1310</v>
      </c>
      <c r="AI632" s="5">
        <f t="shared" ref="AI632:AJ632" si="681">+AH632</f>
        <v>1310</v>
      </c>
      <c r="AJ632" s="5">
        <f t="shared" si="681"/>
        <v>1310</v>
      </c>
      <c r="AK632" s="2" t="s">
        <v>53</v>
      </c>
      <c r="AL632" s="105" t="str">
        <f>+AK632</f>
        <v>B0</v>
      </c>
    </row>
    <row r="633" spans="1:38" s="6" customFormat="1" ht="15" customHeight="1" x14ac:dyDescent="0.2">
      <c r="A633" s="29" t="s">
        <v>824</v>
      </c>
      <c r="B633" s="2" t="s">
        <v>822</v>
      </c>
      <c r="C633" s="29"/>
      <c r="D633" s="2" t="s">
        <v>825</v>
      </c>
      <c r="E633" s="3" t="s">
        <v>8</v>
      </c>
      <c r="F633" s="2" t="s">
        <v>913</v>
      </c>
      <c r="G633" s="2"/>
      <c r="H633" s="2" t="s">
        <v>38</v>
      </c>
      <c r="I633" s="2" t="s">
        <v>13</v>
      </c>
      <c r="J633" s="28" t="s">
        <v>549</v>
      </c>
      <c r="K633" s="28" t="s">
        <v>549</v>
      </c>
      <c r="L633" s="41" t="s">
        <v>701</v>
      </c>
      <c r="M633" s="4" t="s">
        <v>3</v>
      </c>
      <c r="N633" s="15">
        <v>28036334</v>
      </c>
      <c r="O633" s="88">
        <v>20280363341</v>
      </c>
      <c r="P633" s="38">
        <v>29341</v>
      </c>
      <c r="Q633" s="38"/>
      <c r="R633" s="38"/>
      <c r="S633" s="38"/>
      <c r="T633" s="38"/>
      <c r="U633" s="17" t="s">
        <v>215</v>
      </c>
      <c r="V633" s="17" t="s">
        <v>915</v>
      </c>
      <c r="W633" s="12">
        <v>42248</v>
      </c>
      <c r="X633" s="12"/>
      <c r="Y633" s="12">
        <v>42735</v>
      </c>
      <c r="Z633" s="2"/>
      <c r="AA633" s="2" t="s">
        <v>479</v>
      </c>
      <c r="AB633" s="3" t="s">
        <v>10</v>
      </c>
      <c r="AC633" s="5">
        <v>1000</v>
      </c>
      <c r="AD633" s="5">
        <f>+AC633*1.07</f>
        <v>1070</v>
      </c>
      <c r="AE633" s="5">
        <v>1170</v>
      </c>
      <c r="AF633" s="5">
        <f t="shared" si="661"/>
        <v>1310</v>
      </c>
      <c r="AG633" s="5">
        <f t="shared" si="672"/>
        <v>1310</v>
      </c>
      <c r="AH633" s="5">
        <f t="shared" si="672"/>
        <v>1310</v>
      </c>
      <c r="AI633" s="5">
        <f t="shared" ref="AI633:AJ633" si="682">+AH633</f>
        <v>1310</v>
      </c>
      <c r="AJ633" s="5">
        <f t="shared" si="682"/>
        <v>1310</v>
      </c>
      <c r="AK633" s="2" t="s">
        <v>1815</v>
      </c>
      <c r="AL633" s="106"/>
    </row>
    <row r="634" spans="1:38" s="6" customFormat="1" ht="15" customHeight="1" x14ac:dyDescent="0.2">
      <c r="A634" s="29" t="s">
        <v>824</v>
      </c>
      <c r="B634" s="29" t="s">
        <v>822</v>
      </c>
      <c r="C634" s="29" t="s">
        <v>823</v>
      </c>
      <c r="D634" s="2" t="s">
        <v>800</v>
      </c>
      <c r="E634" s="2"/>
      <c r="F634" s="2"/>
      <c r="G634" s="2"/>
      <c r="H634" s="2"/>
      <c r="I634" s="3" t="s">
        <v>1742</v>
      </c>
      <c r="J634" s="28"/>
      <c r="K634" s="28" t="s">
        <v>1767</v>
      </c>
      <c r="L634" s="41" t="s">
        <v>1061</v>
      </c>
      <c r="M634" s="7" t="s">
        <v>3</v>
      </c>
      <c r="N634" s="15">
        <v>23037805</v>
      </c>
      <c r="O634" s="88" t="s">
        <v>1216</v>
      </c>
      <c r="P634" s="38">
        <v>26661</v>
      </c>
      <c r="Q634" s="38"/>
      <c r="R634" s="38"/>
      <c r="S634" s="38"/>
      <c r="T634" s="38"/>
      <c r="U634" s="17" t="s">
        <v>215</v>
      </c>
      <c r="V634" s="16" t="s">
        <v>915</v>
      </c>
      <c r="W634" s="12"/>
      <c r="X634" s="12"/>
      <c r="Y634" s="12">
        <v>42735</v>
      </c>
      <c r="Z634" s="2"/>
      <c r="AA634" s="2" t="s">
        <v>479</v>
      </c>
      <c r="AB634" s="3"/>
      <c r="AC634" s="5"/>
      <c r="AD634" s="5">
        <v>1070</v>
      </c>
      <c r="AE634" s="5">
        <v>1170</v>
      </c>
      <c r="AF634" s="5">
        <f t="shared" si="661"/>
        <v>0</v>
      </c>
      <c r="AG634" s="5">
        <f t="shared" si="672"/>
        <v>0</v>
      </c>
      <c r="AH634" s="5">
        <f t="shared" si="672"/>
        <v>0</v>
      </c>
      <c r="AI634" s="5">
        <f t="shared" ref="AI634:AJ634" si="683">+AH634</f>
        <v>0</v>
      </c>
      <c r="AJ634" s="5">
        <f t="shared" si="683"/>
        <v>0</v>
      </c>
      <c r="AK634" s="29" t="s">
        <v>42</v>
      </c>
      <c r="AL634" s="105" t="str">
        <f>+AK634</f>
        <v>C0</v>
      </c>
    </row>
    <row r="635" spans="1:38" s="6" customFormat="1" ht="15" customHeight="1" x14ac:dyDescent="0.2">
      <c r="A635" s="29" t="s">
        <v>824</v>
      </c>
      <c r="B635" s="29"/>
      <c r="C635" s="29"/>
      <c r="D635" s="2" t="s">
        <v>820</v>
      </c>
      <c r="E635" s="2" t="s">
        <v>921</v>
      </c>
      <c r="F635" s="3" t="s">
        <v>525</v>
      </c>
      <c r="G635" s="3" t="s">
        <v>520</v>
      </c>
      <c r="H635" s="2" t="s">
        <v>234</v>
      </c>
      <c r="I635" s="3"/>
      <c r="J635" s="28" t="s">
        <v>73</v>
      </c>
      <c r="K635" s="28"/>
      <c r="L635" s="45" t="s">
        <v>791</v>
      </c>
      <c r="M635" s="4" t="s">
        <v>3</v>
      </c>
      <c r="N635" s="15">
        <v>34738717</v>
      </c>
      <c r="O635" s="88">
        <v>20347387178</v>
      </c>
      <c r="P635" s="61"/>
      <c r="Q635" s="61"/>
      <c r="R635" s="61"/>
      <c r="S635" s="61"/>
      <c r="T635" s="61"/>
      <c r="U635" s="16" t="s">
        <v>796</v>
      </c>
      <c r="V635" s="16" t="s">
        <v>916</v>
      </c>
      <c r="W635" s="12">
        <v>41974</v>
      </c>
      <c r="X635" s="12">
        <v>42460</v>
      </c>
      <c r="Y635" s="12">
        <v>42735</v>
      </c>
      <c r="Z635" s="2" t="s">
        <v>24</v>
      </c>
      <c r="AA635" s="2"/>
      <c r="AB635" s="14"/>
      <c r="AC635" s="5">
        <v>1000</v>
      </c>
      <c r="AD635" s="5"/>
      <c r="AE635" s="5">
        <v>1170</v>
      </c>
      <c r="AF635" s="5">
        <f t="shared" si="661"/>
        <v>1310</v>
      </c>
      <c r="AG635" s="5">
        <f t="shared" si="672"/>
        <v>1310</v>
      </c>
      <c r="AH635" s="5">
        <f t="shared" si="672"/>
        <v>1310</v>
      </c>
      <c r="AI635" s="5">
        <f t="shared" ref="AI635:AJ635" si="684">+AH635</f>
        <v>1310</v>
      </c>
      <c r="AJ635" s="5">
        <f t="shared" si="684"/>
        <v>1310</v>
      </c>
      <c r="AK635" s="2"/>
      <c r="AL635" s="105" t="str">
        <f>+Z635</f>
        <v>D0</v>
      </c>
    </row>
    <row r="636" spans="1:38" s="6" customFormat="1" ht="15" customHeight="1" x14ac:dyDescent="0.2">
      <c r="A636" s="29" t="s">
        <v>824</v>
      </c>
      <c r="B636" s="29" t="s">
        <v>822</v>
      </c>
      <c r="C636" s="29" t="s">
        <v>823</v>
      </c>
      <c r="D636" s="2" t="s">
        <v>800</v>
      </c>
      <c r="E636" s="7" t="s">
        <v>501</v>
      </c>
      <c r="F636" s="7"/>
      <c r="G636" s="7"/>
      <c r="H636" s="8"/>
      <c r="I636" s="3"/>
      <c r="J636" s="28" t="s">
        <v>254</v>
      </c>
      <c r="K636" s="28"/>
      <c r="L636" s="42" t="s">
        <v>447</v>
      </c>
      <c r="M636" s="4" t="s">
        <v>3</v>
      </c>
      <c r="N636" s="15">
        <v>23313220</v>
      </c>
      <c r="O636" s="88">
        <v>23233132209</v>
      </c>
      <c r="P636" s="38"/>
      <c r="Q636" s="38"/>
      <c r="R636" s="38"/>
      <c r="S636" s="38"/>
      <c r="T636" s="38"/>
      <c r="U636" s="16" t="s">
        <v>796</v>
      </c>
      <c r="V636" s="16" t="s">
        <v>916</v>
      </c>
      <c r="W636" s="12">
        <v>40725</v>
      </c>
      <c r="X636" s="48">
        <v>42735</v>
      </c>
      <c r="Y636" s="12">
        <v>42735</v>
      </c>
      <c r="Z636" s="2" t="s">
        <v>49</v>
      </c>
      <c r="AA636" s="2"/>
      <c r="AB636" s="18"/>
      <c r="AC636" s="5">
        <v>1000</v>
      </c>
      <c r="AD636" s="5"/>
      <c r="AE636" s="5">
        <v>1170</v>
      </c>
      <c r="AF636" s="5">
        <f t="shared" si="661"/>
        <v>1310</v>
      </c>
      <c r="AG636" s="5">
        <f t="shared" si="672"/>
        <v>1310</v>
      </c>
      <c r="AH636" s="5">
        <f t="shared" si="672"/>
        <v>1310</v>
      </c>
      <c r="AI636" s="5">
        <f t="shared" ref="AI636:AJ636" si="685">+AH636</f>
        <v>1310</v>
      </c>
      <c r="AJ636" s="5">
        <f t="shared" si="685"/>
        <v>1310</v>
      </c>
      <c r="AK636" s="2"/>
      <c r="AL636" s="105" t="str">
        <f>+Z636</f>
        <v>D1</v>
      </c>
    </row>
    <row r="637" spans="1:38" s="6" customFormat="1" ht="15" customHeight="1" x14ac:dyDescent="0.2">
      <c r="A637" s="29" t="s">
        <v>824</v>
      </c>
      <c r="B637" s="29" t="s">
        <v>822</v>
      </c>
      <c r="C637" s="29" t="s">
        <v>823</v>
      </c>
      <c r="D637" s="2" t="s">
        <v>800</v>
      </c>
      <c r="E637" s="7" t="s">
        <v>541</v>
      </c>
      <c r="F637" s="7"/>
      <c r="G637" s="7"/>
      <c r="H637" s="8"/>
      <c r="I637" s="3" t="s">
        <v>1743</v>
      </c>
      <c r="J637" s="28" t="s">
        <v>254</v>
      </c>
      <c r="K637" s="28" t="s">
        <v>1767</v>
      </c>
      <c r="L637" s="42" t="s">
        <v>424</v>
      </c>
      <c r="M637" s="4" t="s">
        <v>3</v>
      </c>
      <c r="N637" s="15">
        <v>35348638</v>
      </c>
      <c r="O637" s="88" t="s">
        <v>1493</v>
      </c>
      <c r="P637" s="38">
        <v>33034</v>
      </c>
      <c r="Q637" s="38"/>
      <c r="R637" s="38"/>
      <c r="S637" s="38"/>
      <c r="T637" s="38"/>
      <c r="U637" s="17" t="s">
        <v>215</v>
      </c>
      <c r="V637" s="17" t="s">
        <v>915</v>
      </c>
      <c r="W637" s="12">
        <v>41456</v>
      </c>
      <c r="X637" s="20"/>
      <c r="Y637" s="12">
        <v>42735</v>
      </c>
      <c r="Z637" s="2"/>
      <c r="AA637" s="2" t="s">
        <v>479</v>
      </c>
      <c r="AB637" s="24" t="s">
        <v>479</v>
      </c>
      <c r="AC637" s="5">
        <v>1000</v>
      </c>
      <c r="AD637" s="5">
        <v>1070</v>
      </c>
      <c r="AE637" s="5">
        <v>1170</v>
      </c>
      <c r="AF637" s="5">
        <f t="shared" si="661"/>
        <v>1310</v>
      </c>
      <c r="AG637" s="5">
        <f t="shared" si="672"/>
        <v>1310</v>
      </c>
      <c r="AH637" s="5">
        <f t="shared" si="672"/>
        <v>1310</v>
      </c>
      <c r="AI637" s="5">
        <f t="shared" ref="AI637:AJ637" si="686">+AH637</f>
        <v>1310</v>
      </c>
      <c r="AJ637" s="5">
        <f t="shared" si="686"/>
        <v>1310</v>
      </c>
      <c r="AK637" s="29" t="s">
        <v>42</v>
      </c>
      <c r="AL637" s="105" t="str">
        <f>+AK637</f>
        <v>C0</v>
      </c>
    </row>
    <row r="638" spans="1:38" s="6" customFormat="1" ht="15" customHeight="1" x14ac:dyDescent="0.2">
      <c r="A638" s="29" t="s">
        <v>824</v>
      </c>
      <c r="B638" s="2" t="s">
        <v>822</v>
      </c>
      <c r="C638" s="3"/>
      <c r="D638" s="2" t="s">
        <v>825</v>
      </c>
      <c r="E638" s="3" t="s">
        <v>18</v>
      </c>
      <c r="F638" s="2" t="s">
        <v>19</v>
      </c>
      <c r="G638" s="2"/>
      <c r="H638" s="2" t="s">
        <v>22</v>
      </c>
      <c r="I638" s="2" t="s">
        <v>1707</v>
      </c>
      <c r="J638" s="28" t="s">
        <v>548</v>
      </c>
      <c r="K638" s="28" t="s">
        <v>548</v>
      </c>
      <c r="L638" s="44" t="s">
        <v>702</v>
      </c>
      <c r="M638" s="4" t="s">
        <v>3</v>
      </c>
      <c r="N638" s="15">
        <v>23326986</v>
      </c>
      <c r="O638" s="88" t="s">
        <v>1226</v>
      </c>
      <c r="P638" s="38">
        <v>26789</v>
      </c>
      <c r="Q638" s="38"/>
      <c r="R638" s="38"/>
      <c r="S638" s="38"/>
      <c r="T638" s="38"/>
      <c r="U638" s="17" t="s">
        <v>215</v>
      </c>
      <c r="V638" s="17" t="s">
        <v>915</v>
      </c>
      <c r="W638" s="12">
        <v>40634</v>
      </c>
      <c r="X638" s="12"/>
      <c r="Y638" s="12">
        <v>42735</v>
      </c>
      <c r="Z638" s="2"/>
      <c r="AA638" s="2" t="s">
        <v>479</v>
      </c>
      <c r="AB638" s="7" t="s">
        <v>787</v>
      </c>
      <c r="AC638" s="5">
        <v>1000</v>
      </c>
      <c r="AD638" s="5">
        <f>+AC638</f>
        <v>1000</v>
      </c>
      <c r="AE638" s="5">
        <v>1170</v>
      </c>
      <c r="AF638" s="5">
        <f t="shared" si="661"/>
        <v>1310</v>
      </c>
      <c r="AG638" s="5">
        <f t="shared" si="672"/>
        <v>1310</v>
      </c>
      <c r="AH638" s="5">
        <f t="shared" si="672"/>
        <v>1310</v>
      </c>
      <c r="AI638" s="5">
        <f t="shared" ref="AI638:AJ638" si="687">+AH638</f>
        <v>1310</v>
      </c>
      <c r="AJ638" s="5">
        <f t="shared" si="687"/>
        <v>1310</v>
      </c>
      <c r="AK638" s="2"/>
      <c r="AL638" s="106"/>
    </row>
    <row r="639" spans="1:38" s="6" customFormat="1" ht="15" customHeight="1" x14ac:dyDescent="0.2">
      <c r="A639" s="29" t="s">
        <v>824</v>
      </c>
      <c r="B639" s="2" t="s">
        <v>822</v>
      </c>
      <c r="C639" s="3"/>
      <c r="D639" s="2" t="s">
        <v>825</v>
      </c>
      <c r="E639" s="3" t="s">
        <v>18</v>
      </c>
      <c r="F639" s="2" t="s">
        <v>19</v>
      </c>
      <c r="G639" s="2"/>
      <c r="H639" s="2" t="s">
        <v>35</v>
      </c>
      <c r="I639" s="2" t="s">
        <v>1707</v>
      </c>
      <c r="J639" s="28" t="s">
        <v>548</v>
      </c>
      <c r="K639" s="28" t="s">
        <v>548</v>
      </c>
      <c r="L639" s="44" t="s">
        <v>703</v>
      </c>
      <c r="M639" s="4" t="s">
        <v>3</v>
      </c>
      <c r="N639" s="15">
        <v>38995191</v>
      </c>
      <c r="O639" s="88" t="s">
        <v>1557</v>
      </c>
      <c r="P639" s="38">
        <v>34822</v>
      </c>
      <c r="Q639" s="38"/>
      <c r="R639" s="38"/>
      <c r="S639" s="38"/>
      <c r="T639" s="38"/>
      <c r="U639" s="17" t="s">
        <v>215</v>
      </c>
      <c r="V639" s="17" t="s">
        <v>915</v>
      </c>
      <c r="W639" s="12">
        <v>42217</v>
      </c>
      <c r="X639" s="12"/>
      <c r="Y639" s="12">
        <v>42735</v>
      </c>
      <c r="Z639" s="2"/>
      <c r="AA639" s="2" t="s">
        <v>479</v>
      </c>
      <c r="AB639" s="7" t="s">
        <v>787</v>
      </c>
      <c r="AC639" s="5">
        <v>1000</v>
      </c>
      <c r="AD639" s="5">
        <f>+AC639</f>
        <v>1000</v>
      </c>
      <c r="AE639" s="5">
        <v>1170</v>
      </c>
      <c r="AF639" s="5">
        <f t="shared" si="661"/>
        <v>1310</v>
      </c>
      <c r="AG639" s="5">
        <f t="shared" si="672"/>
        <v>1310</v>
      </c>
      <c r="AH639" s="5">
        <f t="shared" si="672"/>
        <v>1310</v>
      </c>
      <c r="AI639" s="5">
        <f t="shared" ref="AI639:AJ639" si="688">+AH639</f>
        <v>1310</v>
      </c>
      <c r="AJ639" s="5">
        <f t="shared" si="688"/>
        <v>1310</v>
      </c>
      <c r="AK639" s="2"/>
      <c r="AL639" s="106"/>
    </row>
    <row r="640" spans="1:38" s="6" customFormat="1" ht="15" customHeight="1" x14ac:dyDescent="0.2">
      <c r="A640" s="29" t="s">
        <v>824</v>
      </c>
      <c r="B640" s="29" t="s">
        <v>822</v>
      </c>
      <c r="C640" s="29" t="s">
        <v>823</v>
      </c>
      <c r="D640" s="2" t="s">
        <v>1820</v>
      </c>
      <c r="E640" s="2"/>
      <c r="F640" s="3"/>
      <c r="G640" s="3"/>
      <c r="H640" s="2" t="s">
        <v>884</v>
      </c>
      <c r="I640" s="2" t="s">
        <v>1707</v>
      </c>
      <c r="J640" s="28"/>
      <c r="K640" s="28" t="s">
        <v>1765</v>
      </c>
      <c r="L640" s="43" t="s">
        <v>1654</v>
      </c>
      <c r="M640" s="7" t="s">
        <v>3</v>
      </c>
      <c r="N640" s="15">
        <v>16161406</v>
      </c>
      <c r="O640" s="88">
        <v>27161614063</v>
      </c>
      <c r="P640" s="38">
        <v>22831</v>
      </c>
      <c r="Q640" s="38"/>
      <c r="R640" s="38"/>
      <c r="S640" s="38"/>
      <c r="T640" s="38"/>
      <c r="U640" s="17" t="s">
        <v>215</v>
      </c>
      <c r="V640" s="17" t="s">
        <v>915</v>
      </c>
      <c r="W640" s="12">
        <v>42552</v>
      </c>
      <c r="X640" s="13"/>
      <c r="Y640" s="13">
        <v>42735</v>
      </c>
      <c r="Z640" s="2"/>
      <c r="AA640" s="2" t="s">
        <v>479</v>
      </c>
      <c r="AB640" s="14"/>
      <c r="AC640" s="5"/>
      <c r="AD640" s="5"/>
      <c r="AE640" s="5">
        <v>1170</v>
      </c>
      <c r="AF640" s="5">
        <f t="shared" si="661"/>
        <v>0</v>
      </c>
      <c r="AG640" s="5">
        <f t="shared" si="672"/>
        <v>0</v>
      </c>
      <c r="AH640" s="5">
        <f t="shared" si="672"/>
        <v>0</v>
      </c>
      <c r="AI640" s="5">
        <f t="shared" ref="AI640:AJ640" si="689">+AH640</f>
        <v>0</v>
      </c>
      <c r="AJ640" s="5">
        <f t="shared" si="689"/>
        <v>0</v>
      </c>
      <c r="AK640" s="29" t="s">
        <v>42</v>
      </c>
      <c r="AL640" s="105" t="str">
        <f>+AK640</f>
        <v>C0</v>
      </c>
    </row>
    <row r="641" spans="1:38" s="6" customFormat="1" ht="15" customHeight="1" x14ac:dyDescent="0.2">
      <c r="A641" s="29" t="s">
        <v>824</v>
      </c>
      <c r="B641" s="29" t="s">
        <v>822</v>
      </c>
      <c r="C641" s="29" t="s">
        <v>823</v>
      </c>
      <c r="D641" s="2" t="s">
        <v>808</v>
      </c>
      <c r="E641" s="2" t="s">
        <v>909</v>
      </c>
      <c r="F641" s="2" t="s">
        <v>23</v>
      </c>
      <c r="G641" s="3" t="s">
        <v>526</v>
      </c>
      <c r="H641" s="2" t="s">
        <v>226</v>
      </c>
      <c r="I641" s="2" t="s">
        <v>226</v>
      </c>
      <c r="J641" s="28" t="s">
        <v>73</v>
      </c>
      <c r="K641" s="28" t="s">
        <v>1765</v>
      </c>
      <c r="L641" s="43" t="s">
        <v>166</v>
      </c>
      <c r="M641" s="4" t="s">
        <v>3</v>
      </c>
      <c r="N641" s="15">
        <v>32422072</v>
      </c>
      <c r="O641" s="88" t="s">
        <v>1417</v>
      </c>
      <c r="P641" s="38">
        <v>31496</v>
      </c>
      <c r="Q641" s="38"/>
      <c r="R641" s="38"/>
      <c r="S641" s="38"/>
      <c r="T641" s="38"/>
      <c r="U641" s="17" t="s">
        <v>215</v>
      </c>
      <c r="V641" s="17" t="s">
        <v>915</v>
      </c>
      <c r="W641" s="12">
        <v>40725</v>
      </c>
      <c r="X641" s="37"/>
      <c r="Y641" s="12">
        <v>42735</v>
      </c>
      <c r="Z641" s="2"/>
      <c r="AA641" s="2" t="s">
        <v>479</v>
      </c>
      <c r="AB641" s="7" t="s">
        <v>784</v>
      </c>
      <c r="AC641" s="5">
        <v>1000</v>
      </c>
      <c r="AD641" s="5">
        <f>+AC641*1.07</f>
        <v>1070</v>
      </c>
      <c r="AE641" s="5">
        <v>1170</v>
      </c>
      <c r="AF641" s="5">
        <f t="shared" si="661"/>
        <v>1310</v>
      </c>
      <c r="AG641" s="5">
        <f t="shared" si="672"/>
        <v>1310</v>
      </c>
      <c r="AH641" s="5">
        <f t="shared" si="672"/>
        <v>1310</v>
      </c>
      <c r="AI641" s="5">
        <f t="shared" ref="AI641:AJ641" si="690">+AH641</f>
        <v>1310</v>
      </c>
      <c r="AJ641" s="5">
        <f t="shared" si="690"/>
        <v>1310</v>
      </c>
      <c r="AK641" s="2" t="s">
        <v>53</v>
      </c>
      <c r="AL641" s="105" t="str">
        <f>+AK641</f>
        <v>B0</v>
      </c>
    </row>
    <row r="642" spans="1:38" s="6" customFormat="1" ht="15" customHeight="1" x14ac:dyDescent="0.2">
      <c r="A642" s="29" t="s">
        <v>824</v>
      </c>
      <c r="B642" s="29" t="s">
        <v>822</v>
      </c>
      <c r="C642" s="29"/>
      <c r="D642" s="2" t="s">
        <v>1833</v>
      </c>
      <c r="E642" s="2"/>
      <c r="F642" s="3"/>
      <c r="G642" s="3"/>
      <c r="H642" s="2" t="s">
        <v>884</v>
      </c>
      <c r="I642" s="2" t="s">
        <v>1707</v>
      </c>
      <c r="J642" s="28" t="s">
        <v>254</v>
      </c>
      <c r="K642" s="28" t="s">
        <v>1765</v>
      </c>
      <c r="L642" s="41" t="s">
        <v>883</v>
      </c>
      <c r="M642" s="4" t="s">
        <v>3</v>
      </c>
      <c r="N642" s="15">
        <v>12610450</v>
      </c>
      <c r="O642" s="88">
        <v>27126104508</v>
      </c>
      <c r="P642" s="38">
        <v>21327</v>
      </c>
      <c r="Q642" s="38"/>
      <c r="R642" s="38"/>
      <c r="S642" s="38"/>
      <c r="T642" s="38"/>
      <c r="U642" s="17" t="s">
        <v>215</v>
      </c>
      <c r="V642" s="17" t="s">
        <v>915</v>
      </c>
      <c r="W642" s="12">
        <v>42370</v>
      </c>
      <c r="X642" s="48"/>
      <c r="Y642" s="12">
        <v>42735</v>
      </c>
      <c r="Z642" s="2"/>
      <c r="AA642" s="2" t="s">
        <v>479</v>
      </c>
      <c r="AB642" s="3" t="s">
        <v>10</v>
      </c>
      <c r="AC642" s="5">
        <v>1000</v>
      </c>
      <c r="AD642" s="5">
        <f>+AC642*1.07</f>
        <v>1070</v>
      </c>
      <c r="AE642" s="5">
        <v>1170</v>
      </c>
      <c r="AF642" s="5">
        <f t="shared" si="661"/>
        <v>1310</v>
      </c>
      <c r="AG642" s="5">
        <f t="shared" si="672"/>
        <v>1310</v>
      </c>
      <c r="AH642" s="5">
        <f t="shared" si="672"/>
        <v>1310</v>
      </c>
      <c r="AI642" s="5">
        <f t="shared" ref="AI642:AJ642" si="691">+AH642</f>
        <v>1310</v>
      </c>
      <c r="AJ642" s="5">
        <f t="shared" si="691"/>
        <v>1310</v>
      </c>
      <c r="AK642" s="2" t="s">
        <v>42</v>
      </c>
      <c r="AL642" s="105" t="str">
        <f>+AK642</f>
        <v>C0</v>
      </c>
    </row>
    <row r="643" spans="1:38" s="6" customFormat="1" ht="15" customHeight="1" x14ac:dyDescent="0.2">
      <c r="A643" s="29" t="s">
        <v>824</v>
      </c>
      <c r="B643" s="29" t="s">
        <v>822</v>
      </c>
      <c r="C643" s="29" t="s">
        <v>823</v>
      </c>
      <c r="D643" s="2" t="s">
        <v>800</v>
      </c>
      <c r="E643" s="7" t="s">
        <v>497</v>
      </c>
      <c r="F643" s="7"/>
      <c r="G643" s="7"/>
      <c r="H643" s="8"/>
      <c r="I643" s="3" t="s">
        <v>1714</v>
      </c>
      <c r="J643" s="28" t="s">
        <v>254</v>
      </c>
      <c r="K643" s="28" t="s">
        <v>1767</v>
      </c>
      <c r="L643" s="42" t="s">
        <v>391</v>
      </c>
      <c r="M643" s="4" t="s">
        <v>3</v>
      </c>
      <c r="N643" s="15">
        <v>37969951</v>
      </c>
      <c r="O643" s="88" t="s">
        <v>1538</v>
      </c>
      <c r="P643" s="38">
        <v>34041</v>
      </c>
      <c r="Q643" s="38"/>
      <c r="R643" s="38"/>
      <c r="S643" s="38"/>
      <c r="T643" s="38"/>
      <c r="U643" s="17" t="s">
        <v>215</v>
      </c>
      <c r="V643" s="17" t="s">
        <v>915</v>
      </c>
      <c r="W643" s="12">
        <v>41730</v>
      </c>
      <c r="X643" s="20"/>
      <c r="Y643" s="12">
        <v>42735</v>
      </c>
      <c r="Z643" s="2"/>
      <c r="AA643" s="2" t="s">
        <v>479</v>
      </c>
      <c r="AB643" s="24" t="s">
        <v>479</v>
      </c>
      <c r="AC643" s="5">
        <v>1000</v>
      </c>
      <c r="AD643" s="5">
        <v>1070</v>
      </c>
      <c r="AE643" s="5">
        <v>1170</v>
      </c>
      <c r="AF643" s="5">
        <f t="shared" si="661"/>
        <v>1310</v>
      </c>
      <c r="AG643" s="5">
        <f t="shared" si="672"/>
        <v>1310</v>
      </c>
      <c r="AH643" s="5">
        <f t="shared" si="672"/>
        <v>1310</v>
      </c>
      <c r="AI643" s="5">
        <f t="shared" ref="AI643:AJ643" si="692">+AH643</f>
        <v>1310</v>
      </c>
      <c r="AJ643" s="5">
        <f t="shared" si="692"/>
        <v>1310</v>
      </c>
      <c r="AK643" s="29" t="s">
        <v>42</v>
      </c>
      <c r="AL643" s="105" t="str">
        <f>+AK643</f>
        <v>C0</v>
      </c>
    </row>
    <row r="644" spans="1:38" s="6" customFormat="1" ht="15" customHeight="1" x14ac:dyDescent="0.2">
      <c r="A644" s="29" t="s">
        <v>824</v>
      </c>
      <c r="B644" s="29" t="s">
        <v>822</v>
      </c>
      <c r="C644" s="29" t="s">
        <v>823</v>
      </c>
      <c r="D644" s="2" t="s">
        <v>800</v>
      </c>
      <c r="E644" s="2" t="s">
        <v>486</v>
      </c>
      <c r="F644" s="2"/>
      <c r="G644" s="2"/>
      <c r="H644" s="2" t="s">
        <v>1710</v>
      </c>
      <c r="I644" s="2" t="s">
        <v>1710</v>
      </c>
      <c r="J644" s="28" t="s">
        <v>254</v>
      </c>
      <c r="K644" s="28"/>
      <c r="L644" s="42" t="s">
        <v>313</v>
      </c>
      <c r="M644" s="4" t="s">
        <v>3</v>
      </c>
      <c r="N644" s="15">
        <v>25001961</v>
      </c>
      <c r="O644" s="88"/>
      <c r="P644" s="38">
        <v>34041</v>
      </c>
      <c r="Q644" s="38"/>
      <c r="R644" s="38"/>
      <c r="S644" s="38"/>
      <c r="T644" s="38"/>
      <c r="U644" s="17" t="s">
        <v>215</v>
      </c>
      <c r="V644" s="17" t="s">
        <v>1698</v>
      </c>
      <c r="W644" s="12"/>
      <c r="X644" s="20"/>
      <c r="Y644" s="12">
        <v>42735</v>
      </c>
      <c r="Z644" s="2"/>
      <c r="AA644" s="2" t="s">
        <v>479</v>
      </c>
      <c r="AB644" s="25" t="s">
        <v>479</v>
      </c>
      <c r="AC644" s="5">
        <v>1000</v>
      </c>
      <c r="AD644" s="5">
        <f>+AC644*1.07</f>
        <v>1070</v>
      </c>
      <c r="AE644" s="5">
        <v>1170</v>
      </c>
      <c r="AF644" s="5">
        <f t="shared" si="661"/>
        <v>1310</v>
      </c>
      <c r="AG644" s="5">
        <v>1310</v>
      </c>
      <c r="AH644" s="5">
        <f t="shared" ref="AG644:AH663" si="693">+AG644</f>
        <v>1310</v>
      </c>
      <c r="AI644" s="5">
        <f t="shared" ref="AI644:AJ644" si="694">+AH644</f>
        <v>1310</v>
      </c>
      <c r="AJ644" s="5">
        <f t="shared" si="694"/>
        <v>1310</v>
      </c>
      <c r="AK644" s="2"/>
      <c r="AL644" s="107" t="s">
        <v>1818</v>
      </c>
    </row>
    <row r="645" spans="1:38" s="6" customFormat="1" ht="15" customHeight="1" x14ac:dyDescent="0.2">
      <c r="A645" s="29" t="s">
        <v>824</v>
      </c>
      <c r="B645" s="29" t="s">
        <v>822</v>
      </c>
      <c r="C645" s="29" t="s">
        <v>823</v>
      </c>
      <c r="D645" s="2" t="s">
        <v>800</v>
      </c>
      <c r="E645" s="2" t="s">
        <v>490</v>
      </c>
      <c r="F645" s="2"/>
      <c r="G645" s="2"/>
      <c r="H645" s="2"/>
      <c r="I645" s="3"/>
      <c r="J645" s="28" t="s">
        <v>254</v>
      </c>
      <c r="K645" s="28"/>
      <c r="L645" s="42" t="s">
        <v>335</v>
      </c>
      <c r="M645" s="4" t="s">
        <v>3</v>
      </c>
      <c r="N645" s="15">
        <v>29026896</v>
      </c>
      <c r="O645" s="88">
        <v>20290268967</v>
      </c>
      <c r="P645" s="38"/>
      <c r="Q645" s="38"/>
      <c r="R645" s="38"/>
      <c r="S645" s="38"/>
      <c r="T645" s="38"/>
      <c r="U645" s="16" t="s">
        <v>796</v>
      </c>
      <c r="V645" s="16" t="s">
        <v>916</v>
      </c>
      <c r="W645" s="12">
        <v>41213</v>
      </c>
      <c r="X645" s="48">
        <v>42735</v>
      </c>
      <c r="Y645" s="12">
        <v>42735</v>
      </c>
      <c r="Z645" s="2" t="s">
        <v>42</v>
      </c>
      <c r="AA645" s="2"/>
      <c r="AB645" s="18"/>
      <c r="AC645" s="5">
        <v>1000</v>
      </c>
      <c r="AD645" s="5"/>
      <c r="AE645" s="5">
        <v>1170</v>
      </c>
      <c r="AF645" s="5">
        <f t="shared" si="661"/>
        <v>1310</v>
      </c>
      <c r="AG645" s="5">
        <f t="shared" si="693"/>
        <v>1310</v>
      </c>
      <c r="AH645" s="5">
        <f t="shared" si="693"/>
        <v>1310</v>
      </c>
      <c r="AI645" s="5">
        <f t="shared" ref="AI645:AJ645" si="695">+AH645</f>
        <v>1310</v>
      </c>
      <c r="AJ645" s="5">
        <f t="shared" si="695"/>
        <v>1310</v>
      </c>
      <c r="AK645" s="2"/>
      <c r="AL645" s="105" t="str">
        <f>+Z645</f>
        <v>C0</v>
      </c>
    </row>
    <row r="646" spans="1:38" s="6" customFormat="1" ht="15" customHeight="1" x14ac:dyDescent="0.2">
      <c r="A646" s="29" t="s">
        <v>824</v>
      </c>
      <c r="B646" s="29" t="s">
        <v>822</v>
      </c>
      <c r="C646" s="29" t="s">
        <v>823</v>
      </c>
      <c r="D646" s="2" t="s">
        <v>808</v>
      </c>
      <c r="E646" s="2" t="s">
        <v>909</v>
      </c>
      <c r="F646" s="2" t="s">
        <v>52</v>
      </c>
      <c r="G646" s="3"/>
      <c r="H646" s="2" t="s">
        <v>223</v>
      </c>
      <c r="I646" s="2" t="s">
        <v>1707</v>
      </c>
      <c r="J646" s="28" t="s">
        <v>73</v>
      </c>
      <c r="K646" s="28" t="s">
        <v>1765</v>
      </c>
      <c r="L646" s="43" t="s">
        <v>167</v>
      </c>
      <c r="M646" s="4" t="s">
        <v>3</v>
      </c>
      <c r="N646" s="15">
        <v>25190198</v>
      </c>
      <c r="O646" s="88" t="s">
        <v>1257</v>
      </c>
      <c r="P646" s="38">
        <v>27821</v>
      </c>
      <c r="Q646" s="38"/>
      <c r="R646" s="38"/>
      <c r="S646" s="38"/>
      <c r="T646" s="38"/>
      <c r="U646" s="17" t="s">
        <v>215</v>
      </c>
      <c r="V646" s="17" t="s">
        <v>915</v>
      </c>
      <c r="W646" s="12">
        <v>42156</v>
      </c>
      <c r="X646" s="37"/>
      <c r="Y646" s="12">
        <v>42735</v>
      </c>
      <c r="Z646" s="2"/>
      <c r="AA646" s="2" t="s">
        <v>479</v>
      </c>
      <c r="AB646" s="7" t="s">
        <v>61</v>
      </c>
      <c r="AC646" s="5">
        <v>1000</v>
      </c>
      <c r="AD646" s="5">
        <v>1070</v>
      </c>
      <c r="AE646" s="5">
        <v>1170</v>
      </c>
      <c r="AF646" s="5">
        <f t="shared" si="661"/>
        <v>1310</v>
      </c>
      <c r="AG646" s="5">
        <f t="shared" si="693"/>
        <v>1310</v>
      </c>
      <c r="AH646" s="5">
        <f t="shared" si="693"/>
        <v>1310</v>
      </c>
      <c r="AI646" s="5">
        <f t="shared" ref="AI646:AJ646" si="696">+AH646</f>
        <v>1310</v>
      </c>
      <c r="AJ646" s="5">
        <f t="shared" si="696"/>
        <v>1310</v>
      </c>
      <c r="AK646" s="2" t="s">
        <v>53</v>
      </c>
      <c r="AL646" s="105" t="str">
        <f>+AK646</f>
        <v>B0</v>
      </c>
    </row>
    <row r="647" spans="1:38" s="6" customFormat="1" ht="15" customHeight="1" x14ac:dyDescent="0.2">
      <c r="A647" s="29" t="s">
        <v>824</v>
      </c>
      <c r="B647" s="29" t="s">
        <v>822</v>
      </c>
      <c r="C647" s="14"/>
      <c r="D647" s="2" t="s">
        <v>1833</v>
      </c>
      <c r="E647" s="3"/>
      <c r="F647" s="2"/>
      <c r="G647" s="2"/>
      <c r="H647" s="2" t="s">
        <v>884</v>
      </c>
      <c r="I647" s="2" t="s">
        <v>1707</v>
      </c>
      <c r="J647" s="28"/>
      <c r="K647" s="28" t="s">
        <v>1765</v>
      </c>
      <c r="L647" s="41" t="s">
        <v>950</v>
      </c>
      <c r="M647" s="4" t="s">
        <v>3</v>
      </c>
      <c r="N647" s="15">
        <v>32956861</v>
      </c>
      <c r="O647" s="88">
        <v>27329568615</v>
      </c>
      <c r="P647" s="38">
        <v>31932</v>
      </c>
      <c r="Q647" s="38"/>
      <c r="R647" s="38"/>
      <c r="S647" s="38"/>
      <c r="T647" s="38"/>
      <c r="U647" s="17" t="s">
        <v>215</v>
      </c>
      <c r="V647" s="17" t="s">
        <v>915</v>
      </c>
      <c r="W647" s="12"/>
      <c r="X647" s="12"/>
      <c r="Y647" s="12">
        <v>42735</v>
      </c>
      <c r="Z647" s="2"/>
      <c r="AA647" s="2" t="s">
        <v>479</v>
      </c>
      <c r="AB647" s="3"/>
      <c r="AC647" s="5">
        <v>1000</v>
      </c>
      <c r="AD647" s="5">
        <f>+AC647*1.07</f>
        <v>1070</v>
      </c>
      <c r="AE647" s="5">
        <v>1170</v>
      </c>
      <c r="AF647" s="5">
        <f t="shared" si="661"/>
        <v>1310</v>
      </c>
      <c r="AG647" s="5">
        <f t="shared" si="693"/>
        <v>1310</v>
      </c>
      <c r="AH647" s="5">
        <f t="shared" si="693"/>
        <v>1310</v>
      </c>
      <c r="AI647" s="5">
        <f t="shared" ref="AI647:AJ647" si="697">+AH647</f>
        <v>1310</v>
      </c>
      <c r="AJ647" s="5">
        <f t="shared" si="697"/>
        <v>1310</v>
      </c>
      <c r="AK647" s="2" t="s">
        <v>42</v>
      </c>
      <c r="AL647" s="105" t="str">
        <f>+AK647</f>
        <v>C0</v>
      </c>
    </row>
    <row r="648" spans="1:38" s="6" customFormat="1" ht="15" customHeight="1" x14ac:dyDescent="0.2">
      <c r="A648" s="29" t="s">
        <v>824</v>
      </c>
      <c r="B648" s="2" t="s">
        <v>822</v>
      </c>
      <c r="C648" s="3"/>
      <c r="D648" s="2" t="s">
        <v>825</v>
      </c>
      <c r="E648" s="3" t="s">
        <v>18</v>
      </c>
      <c r="F648" s="2" t="s">
        <v>1012</v>
      </c>
      <c r="G648" s="2"/>
      <c r="H648" s="2" t="s">
        <v>20</v>
      </c>
      <c r="I648" s="2" t="s">
        <v>1760</v>
      </c>
      <c r="J648" s="28" t="s">
        <v>548</v>
      </c>
      <c r="K648" s="28" t="s">
        <v>548</v>
      </c>
      <c r="L648" s="44" t="s">
        <v>68</v>
      </c>
      <c r="M648" s="4" t="s">
        <v>3</v>
      </c>
      <c r="N648" s="15">
        <v>18847242</v>
      </c>
      <c r="O648" s="88" t="s">
        <v>1188</v>
      </c>
      <c r="P648" s="38">
        <v>29742</v>
      </c>
      <c r="Q648" s="38"/>
      <c r="R648" s="38"/>
      <c r="S648" s="38"/>
      <c r="T648" s="38"/>
      <c r="U648" s="17" t="s">
        <v>215</v>
      </c>
      <c r="V648" s="17" t="s">
        <v>915</v>
      </c>
      <c r="W648" s="12">
        <v>41365</v>
      </c>
      <c r="X648" s="12"/>
      <c r="Y648" s="12">
        <v>42735</v>
      </c>
      <c r="Z648" s="2"/>
      <c r="AA648" s="2" t="s">
        <v>479</v>
      </c>
      <c r="AB648" s="7" t="s">
        <v>787</v>
      </c>
      <c r="AC648" s="5">
        <v>1000</v>
      </c>
      <c r="AD648" s="5">
        <f>+AC648</f>
        <v>1000</v>
      </c>
      <c r="AE648" s="5">
        <v>1170</v>
      </c>
      <c r="AF648" s="5">
        <f t="shared" si="661"/>
        <v>1310</v>
      </c>
      <c r="AG648" s="5">
        <f t="shared" si="693"/>
        <v>1310</v>
      </c>
      <c r="AH648" s="5">
        <f t="shared" si="693"/>
        <v>1310</v>
      </c>
      <c r="AI648" s="5">
        <f t="shared" ref="AI648:AJ648" si="698">+AH648</f>
        <v>1310</v>
      </c>
      <c r="AJ648" s="5">
        <f t="shared" si="698"/>
        <v>1310</v>
      </c>
      <c r="AK648" s="2"/>
      <c r="AL648" s="106"/>
    </row>
    <row r="649" spans="1:38" s="6" customFormat="1" ht="15" customHeight="1" x14ac:dyDescent="0.2">
      <c r="A649" s="29" t="s">
        <v>824</v>
      </c>
      <c r="B649" s="2" t="s">
        <v>822</v>
      </c>
      <c r="C649" s="3"/>
      <c r="D649" s="2" t="s">
        <v>825</v>
      </c>
      <c r="E649" s="3" t="s">
        <v>18</v>
      </c>
      <c r="F649" s="2" t="s">
        <v>19</v>
      </c>
      <c r="G649" s="2"/>
      <c r="H649" s="2" t="s">
        <v>37</v>
      </c>
      <c r="I649" s="2" t="s">
        <v>1761</v>
      </c>
      <c r="J649" s="28" t="s">
        <v>548</v>
      </c>
      <c r="K649" s="28" t="s">
        <v>548</v>
      </c>
      <c r="L649" s="44" t="s">
        <v>704</v>
      </c>
      <c r="M649" s="4" t="s">
        <v>3</v>
      </c>
      <c r="N649" s="15">
        <v>32500963</v>
      </c>
      <c r="O649" s="88" t="s">
        <v>1421</v>
      </c>
      <c r="P649" s="38">
        <v>31756</v>
      </c>
      <c r="Q649" s="38"/>
      <c r="R649" s="38"/>
      <c r="S649" s="38"/>
      <c r="T649" s="38"/>
      <c r="U649" s="17" t="s">
        <v>215</v>
      </c>
      <c r="V649" s="17" t="s">
        <v>915</v>
      </c>
      <c r="W649" s="12">
        <v>40787</v>
      </c>
      <c r="X649" s="12"/>
      <c r="Y649" s="12">
        <v>42735</v>
      </c>
      <c r="Z649" s="2"/>
      <c r="AA649" s="2" t="s">
        <v>479</v>
      </c>
      <c r="AB649" s="7" t="s">
        <v>787</v>
      </c>
      <c r="AC649" s="5">
        <v>1000</v>
      </c>
      <c r="AD649" s="5">
        <f>+AC649</f>
        <v>1000</v>
      </c>
      <c r="AE649" s="5">
        <v>1170</v>
      </c>
      <c r="AF649" s="5">
        <f t="shared" si="661"/>
        <v>1310</v>
      </c>
      <c r="AG649" s="5">
        <f t="shared" si="693"/>
        <v>1310</v>
      </c>
      <c r="AH649" s="5">
        <f t="shared" si="693"/>
        <v>1310</v>
      </c>
      <c r="AI649" s="5">
        <f t="shared" ref="AI649:AJ649" si="699">+AH649</f>
        <v>1310</v>
      </c>
      <c r="AJ649" s="5">
        <f t="shared" si="699"/>
        <v>1310</v>
      </c>
      <c r="AK649" s="2"/>
      <c r="AL649" s="106"/>
    </row>
    <row r="650" spans="1:38" s="6" customFormat="1" ht="15" customHeight="1" x14ac:dyDescent="0.2">
      <c r="A650" s="29" t="s">
        <v>824</v>
      </c>
      <c r="B650" s="29" t="s">
        <v>822</v>
      </c>
      <c r="C650" s="29" t="s">
        <v>823</v>
      </c>
      <c r="D650" s="2" t="s">
        <v>1820</v>
      </c>
      <c r="E650" s="2"/>
      <c r="F650" s="3"/>
      <c r="G650" s="3"/>
      <c r="H650" s="2" t="s">
        <v>223</v>
      </c>
      <c r="I650" s="2" t="s">
        <v>223</v>
      </c>
      <c r="J650" s="28" t="s">
        <v>73</v>
      </c>
      <c r="K650" s="28" t="s">
        <v>1765</v>
      </c>
      <c r="L650" s="43" t="s">
        <v>168</v>
      </c>
      <c r="M650" s="4" t="s">
        <v>3</v>
      </c>
      <c r="N650" s="15">
        <v>30516545</v>
      </c>
      <c r="O650" s="88" t="s">
        <v>1372</v>
      </c>
      <c r="P650" s="38">
        <v>30565</v>
      </c>
      <c r="Q650" s="38"/>
      <c r="R650" s="38"/>
      <c r="S650" s="38"/>
      <c r="T650" s="38"/>
      <c r="U650" s="17" t="s">
        <v>215</v>
      </c>
      <c r="V650" s="17" t="s">
        <v>915</v>
      </c>
      <c r="W650" s="12">
        <v>41456</v>
      </c>
      <c r="X650" s="37"/>
      <c r="Y650" s="12">
        <v>42735</v>
      </c>
      <c r="Z650" s="2"/>
      <c r="AA650" s="2" t="s">
        <v>479</v>
      </c>
      <c r="AB650" s="7" t="s">
        <v>784</v>
      </c>
      <c r="AC650" s="5">
        <v>1000</v>
      </c>
      <c r="AD650" s="5">
        <f>+AC650*1.07</f>
        <v>1070</v>
      </c>
      <c r="AE650" s="5">
        <v>1170</v>
      </c>
      <c r="AF650" s="5">
        <f t="shared" si="661"/>
        <v>1310</v>
      </c>
      <c r="AG650" s="5">
        <f t="shared" si="693"/>
        <v>1310</v>
      </c>
      <c r="AH650" s="5">
        <f t="shared" si="693"/>
        <v>1310</v>
      </c>
      <c r="AI650" s="5">
        <f t="shared" ref="AI650:AJ650" si="700">+AH650</f>
        <v>1310</v>
      </c>
      <c r="AJ650" s="5">
        <f t="shared" si="700"/>
        <v>1310</v>
      </c>
      <c r="AK650" s="29" t="s">
        <v>42</v>
      </c>
      <c r="AL650" s="105" t="str">
        <f>+AK650</f>
        <v>C0</v>
      </c>
    </row>
    <row r="651" spans="1:38" s="6" customFormat="1" ht="15" customHeight="1" x14ac:dyDescent="0.2">
      <c r="A651" s="29" t="s">
        <v>824</v>
      </c>
      <c r="B651" s="29" t="s">
        <v>822</v>
      </c>
      <c r="C651" s="29" t="s">
        <v>823</v>
      </c>
      <c r="D651" s="2" t="s">
        <v>800</v>
      </c>
      <c r="E651" s="7" t="s">
        <v>503</v>
      </c>
      <c r="F651" s="7"/>
      <c r="G651" s="7"/>
      <c r="H651" s="8"/>
      <c r="I651" s="3"/>
      <c r="J651" s="28" t="s">
        <v>254</v>
      </c>
      <c r="K651" s="28"/>
      <c r="L651" s="42" t="s">
        <v>471</v>
      </c>
      <c r="M651" s="4" t="s">
        <v>3</v>
      </c>
      <c r="N651" s="15">
        <v>33188115</v>
      </c>
      <c r="O651" s="88">
        <v>20331881156</v>
      </c>
      <c r="P651" s="38"/>
      <c r="Q651" s="38"/>
      <c r="R651" s="38"/>
      <c r="S651" s="38"/>
      <c r="T651" s="38"/>
      <c r="U651" s="16" t="s">
        <v>796</v>
      </c>
      <c r="V651" s="16" t="s">
        <v>916</v>
      </c>
      <c r="W651" s="12">
        <v>41395</v>
      </c>
      <c r="X651" s="12">
        <v>42460</v>
      </c>
      <c r="Y651" s="12">
        <v>42735</v>
      </c>
      <c r="Z651" s="2" t="s">
        <v>42</v>
      </c>
      <c r="AA651" s="2"/>
      <c r="AB651" s="18"/>
      <c r="AC651" s="5">
        <v>1000</v>
      </c>
      <c r="AD651" s="5"/>
      <c r="AE651" s="5">
        <v>1170</v>
      </c>
      <c r="AF651" s="5">
        <f t="shared" si="661"/>
        <v>1310</v>
      </c>
      <c r="AG651" s="5">
        <f t="shared" si="693"/>
        <v>1310</v>
      </c>
      <c r="AH651" s="5">
        <f t="shared" si="693"/>
        <v>1310</v>
      </c>
      <c r="AI651" s="5">
        <f t="shared" ref="AI651:AJ651" si="701">+AH651</f>
        <v>1310</v>
      </c>
      <c r="AJ651" s="5">
        <f t="shared" si="701"/>
        <v>1310</v>
      </c>
      <c r="AK651" s="2"/>
      <c r="AL651" s="105" t="str">
        <f>+Z651</f>
        <v>C0</v>
      </c>
    </row>
    <row r="652" spans="1:38" s="6" customFormat="1" ht="15" customHeight="1" x14ac:dyDescent="0.2">
      <c r="A652" s="29" t="s">
        <v>824</v>
      </c>
      <c r="B652" s="29"/>
      <c r="C652" s="29"/>
      <c r="D652" s="2" t="s">
        <v>820</v>
      </c>
      <c r="E652" s="2" t="s">
        <v>817</v>
      </c>
      <c r="F652" s="2"/>
      <c r="G652" s="3"/>
      <c r="H652" s="2"/>
      <c r="I652" s="2" t="s">
        <v>1707</v>
      </c>
      <c r="J652" s="28"/>
      <c r="K652" s="28" t="s">
        <v>1765</v>
      </c>
      <c r="L652" s="43" t="s">
        <v>1039</v>
      </c>
      <c r="M652" s="7" t="s">
        <v>3</v>
      </c>
      <c r="N652" s="15">
        <v>32636605</v>
      </c>
      <c r="O652" s="88">
        <v>20326366057</v>
      </c>
      <c r="P652" s="38">
        <v>31690</v>
      </c>
      <c r="Q652" s="38"/>
      <c r="R652" s="38"/>
      <c r="S652" s="38"/>
      <c r="T652" s="38"/>
      <c r="U652" s="17" t="s">
        <v>215</v>
      </c>
      <c r="V652" s="17" t="s">
        <v>915</v>
      </c>
      <c r="W652" s="12">
        <v>42522</v>
      </c>
      <c r="X652" s="37"/>
      <c r="Y652" s="12">
        <v>42735</v>
      </c>
      <c r="Z652" s="2"/>
      <c r="AA652" s="2" t="s">
        <v>479</v>
      </c>
      <c r="AB652" s="14"/>
      <c r="AC652" s="5">
        <v>1000</v>
      </c>
      <c r="AD652" s="5">
        <f>+AC652*1.07</f>
        <v>1070</v>
      </c>
      <c r="AE652" s="5">
        <v>1170</v>
      </c>
      <c r="AF652" s="5">
        <f t="shared" si="661"/>
        <v>1310</v>
      </c>
      <c r="AG652" s="5">
        <f t="shared" si="693"/>
        <v>1310</v>
      </c>
      <c r="AH652" s="5">
        <f t="shared" si="693"/>
        <v>1310</v>
      </c>
      <c r="AI652" s="5">
        <f t="shared" ref="AI652:AJ652" si="702">+AH652</f>
        <v>1310</v>
      </c>
      <c r="AJ652" s="5">
        <f t="shared" si="702"/>
        <v>1310</v>
      </c>
      <c r="AK652" s="2" t="s">
        <v>53</v>
      </c>
      <c r="AL652" s="105" t="str">
        <f>+AK652</f>
        <v>B0</v>
      </c>
    </row>
    <row r="653" spans="1:38" s="6" customFormat="1" ht="15" customHeight="1" x14ac:dyDescent="0.2">
      <c r="A653" s="29" t="s">
        <v>824</v>
      </c>
      <c r="B653" s="2"/>
      <c r="C653" s="3"/>
      <c r="D653" s="2" t="s">
        <v>820</v>
      </c>
      <c r="E653" s="2" t="s">
        <v>921</v>
      </c>
      <c r="F653" s="2" t="s">
        <v>31</v>
      </c>
      <c r="G653" s="2"/>
      <c r="H653" s="2" t="s">
        <v>221</v>
      </c>
      <c r="I653" s="2" t="s">
        <v>1707</v>
      </c>
      <c r="J653" s="28" t="s">
        <v>73</v>
      </c>
      <c r="K653" s="28" t="s">
        <v>1765</v>
      </c>
      <c r="L653" s="41" t="s">
        <v>705</v>
      </c>
      <c r="M653" s="4" t="s">
        <v>3</v>
      </c>
      <c r="N653" s="15">
        <v>33792938</v>
      </c>
      <c r="O653" s="88" t="s">
        <v>1455</v>
      </c>
      <c r="P653" s="38">
        <v>32421</v>
      </c>
      <c r="Q653" s="38"/>
      <c r="R653" s="38"/>
      <c r="S653" s="38"/>
      <c r="T653" s="38"/>
      <c r="U653" s="17" t="s">
        <v>215</v>
      </c>
      <c r="V653" s="17" t="s">
        <v>915</v>
      </c>
      <c r="W653" s="12">
        <v>41652</v>
      </c>
      <c r="X653" s="12"/>
      <c r="Y653" s="12">
        <v>42735</v>
      </c>
      <c r="Z653" s="2"/>
      <c r="AA653" s="2" t="s">
        <v>479</v>
      </c>
      <c r="AB653" s="7" t="s">
        <v>787</v>
      </c>
      <c r="AC653" s="5">
        <v>1000</v>
      </c>
      <c r="AD653" s="5">
        <f>+AC653*1.07</f>
        <v>1070</v>
      </c>
      <c r="AE653" s="5">
        <v>1170</v>
      </c>
      <c r="AF653" s="5">
        <f t="shared" si="661"/>
        <v>1310</v>
      </c>
      <c r="AG653" s="5">
        <f t="shared" si="693"/>
        <v>1310</v>
      </c>
      <c r="AH653" s="5">
        <f t="shared" si="693"/>
        <v>1310</v>
      </c>
      <c r="AI653" s="5">
        <f t="shared" ref="AI653:AJ653" si="703">+AH653</f>
        <v>1310</v>
      </c>
      <c r="AJ653" s="5">
        <f t="shared" si="703"/>
        <v>1310</v>
      </c>
      <c r="AK653" s="29" t="s">
        <v>42</v>
      </c>
      <c r="AL653" s="105" t="str">
        <f>+AK653</f>
        <v>C0</v>
      </c>
    </row>
    <row r="654" spans="1:38" s="6" customFormat="1" ht="15" customHeight="1" x14ac:dyDescent="0.2">
      <c r="A654" s="29" t="s">
        <v>824</v>
      </c>
      <c r="B654" s="29" t="s">
        <v>822</v>
      </c>
      <c r="C654" s="29" t="s">
        <v>823</v>
      </c>
      <c r="D654" s="2" t="s">
        <v>800</v>
      </c>
      <c r="E654" s="7" t="s">
        <v>541</v>
      </c>
      <c r="F654" s="7"/>
      <c r="G654" s="7"/>
      <c r="H654" s="8"/>
      <c r="I654" s="3"/>
      <c r="J654" s="28" t="s">
        <v>254</v>
      </c>
      <c r="K654" s="28"/>
      <c r="L654" s="42" t="s">
        <v>413</v>
      </c>
      <c r="M654" s="4" t="s">
        <v>3</v>
      </c>
      <c r="N654" s="15">
        <v>10760860</v>
      </c>
      <c r="O654" s="88">
        <v>20107608606</v>
      </c>
      <c r="P654" s="38"/>
      <c r="Q654" s="38"/>
      <c r="R654" s="38"/>
      <c r="S654" s="38"/>
      <c r="T654" s="38"/>
      <c r="U654" s="16" t="s">
        <v>796</v>
      </c>
      <c r="V654" s="16" t="s">
        <v>916</v>
      </c>
      <c r="W654" s="12">
        <v>41243</v>
      </c>
      <c r="X654" s="48">
        <v>42735</v>
      </c>
      <c r="Y654" s="12">
        <v>42735</v>
      </c>
      <c r="Z654" s="2" t="s">
        <v>1817</v>
      </c>
      <c r="AA654" s="2"/>
      <c r="AB654" s="18"/>
      <c r="AC654" s="5">
        <v>1000</v>
      </c>
      <c r="AD654" s="5"/>
      <c r="AE654" s="5">
        <v>1170</v>
      </c>
      <c r="AF654" s="5">
        <f t="shared" si="661"/>
        <v>1310</v>
      </c>
      <c r="AG654" s="5">
        <f t="shared" si="693"/>
        <v>1310</v>
      </c>
      <c r="AH654" s="5">
        <f t="shared" si="693"/>
        <v>1310</v>
      </c>
      <c r="AI654" s="5">
        <f t="shared" ref="AI654:AJ654" si="704">+AH654</f>
        <v>1310</v>
      </c>
      <c r="AJ654" s="5">
        <f t="shared" si="704"/>
        <v>1310</v>
      </c>
      <c r="AK654" s="2"/>
      <c r="AL654" s="105" t="str">
        <f>+Z654</f>
        <v>F0</v>
      </c>
    </row>
    <row r="655" spans="1:38" s="6" customFormat="1" ht="15" customHeight="1" x14ac:dyDescent="0.2">
      <c r="A655" s="29" t="s">
        <v>824</v>
      </c>
      <c r="B655" s="29" t="s">
        <v>822</v>
      </c>
      <c r="C655" s="29" t="s">
        <v>823</v>
      </c>
      <c r="D655" s="2" t="s">
        <v>800</v>
      </c>
      <c r="E655" s="7" t="s">
        <v>501</v>
      </c>
      <c r="F655" s="7"/>
      <c r="G655" s="7"/>
      <c r="H655" s="8"/>
      <c r="I655" s="3" t="s">
        <v>1744</v>
      </c>
      <c r="J655" s="28" t="s">
        <v>254</v>
      </c>
      <c r="K655" s="28" t="s">
        <v>1767</v>
      </c>
      <c r="L655" s="42" t="s">
        <v>453</v>
      </c>
      <c r="M655" s="4" t="s">
        <v>3</v>
      </c>
      <c r="N655" s="15">
        <v>33084823</v>
      </c>
      <c r="O655" s="88" t="s">
        <v>1436</v>
      </c>
      <c r="P655" s="38">
        <v>31914</v>
      </c>
      <c r="Q655" s="38"/>
      <c r="R655" s="38"/>
      <c r="S655" s="38"/>
      <c r="T655" s="38"/>
      <c r="U655" s="17" t="s">
        <v>215</v>
      </c>
      <c r="V655" s="17" t="s">
        <v>915</v>
      </c>
      <c r="W655" s="12">
        <v>41365</v>
      </c>
      <c r="X655" s="20"/>
      <c r="Y655" s="12">
        <v>42735</v>
      </c>
      <c r="Z655" s="2"/>
      <c r="AA655" s="2" t="s">
        <v>479</v>
      </c>
      <c r="AB655" s="24" t="s">
        <v>479</v>
      </c>
      <c r="AC655" s="5">
        <v>1000</v>
      </c>
      <c r="AD655" s="5">
        <v>1070</v>
      </c>
      <c r="AE655" s="5">
        <v>1170</v>
      </c>
      <c r="AF655" s="5">
        <f t="shared" si="661"/>
        <v>1310</v>
      </c>
      <c r="AG655" s="5">
        <f t="shared" si="693"/>
        <v>1310</v>
      </c>
      <c r="AH655" s="5">
        <f t="shared" si="693"/>
        <v>1310</v>
      </c>
      <c r="AI655" s="5">
        <f t="shared" ref="AI655:AJ655" si="705">+AH655</f>
        <v>1310</v>
      </c>
      <c r="AJ655" s="5">
        <f t="shared" si="705"/>
        <v>1310</v>
      </c>
      <c r="AK655" s="29" t="s">
        <v>42</v>
      </c>
      <c r="AL655" s="105" t="str">
        <f t="shared" ref="AL655:AL660" si="706">+AK655</f>
        <v>C0</v>
      </c>
    </row>
    <row r="656" spans="1:38" s="6" customFormat="1" ht="15" customHeight="1" x14ac:dyDescent="0.2">
      <c r="A656" s="29" t="s">
        <v>824</v>
      </c>
      <c r="B656" s="29" t="s">
        <v>822</v>
      </c>
      <c r="C656" s="29" t="s">
        <v>823</v>
      </c>
      <c r="D656" s="2" t="s">
        <v>800</v>
      </c>
      <c r="E656" s="7" t="s">
        <v>497</v>
      </c>
      <c r="F656" s="7"/>
      <c r="G656" s="7"/>
      <c r="H656" s="8"/>
      <c r="I656" s="3" t="s">
        <v>1714</v>
      </c>
      <c r="J656" s="28" t="s">
        <v>254</v>
      </c>
      <c r="K656" s="28" t="s">
        <v>1767</v>
      </c>
      <c r="L656" s="42" t="s">
        <v>392</v>
      </c>
      <c r="M656" s="4" t="s">
        <v>3</v>
      </c>
      <c r="N656" s="15">
        <v>36560622</v>
      </c>
      <c r="O656" s="88" t="s">
        <v>1514</v>
      </c>
      <c r="P656" s="38">
        <v>33601</v>
      </c>
      <c r="Q656" s="38"/>
      <c r="R656" s="38"/>
      <c r="S656" s="38"/>
      <c r="T656" s="38"/>
      <c r="U656" s="17" t="s">
        <v>215</v>
      </c>
      <c r="V656" s="17" t="s">
        <v>915</v>
      </c>
      <c r="W656" s="12">
        <v>41456</v>
      </c>
      <c r="X656" s="20"/>
      <c r="Y656" s="12">
        <v>42735</v>
      </c>
      <c r="Z656" s="2"/>
      <c r="AA656" s="2" t="s">
        <v>479</v>
      </c>
      <c r="AB656" s="24" t="s">
        <v>479</v>
      </c>
      <c r="AC656" s="5">
        <v>1000</v>
      </c>
      <c r="AD656" s="5">
        <v>1070</v>
      </c>
      <c r="AE656" s="5">
        <v>1170</v>
      </c>
      <c r="AF656" s="5">
        <f t="shared" si="661"/>
        <v>1310</v>
      </c>
      <c r="AG656" s="5">
        <f t="shared" si="693"/>
        <v>1310</v>
      </c>
      <c r="AH656" s="5">
        <f t="shared" si="693"/>
        <v>1310</v>
      </c>
      <c r="AI656" s="5">
        <f t="shared" ref="AI656:AJ656" si="707">+AH656</f>
        <v>1310</v>
      </c>
      <c r="AJ656" s="5">
        <f t="shared" si="707"/>
        <v>1310</v>
      </c>
      <c r="AK656" s="29" t="s">
        <v>42</v>
      </c>
      <c r="AL656" s="105" t="str">
        <f t="shared" si="706"/>
        <v>C0</v>
      </c>
    </row>
    <row r="657" spans="1:38" s="6" customFormat="1" ht="15" customHeight="1" x14ac:dyDescent="0.2">
      <c r="A657" s="29" t="s">
        <v>824</v>
      </c>
      <c r="B657" s="29" t="s">
        <v>822</v>
      </c>
      <c r="C657" s="29" t="s">
        <v>823</v>
      </c>
      <c r="D657" s="2" t="s">
        <v>800</v>
      </c>
      <c r="E657" s="2" t="s">
        <v>489</v>
      </c>
      <c r="F657" s="2"/>
      <c r="G657" s="2"/>
      <c r="H657" s="2"/>
      <c r="I657" s="3" t="s">
        <v>1731</v>
      </c>
      <c r="J657" s="28" t="s">
        <v>254</v>
      </c>
      <c r="K657" s="28" t="s">
        <v>1767</v>
      </c>
      <c r="L657" s="42" t="s">
        <v>362</v>
      </c>
      <c r="M657" s="4" t="s">
        <v>3</v>
      </c>
      <c r="N657" s="15">
        <v>35713189</v>
      </c>
      <c r="O657" s="88" t="s">
        <v>1502</v>
      </c>
      <c r="P657" s="38">
        <v>33053</v>
      </c>
      <c r="Q657" s="38"/>
      <c r="R657" s="38"/>
      <c r="S657" s="38"/>
      <c r="T657" s="38"/>
      <c r="U657" s="17" t="s">
        <v>215</v>
      </c>
      <c r="V657" s="17" t="s">
        <v>915</v>
      </c>
      <c r="W657" s="12">
        <v>41821</v>
      </c>
      <c r="X657" s="20"/>
      <c r="Y657" s="12">
        <v>42735</v>
      </c>
      <c r="Z657" s="2"/>
      <c r="AA657" s="2" t="s">
        <v>479</v>
      </c>
      <c r="AB657" s="24" t="s">
        <v>479</v>
      </c>
      <c r="AC657" s="5">
        <v>1000</v>
      </c>
      <c r="AD657" s="5">
        <v>1070</v>
      </c>
      <c r="AE657" s="5">
        <v>1170</v>
      </c>
      <c r="AF657" s="5">
        <f t="shared" si="661"/>
        <v>1310</v>
      </c>
      <c r="AG657" s="5">
        <f t="shared" si="693"/>
        <v>1310</v>
      </c>
      <c r="AH657" s="5">
        <f t="shared" si="693"/>
        <v>1310</v>
      </c>
      <c r="AI657" s="5">
        <f t="shared" ref="AI657:AJ657" si="708">+AH657</f>
        <v>1310</v>
      </c>
      <c r="AJ657" s="5">
        <f t="shared" si="708"/>
        <v>1310</v>
      </c>
      <c r="AK657" s="29" t="s">
        <v>42</v>
      </c>
      <c r="AL657" s="105" t="str">
        <f t="shared" si="706"/>
        <v>C0</v>
      </c>
    </row>
    <row r="658" spans="1:38" s="6" customFormat="1" ht="15" customHeight="1" x14ac:dyDescent="0.2">
      <c r="A658" s="29" t="s">
        <v>824</v>
      </c>
      <c r="B658" s="29" t="s">
        <v>822</v>
      </c>
      <c r="C658" s="29" t="s">
        <v>823</v>
      </c>
      <c r="D658" s="2" t="s">
        <v>800</v>
      </c>
      <c r="E658" s="2"/>
      <c r="F658" s="3"/>
      <c r="G658" s="3"/>
      <c r="H658" s="2" t="s">
        <v>884</v>
      </c>
      <c r="I658" s="2" t="s">
        <v>1707</v>
      </c>
      <c r="J658" s="28"/>
      <c r="K658" s="28" t="s">
        <v>1767</v>
      </c>
      <c r="L658" s="41" t="s">
        <v>902</v>
      </c>
      <c r="M658" s="7" t="s">
        <v>3</v>
      </c>
      <c r="N658" s="15">
        <v>92565540</v>
      </c>
      <c r="O658" s="88">
        <v>27925655401</v>
      </c>
      <c r="P658" s="38">
        <v>29895</v>
      </c>
      <c r="Q658" s="38"/>
      <c r="R658" s="38"/>
      <c r="S658" s="38"/>
      <c r="T658" s="38"/>
      <c r="U658" s="17" t="s">
        <v>215</v>
      </c>
      <c r="V658" s="17" t="s">
        <v>915</v>
      </c>
      <c r="W658" s="12">
        <v>42430</v>
      </c>
      <c r="X658" s="48"/>
      <c r="Y658" s="12">
        <v>42735</v>
      </c>
      <c r="Z658" s="2"/>
      <c r="AA658" s="2" t="s">
        <v>479</v>
      </c>
      <c r="AB658" s="3"/>
      <c r="AC658" s="5">
        <v>1000</v>
      </c>
      <c r="AD658" s="5">
        <v>1070</v>
      </c>
      <c r="AE658" s="5">
        <v>1170</v>
      </c>
      <c r="AF658" s="5">
        <f t="shared" si="661"/>
        <v>1310</v>
      </c>
      <c r="AG658" s="5">
        <f t="shared" si="693"/>
        <v>1310</v>
      </c>
      <c r="AH658" s="5">
        <f t="shared" si="693"/>
        <v>1310</v>
      </c>
      <c r="AI658" s="5">
        <f t="shared" ref="AI658:AJ658" si="709">+AH658</f>
        <v>1310</v>
      </c>
      <c r="AJ658" s="5">
        <f t="shared" si="709"/>
        <v>1310</v>
      </c>
      <c r="AK658" s="29" t="s">
        <v>42</v>
      </c>
      <c r="AL658" s="105" t="str">
        <f t="shared" si="706"/>
        <v>C0</v>
      </c>
    </row>
    <row r="659" spans="1:38" s="6" customFormat="1" ht="15" customHeight="1" x14ac:dyDescent="0.2">
      <c r="A659" s="29" t="s">
        <v>824</v>
      </c>
      <c r="B659" s="29" t="s">
        <v>1098</v>
      </c>
      <c r="C659" s="14"/>
      <c r="D659" s="2" t="s">
        <v>1833</v>
      </c>
      <c r="E659" s="2"/>
      <c r="F659" s="3"/>
      <c r="G659" s="3"/>
      <c r="H659" s="2"/>
      <c r="I659" s="2" t="s">
        <v>1707</v>
      </c>
      <c r="J659" s="28"/>
      <c r="K659" s="28" t="s">
        <v>1765</v>
      </c>
      <c r="L659" s="45" t="s">
        <v>1627</v>
      </c>
      <c r="M659" s="7" t="s">
        <v>3</v>
      </c>
      <c r="N659" s="15">
        <v>18752447</v>
      </c>
      <c r="O659" s="88">
        <v>23187524474</v>
      </c>
      <c r="P659" s="38">
        <v>25807</v>
      </c>
      <c r="Q659" s="38"/>
      <c r="R659" s="38"/>
      <c r="S659" s="38"/>
      <c r="T659" s="38"/>
      <c r="U659" s="16" t="s">
        <v>215</v>
      </c>
      <c r="V659" s="16" t="s">
        <v>915</v>
      </c>
      <c r="W659" s="12">
        <v>42552</v>
      </c>
      <c r="X659" s="48"/>
      <c r="Y659" s="48">
        <v>42735</v>
      </c>
      <c r="Z659" s="2"/>
      <c r="AA659" s="2" t="s">
        <v>479</v>
      </c>
      <c r="AB659" s="14"/>
      <c r="AC659" s="5"/>
      <c r="AD659" s="5"/>
      <c r="AE659" s="5">
        <v>1170</v>
      </c>
      <c r="AF659" s="5">
        <f t="shared" si="661"/>
        <v>0</v>
      </c>
      <c r="AG659" s="5">
        <f t="shared" si="693"/>
        <v>0</v>
      </c>
      <c r="AH659" s="5">
        <f t="shared" si="693"/>
        <v>0</v>
      </c>
      <c r="AI659" s="5">
        <f t="shared" ref="AI659:AJ659" si="710">+AH659</f>
        <v>0</v>
      </c>
      <c r="AJ659" s="5">
        <f t="shared" si="710"/>
        <v>0</v>
      </c>
      <c r="AK659" s="29" t="s">
        <v>42</v>
      </c>
      <c r="AL659" s="105" t="str">
        <f t="shared" si="706"/>
        <v>C0</v>
      </c>
    </row>
    <row r="660" spans="1:38" s="6" customFormat="1" ht="15" customHeight="1" x14ac:dyDescent="0.2">
      <c r="A660" s="29" t="s">
        <v>824</v>
      </c>
      <c r="B660" s="2" t="s">
        <v>822</v>
      </c>
      <c r="C660" s="29" t="s">
        <v>823</v>
      </c>
      <c r="D660" s="2" t="s">
        <v>808</v>
      </c>
      <c r="E660" s="2" t="s">
        <v>503</v>
      </c>
      <c r="F660" s="2"/>
      <c r="G660" s="2"/>
      <c r="H660" s="3"/>
      <c r="I660" s="2" t="s">
        <v>1707</v>
      </c>
      <c r="J660" s="28"/>
      <c r="K660" s="28" t="s">
        <v>1765</v>
      </c>
      <c r="L660" s="42" t="s">
        <v>1074</v>
      </c>
      <c r="M660" s="7" t="s">
        <v>3</v>
      </c>
      <c r="N660" s="15">
        <v>33017958</v>
      </c>
      <c r="O660" s="88">
        <v>27330179584</v>
      </c>
      <c r="P660" s="38">
        <v>31881</v>
      </c>
      <c r="Q660" s="38"/>
      <c r="R660" s="38"/>
      <c r="S660" s="38"/>
      <c r="T660" s="38"/>
      <c r="U660" s="17" t="s">
        <v>215</v>
      </c>
      <c r="V660" s="17" t="s">
        <v>915</v>
      </c>
      <c r="W660" s="12">
        <v>42522</v>
      </c>
      <c r="X660" s="19"/>
      <c r="Y660" s="12">
        <v>42735</v>
      </c>
      <c r="Z660" s="2"/>
      <c r="AA660" s="2" t="s">
        <v>479</v>
      </c>
      <c r="AB660" s="2"/>
      <c r="AC660" s="5"/>
      <c r="AD660" s="5">
        <v>1070</v>
      </c>
      <c r="AE660" s="5">
        <v>1170</v>
      </c>
      <c r="AF660" s="5">
        <f t="shared" si="661"/>
        <v>0</v>
      </c>
      <c r="AG660" s="5">
        <f t="shared" si="693"/>
        <v>0</v>
      </c>
      <c r="AH660" s="5">
        <f t="shared" si="693"/>
        <v>0</v>
      </c>
      <c r="AI660" s="5">
        <f t="shared" ref="AI660:AJ660" si="711">+AH660</f>
        <v>0</v>
      </c>
      <c r="AJ660" s="5">
        <f t="shared" si="711"/>
        <v>0</v>
      </c>
      <c r="AK660" s="29" t="s">
        <v>42</v>
      </c>
      <c r="AL660" s="105" t="str">
        <f t="shared" si="706"/>
        <v>C0</v>
      </c>
    </row>
    <row r="661" spans="1:38" s="6" customFormat="1" ht="15" customHeight="1" x14ac:dyDescent="0.2">
      <c r="A661" s="29" t="s">
        <v>824</v>
      </c>
      <c r="B661" s="2" t="s">
        <v>822</v>
      </c>
      <c r="C661" s="3"/>
      <c r="D661" s="2" t="s">
        <v>825</v>
      </c>
      <c r="E661" s="3" t="s">
        <v>18</v>
      </c>
      <c r="F661" s="2" t="s">
        <v>19</v>
      </c>
      <c r="G661" s="2"/>
      <c r="H661" s="2" t="s">
        <v>22</v>
      </c>
      <c r="I661" s="2" t="s">
        <v>1707</v>
      </c>
      <c r="J661" s="28" t="s">
        <v>548</v>
      </c>
      <c r="K661" s="28" t="s">
        <v>548</v>
      </c>
      <c r="L661" s="44" t="s">
        <v>706</v>
      </c>
      <c r="M661" s="4" t="s">
        <v>3</v>
      </c>
      <c r="N661" s="15">
        <v>32359444</v>
      </c>
      <c r="O661" s="88" t="s">
        <v>1416</v>
      </c>
      <c r="P661" s="38">
        <v>31532</v>
      </c>
      <c r="Q661" s="38"/>
      <c r="R661" s="38"/>
      <c r="S661" s="38"/>
      <c r="T661" s="38"/>
      <c r="U661" s="17" t="s">
        <v>215</v>
      </c>
      <c r="V661" s="17" t="s">
        <v>915</v>
      </c>
      <c r="W661" s="12">
        <v>41022</v>
      </c>
      <c r="X661" s="12"/>
      <c r="Y661" s="12">
        <v>42735</v>
      </c>
      <c r="Z661" s="2"/>
      <c r="AA661" s="2" t="s">
        <v>479</v>
      </c>
      <c r="AB661" s="7" t="s">
        <v>787</v>
      </c>
      <c r="AC661" s="5">
        <v>1000</v>
      </c>
      <c r="AD661" s="5">
        <f>+AC661</f>
        <v>1000</v>
      </c>
      <c r="AE661" s="5">
        <v>1170</v>
      </c>
      <c r="AF661" s="5">
        <f t="shared" si="661"/>
        <v>1310</v>
      </c>
      <c r="AG661" s="5">
        <f t="shared" si="693"/>
        <v>1310</v>
      </c>
      <c r="AH661" s="5">
        <f t="shared" si="693"/>
        <v>1310</v>
      </c>
      <c r="AI661" s="5">
        <f t="shared" ref="AI661:AJ661" si="712">+AH661</f>
        <v>1310</v>
      </c>
      <c r="AJ661" s="5">
        <f t="shared" si="712"/>
        <v>1310</v>
      </c>
      <c r="AK661" s="2"/>
      <c r="AL661" s="106"/>
    </row>
    <row r="662" spans="1:38" s="6" customFormat="1" ht="15" customHeight="1" x14ac:dyDescent="0.2">
      <c r="A662" s="29" t="s">
        <v>824</v>
      </c>
      <c r="B662" s="2" t="s">
        <v>822</v>
      </c>
      <c r="C662" s="29" t="s">
        <v>823</v>
      </c>
      <c r="D662" s="2" t="s">
        <v>808</v>
      </c>
      <c r="E662" s="2" t="s">
        <v>216</v>
      </c>
      <c r="F662" s="2" t="s">
        <v>1066</v>
      </c>
      <c r="G662" s="2"/>
      <c r="H662" s="3"/>
      <c r="I662" s="2" t="s">
        <v>1066</v>
      </c>
      <c r="J662" s="28"/>
      <c r="K662" s="28" t="s">
        <v>1765</v>
      </c>
      <c r="L662" s="42" t="s">
        <v>1070</v>
      </c>
      <c r="M662" s="7" t="s">
        <v>3</v>
      </c>
      <c r="N662" s="15">
        <v>39696295</v>
      </c>
      <c r="O662" s="88">
        <v>27396962956</v>
      </c>
      <c r="P662" s="38">
        <v>35265</v>
      </c>
      <c r="Q662" s="38"/>
      <c r="R662" s="38"/>
      <c r="S662" s="38"/>
      <c r="T662" s="38"/>
      <c r="U662" s="17" t="s">
        <v>215</v>
      </c>
      <c r="V662" s="17" t="s">
        <v>915</v>
      </c>
      <c r="W662" s="12">
        <v>42505</v>
      </c>
      <c r="X662" s="19"/>
      <c r="Y662" s="12">
        <v>42735</v>
      </c>
      <c r="Z662" s="2"/>
      <c r="AA662" s="2" t="s">
        <v>479</v>
      </c>
      <c r="AB662" s="2"/>
      <c r="AC662" s="5">
        <v>1000</v>
      </c>
      <c r="AD662" s="5">
        <v>1070</v>
      </c>
      <c r="AE662" s="5">
        <v>1170</v>
      </c>
      <c r="AF662" s="5">
        <f t="shared" si="661"/>
        <v>1310</v>
      </c>
      <c r="AG662" s="5">
        <f t="shared" si="693"/>
        <v>1310</v>
      </c>
      <c r="AH662" s="5">
        <f t="shared" si="693"/>
        <v>1310</v>
      </c>
      <c r="AI662" s="5">
        <f t="shared" ref="AI662:AJ662" si="713">+AH662</f>
        <v>1310</v>
      </c>
      <c r="AJ662" s="5">
        <f t="shared" si="713"/>
        <v>1310</v>
      </c>
      <c r="AK662" s="2" t="s">
        <v>42</v>
      </c>
      <c r="AL662" s="105" t="str">
        <f>+AK662</f>
        <v>C0</v>
      </c>
    </row>
    <row r="663" spans="1:38" s="6" customFormat="1" ht="15" customHeight="1" x14ac:dyDescent="0.2">
      <c r="A663" s="29" t="s">
        <v>824</v>
      </c>
      <c r="B663" s="2" t="s">
        <v>822</v>
      </c>
      <c r="C663" s="3"/>
      <c r="D663" s="2" t="s">
        <v>825</v>
      </c>
      <c r="E663" s="3" t="s">
        <v>18</v>
      </c>
      <c r="F663" s="2" t="s">
        <v>19</v>
      </c>
      <c r="G663" s="2"/>
      <c r="H663" s="2" t="s">
        <v>22</v>
      </c>
      <c r="I663" s="2" t="s">
        <v>1707</v>
      </c>
      <c r="J663" s="28" t="s">
        <v>548</v>
      </c>
      <c r="K663" s="28" t="s">
        <v>548</v>
      </c>
      <c r="L663" s="44" t="s">
        <v>707</v>
      </c>
      <c r="M663" s="4" t="s">
        <v>3</v>
      </c>
      <c r="N663" s="15">
        <v>26580860</v>
      </c>
      <c r="O663" s="88" t="s">
        <v>1293</v>
      </c>
      <c r="P663" s="38">
        <v>28483</v>
      </c>
      <c r="Q663" s="38"/>
      <c r="R663" s="38"/>
      <c r="S663" s="38"/>
      <c r="T663" s="38"/>
      <c r="U663" s="17" t="s">
        <v>215</v>
      </c>
      <c r="V663" s="17" t="s">
        <v>915</v>
      </c>
      <c r="W663" s="12">
        <v>40452</v>
      </c>
      <c r="X663" s="12"/>
      <c r="Y663" s="12">
        <v>42735</v>
      </c>
      <c r="Z663" s="2"/>
      <c r="AA663" s="2" t="s">
        <v>479</v>
      </c>
      <c r="AB663" s="7" t="s">
        <v>787</v>
      </c>
      <c r="AC663" s="5">
        <v>1000</v>
      </c>
      <c r="AD663" s="5">
        <f>+AC663</f>
        <v>1000</v>
      </c>
      <c r="AE663" s="5">
        <v>1170</v>
      </c>
      <c r="AF663" s="5">
        <f t="shared" si="661"/>
        <v>1310</v>
      </c>
      <c r="AG663" s="5">
        <f t="shared" si="693"/>
        <v>1310</v>
      </c>
      <c r="AH663" s="5">
        <f t="shared" si="693"/>
        <v>1310</v>
      </c>
      <c r="AI663" s="5">
        <f t="shared" ref="AI663:AJ663" si="714">+AH663</f>
        <v>1310</v>
      </c>
      <c r="AJ663" s="5">
        <f t="shared" si="714"/>
        <v>1310</v>
      </c>
      <c r="AK663" s="2"/>
      <c r="AL663" s="8"/>
    </row>
    <row r="664" spans="1:38" s="6" customFormat="1" ht="15" customHeight="1" x14ac:dyDescent="0.2">
      <c r="A664" s="29" t="s">
        <v>824</v>
      </c>
      <c r="B664" s="29" t="s">
        <v>822</v>
      </c>
      <c r="C664" s="29" t="s">
        <v>823</v>
      </c>
      <c r="D664" s="2" t="s">
        <v>808</v>
      </c>
      <c r="E664" s="2"/>
      <c r="F664" s="3"/>
      <c r="G664" s="3"/>
      <c r="H664" s="2" t="s">
        <v>1640</v>
      </c>
      <c r="I664" s="2" t="s">
        <v>1707</v>
      </c>
      <c r="J664" s="28"/>
      <c r="K664" s="28" t="s">
        <v>1765</v>
      </c>
      <c r="L664" s="41" t="s">
        <v>1632</v>
      </c>
      <c r="M664" s="7" t="s">
        <v>3</v>
      </c>
      <c r="N664" s="15">
        <v>13275295</v>
      </c>
      <c r="O664" s="88">
        <v>27132752953</v>
      </c>
      <c r="P664" s="38">
        <v>20950</v>
      </c>
      <c r="Q664" s="38"/>
      <c r="R664" s="38"/>
      <c r="S664" s="38"/>
      <c r="T664" s="38"/>
      <c r="U664" s="17" t="s">
        <v>215</v>
      </c>
      <c r="V664" s="17" t="s">
        <v>915</v>
      </c>
      <c r="W664" s="12">
        <v>42522</v>
      </c>
      <c r="X664" s="48"/>
      <c r="Y664" s="48">
        <v>42735</v>
      </c>
      <c r="Z664" s="2"/>
      <c r="AA664" s="2" t="s">
        <v>479</v>
      </c>
      <c r="AB664" s="3"/>
      <c r="AC664" s="5"/>
      <c r="AD664" s="5">
        <v>1070</v>
      </c>
      <c r="AE664" s="5">
        <v>1170</v>
      </c>
      <c r="AF664" s="5">
        <f t="shared" si="661"/>
        <v>0</v>
      </c>
      <c r="AG664" s="5">
        <f t="shared" ref="AG664:AH688" si="715">+AF664</f>
        <v>0</v>
      </c>
      <c r="AH664" s="5">
        <f t="shared" si="715"/>
        <v>0</v>
      </c>
      <c r="AI664" s="5">
        <f t="shared" ref="AI664:AJ664" si="716">+AH664</f>
        <v>0</v>
      </c>
      <c r="AJ664" s="5">
        <f t="shared" si="716"/>
        <v>0</v>
      </c>
      <c r="AK664" s="2" t="s">
        <v>53</v>
      </c>
      <c r="AL664" s="105" t="str">
        <f>+AK664</f>
        <v>B0</v>
      </c>
    </row>
    <row r="665" spans="1:38" s="6" customFormat="1" ht="15" customHeight="1" x14ac:dyDescent="0.2">
      <c r="A665" s="29" t="s">
        <v>824</v>
      </c>
      <c r="B665" s="2" t="s">
        <v>822</v>
      </c>
      <c r="C665" s="29"/>
      <c r="D665" s="2" t="s">
        <v>825</v>
      </c>
      <c r="E665" s="3" t="s">
        <v>8</v>
      </c>
      <c r="F665" s="2" t="s">
        <v>913</v>
      </c>
      <c r="G665" s="2"/>
      <c r="H665" s="2" t="s">
        <v>9</v>
      </c>
      <c r="I665" s="2" t="s">
        <v>13</v>
      </c>
      <c r="J665" s="28" t="s">
        <v>549</v>
      </c>
      <c r="K665" s="28" t="s">
        <v>549</v>
      </c>
      <c r="L665" s="41" t="s">
        <v>708</v>
      </c>
      <c r="M665" s="4" t="s">
        <v>3</v>
      </c>
      <c r="N665" s="15">
        <v>32930419</v>
      </c>
      <c r="O665" s="88">
        <v>27329304197</v>
      </c>
      <c r="P665" s="38">
        <v>31820</v>
      </c>
      <c r="Q665" s="38"/>
      <c r="R665" s="38"/>
      <c r="S665" s="38"/>
      <c r="T665" s="38"/>
      <c r="U665" s="17" t="s">
        <v>215</v>
      </c>
      <c r="V665" s="17" t="s">
        <v>915</v>
      </c>
      <c r="W665" s="12">
        <v>42248</v>
      </c>
      <c r="X665" s="12"/>
      <c r="Y665" s="12">
        <v>42735</v>
      </c>
      <c r="Z665" s="2"/>
      <c r="AA665" s="2" t="s">
        <v>479</v>
      </c>
      <c r="AB665" s="3" t="s">
        <v>10</v>
      </c>
      <c r="AC665" s="5">
        <v>1000</v>
      </c>
      <c r="AD665" s="5">
        <f>+AC665*1.07</f>
        <v>1070</v>
      </c>
      <c r="AE665" s="5">
        <v>1170</v>
      </c>
      <c r="AF665" s="5">
        <f t="shared" si="661"/>
        <v>1310</v>
      </c>
      <c r="AG665" s="5">
        <f t="shared" si="715"/>
        <v>1310</v>
      </c>
      <c r="AH665" s="5">
        <f t="shared" si="715"/>
        <v>1310</v>
      </c>
      <c r="AI665" s="5">
        <f t="shared" ref="AI665:AJ665" si="717">+AH665</f>
        <v>1310</v>
      </c>
      <c r="AJ665" s="5">
        <f t="shared" si="717"/>
        <v>1310</v>
      </c>
      <c r="AK665" s="2" t="s">
        <v>1815</v>
      </c>
      <c r="AL665" s="106"/>
    </row>
    <row r="666" spans="1:38" s="6" customFormat="1" ht="15" customHeight="1" x14ac:dyDescent="0.2">
      <c r="A666" s="29" t="s">
        <v>824</v>
      </c>
      <c r="B666" s="29"/>
      <c r="C666" s="29"/>
      <c r="D666" s="2" t="s">
        <v>820</v>
      </c>
      <c r="E666" s="2" t="s">
        <v>817</v>
      </c>
      <c r="F666" s="3"/>
      <c r="G666" s="3"/>
      <c r="H666" s="2" t="s">
        <v>221</v>
      </c>
      <c r="I666" s="2" t="s">
        <v>1707</v>
      </c>
      <c r="J666" s="28"/>
      <c r="K666" s="28" t="s">
        <v>1765</v>
      </c>
      <c r="L666" s="45" t="s">
        <v>930</v>
      </c>
      <c r="M666" s="4" t="s">
        <v>3</v>
      </c>
      <c r="N666" s="15">
        <v>30277471</v>
      </c>
      <c r="O666" s="88" t="s">
        <v>1365</v>
      </c>
      <c r="P666" s="38">
        <v>30452</v>
      </c>
      <c r="Q666" s="38"/>
      <c r="R666" s="38"/>
      <c r="S666" s="38"/>
      <c r="T666" s="38"/>
      <c r="U666" s="17" t="s">
        <v>215</v>
      </c>
      <c r="V666" s="16" t="s">
        <v>915</v>
      </c>
      <c r="W666" s="12">
        <v>42492</v>
      </c>
      <c r="X666" s="48"/>
      <c r="Y666" s="12">
        <v>42735</v>
      </c>
      <c r="Z666" s="2"/>
      <c r="AA666" s="2" t="s">
        <v>479</v>
      </c>
      <c r="AB666" s="14"/>
      <c r="AC666" s="5">
        <v>1000</v>
      </c>
      <c r="AD666" s="5">
        <f>+AC666*1.07</f>
        <v>1070</v>
      </c>
      <c r="AE666" s="5">
        <v>1170</v>
      </c>
      <c r="AF666" s="5">
        <f t="shared" si="661"/>
        <v>1310</v>
      </c>
      <c r="AG666" s="5">
        <f t="shared" si="715"/>
        <v>1310</v>
      </c>
      <c r="AH666" s="5">
        <f t="shared" si="715"/>
        <v>1310</v>
      </c>
      <c r="AI666" s="5">
        <f t="shared" ref="AI666:AJ666" si="718">+AH666</f>
        <v>1310</v>
      </c>
      <c r="AJ666" s="5">
        <f t="shared" si="718"/>
        <v>1310</v>
      </c>
      <c r="AK666" s="2" t="s">
        <v>53</v>
      </c>
      <c r="AL666" s="105" t="str">
        <f>+AK666</f>
        <v>B0</v>
      </c>
    </row>
    <row r="667" spans="1:38" s="6" customFormat="1" ht="15" customHeight="1" x14ac:dyDescent="0.2">
      <c r="A667" s="29" t="s">
        <v>824</v>
      </c>
      <c r="B667" s="29" t="s">
        <v>822</v>
      </c>
      <c r="C667" s="29" t="s">
        <v>823</v>
      </c>
      <c r="D667" s="2" t="s">
        <v>800</v>
      </c>
      <c r="E667" s="2" t="s">
        <v>489</v>
      </c>
      <c r="F667" s="2"/>
      <c r="G667" s="2"/>
      <c r="H667" s="2"/>
      <c r="I667" s="3" t="s">
        <v>1721</v>
      </c>
      <c r="J667" s="28" t="s">
        <v>254</v>
      </c>
      <c r="K667" s="28" t="s">
        <v>1767</v>
      </c>
      <c r="L667" s="42" t="s">
        <v>363</v>
      </c>
      <c r="M667" s="4" t="s">
        <v>3</v>
      </c>
      <c r="N667" s="15">
        <v>94654784</v>
      </c>
      <c r="O667" s="88" t="s">
        <v>1577</v>
      </c>
      <c r="P667" s="38">
        <v>29115</v>
      </c>
      <c r="Q667" s="38"/>
      <c r="R667" s="38"/>
      <c r="S667" s="38"/>
      <c r="T667" s="38"/>
      <c r="U667" s="17" t="s">
        <v>215</v>
      </c>
      <c r="V667" s="17" t="s">
        <v>915</v>
      </c>
      <c r="W667" s="12">
        <v>40878</v>
      </c>
      <c r="X667" s="20"/>
      <c r="Y667" s="12">
        <v>42735</v>
      </c>
      <c r="Z667" s="2"/>
      <c r="AA667" s="2" t="s">
        <v>479</v>
      </c>
      <c r="AB667" s="24" t="s">
        <v>479</v>
      </c>
      <c r="AC667" s="5">
        <v>1000</v>
      </c>
      <c r="AD667" s="5">
        <v>1070</v>
      </c>
      <c r="AE667" s="5">
        <v>1170</v>
      </c>
      <c r="AF667" s="5">
        <f t="shared" si="661"/>
        <v>1310</v>
      </c>
      <c r="AG667" s="5">
        <f t="shared" si="715"/>
        <v>1310</v>
      </c>
      <c r="AH667" s="5">
        <f t="shared" si="715"/>
        <v>1310</v>
      </c>
      <c r="AI667" s="5">
        <f t="shared" ref="AI667:AJ667" si="719">+AH667</f>
        <v>1310</v>
      </c>
      <c r="AJ667" s="5">
        <f t="shared" si="719"/>
        <v>1310</v>
      </c>
      <c r="AK667" s="29" t="s">
        <v>42</v>
      </c>
      <c r="AL667" s="105" t="str">
        <f>+AK667</f>
        <v>C0</v>
      </c>
    </row>
    <row r="668" spans="1:38" s="6" customFormat="1" ht="15" customHeight="1" x14ac:dyDescent="0.2">
      <c r="A668" s="29" t="s">
        <v>824</v>
      </c>
      <c r="B668" s="29"/>
      <c r="C668" s="14"/>
      <c r="D668" s="2" t="s">
        <v>820</v>
      </c>
      <c r="E668" s="2" t="s">
        <v>921</v>
      </c>
      <c r="F668" s="2" t="s">
        <v>217</v>
      </c>
      <c r="G668" s="3"/>
      <c r="H668" s="2" t="s">
        <v>230</v>
      </c>
      <c r="I668" s="2" t="s">
        <v>1707</v>
      </c>
      <c r="J668" s="28"/>
      <c r="K668" s="28" t="s">
        <v>1765</v>
      </c>
      <c r="L668" s="41" t="s">
        <v>1647</v>
      </c>
      <c r="M668" s="7" t="s">
        <v>3</v>
      </c>
      <c r="N668" s="15">
        <v>28618309</v>
      </c>
      <c r="O668" s="88"/>
      <c r="P668" s="38">
        <v>29606</v>
      </c>
      <c r="Q668" s="38"/>
      <c r="R668" s="38"/>
      <c r="S668" s="38"/>
      <c r="T668" s="38"/>
      <c r="U668" s="17" t="s">
        <v>215</v>
      </c>
      <c r="V668" s="17" t="s">
        <v>915</v>
      </c>
      <c r="W668" s="12">
        <v>42565</v>
      </c>
      <c r="X668" s="48"/>
      <c r="Y668" s="48">
        <v>42735</v>
      </c>
      <c r="Z668" s="2"/>
      <c r="AA668" s="2" t="s">
        <v>479</v>
      </c>
      <c r="AB668" s="3"/>
      <c r="AC668" s="5"/>
      <c r="AD668" s="5"/>
      <c r="AE668" s="5">
        <v>1170</v>
      </c>
      <c r="AF668" s="5">
        <f t="shared" si="661"/>
        <v>0</v>
      </c>
      <c r="AG668" s="5">
        <f t="shared" si="715"/>
        <v>0</v>
      </c>
      <c r="AH668" s="5">
        <f t="shared" si="715"/>
        <v>0</v>
      </c>
      <c r="AI668" s="5">
        <f t="shared" ref="AI668:AJ668" si="720">+AH668</f>
        <v>0</v>
      </c>
      <c r="AJ668" s="5">
        <f t="shared" si="720"/>
        <v>0</v>
      </c>
      <c r="AK668" s="2" t="s">
        <v>42</v>
      </c>
      <c r="AL668" s="105" t="str">
        <f>+AK668</f>
        <v>C0</v>
      </c>
    </row>
    <row r="669" spans="1:38" s="6" customFormat="1" ht="15" customHeight="1" x14ac:dyDescent="0.2">
      <c r="A669" s="29" t="s">
        <v>824</v>
      </c>
      <c r="B669" s="29" t="s">
        <v>822</v>
      </c>
      <c r="C669" s="29" t="s">
        <v>823</v>
      </c>
      <c r="D669" s="2" t="s">
        <v>800</v>
      </c>
      <c r="E669" s="2" t="s">
        <v>486</v>
      </c>
      <c r="F669" s="2"/>
      <c r="G669" s="2"/>
      <c r="H669" s="2" t="s">
        <v>1710</v>
      </c>
      <c r="I669" s="3" t="s">
        <v>1754</v>
      </c>
      <c r="J669" s="28" t="s">
        <v>254</v>
      </c>
      <c r="K669" s="28"/>
      <c r="L669" s="42" t="s">
        <v>314</v>
      </c>
      <c r="M669" s="4" t="s">
        <v>3</v>
      </c>
      <c r="N669" s="15">
        <v>32575288</v>
      </c>
      <c r="O669" s="88">
        <v>27325752888</v>
      </c>
      <c r="P669" s="38">
        <v>31679</v>
      </c>
      <c r="Q669" s="38"/>
      <c r="R669" s="38"/>
      <c r="S669" s="38"/>
      <c r="T669" s="38"/>
      <c r="U669" s="17" t="s">
        <v>215</v>
      </c>
      <c r="V669" s="17" t="s">
        <v>1698</v>
      </c>
      <c r="W669" s="12"/>
      <c r="X669" s="20"/>
      <c r="Y669" s="12">
        <v>42735</v>
      </c>
      <c r="Z669" s="2"/>
      <c r="AA669" s="2" t="s">
        <v>479</v>
      </c>
      <c r="AB669" s="25" t="s">
        <v>479</v>
      </c>
      <c r="AC669" s="5">
        <v>1000</v>
      </c>
      <c r="AD669" s="5">
        <f>+AC669*1.07</f>
        <v>1070</v>
      </c>
      <c r="AE669" s="5">
        <v>1170</v>
      </c>
      <c r="AF669" s="5">
        <f t="shared" si="661"/>
        <v>1310</v>
      </c>
      <c r="AG669" s="5">
        <f t="shared" si="715"/>
        <v>1310</v>
      </c>
      <c r="AH669" s="5">
        <f t="shared" si="715"/>
        <v>1310</v>
      </c>
      <c r="AI669" s="5">
        <f t="shared" ref="AI669:AJ669" si="721">+AH669</f>
        <v>1310</v>
      </c>
      <c r="AJ669" s="5">
        <f t="shared" si="721"/>
        <v>1310</v>
      </c>
      <c r="AK669" s="2"/>
      <c r="AL669" s="107" t="s">
        <v>1818</v>
      </c>
    </row>
    <row r="670" spans="1:38" s="6" customFormat="1" ht="15" customHeight="1" x14ac:dyDescent="0.2">
      <c r="A670" s="29" t="s">
        <v>824</v>
      </c>
      <c r="B670" s="2" t="s">
        <v>822</v>
      </c>
      <c r="C670" s="3"/>
      <c r="D670" s="2" t="s">
        <v>825</v>
      </c>
      <c r="E670" s="3" t="s">
        <v>18</v>
      </c>
      <c r="F670" s="2" t="s">
        <v>1012</v>
      </c>
      <c r="G670" s="2"/>
      <c r="H670" s="2" t="s">
        <v>37</v>
      </c>
      <c r="I670" s="2" t="s">
        <v>1707</v>
      </c>
      <c r="J670" s="28" t="s">
        <v>548</v>
      </c>
      <c r="K670" s="28" t="s">
        <v>548</v>
      </c>
      <c r="L670" s="44" t="s">
        <v>709</v>
      </c>
      <c r="M670" s="4" t="s">
        <v>3</v>
      </c>
      <c r="N670" s="15">
        <v>29130054</v>
      </c>
      <c r="O670" s="88" t="s">
        <v>1345</v>
      </c>
      <c r="P670" s="38">
        <v>29964</v>
      </c>
      <c r="Q670" s="38"/>
      <c r="R670" s="38"/>
      <c r="S670" s="38"/>
      <c r="T670" s="38"/>
      <c r="U670" s="17" t="s">
        <v>215</v>
      </c>
      <c r="V670" s="17" t="s">
        <v>915</v>
      </c>
      <c r="W670" s="12">
        <v>41533</v>
      </c>
      <c r="X670" s="12"/>
      <c r="Y670" s="12">
        <v>42735</v>
      </c>
      <c r="Z670" s="2"/>
      <c r="AA670" s="2" t="s">
        <v>479</v>
      </c>
      <c r="AB670" s="7" t="s">
        <v>787</v>
      </c>
      <c r="AC670" s="5">
        <v>1000</v>
      </c>
      <c r="AD670" s="5">
        <f>+AC670</f>
        <v>1000</v>
      </c>
      <c r="AE670" s="5">
        <v>1170</v>
      </c>
      <c r="AF670" s="5">
        <f t="shared" si="661"/>
        <v>1310</v>
      </c>
      <c r="AG670" s="5">
        <f t="shared" si="715"/>
        <v>1310</v>
      </c>
      <c r="AH670" s="5">
        <f t="shared" si="715"/>
        <v>1310</v>
      </c>
      <c r="AI670" s="5">
        <f t="shared" ref="AI670:AJ670" si="722">+AH670</f>
        <v>1310</v>
      </c>
      <c r="AJ670" s="5">
        <f t="shared" si="722"/>
        <v>1310</v>
      </c>
      <c r="AK670" s="2"/>
      <c r="AL670" s="106"/>
    </row>
    <row r="671" spans="1:38" s="6" customFormat="1" ht="15" customHeight="1" x14ac:dyDescent="0.2">
      <c r="A671" s="29" t="s">
        <v>824</v>
      </c>
      <c r="B671" s="29" t="s">
        <v>822</v>
      </c>
      <c r="C671" s="29" t="s">
        <v>823</v>
      </c>
      <c r="D671" s="2" t="s">
        <v>800</v>
      </c>
      <c r="E671" s="2" t="s">
        <v>491</v>
      </c>
      <c r="F671" s="2"/>
      <c r="G671" s="2"/>
      <c r="H671" s="2"/>
      <c r="I671" s="3"/>
      <c r="J671" s="28" t="s">
        <v>254</v>
      </c>
      <c r="K671" s="28"/>
      <c r="L671" s="42" t="s">
        <v>340</v>
      </c>
      <c r="M671" s="4" t="s">
        <v>3</v>
      </c>
      <c r="N671" s="15">
        <v>35561238</v>
      </c>
      <c r="O671" s="88">
        <v>20355612385</v>
      </c>
      <c r="P671" s="38"/>
      <c r="Q671" s="38"/>
      <c r="R671" s="38"/>
      <c r="S671" s="38"/>
      <c r="T671" s="38"/>
      <c r="U671" s="16" t="s">
        <v>796</v>
      </c>
      <c r="V671" s="16" t="s">
        <v>916</v>
      </c>
      <c r="W671" s="12">
        <v>41365</v>
      </c>
      <c r="X671" s="12">
        <v>42460</v>
      </c>
      <c r="Y671" s="12">
        <v>42735</v>
      </c>
      <c r="Z671" s="2" t="s">
        <v>42</v>
      </c>
      <c r="AA671" s="2"/>
      <c r="AB671" s="18"/>
      <c r="AC671" s="5">
        <v>1000</v>
      </c>
      <c r="AD671" s="5"/>
      <c r="AE671" s="5">
        <v>1170</v>
      </c>
      <c r="AF671" s="5">
        <f t="shared" si="661"/>
        <v>1310</v>
      </c>
      <c r="AG671" s="5">
        <f t="shared" si="715"/>
        <v>1310</v>
      </c>
      <c r="AH671" s="5">
        <f t="shared" si="715"/>
        <v>1310</v>
      </c>
      <c r="AI671" s="5">
        <f t="shared" ref="AI671:AJ671" si="723">+AH671</f>
        <v>1310</v>
      </c>
      <c r="AJ671" s="5">
        <f t="shared" si="723"/>
        <v>1310</v>
      </c>
      <c r="AK671" s="2"/>
      <c r="AL671" s="105" t="str">
        <f>+Z671</f>
        <v>C0</v>
      </c>
    </row>
    <row r="672" spans="1:38" s="6" customFormat="1" ht="15" customHeight="1" x14ac:dyDescent="0.2">
      <c r="A672" s="29" t="s">
        <v>824</v>
      </c>
      <c r="B672" s="29" t="s">
        <v>822</v>
      </c>
      <c r="C672" s="29" t="s">
        <v>823</v>
      </c>
      <c r="D672" s="2" t="s">
        <v>800</v>
      </c>
      <c r="E672" s="2" t="s">
        <v>493</v>
      </c>
      <c r="F672" s="2"/>
      <c r="G672" s="2"/>
      <c r="H672" s="2"/>
      <c r="I672" s="3"/>
      <c r="J672" s="28" t="s">
        <v>254</v>
      </c>
      <c r="K672" s="28"/>
      <c r="L672" s="42" t="s">
        <v>342</v>
      </c>
      <c r="M672" s="4" t="s">
        <v>3</v>
      </c>
      <c r="N672" s="15">
        <v>33258936</v>
      </c>
      <c r="O672" s="88">
        <v>23332589369</v>
      </c>
      <c r="P672" s="38"/>
      <c r="Q672" s="38"/>
      <c r="R672" s="38"/>
      <c r="S672" s="38"/>
      <c r="T672" s="38"/>
      <c r="U672" s="16" t="s">
        <v>796</v>
      </c>
      <c r="V672" s="16" t="s">
        <v>916</v>
      </c>
      <c r="W672" s="12">
        <v>41091</v>
      </c>
      <c r="X672" s="48">
        <v>42735</v>
      </c>
      <c r="Y672" s="12">
        <v>42735</v>
      </c>
      <c r="Z672" s="2" t="s">
        <v>49</v>
      </c>
      <c r="AA672" s="2"/>
      <c r="AB672" s="18"/>
      <c r="AC672" s="5">
        <v>1000</v>
      </c>
      <c r="AD672" s="5"/>
      <c r="AE672" s="5">
        <v>1170</v>
      </c>
      <c r="AF672" s="5">
        <f t="shared" si="661"/>
        <v>1310</v>
      </c>
      <c r="AG672" s="5">
        <f t="shared" si="715"/>
        <v>1310</v>
      </c>
      <c r="AH672" s="5">
        <f t="shared" si="715"/>
        <v>1310</v>
      </c>
      <c r="AI672" s="5">
        <f t="shared" ref="AI672:AJ672" si="724">+AH672</f>
        <v>1310</v>
      </c>
      <c r="AJ672" s="5">
        <f t="shared" si="724"/>
        <v>1310</v>
      </c>
      <c r="AK672" s="2"/>
      <c r="AL672" s="105" t="str">
        <f>+Z672</f>
        <v>D1</v>
      </c>
    </row>
    <row r="673" spans="1:38" s="6" customFormat="1" ht="15" customHeight="1" x14ac:dyDescent="0.2">
      <c r="A673" s="29" t="s">
        <v>824</v>
      </c>
      <c r="B673" s="2" t="s">
        <v>822</v>
      </c>
      <c r="C673" s="29" t="s">
        <v>823</v>
      </c>
      <c r="D673" s="2" t="s">
        <v>808</v>
      </c>
      <c r="E673" s="2" t="s">
        <v>20</v>
      </c>
      <c r="F673" s="2" t="s">
        <v>503</v>
      </c>
      <c r="G673" s="3"/>
      <c r="H673" s="2" t="s">
        <v>221</v>
      </c>
      <c r="I673" s="3"/>
      <c r="J673" s="28" t="s">
        <v>73</v>
      </c>
      <c r="K673" s="28"/>
      <c r="L673" s="42" t="s">
        <v>169</v>
      </c>
      <c r="M673" s="4" t="s">
        <v>3</v>
      </c>
      <c r="N673" s="15">
        <v>29393244</v>
      </c>
      <c r="O673" s="88">
        <v>27293932447</v>
      </c>
      <c r="P673" s="38"/>
      <c r="Q673" s="38"/>
      <c r="R673" s="38"/>
      <c r="S673" s="38"/>
      <c r="T673" s="38"/>
      <c r="U673" s="16" t="s">
        <v>796</v>
      </c>
      <c r="V673" s="16" t="s">
        <v>916</v>
      </c>
      <c r="W673" s="12">
        <v>42156</v>
      </c>
      <c r="X673" s="12">
        <v>42460</v>
      </c>
      <c r="Y673" s="12">
        <v>42735</v>
      </c>
      <c r="Z673" s="2" t="s">
        <v>30</v>
      </c>
      <c r="AA673" s="2"/>
      <c r="AB673" s="14"/>
      <c r="AC673" s="5">
        <v>1000</v>
      </c>
      <c r="AD673" s="5"/>
      <c r="AE673" s="5">
        <v>1170</v>
      </c>
      <c r="AF673" s="5">
        <f t="shared" si="661"/>
        <v>1310</v>
      </c>
      <c r="AG673" s="5">
        <f t="shared" si="715"/>
        <v>1310</v>
      </c>
      <c r="AH673" s="5">
        <f t="shared" si="715"/>
        <v>1310</v>
      </c>
      <c r="AI673" s="5">
        <f t="shared" ref="AI673:AJ673" si="725">+AH673</f>
        <v>1310</v>
      </c>
      <c r="AJ673" s="5">
        <f t="shared" si="725"/>
        <v>1310</v>
      </c>
      <c r="AK673" s="2"/>
      <c r="AL673" s="105" t="str">
        <f>+Z673</f>
        <v>B1</v>
      </c>
    </row>
    <row r="674" spans="1:38" s="6" customFormat="1" ht="15" customHeight="1" x14ac:dyDescent="0.2">
      <c r="A674" s="29" t="s">
        <v>824</v>
      </c>
      <c r="B674" s="29" t="s">
        <v>822</v>
      </c>
      <c r="C674" s="29" t="s">
        <v>823</v>
      </c>
      <c r="D674" s="2" t="s">
        <v>800</v>
      </c>
      <c r="E674" s="2" t="s">
        <v>489</v>
      </c>
      <c r="F674" s="2"/>
      <c r="G674" s="2"/>
      <c r="H674" s="2"/>
      <c r="I674" s="3" t="s">
        <v>1731</v>
      </c>
      <c r="J674" s="28" t="s">
        <v>254</v>
      </c>
      <c r="K674" s="28" t="s">
        <v>1767</v>
      </c>
      <c r="L674" s="42" t="s">
        <v>364</v>
      </c>
      <c r="M674" s="4" t="s">
        <v>3</v>
      </c>
      <c r="N674" s="15">
        <v>32842913</v>
      </c>
      <c r="O674" s="88" t="s">
        <v>1432</v>
      </c>
      <c r="P674" s="38">
        <v>31799</v>
      </c>
      <c r="Q674" s="38"/>
      <c r="R674" s="38"/>
      <c r="S674" s="38"/>
      <c r="T674" s="38"/>
      <c r="U674" s="17" t="s">
        <v>215</v>
      </c>
      <c r="V674" s="17" t="s">
        <v>915</v>
      </c>
      <c r="W674" s="12">
        <v>41821</v>
      </c>
      <c r="X674" s="20"/>
      <c r="Y674" s="12">
        <v>42735</v>
      </c>
      <c r="Z674" s="2"/>
      <c r="AA674" s="2" t="s">
        <v>479</v>
      </c>
      <c r="AB674" s="24" t="s">
        <v>479</v>
      </c>
      <c r="AC674" s="5">
        <v>1000</v>
      </c>
      <c r="AD674" s="5">
        <v>1070</v>
      </c>
      <c r="AE674" s="5">
        <v>1170</v>
      </c>
      <c r="AF674" s="5">
        <f t="shared" si="661"/>
        <v>1310</v>
      </c>
      <c r="AG674" s="5">
        <f t="shared" si="715"/>
        <v>1310</v>
      </c>
      <c r="AH674" s="5">
        <f t="shared" si="715"/>
        <v>1310</v>
      </c>
      <c r="AI674" s="5">
        <f t="shared" ref="AI674:AJ674" si="726">+AH674</f>
        <v>1310</v>
      </c>
      <c r="AJ674" s="5">
        <f t="shared" si="726"/>
        <v>1310</v>
      </c>
      <c r="AK674" s="29" t="s">
        <v>42</v>
      </c>
      <c r="AL674" s="105" t="str">
        <f>+AK674</f>
        <v>C0</v>
      </c>
    </row>
    <row r="675" spans="1:38" s="6" customFormat="1" ht="15" customHeight="1" x14ac:dyDescent="0.2">
      <c r="A675" s="29" t="s">
        <v>824</v>
      </c>
      <c r="B675" s="29" t="s">
        <v>822</v>
      </c>
      <c r="C675" s="29" t="s">
        <v>823</v>
      </c>
      <c r="D675" s="2" t="s">
        <v>800</v>
      </c>
      <c r="E675" s="2" t="s">
        <v>489</v>
      </c>
      <c r="F675" s="2"/>
      <c r="G675" s="2"/>
      <c r="H675" s="2"/>
      <c r="I675" s="3" t="s">
        <v>1731</v>
      </c>
      <c r="J675" s="28" t="s">
        <v>254</v>
      </c>
      <c r="K675" s="28" t="s">
        <v>1767</v>
      </c>
      <c r="L675" s="42" t="s">
        <v>365</v>
      </c>
      <c r="M675" s="4" t="s">
        <v>3</v>
      </c>
      <c r="N675" s="15">
        <v>28628292</v>
      </c>
      <c r="O675" s="88" t="s">
        <v>1330</v>
      </c>
      <c r="P675" s="38">
        <v>29635</v>
      </c>
      <c r="Q675" s="38"/>
      <c r="R675" s="38"/>
      <c r="S675" s="38"/>
      <c r="T675" s="38"/>
      <c r="U675" s="17" t="s">
        <v>215</v>
      </c>
      <c r="V675" s="17" t="s">
        <v>915</v>
      </c>
      <c r="W675" s="12">
        <v>41913</v>
      </c>
      <c r="X675" s="20"/>
      <c r="Y675" s="12">
        <v>42735</v>
      </c>
      <c r="Z675" s="2"/>
      <c r="AA675" s="2" t="s">
        <v>479</v>
      </c>
      <c r="AB675" s="24" t="s">
        <v>479</v>
      </c>
      <c r="AC675" s="5">
        <v>1000</v>
      </c>
      <c r="AD675" s="5">
        <v>1070</v>
      </c>
      <c r="AE675" s="5">
        <v>1170</v>
      </c>
      <c r="AF675" s="5">
        <f t="shared" si="661"/>
        <v>1310</v>
      </c>
      <c r="AG675" s="5">
        <f t="shared" si="715"/>
        <v>1310</v>
      </c>
      <c r="AH675" s="5">
        <f t="shared" si="715"/>
        <v>1310</v>
      </c>
      <c r="AI675" s="5">
        <f t="shared" ref="AI675:AJ675" si="727">+AH675</f>
        <v>1310</v>
      </c>
      <c r="AJ675" s="5">
        <f t="shared" si="727"/>
        <v>1310</v>
      </c>
      <c r="AK675" s="29" t="s">
        <v>42</v>
      </c>
      <c r="AL675" s="105" t="str">
        <f>+AK675</f>
        <v>C0</v>
      </c>
    </row>
    <row r="676" spans="1:38" s="6" customFormat="1" ht="15" customHeight="1" x14ac:dyDescent="0.2">
      <c r="A676" s="29" t="s">
        <v>824</v>
      </c>
      <c r="B676" s="29" t="s">
        <v>822</v>
      </c>
      <c r="C676" s="29" t="s">
        <v>823</v>
      </c>
      <c r="D676" s="2" t="s">
        <v>808</v>
      </c>
      <c r="E676" s="2" t="s">
        <v>219</v>
      </c>
      <c r="F676" s="2"/>
      <c r="G676" s="2"/>
      <c r="H676" s="2" t="s">
        <v>897</v>
      </c>
      <c r="I676" s="3"/>
      <c r="J676" s="28"/>
      <c r="K676" s="28"/>
      <c r="L676" s="42" t="s">
        <v>893</v>
      </c>
      <c r="M676" s="7" t="s">
        <v>3</v>
      </c>
      <c r="N676" s="15"/>
      <c r="O676" s="88"/>
      <c r="P676" s="38"/>
      <c r="Q676" s="38"/>
      <c r="R676" s="38"/>
      <c r="S676" s="38"/>
      <c r="T676" s="38"/>
      <c r="U676" s="18"/>
      <c r="V676" s="17"/>
      <c r="W676" s="12"/>
      <c r="X676" s="20"/>
      <c r="Y676" s="12">
        <v>42735</v>
      </c>
      <c r="Z676" s="2"/>
      <c r="AA676" s="2"/>
      <c r="AB676" s="24"/>
      <c r="AC676" s="5" t="s">
        <v>914</v>
      </c>
      <c r="AD676" s="5"/>
      <c r="AE676" s="5" t="s">
        <v>1611</v>
      </c>
      <c r="AF676" s="74" t="s">
        <v>1611</v>
      </c>
      <c r="AG676" s="5" t="str">
        <f t="shared" si="715"/>
        <v xml:space="preserve"> ---</v>
      </c>
      <c r="AH676" s="5" t="str">
        <f t="shared" si="715"/>
        <v xml:space="preserve"> ---</v>
      </c>
      <c r="AI676" s="5" t="str">
        <f t="shared" ref="AI676:AJ676" si="728">+AH676</f>
        <v xml:space="preserve"> ---</v>
      </c>
      <c r="AJ676" s="5" t="str">
        <f t="shared" si="728"/>
        <v xml:space="preserve"> ---</v>
      </c>
      <c r="AK676" s="2"/>
      <c r="AL676" s="8"/>
    </row>
    <row r="677" spans="1:38" s="6" customFormat="1" ht="15" customHeight="1" x14ac:dyDescent="0.2">
      <c r="A677" s="29" t="s">
        <v>824</v>
      </c>
      <c r="B677" s="29" t="s">
        <v>822</v>
      </c>
      <c r="C677" s="29" t="s">
        <v>823</v>
      </c>
      <c r="D677" s="2" t="s">
        <v>808</v>
      </c>
      <c r="E677" s="2"/>
      <c r="F677" s="3"/>
      <c r="G677" s="3"/>
      <c r="H677" s="2" t="s">
        <v>1639</v>
      </c>
      <c r="I677" s="2" t="s">
        <v>1707</v>
      </c>
      <c r="J677" s="28"/>
      <c r="K677" s="28" t="s">
        <v>1765</v>
      </c>
      <c r="L677" s="41" t="s">
        <v>1634</v>
      </c>
      <c r="M677" s="7" t="s">
        <v>3</v>
      </c>
      <c r="N677" s="15">
        <v>6410816</v>
      </c>
      <c r="O677" s="88">
        <v>27064108161</v>
      </c>
      <c r="P677" s="38">
        <v>18583</v>
      </c>
      <c r="Q677" s="38"/>
      <c r="R677" s="38"/>
      <c r="S677" s="38"/>
      <c r="T677" s="38"/>
      <c r="U677" s="17" t="s">
        <v>215</v>
      </c>
      <c r="V677" s="17" t="s">
        <v>915</v>
      </c>
      <c r="W677" s="12">
        <v>42522</v>
      </c>
      <c r="X677" s="48"/>
      <c r="Y677" s="48">
        <v>42735</v>
      </c>
      <c r="Z677" s="2"/>
      <c r="AA677" s="2" t="s">
        <v>479</v>
      </c>
      <c r="AB677" s="3"/>
      <c r="AC677" s="5"/>
      <c r="AD677" s="5">
        <v>1070</v>
      </c>
      <c r="AE677" s="5">
        <v>1170</v>
      </c>
      <c r="AF677" s="5">
        <f t="shared" ref="AF677:AF740" si="729">+AC677*1.31</f>
        <v>0</v>
      </c>
      <c r="AG677" s="5">
        <f t="shared" si="715"/>
        <v>0</v>
      </c>
      <c r="AH677" s="5">
        <f t="shared" si="715"/>
        <v>0</v>
      </c>
      <c r="AI677" s="5">
        <f t="shared" ref="AI677:AJ677" si="730">+AH677</f>
        <v>0</v>
      </c>
      <c r="AJ677" s="5">
        <f t="shared" si="730"/>
        <v>0</v>
      </c>
      <c r="AK677" s="2" t="s">
        <v>53</v>
      </c>
      <c r="AL677" s="105" t="str">
        <f>+AK677</f>
        <v>B0</v>
      </c>
    </row>
    <row r="678" spans="1:38" s="6" customFormat="1" ht="15" customHeight="1" x14ac:dyDescent="0.2">
      <c r="A678" s="29" t="s">
        <v>824</v>
      </c>
      <c r="B678" s="29" t="s">
        <v>822</v>
      </c>
      <c r="C678" s="29" t="s">
        <v>823</v>
      </c>
      <c r="D678" s="2" t="s">
        <v>808</v>
      </c>
      <c r="E678" s="7" t="s">
        <v>517</v>
      </c>
      <c r="F678" s="7"/>
      <c r="G678" s="7"/>
      <c r="H678" s="8"/>
      <c r="I678" s="2" t="s">
        <v>1707</v>
      </c>
      <c r="J678" s="28"/>
      <c r="K678" s="28" t="s">
        <v>1765</v>
      </c>
      <c r="L678" s="42" t="s">
        <v>1120</v>
      </c>
      <c r="M678" s="7" t="s">
        <v>3</v>
      </c>
      <c r="N678" s="15">
        <v>24569258</v>
      </c>
      <c r="O678" s="88">
        <v>20245692588</v>
      </c>
      <c r="P678" s="38">
        <v>27571</v>
      </c>
      <c r="Q678" s="38"/>
      <c r="R678" s="38"/>
      <c r="S678" s="38"/>
      <c r="T678" s="38"/>
      <c r="U678" s="17" t="s">
        <v>215</v>
      </c>
      <c r="V678" s="17" t="s">
        <v>915</v>
      </c>
      <c r="W678" s="12">
        <v>42522</v>
      </c>
      <c r="X678" s="20"/>
      <c r="Y678" s="12">
        <v>42735</v>
      </c>
      <c r="Z678" s="2"/>
      <c r="AA678" s="2" t="s">
        <v>479</v>
      </c>
      <c r="AB678" s="24"/>
      <c r="AC678" s="5">
        <v>1000</v>
      </c>
      <c r="AD678" s="5">
        <f>+AC678*1.07</f>
        <v>1070</v>
      </c>
      <c r="AE678" s="5">
        <v>1170</v>
      </c>
      <c r="AF678" s="5">
        <f t="shared" si="729"/>
        <v>1310</v>
      </c>
      <c r="AG678" s="5">
        <f t="shared" si="715"/>
        <v>1310</v>
      </c>
      <c r="AH678" s="5">
        <f t="shared" si="715"/>
        <v>1310</v>
      </c>
      <c r="AI678" s="5">
        <f t="shared" ref="AI678:AJ678" si="731">+AH678</f>
        <v>1310</v>
      </c>
      <c r="AJ678" s="5">
        <f t="shared" si="731"/>
        <v>1310</v>
      </c>
      <c r="AK678" s="29" t="s">
        <v>42</v>
      </c>
      <c r="AL678" s="105" t="str">
        <f>+AK678</f>
        <v>C0</v>
      </c>
    </row>
    <row r="679" spans="1:38" s="6" customFormat="1" ht="15" customHeight="1" x14ac:dyDescent="0.2">
      <c r="A679" s="29" t="s">
        <v>824</v>
      </c>
      <c r="B679" s="29" t="s">
        <v>822</v>
      </c>
      <c r="C679" s="29" t="s">
        <v>823</v>
      </c>
      <c r="D679" s="2" t="s">
        <v>808</v>
      </c>
      <c r="E679" s="7" t="s">
        <v>20</v>
      </c>
      <c r="F679" s="7"/>
      <c r="G679" s="7"/>
      <c r="H679" s="8"/>
      <c r="I679" s="2" t="s">
        <v>235</v>
      </c>
      <c r="J679" s="28"/>
      <c r="K679" s="28" t="s">
        <v>1765</v>
      </c>
      <c r="L679" s="42" t="s">
        <v>1019</v>
      </c>
      <c r="M679" s="7" t="s">
        <v>3</v>
      </c>
      <c r="N679" s="15">
        <v>20294419</v>
      </c>
      <c r="O679" s="88" t="s">
        <v>1191</v>
      </c>
      <c r="P679" s="38">
        <v>25148</v>
      </c>
      <c r="Q679" s="38"/>
      <c r="R679" s="38"/>
      <c r="S679" s="38"/>
      <c r="T679" s="38"/>
      <c r="U679" s="17" t="s">
        <v>215</v>
      </c>
      <c r="V679" s="17" t="s">
        <v>915</v>
      </c>
      <c r="W679" s="12">
        <v>42461</v>
      </c>
      <c r="X679" s="20"/>
      <c r="Y679" s="12">
        <v>42735</v>
      </c>
      <c r="Z679" s="2"/>
      <c r="AA679" s="2" t="s">
        <v>479</v>
      </c>
      <c r="AB679" s="24"/>
      <c r="AC679" s="5">
        <v>1000</v>
      </c>
      <c r="AD679" s="5">
        <f>+AC679*1.07</f>
        <v>1070</v>
      </c>
      <c r="AE679" s="5">
        <v>1170</v>
      </c>
      <c r="AF679" s="5">
        <f t="shared" si="729"/>
        <v>1310</v>
      </c>
      <c r="AG679" s="5">
        <f t="shared" si="715"/>
        <v>1310</v>
      </c>
      <c r="AH679" s="5">
        <f t="shared" si="715"/>
        <v>1310</v>
      </c>
      <c r="AI679" s="5">
        <f t="shared" ref="AI679:AJ679" si="732">+AH679</f>
        <v>1310</v>
      </c>
      <c r="AJ679" s="5">
        <f t="shared" si="732"/>
        <v>1310</v>
      </c>
      <c r="AK679" s="2" t="s">
        <v>53</v>
      </c>
      <c r="AL679" s="105" t="str">
        <f>+AK679</f>
        <v>B0</v>
      </c>
    </row>
    <row r="680" spans="1:38" s="6" customFormat="1" ht="15" customHeight="1" x14ac:dyDescent="0.2">
      <c r="A680" s="29" t="s">
        <v>824</v>
      </c>
      <c r="B680" s="29"/>
      <c r="C680" s="29"/>
      <c r="D680" s="2"/>
      <c r="E680" s="7"/>
      <c r="F680" s="7"/>
      <c r="G680" s="7"/>
      <c r="H680" s="8"/>
      <c r="I680" s="2"/>
      <c r="J680" s="28"/>
      <c r="K680" s="28"/>
      <c r="L680" s="42" t="s">
        <v>1838</v>
      </c>
      <c r="M680" s="7" t="s">
        <v>3</v>
      </c>
      <c r="N680" s="15">
        <v>24170797</v>
      </c>
      <c r="O680" s="88">
        <v>20241707971</v>
      </c>
      <c r="P680" s="38">
        <v>27296</v>
      </c>
      <c r="Q680" s="38"/>
      <c r="R680" s="38"/>
      <c r="S680" s="38"/>
      <c r="T680" s="38"/>
      <c r="U680" s="17" t="s">
        <v>215</v>
      </c>
      <c r="V680" s="17" t="s">
        <v>915</v>
      </c>
      <c r="W680" s="12">
        <v>42583</v>
      </c>
      <c r="X680" s="20"/>
      <c r="Y680" s="12">
        <v>42735</v>
      </c>
      <c r="Z680" s="2"/>
      <c r="AA680" s="2"/>
      <c r="AB680" s="24"/>
      <c r="AC680" s="5"/>
      <c r="AD680" s="5"/>
      <c r="AE680" s="5">
        <v>1170</v>
      </c>
      <c r="AF680" s="5">
        <f t="shared" si="729"/>
        <v>0</v>
      </c>
      <c r="AG680" s="5">
        <f>+AF680</f>
        <v>0</v>
      </c>
      <c r="AH680" s="5">
        <f t="shared" si="715"/>
        <v>0</v>
      </c>
      <c r="AI680" s="5">
        <f t="shared" ref="AI680:AJ680" si="733">+AH680</f>
        <v>0</v>
      </c>
      <c r="AJ680" s="5">
        <f t="shared" si="733"/>
        <v>0</v>
      </c>
      <c r="AK680" s="2"/>
      <c r="AL680" s="105"/>
    </row>
    <row r="681" spans="1:38" s="6" customFormat="1" ht="15" customHeight="1" x14ac:dyDescent="0.2">
      <c r="A681" s="29" t="s">
        <v>824</v>
      </c>
      <c r="B681" s="29"/>
      <c r="C681" s="29"/>
      <c r="D681" s="2"/>
      <c r="E681" s="7"/>
      <c r="F681" s="7"/>
      <c r="G681" s="7"/>
      <c r="H681" s="8"/>
      <c r="I681" s="2"/>
      <c r="J681" s="28"/>
      <c r="K681" s="28"/>
      <c r="L681" s="42" t="s">
        <v>1839</v>
      </c>
      <c r="M681" s="7" t="s">
        <v>3</v>
      </c>
      <c r="N681" s="15">
        <v>36791184</v>
      </c>
      <c r="O681" s="88">
        <v>20367911847</v>
      </c>
      <c r="P681" s="38">
        <v>33612</v>
      </c>
      <c r="Q681" s="38"/>
      <c r="R681" s="38"/>
      <c r="S681" s="38"/>
      <c r="T681" s="38"/>
      <c r="U681" s="17" t="s">
        <v>215</v>
      </c>
      <c r="V681" s="17" t="s">
        <v>915</v>
      </c>
      <c r="W681" s="12">
        <v>42583</v>
      </c>
      <c r="X681" s="20"/>
      <c r="Y681" s="12">
        <v>42735</v>
      </c>
      <c r="Z681" s="2"/>
      <c r="AA681" s="2"/>
      <c r="AB681" s="24"/>
      <c r="AC681" s="5"/>
      <c r="AD681" s="5"/>
      <c r="AE681" s="5">
        <v>1170</v>
      </c>
      <c r="AF681" s="5">
        <f t="shared" si="729"/>
        <v>0</v>
      </c>
      <c r="AG681" s="5">
        <f>+AF681</f>
        <v>0</v>
      </c>
      <c r="AH681" s="5">
        <f t="shared" si="715"/>
        <v>0</v>
      </c>
      <c r="AI681" s="5">
        <f t="shared" ref="AI681:AJ681" si="734">+AH681</f>
        <v>0</v>
      </c>
      <c r="AJ681" s="5">
        <f t="shared" si="734"/>
        <v>0</v>
      </c>
      <c r="AK681" s="2"/>
      <c r="AL681" s="105"/>
    </row>
    <row r="682" spans="1:38" s="6" customFormat="1" ht="15" customHeight="1" x14ac:dyDescent="0.2">
      <c r="A682" s="29" t="s">
        <v>824</v>
      </c>
      <c r="B682" s="29"/>
      <c r="C682" s="29"/>
      <c r="D682" s="2"/>
      <c r="E682" s="7"/>
      <c r="F682" s="7"/>
      <c r="G682" s="7"/>
      <c r="H682" s="8"/>
      <c r="I682" s="2"/>
      <c r="J682" s="28"/>
      <c r="K682" s="28"/>
      <c r="L682" s="42" t="s">
        <v>1840</v>
      </c>
      <c r="M682" s="7" t="s">
        <v>3</v>
      </c>
      <c r="N682" s="15">
        <v>8557802</v>
      </c>
      <c r="O682" s="88">
        <v>20085578023</v>
      </c>
      <c r="P682" s="38">
        <v>18698</v>
      </c>
      <c r="Q682" s="38"/>
      <c r="R682" s="38"/>
      <c r="S682" s="38"/>
      <c r="T682" s="38"/>
      <c r="U682" s="17" t="s">
        <v>215</v>
      </c>
      <c r="V682" s="17" t="s">
        <v>915</v>
      </c>
      <c r="W682" s="12">
        <v>42583</v>
      </c>
      <c r="X682" s="20"/>
      <c r="Y682" s="12">
        <v>42643</v>
      </c>
      <c r="Z682" s="2"/>
      <c r="AA682" s="2"/>
      <c r="AB682" s="24"/>
      <c r="AC682" s="5"/>
      <c r="AD682" s="5"/>
      <c r="AE682" s="5"/>
      <c r="AF682" s="5">
        <f t="shared" si="729"/>
        <v>0</v>
      </c>
      <c r="AG682" s="5">
        <f>+AF682</f>
        <v>0</v>
      </c>
      <c r="AH682" s="5"/>
      <c r="AI682" s="5">
        <f t="shared" ref="AI682:AJ682" si="735">+AH682</f>
        <v>0</v>
      </c>
      <c r="AJ682" s="5">
        <f t="shared" si="735"/>
        <v>0</v>
      </c>
      <c r="AK682" s="2"/>
      <c r="AL682" s="105"/>
    </row>
    <row r="683" spans="1:38" s="6" customFormat="1" ht="15" customHeight="1" x14ac:dyDescent="0.2">
      <c r="A683" s="29" t="s">
        <v>824</v>
      </c>
      <c r="B683" s="29"/>
      <c r="C683" s="29"/>
      <c r="D683" s="2"/>
      <c r="E683" s="7"/>
      <c r="F683" s="7"/>
      <c r="G683" s="7"/>
      <c r="H683" s="8"/>
      <c r="I683" s="2"/>
      <c r="J683" s="28"/>
      <c r="K683" s="28"/>
      <c r="L683" s="42" t="s">
        <v>1841</v>
      </c>
      <c r="M683" s="7" t="s">
        <v>3</v>
      </c>
      <c r="N683" s="15">
        <v>29497455</v>
      </c>
      <c r="O683" s="88">
        <v>27294974550</v>
      </c>
      <c r="P683" s="38">
        <v>30116</v>
      </c>
      <c r="Q683" s="38"/>
      <c r="R683" s="38"/>
      <c r="S683" s="38"/>
      <c r="T683" s="38"/>
      <c r="U683" s="17" t="s">
        <v>215</v>
      </c>
      <c r="V683" s="17" t="s">
        <v>915</v>
      </c>
      <c r="W683" s="12">
        <v>42583</v>
      </c>
      <c r="X683" s="20"/>
      <c r="Y683" s="12">
        <v>42735</v>
      </c>
      <c r="Z683" s="2"/>
      <c r="AA683" s="2"/>
      <c r="AB683" s="24"/>
      <c r="AC683" s="5"/>
      <c r="AD683" s="5"/>
      <c r="AE683" s="5">
        <v>1170</v>
      </c>
      <c r="AF683" s="5">
        <f t="shared" si="729"/>
        <v>0</v>
      </c>
      <c r="AG683" s="5">
        <f>+AF683</f>
        <v>0</v>
      </c>
      <c r="AH683" s="5">
        <f t="shared" si="715"/>
        <v>0</v>
      </c>
      <c r="AI683" s="5">
        <f t="shared" ref="AI683:AJ683" si="736">+AH683</f>
        <v>0</v>
      </c>
      <c r="AJ683" s="5">
        <f t="shared" si="736"/>
        <v>0</v>
      </c>
      <c r="AK683" s="2"/>
      <c r="AL683" s="105"/>
    </row>
    <row r="684" spans="1:38" s="6" customFormat="1" ht="15" customHeight="1" x14ac:dyDescent="0.2">
      <c r="A684" s="29" t="s">
        <v>824</v>
      </c>
      <c r="B684" s="29"/>
      <c r="C684" s="29"/>
      <c r="D684" s="2"/>
      <c r="E684" s="7"/>
      <c r="F684" s="7"/>
      <c r="G684" s="7"/>
      <c r="H684" s="8"/>
      <c r="I684" s="2"/>
      <c r="J684" s="28"/>
      <c r="K684" s="28"/>
      <c r="L684" s="42" t="s">
        <v>1843</v>
      </c>
      <c r="M684" s="7" t="s">
        <v>3</v>
      </c>
      <c r="N684" s="15">
        <v>16345393</v>
      </c>
      <c r="O684" s="88">
        <v>27163453938</v>
      </c>
      <c r="P684" s="38">
        <v>23025</v>
      </c>
      <c r="Q684" s="38"/>
      <c r="R684" s="38"/>
      <c r="S684" s="38"/>
      <c r="T684" s="38"/>
      <c r="U684" s="17" t="s">
        <v>215</v>
      </c>
      <c r="V684" s="17" t="s">
        <v>915</v>
      </c>
      <c r="W684" s="12">
        <v>42583</v>
      </c>
      <c r="X684" s="20"/>
      <c r="Y684" s="12">
        <v>42734</v>
      </c>
      <c r="Z684" s="2"/>
      <c r="AA684" s="2"/>
      <c r="AB684" s="24"/>
      <c r="AC684" s="5"/>
      <c r="AD684" s="5"/>
      <c r="AE684" s="5">
        <v>1170</v>
      </c>
      <c r="AF684" s="5">
        <f t="shared" si="729"/>
        <v>0</v>
      </c>
      <c r="AG684" s="5">
        <f>+AF684</f>
        <v>0</v>
      </c>
      <c r="AH684" s="5">
        <f t="shared" si="715"/>
        <v>0</v>
      </c>
      <c r="AI684" s="5">
        <f t="shared" ref="AI684:AJ684" si="737">+AH684</f>
        <v>0</v>
      </c>
      <c r="AJ684" s="5">
        <f t="shared" si="737"/>
        <v>0</v>
      </c>
      <c r="AK684" s="2"/>
      <c r="AL684" s="105"/>
    </row>
    <row r="685" spans="1:38" s="6" customFormat="1" ht="15" customHeight="1" x14ac:dyDescent="0.2">
      <c r="A685" s="29" t="s">
        <v>824</v>
      </c>
      <c r="B685" s="29" t="s">
        <v>822</v>
      </c>
      <c r="C685" s="14"/>
      <c r="D685" s="2" t="s">
        <v>928</v>
      </c>
      <c r="E685" s="2" t="s">
        <v>11</v>
      </c>
      <c r="F685" s="3"/>
      <c r="G685" s="3"/>
      <c r="H685" s="2" t="s">
        <v>1105</v>
      </c>
      <c r="I685" s="2" t="s">
        <v>1707</v>
      </c>
      <c r="J685" s="28"/>
      <c r="K685" s="28" t="s">
        <v>1765</v>
      </c>
      <c r="L685" s="41" t="s">
        <v>872</v>
      </c>
      <c r="M685" s="4" t="s">
        <v>3</v>
      </c>
      <c r="N685" s="15">
        <v>29040298</v>
      </c>
      <c r="O685" s="88" t="s">
        <v>1344</v>
      </c>
      <c r="P685" s="38">
        <v>29830</v>
      </c>
      <c r="Q685" s="38"/>
      <c r="R685" s="38"/>
      <c r="S685" s="38"/>
      <c r="T685" s="38"/>
      <c r="U685" s="17" t="s">
        <v>215</v>
      </c>
      <c r="V685" s="17" t="s">
        <v>915</v>
      </c>
      <c r="W685" s="12">
        <v>42370</v>
      </c>
      <c r="X685" s="48"/>
      <c r="Y685" s="12">
        <v>42735</v>
      </c>
      <c r="Z685" s="2"/>
      <c r="AA685" s="2" t="s">
        <v>479</v>
      </c>
      <c r="AB685" s="3" t="s">
        <v>10</v>
      </c>
      <c r="AC685" s="5">
        <v>1000</v>
      </c>
      <c r="AD685" s="5">
        <f>+AC685*1.07</f>
        <v>1070</v>
      </c>
      <c r="AE685" s="5">
        <v>1170</v>
      </c>
      <c r="AF685" s="5">
        <f t="shared" si="729"/>
        <v>1310</v>
      </c>
      <c r="AG685" s="5">
        <f t="shared" si="715"/>
        <v>1310</v>
      </c>
      <c r="AH685" s="5">
        <f t="shared" si="715"/>
        <v>1310</v>
      </c>
      <c r="AI685" s="5">
        <f t="shared" ref="AI685:AJ685" si="738">+AH685</f>
        <v>1310</v>
      </c>
      <c r="AJ685" s="5">
        <f t="shared" si="738"/>
        <v>1310</v>
      </c>
      <c r="AK685" s="2" t="s">
        <v>43</v>
      </c>
      <c r="AL685" s="105" t="str">
        <f>+AK685</f>
        <v>A0</v>
      </c>
    </row>
    <row r="686" spans="1:38" s="6" customFormat="1" ht="15" customHeight="1" x14ac:dyDescent="0.2">
      <c r="A686" s="29" t="s">
        <v>824</v>
      </c>
      <c r="B686" s="2" t="s">
        <v>822</v>
      </c>
      <c r="C686" s="3"/>
      <c r="D686" s="2" t="s">
        <v>825</v>
      </c>
      <c r="E686" s="3" t="s">
        <v>18</v>
      </c>
      <c r="F686" s="2" t="s">
        <v>19</v>
      </c>
      <c r="G686" s="2"/>
      <c r="H686" s="2" t="s">
        <v>20</v>
      </c>
      <c r="I686" s="2" t="s">
        <v>1719</v>
      </c>
      <c r="J686" s="28" t="s">
        <v>548</v>
      </c>
      <c r="K686" s="28" t="s">
        <v>548</v>
      </c>
      <c r="L686" s="44" t="s">
        <v>710</v>
      </c>
      <c r="M686" s="4" t="s">
        <v>3</v>
      </c>
      <c r="N686" s="15">
        <v>30411280</v>
      </c>
      <c r="O686" s="88" t="s">
        <v>1370</v>
      </c>
      <c r="P686" s="38">
        <v>30513</v>
      </c>
      <c r="Q686" s="38"/>
      <c r="R686" s="38"/>
      <c r="S686" s="38"/>
      <c r="T686" s="38"/>
      <c r="U686" s="17" t="s">
        <v>215</v>
      </c>
      <c r="V686" s="17" t="s">
        <v>915</v>
      </c>
      <c r="W686" s="12">
        <v>42037</v>
      </c>
      <c r="X686" s="12"/>
      <c r="Y686" s="12">
        <v>42735</v>
      </c>
      <c r="Z686" s="2"/>
      <c r="AA686" s="2" t="s">
        <v>479</v>
      </c>
      <c r="AB686" s="7" t="s">
        <v>787</v>
      </c>
      <c r="AC686" s="5">
        <v>1000</v>
      </c>
      <c r="AD686" s="5">
        <f>+AC686</f>
        <v>1000</v>
      </c>
      <c r="AE686" s="5">
        <v>1170</v>
      </c>
      <c r="AF686" s="5">
        <f t="shared" si="729"/>
        <v>1310</v>
      </c>
      <c r="AG686" s="5">
        <f t="shared" si="715"/>
        <v>1310</v>
      </c>
      <c r="AH686" s="5">
        <f t="shared" si="715"/>
        <v>1310</v>
      </c>
      <c r="AI686" s="5">
        <f t="shared" ref="AI686:AJ686" si="739">+AH686</f>
        <v>1310</v>
      </c>
      <c r="AJ686" s="5">
        <f t="shared" si="739"/>
        <v>1310</v>
      </c>
      <c r="AK686" s="2"/>
      <c r="AL686" s="106"/>
    </row>
    <row r="687" spans="1:38" s="6" customFormat="1" ht="15" customHeight="1" x14ac:dyDescent="0.2">
      <c r="A687" s="29" t="s">
        <v>824</v>
      </c>
      <c r="B687" s="2" t="s">
        <v>822</v>
      </c>
      <c r="C687" s="3"/>
      <c r="D687" s="2" t="s">
        <v>825</v>
      </c>
      <c r="E687" s="3" t="s">
        <v>18</v>
      </c>
      <c r="F687" s="2" t="s">
        <v>19</v>
      </c>
      <c r="G687" s="2"/>
      <c r="H687" s="2" t="s">
        <v>37</v>
      </c>
      <c r="I687" s="2" t="s">
        <v>1761</v>
      </c>
      <c r="J687" s="28" t="s">
        <v>548</v>
      </c>
      <c r="K687" s="28" t="s">
        <v>548</v>
      </c>
      <c r="L687" s="44" t="s">
        <v>983</v>
      </c>
      <c r="M687" s="7" t="s">
        <v>3</v>
      </c>
      <c r="N687" s="47">
        <v>28644032</v>
      </c>
      <c r="O687" s="88" t="s">
        <v>1333</v>
      </c>
      <c r="P687" s="38">
        <v>29558</v>
      </c>
      <c r="Q687" s="38"/>
      <c r="R687" s="38"/>
      <c r="S687" s="38"/>
      <c r="T687" s="38"/>
      <c r="U687" s="17" t="s">
        <v>215</v>
      </c>
      <c r="V687" s="17" t="s">
        <v>915</v>
      </c>
      <c r="W687" s="12">
        <v>41334</v>
      </c>
      <c r="X687" s="12"/>
      <c r="Y687" s="12">
        <v>42735</v>
      </c>
      <c r="Z687" s="2"/>
      <c r="AA687" s="2" t="s">
        <v>479</v>
      </c>
      <c r="AB687" s="7"/>
      <c r="AC687" s="5">
        <v>1000</v>
      </c>
      <c r="AD687" s="5">
        <f>+AC687</f>
        <v>1000</v>
      </c>
      <c r="AE687" s="5">
        <v>1170</v>
      </c>
      <c r="AF687" s="5">
        <f t="shared" si="729"/>
        <v>1310</v>
      </c>
      <c r="AG687" s="5">
        <f t="shared" si="715"/>
        <v>1310</v>
      </c>
      <c r="AH687" s="5">
        <f t="shared" si="715"/>
        <v>1310</v>
      </c>
      <c r="AI687" s="5">
        <f t="shared" ref="AI687:AJ687" si="740">+AH687</f>
        <v>1310</v>
      </c>
      <c r="AJ687" s="5">
        <f t="shared" si="740"/>
        <v>1310</v>
      </c>
      <c r="AK687" s="2"/>
      <c r="AL687" s="106"/>
    </row>
    <row r="688" spans="1:38" s="6" customFormat="1" ht="15" customHeight="1" x14ac:dyDescent="0.2">
      <c r="A688" s="29" t="s">
        <v>824</v>
      </c>
      <c r="B688" s="2" t="s">
        <v>822</v>
      </c>
      <c r="C688" s="3"/>
      <c r="D688" s="2" t="s">
        <v>825</v>
      </c>
      <c r="E688" s="3" t="s">
        <v>18</v>
      </c>
      <c r="F688" s="2" t="s">
        <v>19</v>
      </c>
      <c r="G688" s="2"/>
      <c r="H688" s="2" t="s">
        <v>36</v>
      </c>
      <c r="I688" s="2" t="s">
        <v>1760</v>
      </c>
      <c r="J688" s="28" t="s">
        <v>548</v>
      </c>
      <c r="K688" s="28" t="s">
        <v>548</v>
      </c>
      <c r="L688" s="44" t="s">
        <v>711</v>
      </c>
      <c r="M688" s="4" t="s">
        <v>3</v>
      </c>
      <c r="N688" s="15">
        <v>23426521</v>
      </c>
      <c r="O688" s="88" t="s">
        <v>1228</v>
      </c>
      <c r="P688" s="38">
        <v>26980</v>
      </c>
      <c r="Q688" s="38"/>
      <c r="R688" s="38"/>
      <c r="S688" s="38"/>
      <c r="T688" s="38"/>
      <c r="U688" s="17" t="s">
        <v>215</v>
      </c>
      <c r="V688" s="17" t="s">
        <v>915</v>
      </c>
      <c r="W688" s="12">
        <v>40288</v>
      </c>
      <c r="X688" s="12"/>
      <c r="Y688" s="12">
        <v>42735</v>
      </c>
      <c r="Z688" s="2"/>
      <c r="AA688" s="2" t="s">
        <v>479</v>
      </c>
      <c r="AB688" s="7" t="s">
        <v>787</v>
      </c>
      <c r="AC688" s="5">
        <v>1000</v>
      </c>
      <c r="AD688" s="5">
        <f>+AC688</f>
        <v>1000</v>
      </c>
      <c r="AE688" s="5">
        <v>1170</v>
      </c>
      <c r="AF688" s="5">
        <f t="shared" si="729"/>
        <v>1310</v>
      </c>
      <c r="AG688" s="5">
        <f t="shared" si="715"/>
        <v>1310</v>
      </c>
      <c r="AH688" s="5">
        <f t="shared" si="715"/>
        <v>1310</v>
      </c>
      <c r="AI688" s="5">
        <f t="shared" ref="AI688:AJ688" si="741">+AH688</f>
        <v>1310</v>
      </c>
      <c r="AJ688" s="5">
        <f t="shared" si="741"/>
        <v>1310</v>
      </c>
      <c r="AK688" s="2"/>
      <c r="AL688" s="106"/>
    </row>
    <row r="689" spans="1:38" s="6" customFormat="1" ht="15" customHeight="1" x14ac:dyDescent="0.2">
      <c r="A689" s="29" t="s">
        <v>824</v>
      </c>
      <c r="B689" s="29" t="s">
        <v>822</v>
      </c>
      <c r="C689" s="29" t="s">
        <v>823</v>
      </c>
      <c r="D689" s="2" t="s">
        <v>1820</v>
      </c>
      <c r="E689" s="2"/>
      <c r="F689" s="3"/>
      <c r="G689" s="3"/>
      <c r="H689" s="2" t="s">
        <v>884</v>
      </c>
      <c r="I689" s="2" t="s">
        <v>1707</v>
      </c>
      <c r="J689" s="28"/>
      <c r="K689" s="28" t="s">
        <v>1765</v>
      </c>
      <c r="L689" s="41" t="s">
        <v>1624</v>
      </c>
      <c r="M689" s="7" t="s">
        <v>3</v>
      </c>
      <c r="N689" s="15">
        <v>34203786</v>
      </c>
      <c r="O689" s="88">
        <v>27342037866</v>
      </c>
      <c r="P689" s="38">
        <v>32503</v>
      </c>
      <c r="Q689" s="38"/>
      <c r="R689" s="38"/>
      <c r="S689" s="38"/>
      <c r="T689" s="38"/>
      <c r="U689" s="17" t="s">
        <v>215</v>
      </c>
      <c r="V689" s="17" t="s">
        <v>915</v>
      </c>
      <c r="W689" s="12">
        <v>42552</v>
      </c>
      <c r="X689" s="48"/>
      <c r="Y689" s="12">
        <v>42735</v>
      </c>
      <c r="Z689" s="2"/>
      <c r="AA689" s="2" t="s">
        <v>479</v>
      </c>
      <c r="AB689" s="3"/>
      <c r="AC689" s="5"/>
      <c r="AD689" s="5"/>
      <c r="AE689" s="5">
        <v>1170</v>
      </c>
      <c r="AF689" s="5">
        <f t="shared" si="729"/>
        <v>0</v>
      </c>
      <c r="AG689" s="5">
        <f t="shared" ref="AG689:AH708" si="742">+AF689</f>
        <v>0</v>
      </c>
      <c r="AH689" s="5">
        <f t="shared" si="742"/>
        <v>0</v>
      </c>
      <c r="AI689" s="5">
        <f t="shared" ref="AI689:AJ689" si="743">+AH689</f>
        <v>0</v>
      </c>
      <c r="AJ689" s="5">
        <f t="shared" si="743"/>
        <v>0</v>
      </c>
      <c r="AK689" s="2" t="s">
        <v>42</v>
      </c>
      <c r="AL689" s="105" t="str">
        <f>+AK689</f>
        <v>C0</v>
      </c>
    </row>
    <row r="690" spans="1:38" s="6" customFormat="1" ht="15" customHeight="1" x14ac:dyDescent="0.2">
      <c r="A690" s="29" t="s">
        <v>824</v>
      </c>
      <c r="B690" s="2" t="s">
        <v>822</v>
      </c>
      <c r="C690" s="29" t="s">
        <v>823</v>
      </c>
      <c r="D690" s="2" t="s">
        <v>1820</v>
      </c>
      <c r="E690" s="2"/>
      <c r="F690" s="3"/>
      <c r="G690" s="3"/>
      <c r="H690" s="2" t="s">
        <v>884</v>
      </c>
      <c r="I690" s="2" t="s">
        <v>1707</v>
      </c>
      <c r="J690" s="28"/>
      <c r="K690" s="28" t="s">
        <v>1765</v>
      </c>
      <c r="L690" s="41" t="s">
        <v>840</v>
      </c>
      <c r="M690" s="4" t="s">
        <v>3</v>
      </c>
      <c r="N690" s="15">
        <v>14156490</v>
      </c>
      <c r="O690" s="88">
        <v>20141564901</v>
      </c>
      <c r="P690" s="38">
        <v>21957</v>
      </c>
      <c r="Q690" s="38"/>
      <c r="R690" s="38"/>
      <c r="S690" s="38"/>
      <c r="T690" s="38"/>
      <c r="U690" s="17" t="s">
        <v>215</v>
      </c>
      <c r="V690" s="17" t="s">
        <v>915</v>
      </c>
      <c r="W690" s="12">
        <v>42370</v>
      </c>
      <c r="X690" s="48"/>
      <c r="Y690" s="12">
        <v>42735</v>
      </c>
      <c r="Z690" s="2"/>
      <c r="AA690" s="2" t="s">
        <v>479</v>
      </c>
      <c r="AB690" s="3" t="s">
        <v>10</v>
      </c>
      <c r="AC690" s="5">
        <v>1000</v>
      </c>
      <c r="AD690" s="5">
        <f>+AC690*1.07</f>
        <v>1070</v>
      </c>
      <c r="AE690" s="5">
        <v>1170</v>
      </c>
      <c r="AF690" s="5">
        <f t="shared" si="729"/>
        <v>1310</v>
      </c>
      <c r="AG690" s="5">
        <f t="shared" si="742"/>
        <v>1310</v>
      </c>
      <c r="AH690" s="5">
        <f t="shared" si="742"/>
        <v>1310</v>
      </c>
      <c r="AI690" s="5">
        <f t="shared" ref="AI690:AJ690" si="744">+AH690</f>
        <v>1310</v>
      </c>
      <c r="AJ690" s="5">
        <f t="shared" si="744"/>
        <v>1310</v>
      </c>
      <c r="AK690" s="2" t="s">
        <v>43</v>
      </c>
      <c r="AL690" s="105" t="str">
        <f>+AK690</f>
        <v>A0</v>
      </c>
    </row>
    <row r="691" spans="1:38" s="6" customFormat="1" ht="15" customHeight="1" x14ac:dyDescent="0.2">
      <c r="A691" s="29" t="s">
        <v>824</v>
      </c>
      <c r="B691" s="2" t="s">
        <v>822</v>
      </c>
      <c r="C691" s="3"/>
      <c r="D691" s="2" t="s">
        <v>825</v>
      </c>
      <c r="E691" s="3" t="s">
        <v>18</v>
      </c>
      <c r="F691" s="2" t="s">
        <v>19</v>
      </c>
      <c r="G691" s="2"/>
      <c r="H691" s="2" t="s">
        <v>44</v>
      </c>
      <c r="I691" s="2" t="s">
        <v>1707</v>
      </c>
      <c r="J691" s="28" t="s">
        <v>548</v>
      </c>
      <c r="K691" s="28" t="s">
        <v>548</v>
      </c>
      <c r="L691" s="44" t="s">
        <v>712</v>
      </c>
      <c r="M691" s="4" t="s">
        <v>3</v>
      </c>
      <c r="N691" s="15">
        <v>31425968</v>
      </c>
      <c r="O691" s="88" t="s">
        <v>1394</v>
      </c>
      <c r="P691" s="38">
        <v>31120</v>
      </c>
      <c r="Q691" s="38"/>
      <c r="R691" s="38"/>
      <c r="S691" s="38"/>
      <c r="T691" s="38"/>
      <c r="U691" s="17" t="s">
        <v>215</v>
      </c>
      <c r="V691" s="17" t="s">
        <v>915</v>
      </c>
      <c r="W691" s="12">
        <v>41030</v>
      </c>
      <c r="X691" s="12"/>
      <c r="Y691" s="12">
        <v>42735</v>
      </c>
      <c r="Z691" s="2"/>
      <c r="AA691" s="2" t="s">
        <v>479</v>
      </c>
      <c r="AB691" s="7" t="s">
        <v>787</v>
      </c>
      <c r="AC691" s="5">
        <v>1000</v>
      </c>
      <c r="AD691" s="5">
        <f>+AC691*1.07</f>
        <v>1070</v>
      </c>
      <c r="AE691" s="5">
        <v>1170</v>
      </c>
      <c r="AF691" s="5">
        <f t="shared" si="729"/>
        <v>1310</v>
      </c>
      <c r="AG691" s="5">
        <f t="shared" si="742"/>
        <v>1310</v>
      </c>
      <c r="AH691" s="5">
        <f t="shared" si="742"/>
        <v>1310</v>
      </c>
      <c r="AI691" s="5">
        <f t="shared" ref="AI691:AJ691" si="745">+AH691</f>
        <v>1310</v>
      </c>
      <c r="AJ691" s="5">
        <f t="shared" si="745"/>
        <v>1310</v>
      </c>
      <c r="AK691" s="2"/>
      <c r="AL691" s="106"/>
    </row>
    <row r="692" spans="1:38" s="6" customFormat="1" ht="15" customHeight="1" x14ac:dyDescent="0.2">
      <c r="A692" s="29" t="s">
        <v>824</v>
      </c>
      <c r="B692" s="29" t="s">
        <v>822</v>
      </c>
      <c r="C692" s="29" t="s">
        <v>823</v>
      </c>
      <c r="D692" s="2" t="s">
        <v>800</v>
      </c>
      <c r="E692" s="2" t="s">
        <v>487</v>
      </c>
      <c r="F692" s="2"/>
      <c r="G692" s="2"/>
      <c r="H692" s="2" t="s">
        <v>1711</v>
      </c>
      <c r="I692" s="3" t="s">
        <v>1745</v>
      </c>
      <c r="J692" s="28" t="s">
        <v>254</v>
      </c>
      <c r="K692" s="28" t="s">
        <v>1767</v>
      </c>
      <c r="L692" s="42" t="s">
        <v>1057</v>
      </c>
      <c r="M692" s="4" t="s">
        <v>3</v>
      </c>
      <c r="N692" s="15">
        <v>31725315</v>
      </c>
      <c r="O692" s="88">
        <v>20317253150</v>
      </c>
      <c r="P692" s="38">
        <v>31232</v>
      </c>
      <c r="Q692" s="38"/>
      <c r="R692" s="38"/>
      <c r="S692" s="38"/>
      <c r="T692" s="38"/>
      <c r="U692" s="17" t="s">
        <v>215</v>
      </c>
      <c r="V692" s="17" t="s">
        <v>915</v>
      </c>
      <c r="W692" s="12">
        <v>42125</v>
      </c>
      <c r="X692" s="20"/>
      <c r="Y692" s="12">
        <v>42735</v>
      </c>
      <c r="Z692" s="2"/>
      <c r="AA692" s="2" t="s">
        <v>479</v>
      </c>
      <c r="AB692" s="24" t="s">
        <v>479</v>
      </c>
      <c r="AC692" s="5">
        <v>1000</v>
      </c>
      <c r="AD692" s="5">
        <v>1070</v>
      </c>
      <c r="AE692" s="5">
        <v>1170</v>
      </c>
      <c r="AF692" s="5">
        <f t="shared" si="729"/>
        <v>1310</v>
      </c>
      <c r="AG692" s="5">
        <f t="shared" si="742"/>
        <v>1310</v>
      </c>
      <c r="AH692" s="5">
        <f t="shared" si="742"/>
        <v>1310</v>
      </c>
      <c r="AI692" s="5">
        <f t="shared" ref="AI692:AJ692" si="746">+AH692</f>
        <v>1310</v>
      </c>
      <c r="AJ692" s="5">
        <f t="shared" si="746"/>
        <v>1310</v>
      </c>
      <c r="AK692" s="29" t="s">
        <v>42</v>
      </c>
      <c r="AL692" s="105" t="str">
        <f>+AK692</f>
        <v>C0</v>
      </c>
    </row>
    <row r="693" spans="1:38" s="6" customFormat="1" ht="15" customHeight="1" x14ac:dyDescent="0.2">
      <c r="A693" s="29" t="s">
        <v>824</v>
      </c>
      <c r="B693" s="29" t="s">
        <v>822</v>
      </c>
      <c r="C693" s="29" t="s">
        <v>823</v>
      </c>
      <c r="D693" s="2" t="s">
        <v>808</v>
      </c>
      <c r="E693" s="2" t="s">
        <v>216</v>
      </c>
      <c r="F693" s="2"/>
      <c r="G693" s="2"/>
      <c r="H693" s="2"/>
      <c r="I693" s="2" t="s">
        <v>1707</v>
      </c>
      <c r="J693" s="28"/>
      <c r="K693" s="28" t="s">
        <v>1765</v>
      </c>
      <c r="L693" s="42" t="s">
        <v>1027</v>
      </c>
      <c r="M693" s="4" t="s">
        <v>3</v>
      </c>
      <c r="N693" s="15">
        <v>14106221</v>
      </c>
      <c r="O693" s="88" t="s">
        <v>1159</v>
      </c>
      <c r="P693" s="38">
        <v>22070</v>
      </c>
      <c r="Q693" s="38"/>
      <c r="R693" s="38"/>
      <c r="S693" s="38"/>
      <c r="T693" s="38"/>
      <c r="U693" s="17" t="s">
        <v>215</v>
      </c>
      <c r="V693" s="17" t="s">
        <v>915</v>
      </c>
      <c r="W693" s="12"/>
      <c r="X693" s="20"/>
      <c r="Y693" s="12">
        <v>42735</v>
      </c>
      <c r="Z693" s="2"/>
      <c r="AA693" s="2" t="s">
        <v>479</v>
      </c>
      <c r="AB693" s="24"/>
      <c r="AC693" s="5">
        <v>1000</v>
      </c>
      <c r="AD693" s="5">
        <f>+AC693*1.07</f>
        <v>1070</v>
      </c>
      <c r="AE693" s="5">
        <v>1170</v>
      </c>
      <c r="AF693" s="5">
        <f t="shared" si="729"/>
        <v>1310</v>
      </c>
      <c r="AG693" s="5">
        <f t="shared" si="742"/>
        <v>1310</v>
      </c>
      <c r="AH693" s="5">
        <f t="shared" si="742"/>
        <v>1310</v>
      </c>
      <c r="AI693" s="5">
        <f t="shared" ref="AI693:AJ693" si="747">+AH693</f>
        <v>1310</v>
      </c>
      <c r="AJ693" s="5">
        <f t="shared" si="747"/>
        <v>1310</v>
      </c>
      <c r="AK693" s="29" t="s">
        <v>42</v>
      </c>
      <c r="AL693" s="105" t="str">
        <f>+AK693</f>
        <v>C0</v>
      </c>
    </row>
    <row r="694" spans="1:38" s="6" customFormat="1" ht="15" customHeight="1" x14ac:dyDescent="0.2">
      <c r="A694" s="29" t="s">
        <v>824</v>
      </c>
      <c r="B694" s="29"/>
      <c r="C694" s="14"/>
      <c r="D694" s="2" t="s">
        <v>819</v>
      </c>
      <c r="E694" s="2"/>
      <c r="F694" s="3"/>
      <c r="G694" s="3"/>
      <c r="H694" s="2" t="s">
        <v>884</v>
      </c>
      <c r="I694" s="2" t="s">
        <v>1707</v>
      </c>
      <c r="J694" s="28"/>
      <c r="K694" s="28" t="s">
        <v>1765</v>
      </c>
      <c r="L694" s="41" t="s">
        <v>853</v>
      </c>
      <c r="M694" s="4" t="s">
        <v>3</v>
      </c>
      <c r="N694" s="15">
        <v>30742365</v>
      </c>
      <c r="O694" s="88">
        <v>27307423656</v>
      </c>
      <c r="P694" s="38">
        <v>30680</v>
      </c>
      <c r="Q694" s="38"/>
      <c r="R694" s="38"/>
      <c r="S694" s="38"/>
      <c r="T694" s="38"/>
      <c r="U694" s="17" t="s">
        <v>215</v>
      </c>
      <c r="V694" s="17" t="s">
        <v>915</v>
      </c>
      <c r="W694" s="12">
        <v>42370</v>
      </c>
      <c r="X694" s="48"/>
      <c r="Y694" s="12">
        <v>42735</v>
      </c>
      <c r="Z694" s="2"/>
      <c r="AA694" s="2" t="s">
        <v>479</v>
      </c>
      <c r="AB694" s="3" t="s">
        <v>10</v>
      </c>
      <c r="AC694" s="5">
        <v>1000</v>
      </c>
      <c r="AD694" s="5">
        <f>+AC694*1.07</f>
        <v>1070</v>
      </c>
      <c r="AE694" s="5">
        <v>1170</v>
      </c>
      <c r="AF694" s="5">
        <f t="shared" si="729"/>
        <v>1310</v>
      </c>
      <c r="AG694" s="5">
        <f t="shared" si="742"/>
        <v>1310</v>
      </c>
      <c r="AH694" s="5">
        <f t="shared" si="742"/>
        <v>1310</v>
      </c>
      <c r="AI694" s="5">
        <f t="shared" ref="AI694:AJ694" si="748">+AH694</f>
        <v>1310</v>
      </c>
      <c r="AJ694" s="5">
        <f t="shared" si="748"/>
        <v>1310</v>
      </c>
      <c r="AK694" s="2" t="s">
        <v>43</v>
      </c>
      <c r="AL694" s="105" t="str">
        <f>+AK694</f>
        <v>A0</v>
      </c>
    </row>
    <row r="695" spans="1:38" s="6" customFormat="1" ht="15" customHeight="1" x14ac:dyDescent="0.2">
      <c r="A695" s="29" t="s">
        <v>824</v>
      </c>
      <c r="B695" s="2" t="s">
        <v>822</v>
      </c>
      <c r="C695" s="3"/>
      <c r="D695" s="2" t="s">
        <v>825</v>
      </c>
      <c r="E695" s="3" t="s">
        <v>18</v>
      </c>
      <c r="F695" s="2" t="s">
        <v>1012</v>
      </c>
      <c r="G695" s="2"/>
      <c r="H695" s="2" t="s">
        <v>20</v>
      </c>
      <c r="I695" s="2" t="s">
        <v>1760</v>
      </c>
      <c r="J695" s="28" t="s">
        <v>548</v>
      </c>
      <c r="K695" s="28" t="s">
        <v>548</v>
      </c>
      <c r="L695" s="44" t="s">
        <v>1005</v>
      </c>
      <c r="M695" s="7" t="s">
        <v>3</v>
      </c>
      <c r="N695" s="47">
        <v>26844495</v>
      </c>
      <c r="O695" s="88" t="s">
        <v>1298</v>
      </c>
      <c r="P695" s="38">
        <v>28773</v>
      </c>
      <c r="Q695" s="38"/>
      <c r="R695" s="38"/>
      <c r="S695" s="38"/>
      <c r="T695" s="38"/>
      <c r="U695" s="17" t="s">
        <v>215</v>
      </c>
      <c r="V695" s="17" t="s">
        <v>915</v>
      </c>
      <c r="W695" s="12">
        <v>40756</v>
      </c>
      <c r="X695" s="12"/>
      <c r="Y695" s="12">
        <v>42735</v>
      </c>
      <c r="Z695" s="2"/>
      <c r="AA695" s="2" t="s">
        <v>479</v>
      </c>
      <c r="AB695" s="7"/>
      <c r="AC695" s="5">
        <v>1000</v>
      </c>
      <c r="AD695" s="5">
        <f>+AC695</f>
        <v>1000</v>
      </c>
      <c r="AE695" s="5">
        <v>1170</v>
      </c>
      <c r="AF695" s="5">
        <f t="shared" si="729"/>
        <v>1310</v>
      </c>
      <c r="AG695" s="5">
        <f t="shared" si="742"/>
        <v>1310</v>
      </c>
      <c r="AH695" s="5">
        <f t="shared" si="742"/>
        <v>1310</v>
      </c>
      <c r="AI695" s="5">
        <f t="shared" ref="AI695:AJ695" si="749">+AH695</f>
        <v>1310</v>
      </c>
      <c r="AJ695" s="5">
        <f t="shared" si="749"/>
        <v>1310</v>
      </c>
      <c r="AK695" s="2"/>
      <c r="AL695" s="106"/>
    </row>
    <row r="696" spans="1:38" s="6" customFormat="1" ht="15" customHeight="1" x14ac:dyDescent="0.2">
      <c r="A696" s="29" t="s">
        <v>824</v>
      </c>
      <c r="B696" s="29" t="s">
        <v>822</v>
      </c>
      <c r="C696" s="29" t="s">
        <v>823</v>
      </c>
      <c r="D696" s="2" t="s">
        <v>1820</v>
      </c>
      <c r="E696" s="2"/>
      <c r="F696" s="3"/>
      <c r="G696" s="3"/>
      <c r="H696" s="2" t="s">
        <v>884</v>
      </c>
      <c r="I696" s="2" t="s">
        <v>1707</v>
      </c>
      <c r="J696" s="28"/>
      <c r="K696" s="28" t="s">
        <v>1765</v>
      </c>
      <c r="L696" s="45" t="s">
        <v>1055</v>
      </c>
      <c r="M696" s="7" t="s">
        <v>3</v>
      </c>
      <c r="N696" s="15">
        <v>23764787</v>
      </c>
      <c r="O696" s="88">
        <v>23237647874</v>
      </c>
      <c r="P696" s="38">
        <v>27365</v>
      </c>
      <c r="Q696" s="38"/>
      <c r="R696" s="38"/>
      <c r="S696" s="38"/>
      <c r="T696" s="38"/>
      <c r="U696" s="17" t="s">
        <v>215</v>
      </c>
      <c r="V696" s="16" t="s">
        <v>915</v>
      </c>
      <c r="W696" s="12"/>
      <c r="X696" s="48"/>
      <c r="Y696" s="12">
        <v>42735</v>
      </c>
      <c r="Z696" s="2"/>
      <c r="AA696" s="2" t="s">
        <v>479</v>
      </c>
      <c r="AB696" s="14"/>
      <c r="AC696" s="5">
        <v>1000</v>
      </c>
      <c r="AD696" s="5">
        <f>+AC696*1.07</f>
        <v>1070</v>
      </c>
      <c r="AE696" s="5">
        <v>1170</v>
      </c>
      <c r="AF696" s="5">
        <f t="shared" si="729"/>
        <v>1310</v>
      </c>
      <c r="AG696" s="5">
        <f t="shared" si="742"/>
        <v>1310</v>
      </c>
      <c r="AH696" s="5">
        <f t="shared" si="742"/>
        <v>1310</v>
      </c>
      <c r="AI696" s="5">
        <f t="shared" ref="AI696:AJ696" si="750">+AH696</f>
        <v>1310</v>
      </c>
      <c r="AJ696" s="5">
        <f t="shared" si="750"/>
        <v>1310</v>
      </c>
      <c r="AK696" s="29" t="s">
        <v>42</v>
      </c>
      <c r="AL696" s="105" t="str">
        <f>+AK696</f>
        <v>C0</v>
      </c>
    </row>
    <row r="697" spans="1:38" s="6" customFormat="1" ht="15" customHeight="1" x14ac:dyDescent="0.2">
      <c r="A697" s="29" t="s">
        <v>824</v>
      </c>
      <c r="B697" s="29" t="s">
        <v>822</v>
      </c>
      <c r="C697" s="29" t="s">
        <v>823</v>
      </c>
      <c r="D697" s="2" t="s">
        <v>800</v>
      </c>
      <c r="E697" s="2" t="s">
        <v>489</v>
      </c>
      <c r="F697" s="2"/>
      <c r="G697" s="2"/>
      <c r="H697" s="2"/>
      <c r="I697" s="3" t="s">
        <v>1731</v>
      </c>
      <c r="J697" s="28" t="s">
        <v>254</v>
      </c>
      <c r="K697" s="28" t="s">
        <v>1767</v>
      </c>
      <c r="L697" s="42" t="s">
        <v>366</v>
      </c>
      <c r="M697" s="4" t="s">
        <v>3</v>
      </c>
      <c r="N697" s="15">
        <v>17972399</v>
      </c>
      <c r="O697" s="88" t="s">
        <v>1180</v>
      </c>
      <c r="P697" s="38">
        <v>24177</v>
      </c>
      <c r="Q697" s="38"/>
      <c r="R697" s="38"/>
      <c r="S697" s="38"/>
      <c r="T697" s="38"/>
      <c r="U697" s="17" t="s">
        <v>215</v>
      </c>
      <c r="V697" s="17" t="s">
        <v>915</v>
      </c>
      <c r="W697" s="12">
        <v>41456</v>
      </c>
      <c r="X697" s="20"/>
      <c r="Y697" s="12">
        <v>42735</v>
      </c>
      <c r="Z697" s="2"/>
      <c r="AA697" s="2" t="s">
        <v>479</v>
      </c>
      <c r="AB697" s="24" t="s">
        <v>479</v>
      </c>
      <c r="AC697" s="5">
        <v>1000</v>
      </c>
      <c r="AD697" s="5">
        <v>1070</v>
      </c>
      <c r="AE697" s="5">
        <v>1170</v>
      </c>
      <c r="AF697" s="5">
        <f t="shared" si="729"/>
        <v>1310</v>
      </c>
      <c r="AG697" s="5">
        <f t="shared" si="742"/>
        <v>1310</v>
      </c>
      <c r="AH697" s="5">
        <f t="shared" si="742"/>
        <v>1310</v>
      </c>
      <c r="AI697" s="5">
        <f t="shared" ref="AI697:AJ697" si="751">+AH697</f>
        <v>1310</v>
      </c>
      <c r="AJ697" s="5">
        <f t="shared" si="751"/>
        <v>1310</v>
      </c>
      <c r="AK697" s="29" t="s">
        <v>42</v>
      </c>
      <c r="AL697" s="105" t="str">
        <f>+AK697</f>
        <v>C0</v>
      </c>
    </row>
    <row r="698" spans="1:38" s="6" customFormat="1" ht="15" customHeight="1" x14ac:dyDescent="0.2">
      <c r="A698" s="29" t="s">
        <v>824</v>
      </c>
      <c r="B698" s="29" t="s">
        <v>822</v>
      </c>
      <c r="C698" s="29" t="s">
        <v>823</v>
      </c>
      <c r="D698" s="2" t="s">
        <v>1820</v>
      </c>
      <c r="E698" s="2"/>
      <c r="F698" s="3"/>
      <c r="G698" s="3"/>
      <c r="H698" s="2" t="s">
        <v>924</v>
      </c>
      <c r="I698" s="2" t="s">
        <v>924</v>
      </c>
      <c r="J698" s="28" t="s">
        <v>73</v>
      </c>
      <c r="K698" s="28" t="s">
        <v>1765</v>
      </c>
      <c r="L698" s="43" t="s">
        <v>170</v>
      </c>
      <c r="M698" s="4" t="s">
        <v>3</v>
      </c>
      <c r="N698" s="15">
        <v>38464250</v>
      </c>
      <c r="O698" s="88" t="s">
        <v>1549</v>
      </c>
      <c r="P698" s="38">
        <v>34548</v>
      </c>
      <c r="Q698" s="38"/>
      <c r="R698" s="38"/>
      <c r="S698" s="38"/>
      <c r="T698" s="38"/>
      <c r="U698" s="17" t="s">
        <v>215</v>
      </c>
      <c r="V698" s="17" t="s">
        <v>915</v>
      </c>
      <c r="W698" s="12">
        <v>42217</v>
      </c>
      <c r="X698" s="37"/>
      <c r="Y698" s="12">
        <v>42735</v>
      </c>
      <c r="Z698" s="2"/>
      <c r="AA698" s="2" t="s">
        <v>479</v>
      </c>
      <c r="AB698" s="7" t="s">
        <v>61</v>
      </c>
      <c r="AC698" s="5">
        <v>1000</v>
      </c>
      <c r="AD698" s="5">
        <f>+AC698*1.07</f>
        <v>1070</v>
      </c>
      <c r="AE698" s="5">
        <v>1170</v>
      </c>
      <c r="AF698" s="5">
        <f t="shared" si="729"/>
        <v>1310</v>
      </c>
      <c r="AG698" s="5">
        <f t="shared" si="742"/>
        <v>1310</v>
      </c>
      <c r="AH698" s="5">
        <f t="shared" si="742"/>
        <v>1310</v>
      </c>
      <c r="AI698" s="5">
        <f t="shared" ref="AI698:AJ698" si="752">+AH698</f>
        <v>1310</v>
      </c>
      <c r="AJ698" s="5">
        <f t="shared" si="752"/>
        <v>1310</v>
      </c>
      <c r="AK698" s="29" t="s">
        <v>42</v>
      </c>
      <c r="AL698" s="105" t="str">
        <f>+AK698</f>
        <v>C0</v>
      </c>
    </row>
    <row r="699" spans="1:38" s="6" customFormat="1" ht="15" customHeight="1" x14ac:dyDescent="0.2">
      <c r="A699" s="29" t="s">
        <v>824</v>
      </c>
      <c r="B699" s="29" t="s">
        <v>822</v>
      </c>
      <c r="C699" s="29" t="s">
        <v>823</v>
      </c>
      <c r="D699" s="2" t="s">
        <v>808</v>
      </c>
      <c r="E699" s="2" t="s">
        <v>216</v>
      </c>
      <c r="F699" s="3"/>
      <c r="G699" s="3"/>
      <c r="H699" s="2" t="s">
        <v>228</v>
      </c>
      <c r="I699" s="2" t="s">
        <v>225</v>
      </c>
      <c r="J699" s="28" t="s">
        <v>73</v>
      </c>
      <c r="K699" s="28" t="s">
        <v>1765</v>
      </c>
      <c r="L699" s="43" t="s">
        <v>713</v>
      </c>
      <c r="M699" s="4" t="s">
        <v>3</v>
      </c>
      <c r="N699" s="15">
        <v>38176579</v>
      </c>
      <c r="O699" s="88" t="s">
        <v>1540</v>
      </c>
      <c r="P699" s="38">
        <v>34492</v>
      </c>
      <c r="Q699" s="38"/>
      <c r="R699" s="38"/>
      <c r="S699" s="38"/>
      <c r="T699" s="38"/>
      <c r="U699" s="17" t="s">
        <v>215</v>
      </c>
      <c r="V699" s="17" t="s">
        <v>915</v>
      </c>
      <c r="W699" s="12">
        <v>41699</v>
      </c>
      <c r="X699" s="37"/>
      <c r="Y699" s="12">
        <v>42735</v>
      </c>
      <c r="Z699" s="2"/>
      <c r="AA699" s="2" t="s">
        <v>479</v>
      </c>
      <c r="AB699" s="14" t="s">
        <v>538</v>
      </c>
      <c r="AC699" s="5">
        <v>1000</v>
      </c>
      <c r="AD699" s="5">
        <f>+AC699*1.07</f>
        <v>1070</v>
      </c>
      <c r="AE699" s="5">
        <v>1170</v>
      </c>
      <c r="AF699" s="5">
        <f t="shared" si="729"/>
        <v>1310</v>
      </c>
      <c r="AG699" s="5">
        <f t="shared" si="742"/>
        <v>1310</v>
      </c>
      <c r="AH699" s="5">
        <f t="shared" si="742"/>
        <v>1310</v>
      </c>
      <c r="AI699" s="5">
        <f t="shared" ref="AI699:AJ699" si="753">+AH699</f>
        <v>1310</v>
      </c>
      <c r="AJ699" s="5">
        <f t="shared" si="753"/>
        <v>1310</v>
      </c>
      <c r="AK699" s="29" t="s">
        <v>42</v>
      </c>
      <c r="AL699" s="105" t="str">
        <f>+AK699</f>
        <v>C0</v>
      </c>
    </row>
    <row r="700" spans="1:38" s="6" customFormat="1" ht="15" customHeight="1" x14ac:dyDescent="0.25">
      <c r="A700" s="29" t="s">
        <v>824</v>
      </c>
      <c r="B700" s="29"/>
      <c r="C700" s="29"/>
      <c r="D700" s="2" t="s">
        <v>820</v>
      </c>
      <c r="E700" s="2" t="s">
        <v>63</v>
      </c>
      <c r="F700" s="2"/>
      <c r="G700" s="2"/>
      <c r="H700" s="2" t="s">
        <v>221</v>
      </c>
      <c r="I700" s="3"/>
      <c r="J700" s="28"/>
      <c r="K700" s="28"/>
      <c r="L700" s="44" t="s">
        <v>1670</v>
      </c>
      <c r="M700" s="7" t="s">
        <v>3</v>
      </c>
      <c r="N700" s="15">
        <v>30724860</v>
      </c>
      <c r="O700" s="88">
        <v>20307249600</v>
      </c>
      <c r="P700" s="61"/>
      <c r="Q700" s="61"/>
      <c r="R700" s="61"/>
      <c r="S700" s="61"/>
      <c r="T700" s="61"/>
      <c r="U700" s="17" t="s">
        <v>796</v>
      </c>
      <c r="V700" s="17" t="s">
        <v>916</v>
      </c>
      <c r="W700" s="86">
        <v>41609</v>
      </c>
      <c r="X700" s="12"/>
      <c r="Y700" s="12">
        <v>42735</v>
      </c>
      <c r="Z700" s="2" t="s">
        <v>30</v>
      </c>
      <c r="AA700" s="2"/>
      <c r="AB700" s="7"/>
      <c r="AC700" s="5"/>
      <c r="AD700" s="5"/>
      <c r="AE700" s="5">
        <v>1170</v>
      </c>
      <c r="AF700" s="5">
        <f t="shared" si="729"/>
        <v>0</v>
      </c>
      <c r="AG700" s="5">
        <f t="shared" si="742"/>
        <v>0</v>
      </c>
      <c r="AH700" s="5">
        <f t="shared" si="742"/>
        <v>0</v>
      </c>
      <c r="AI700" s="5">
        <f t="shared" ref="AI700:AJ700" si="754">+AH700</f>
        <v>0</v>
      </c>
      <c r="AJ700" s="5">
        <f t="shared" si="754"/>
        <v>0</v>
      </c>
      <c r="AK700" s="2"/>
      <c r="AL700" s="105"/>
    </row>
    <row r="701" spans="1:38" s="6" customFormat="1" ht="15" customHeight="1" x14ac:dyDescent="0.2">
      <c r="A701" s="29" t="s">
        <v>824</v>
      </c>
      <c r="B701" s="29" t="s">
        <v>822</v>
      </c>
      <c r="C701" s="29" t="s">
        <v>823</v>
      </c>
      <c r="D701" s="2" t="s">
        <v>808</v>
      </c>
      <c r="E701" s="2" t="s">
        <v>909</v>
      </c>
      <c r="F701" s="2" t="s">
        <v>813</v>
      </c>
      <c r="G701" s="3"/>
      <c r="H701" s="2" t="s">
        <v>48</v>
      </c>
      <c r="I701" s="2" t="s">
        <v>48</v>
      </c>
      <c r="J701" s="28" t="s">
        <v>73</v>
      </c>
      <c r="K701" s="28" t="s">
        <v>1765</v>
      </c>
      <c r="L701" s="45" t="s">
        <v>1052</v>
      </c>
      <c r="M701" s="4" t="s">
        <v>3</v>
      </c>
      <c r="N701" s="15">
        <v>16965144</v>
      </c>
      <c r="O701" s="88" t="s">
        <v>1591</v>
      </c>
      <c r="P701" s="38">
        <v>23584</v>
      </c>
      <c r="Q701" s="38"/>
      <c r="R701" s="38"/>
      <c r="S701" s="38"/>
      <c r="T701" s="38"/>
      <c r="U701" s="17" t="s">
        <v>215</v>
      </c>
      <c r="V701" s="17" t="s">
        <v>915</v>
      </c>
      <c r="W701" s="12">
        <v>42217</v>
      </c>
      <c r="X701" s="37"/>
      <c r="Y701" s="12">
        <v>42735</v>
      </c>
      <c r="Z701" s="2"/>
      <c r="AA701" s="2" t="s">
        <v>479</v>
      </c>
      <c r="AB701" s="7" t="s">
        <v>61</v>
      </c>
      <c r="AC701" s="5">
        <v>1000</v>
      </c>
      <c r="AD701" s="5">
        <f>+AC701*1.07</f>
        <v>1070</v>
      </c>
      <c r="AE701" s="5">
        <v>1170</v>
      </c>
      <c r="AF701" s="5">
        <f t="shared" si="729"/>
        <v>1310</v>
      </c>
      <c r="AG701" s="5">
        <f t="shared" si="742"/>
        <v>1310</v>
      </c>
      <c r="AH701" s="5">
        <f t="shared" si="742"/>
        <v>1310</v>
      </c>
      <c r="AI701" s="5">
        <f t="shared" ref="AI701:AJ701" si="755">+AH701</f>
        <v>1310</v>
      </c>
      <c r="AJ701" s="5">
        <f t="shared" si="755"/>
        <v>1310</v>
      </c>
      <c r="AK701" s="29" t="s">
        <v>42</v>
      </c>
      <c r="AL701" s="105" t="str">
        <f>+AK701</f>
        <v>C0</v>
      </c>
    </row>
    <row r="702" spans="1:38" s="6" customFormat="1" ht="15" customHeight="1" x14ac:dyDescent="0.2">
      <c r="A702" s="29" t="s">
        <v>824</v>
      </c>
      <c r="B702" s="29" t="s">
        <v>822</v>
      </c>
      <c r="C702" s="29" t="s">
        <v>823</v>
      </c>
      <c r="D702" s="2" t="s">
        <v>800</v>
      </c>
      <c r="E702" s="2" t="s">
        <v>489</v>
      </c>
      <c r="F702" s="2"/>
      <c r="G702" s="2"/>
      <c r="H702" s="2"/>
      <c r="I702" s="3"/>
      <c r="J702" s="28" t="s">
        <v>254</v>
      </c>
      <c r="K702" s="28"/>
      <c r="L702" s="42" t="s">
        <v>347</v>
      </c>
      <c r="M702" s="4" t="s">
        <v>3</v>
      </c>
      <c r="N702" s="15">
        <v>32911473</v>
      </c>
      <c r="O702" s="88">
        <v>27329114738</v>
      </c>
      <c r="P702" s="38"/>
      <c r="Q702" s="38"/>
      <c r="R702" s="38"/>
      <c r="S702" s="38"/>
      <c r="T702" s="38"/>
      <c r="U702" s="16" t="s">
        <v>796</v>
      </c>
      <c r="V702" s="16" t="s">
        <v>916</v>
      </c>
      <c r="W702" s="12">
        <v>40725</v>
      </c>
      <c r="X702" s="48">
        <v>42735</v>
      </c>
      <c r="Y702" s="12">
        <v>42735</v>
      </c>
      <c r="Z702" s="2" t="s">
        <v>24</v>
      </c>
      <c r="AA702" s="2"/>
      <c r="AB702" s="18"/>
      <c r="AC702" s="5">
        <v>1000</v>
      </c>
      <c r="AD702" s="5"/>
      <c r="AE702" s="5">
        <v>1170</v>
      </c>
      <c r="AF702" s="5">
        <f t="shared" si="729"/>
        <v>1310</v>
      </c>
      <c r="AG702" s="5">
        <f t="shared" si="742"/>
        <v>1310</v>
      </c>
      <c r="AH702" s="5">
        <f t="shared" si="742"/>
        <v>1310</v>
      </c>
      <c r="AI702" s="5">
        <f t="shared" ref="AI702:AJ702" si="756">+AH702</f>
        <v>1310</v>
      </c>
      <c r="AJ702" s="5">
        <f t="shared" si="756"/>
        <v>1310</v>
      </c>
      <c r="AK702" s="2"/>
      <c r="AL702" s="105" t="str">
        <f>+Z702</f>
        <v>D0</v>
      </c>
    </row>
    <row r="703" spans="1:38" s="6" customFormat="1" ht="15" customHeight="1" x14ac:dyDescent="0.2">
      <c r="A703" s="29" t="s">
        <v>824</v>
      </c>
      <c r="B703" s="2" t="s">
        <v>822</v>
      </c>
      <c r="C703" s="3"/>
      <c r="D703" s="2" t="s">
        <v>825</v>
      </c>
      <c r="E703" s="3" t="s">
        <v>18</v>
      </c>
      <c r="F703" s="2" t="s">
        <v>19</v>
      </c>
      <c r="G703" s="2"/>
      <c r="H703" s="2"/>
      <c r="I703" s="2" t="s">
        <v>1760</v>
      </c>
      <c r="J703" s="28" t="s">
        <v>548</v>
      </c>
      <c r="K703" s="28" t="s">
        <v>548</v>
      </c>
      <c r="L703" s="44" t="s">
        <v>714</v>
      </c>
      <c r="M703" s="4" t="s">
        <v>3</v>
      </c>
      <c r="N703" s="15">
        <v>39372456</v>
      </c>
      <c r="O703" s="88">
        <v>20393724561</v>
      </c>
      <c r="P703" s="38">
        <v>35073</v>
      </c>
      <c r="Q703" s="38"/>
      <c r="R703" s="38"/>
      <c r="S703" s="38"/>
      <c r="T703" s="38"/>
      <c r="U703" s="17" t="s">
        <v>215</v>
      </c>
      <c r="V703" s="17" t="s">
        <v>915</v>
      </c>
      <c r="W703" s="12">
        <v>42217</v>
      </c>
      <c r="X703" s="12"/>
      <c r="Y703" s="12">
        <v>42735</v>
      </c>
      <c r="Z703" s="2"/>
      <c r="AA703" s="2" t="s">
        <v>479</v>
      </c>
      <c r="AB703" s="7" t="s">
        <v>787</v>
      </c>
      <c r="AC703" s="5">
        <v>1000</v>
      </c>
      <c r="AD703" s="5">
        <f>+AC703</f>
        <v>1000</v>
      </c>
      <c r="AE703" s="5">
        <v>1170</v>
      </c>
      <c r="AF703" s="5">
        <f t="shared" si="729"/>
        <v>1310</v>
      </c>
      <c r="AG703" s="5">
        <f t="shared" si="742"/>
        <v>1310</v>
      </c>
      <c r="AH703" s="5">
        <f t="shared" si="742"/>
        <v>1310</v>
      </c>
      <c r="AI703" s="5">
        <f t="shared" ref="AI703:AJ703" si="757">+AH703</f>
        <v>1310</v>
      </c>
      <c r="AJ703" s="5">
        <f t="shared" si="757"/>
        <v>1310</v>
      </c>
      <c r="AK703" s="2"/>
      <c r="AL703" s="106"/>
    </row>
    <row r="704" spans="1:38" s="6" customFormat="1" ht="15" customHeight="1" x14ac:dyDescent="0.2">
      <c r="A704" s="29" t="s">
        <v>824</v>
      </c>
      <c r="B704" s="2" t="s">
        <v>822</v>
      </c>
      <c r="C704" s="3"/>
      <c r="D704" s="2" t="s">
        <v>825</v>
      </c>
      <c r="E704" s="3" t="s">
        <v>18</v>
      </c>
      <c r="F704" s="2" t="s">
        <v>19</v>
      </c>
      <c r="G704" s="2"/>
      <c r="H704" s="2" t="s">
        <v>20</v>
      </c>
      <c r="I704" s="2" t="s">
        <v>1760</v>
      </c>
      <c r="J704" s="28" t="s">
        <v>548</v>
      </c>
      <c r="K704" s="28" t="s">
        <v>548</v>
      </c>
      <c r="L704" s="44" t="s">
        <v>984</v>
      </c>
      <c r="M704" s="7" t="s">
        <v>3</v>
      </c>
      <c r="N704" s="47">
        <v>33486041</v>
      </c>
      <c r="O704" s="88" t="s">
        <v>1449</v>
      </c>
      <c r="P704" s="38">
        <v>32120</v>
      </c>
      <c r="Q704" s="38"/>
      <c r="R704" s="38"/>
      <c r="S704" s="38"/>
      <c r="T704" s="38"/>
      <c r="U704" s="17" t="s">
        <v>215</v>
      </c>
      <c r="V704" s="17" t="s">
        <v>915</v>
      </c>
      <c r="W704" s="12">
        <v>41438</v>
      </c>
      <c r="X704" s="12"/>
      <c r="Y704" s="12">
        <v>42735</v>
      </c>
      <c r="Z704" s="2"/>
      <c r="AA704" s="2" t="s">
        <v>479</v>
      </c>
      <c r="AB704" s="7"/>
      <c r="AC704" s="5">
        <v>1000</v>
      </c>
      <c r="AD704" s="5">
        <f>+AC704</f>
        <v>1000</v>
      </c>
      <c r="AE704" s="5">
        <v>1170</v>
      </c>
      <c r="AF704" s="5">
        <f t="shared" si="729"/>
        <v>1310</v>
      </c>
      <c r="AG704" s="5">
        <f t="shared" si="742"/>
        <v>1310</v>
      </c>
      <c r="AH704" s="5">
        <f t="shared" si="742"/>
        <v>1310</v>
      </c>
      <c r="AI704" s="5">
        <f t="shared" ref="AI704:AJ704" si="758">+AH704</f>
        <v>1310</v>
      </c>
      <c r="AJ704" s="5">
        <f t="shared" si="758"/>
        <v>1310</v>
      </c>
      <c r="AK704" s="2"/>
      <c r="AL704" s="106"/>
    </row>
    <row r="705" spans="1:38" s="6" customFormat="1" ht="15" customHeight="1" x14ac:dyDescent="0.2">
      <c r="A705" s="29" t="s">
        <v>824</v>
      </c>
      <c r="B705" s="2" t="s">
        <v>822</v>
      </c>
      <c r="C705" s="29" t="s">
        <v>823</v>
      </c>
      <c r="D705" s="2" t="s">
        <v>1820</v>
      </c>
      <c r="E705" s="2"/>
      <c r="F705" s="2"/>
      <c r="G705" s="3"/>
      <c r="H705" s="2" t="s">
        <v>884</v>
      </c>
      <c r="I705" s="2" t="s">
        <v>1707</v>
      </c>
      <c r="J705" s="28"/>
      <c r="K705" s="28" t="s">
        <v>1765</v>
      </c>
      <c r="L705" s="43" t="s">
        <v>960</v>
      </c>
      <c r="M705" s="7" t="s">
        <v>3</v>
      </c>
      <c r="N705" s="15">
        <v>30335285</v>
      </c>
      <c r="O705" s="88">
        <v>20303352857</v>
      </c>
      <c r="P705" s="38">
        <v>30479</v>
      </c>
      <c r="Q705" s="38"/>
      <c r="R705" s="38"/>
      <c r="S705" s="38"/>
      <c r="T705" s="38"/>
      <c r="U705" s="17" t="s">
        <v>215</v>
      </c>
      <c r="V705" s="17" t="s">
        <v>915</v>
      </c>
      <c r="W705" s="12"/>
      <c r="X705" s="37"/>
      <c r="Y705" s="12">
        <v>42735</v>
      </c>
      <c r="Z705" s="2"/>
      <c r="AA705" s="2" t="s">
        <v>479</v>
      </c>
      <c r="AB705" s="7"/>
      <c r="AC705" s="5">
        <v>1000</v>
      </c>
      <c r="AD705" s="5">
        <f>+AC705*1.07</f>
        <v>1070</v>
      </c>
      <c r="AE705" s="5">
        <v>1170</v>
      </c>
      <c r="AF705" s="5">
        <f t="shared" si="729"/>
        <v>1310</v>
      </c>
      <c r="AG705" s="5">
        <f t="shared" si="742"/>
        <v>1310</v>
      </c>
      <c r="AH705" s="5">
        <f t="shared" si="742"/>
        <v>1310</v>
      </c>
      <c r="AI705" s="5">
        <f t="shared" ref="AI705:AJ705" si="759">+AH705</f>
        <v>1310</v>
      </c>
      <c r="AJ705" s="5">
        <f t="shared" si="759"/>
        <v>1310</v>
      </c>
      <c r="AK705" s="2" t="s">
        <v>53</v>
      </c>
      <c r="AL705" s="105" t="str">
        <f>+AK705</f>
        <v>B0</v>
      </c>
    </row>
    <row r="706" spans="1:38" s="6" customFormat="1" ht="15" customHeight="1" x14ac:dyDescent="0.2">
      <c r="A706" s="29" t="s">
        <v>824</v>
      </c>
      <c r="B706" s="29" t="s">
        <v>822</v>
      </c>
      <c r="C706" s="14"/>
      <c r="D706" s="2" t="s">
        <v>825</v>
      </c>
      <c r="E706" s="2"/>
      <c r="F706" s="3"/>
      <c r="G706" s="3"/>
      <c r="H706" s="2"/>
      <c r="I706" s="2" t="s">
        <v>1707</v>
      </c>
      <c r="J706" s="28"/>
      <c r="K706" s="28" t="s">
        <v>1765</v>
      </c>
      <c r="L706" s="41" t="s">
        <v>875</v>
      </c>
      <c r="M706" s="4" t="s">
        <v>3</v>
      </c>
      <c r="N706" s="15">
        <v>31041736</v>
      </c>
      <c r="O706" s="88" t="s">
        <v>1385</v>
      </c>
      <c r="P706" s="38">
        <v>30861</v>
      </c>
      <c r="Q706" s="38"/>
      <c r="R706" s="38"/>
      <c r="S706" s="38"/>
      <c r="T706" s="38"/>
      <c r="U706" s="17" t="s">
        <v>215</v>
      </c>
      <c r="V706" s="17" t="s">
        <v>915</v>
      </c>
      <c r="W706" s="12">
        <v>42370</v>
      </c>
      <c r="X706" s="48"/>
      <c r="Y706" s="12">
        <v>42735</v>
      </c>
      <c r="Z706" s="2"/>
      <c r="AA706" s="2" t="s">
        <v>479</v>
      </c>
      <c r="AB706" s="3" t="s">
        <v>10</v>
      </c>
      <c r="AC706" s="5">
        <v>1000</v>
      </c>
      <c r="AD706" s="5">
        <f>+AC706*1.07</f>
        <v>1070</v>
      </c>
      <c r="AE706" s="5">
        <v>1170</v>
      </c>
      <c r="AF706" s="5">
        <f t="shared" si="729"/>
        <v>1310</v>
      </c>
      <c r="AG706" s="5">
        <f t="shared" si="742"/>
        <v>1310</v>
      </c>
      <c r="AH706" s="5">
        <f t="shared" si="742"/>
        <v>1310</v>
      </c>
      <c r="AI706" s="5">
        <f t="shared" ref="AI706:AJ706" si="760">+AH706</f>
        <v>1310</v>
      </c>
      <c r="AJ706" s="5">
        <f t="shared" si="760"/>
        <v>1310</v>
      </c>
      <c r="AK706" s="2" t="s">
        <v>43</v>
      </c>
      <c r="AL706" s="105" t="str">
        <f>+AK706</f>
        <v>A0</v>
      </c>
    </row>
    <row r="707" spans="1:38" s="6" customFormat="1" ht="15" customHeight="1" x14ac:dyDescent="0.2">
      <c r="A707" s="29" t="s">
        <v>824</v>
      </c>
      <c r="B707" s="2" t="s">
        <v>822</v>
      </c>
      <c r="C707" s="3"/>
      <c r="D707" s="2" t="s">
        <v>825</v>
      </c>
      <c r="E707" s="3" t="s">
        <v>18</v>
      </c>
      <c r="F707" s="2" t="s">
        <v>19</v>
      </c>
      <c r="G707" s="2"/>
      <c r="H707" s="2" t="s">
        <v>20</v>
      </c>
      <c r="I707" s="2" t="s">
        <v>1760</v>
      </c>
      <c r="J707" s="28" t="s">
        <v>548</v>
      </c>
      <c r="K707" s="28" t="s">
        <v>548</v>
      </c>
      <c r="L707" s="44" t="s">
        <v>715</v>
      </c>
      <c r="M707" s="4" t="s">
        <v>3</v>
      </c>
      <c r="N707" s="15">
        <v>32823856</v>
      </c>
      <c r="O707" s="88" t="s">
        <v>1431</v>
      </c>
      <c r="P707" s="38">
        <v>31805</v>
      </c>
      <c r="Q707" s="38"/>
      <c r="R707" s="38"/>
      <c r="S707" s="38"/>
      <c r="T707" s="38"/>
      <c r="U707" s="17" t="s">
        <v>215</v>
      </c>
      <c r="V707" s="17" t="s">
        <v>915</v>
      </c>
      <c r="W707" s="12">
        <v>40725</v>
      </c>
      <c r="X707" s="12"/>
      <c r="Y707" s="12">
        <v>42735</v>
      </c>
      <c r="Z707" s="2"/>
      <c r="AA707" s="2" t="s">
        <v>479</v>
      </c>
      <c r="AB707" s="7" t="s">
        <v>787</v>
      </c>
      <c r="AC707" s="5">
        <v>1000</v>
      </c>
      <c r="AD707" s="5">
        <f>+AC707</f>
        <v>1000</v>
      </c>
      <c r="AE707" s="5">
        <v>1170</v>
      </c>
      <c r="AF707" s="5">
        <f t="shared" si="729"/>
        <v>1310</v>
      </c>
      <c r="AG707" s="5">
        <f t="shared" si="742"/>
        <v>1310</v>
      </c>
      <c r="AH707" s="5">
        <f t="shared" si="742"/>
        <v>1310</v>
      </c>
      <c r="AI707" s="5">
        <f t="shared" ref="AI707:AJ707" si="761">+AH707</f>
        <v>1310</v>
      </c>
      <c r="AJ707" s="5">
        <f t="shared" si="761"/>
        <v>1310</v>
      </c>
      <c r="AK707" s="2"/>
      <c r="AL707" s="106"/>
    </row>
    <row r="708" spans="1:38" s="6" customFormat="1" ht="15" customHeight="1" x14ac:dyDescent="0.2">
      <c r="A708" s="29" t="s">
        <v>824</v>
      </c>
      <c r="B708" s="29"/>
      <c r="C708" s="14"/>
      <c r="D708" s="2" t="s">
        <v>820</v>
      </c>
      <c r="E708" s="2" t="s">
        <v>809</v>
      </c>
      <c r="F708" s="3"/>
      <c r="G708" s="3"/>
      <c r="H708" s="2" t="s">
        <v>226</v>
      </c>
      <c r="I708" s="2" t="s">
        <v>229</v>
      </c>
      <c r="J708" s="28" t="s">
        <v>73</v>
      </c>
      <c r="K708" s="28" t="s">
        <v>1765</v>
      </c>
      <c r="L708" s="45" t="s">
        <v>171</v>
      </c>
      <c r="M708" s="4" t="s">
        <v>3</v>
      </c>
      <c r="N708" s="15">
        <v>24756319</v>
      </c>
      <c r="O708" s="88" t="s">
        <v>1592</v>
      </c>
      <c r="P708" s="38">
        <v>27773</v>
      </c>
      <c r="Q708" s="38"/>
      <c r="R708" s="38"/>
      <c r="S708" s="38"/>
      <c r="T708" s="38"/>
      <c r="U708" s="17" t="s">
        <v>215</v>
      </c>
      <c r="V708" s="17" t="s">
        <v>915</v>
      </c>
      <c r="W708" s="12">
        <v>42197</v>
      </c>
      <c r="X708" s="37"/>
      <c r="Y708" s="12">
        <v>42735</v>
      </c>
      <c r="Z708" s="2"/>
      <c r="AA708" s="2" t="s">
        <v>479</v>
      </c>
      <c r="AB708" s="7" t="s">
        <v>784</v>
      </c>
      <c r="AC708" s="5">
        <v>1000</v>
      </c>
      <c r="AD708" s="5">
        <f>+AC708*1.07</f>
        <v>1070</v>
      </c>
      <c r="AE708" s="5">
        <v>1170</v>
      </c>
      <c r="AF708" s="5">
        <f t="shared" si="729"/>
        <v>1310</v>
      </c>
      <c r="AG708" s="5">
        <f t="shared" si="742"/>
        <v>1310</v>
      </c>
      <c r="AH708" s="5">
        <f t="shared" si="742"/>
        <v>1310</v>
      </c>
      <c r="AI708" s="5">
        <f t="shared" ref="AI708:AJ708" si="762">+AH708</f>
        <v>1310</v>
      </c>
      <c r="AJ708" s="5">
        <f t="shared" si="762"/>
        <v>1310</v>
      </c>
      <c r="AK708" s="2" t="s">
        <v>43</v>
      </c>
      <c r="AL708" s="105" t="str">
        <f>+AK708</f>
        <v>A0</v>
      </c>
    </row>
    <row r="709" spans="1:38" s="6" customFormat="1" ht="15" customHeight="1" x14ac:dyDescent="0.2">
      <c r="A709" s="29" t="s">
        <v>824</v>
      </c>
      <c r="B709" s="29" t="s">
        <v>822</v>
      </c>
      <c r="C709" s="29"/>
      <c r="D709" s="2" t="s">
        <v>928</v>
      </c>
      <c r="E709" s="2" t="s">
        <v>11</v>
      </c>
      <c r="F709" s="2"/>
      <c r="G709" s="2"/>
      <c r="H709" s="2"/>
      <c r="I709" s="2" t="s">
        <v>1707</v>
      </c>
      <c r="J709" s="28"/>
      <c r="K709" s="28" t="s">
        <v>1765</v>
      </c>
      <c r="L709" s="42" t="s">
        <v>1108</v>
      </c>
      <c r="M709" s="7" t="s">
        <v>3</v>
      </c>
      <c r="N709" s="15">
        <v>36931486</v>
      </c>
      <c r="O709" s="88">
        <v>20369314867</v>
      </c>
      <c r="P709" s="38">
        <v>33833</v>
      </c>
      <c r="Q709" s="38"/>
      <c r="R709" s="38"/>
      <c r="S709" s="38"/>
      <c r="T709" s="38"/>
      <c r="U709" s="17" t="s">
        <v>215</v>
      </c>
      <c r="V709" s="17" t="s">
        <v>915</v>
      </c>
      <c r="W709" s="12"/>
      <c r="X709" s="20"/>
      <c r="Y709" s="12">
        <v>42735</v>
      </c>
      <c r="Z709" s="2"/>
      <c r="AA709" s="2" t="s">
        <v>479</v>
      </c>
      <c r="AB709" s="24"/>
      <c r="AC709" s="5"/>
      <c r="AD709" s="5">
        <v>1070</v>
      </c>
      <c r="AE709" s="5">
        <v>1170</v>
      </c>
      <c r="AF709" s="5">
        <f t="shared" si="729"/>
        <v>0</v>
      </c>
      <c r="AG709" s="5">
        <f t="shared" ref="AG709:AH728" si="763">+AF709</f>
        <v>0</v>
      </c>
      <c r="AH709" s="5">
        <f t="shared" si="763"/>
        <v>0</v>
      </c>
      <c r="AI709" s="5">
        <f t="shared" ref="AI709:AJ709" si="764">+AH709</f>
        <v>0</v>
      </c>
      <c r="AJ709" s="5">
        <f t="shared" si="764"/>
        <v>0</v>
      </c>
      <c r="AK709" s="2" t="s">
        <v>42</v>
      </c>
      <c r="AL709" s="105" t="str">
        <f>+AK709</f>
        <v>C0</v>
      </c>
    </row>
    <row r="710" spans="1:38" s="6" customFormat="1" ht="15" customHeight="1" x14ac:dyDescent="0.2">
      <c r="A710" s="29" t="s">
        <v>824</v>
      </c>
      <c r="B710" s="29" t="s">
        <v>822</v>
      </c>
      <c r="C710" s="29" t="s">
        <v>823</v>
      </c>
      <c r="D710" s="2" t="s">
        <v>800</v>
      </c>
      <c r="E710" s="2"/>
      <c r="F710" s="2"/>
      <c r="G710" s="2"/>
      <c r="H710" s="2" t="s">
        <v>884</v>
      </c>
      <c r="I710" s="2" t="s">
        <v>1707</v>
      </c>
      <c r="J710" s="28"/>
      <c r="K710" s="28" t="s">
        <v>1767</v>
      </c>
      <c r="L710" s="42" t="s">
        <v>1622</v>
      </c>
      <c r="M710" s="7" t="s">
        <v>3</v>
      </c>
      <c r="N710" s="15">
        <v>33672652</v>
      </c>
      <c r="O710" s="88">
        <v>20336726523</v>
      </c>
      <c r="P710" s="38">
        <v>35883</v>
      </c>
      <c r="Q710" s="38"/>
      <c r="R710" s="38"/>
      <c r="S710" s="38"/>
      <c r="T710" s="38"/>
      <c r="U710" s="17" t="s">
        <v>215</v>
      </c>
      <c r="V710" s="17" t="s">
        <v>915</v>
      </c>
      <c r="W710" s="12">
        <v>42522</v>
      </c>
      <c r="X710" s="20"/>
      <c r="Y710" s="12">
        <v>42735</v>
      </c>
      <c r="Z710" s="2"/>
      <c r="AA710" s="2" t="s">
        <v>479</v>
      </c>
      <c r="AB710" s="24"/>
      <c r="AC710" s="5"/>
      <c r="AD710" s="5">
        <v>1070</v>
      </c>
      <c r="AE710" s="5">
        <v>1170</v>
      </c>
      <c r="AF710" s="5">
        <f t="shared" si="729"/>
        <v>0</v>
      </c>
      <c r="AG710" s="5">
        <f t="shared" si="763"/>
        <v>0</v>
      </c>
      <c r="AH710" s="5">
        <f t="shared" si="763"/>
        <v>0</v>
      </c>
      <c r="AI710" s="5">
        <f t="shared" ref="AI710:AJ710" si="765">+AH710</f>
        <v>0</v>
      </c>
      <c r="AJ710" s="5">
        <f t="shared" si="765"/>
        <v>0</v>
      </c>
      <c r="AK710" s="2" t="s">
        <v>42</v>
      </c>
      <c r="AL710" s="105" t="str">
        <f>+AK710</f>
        <v>C0</v>
      </c>
    </row>
    <row r="711" spans="1:38" s="6" customFormat="1" ht="15" customHeight="1" x14ac:dyDescent="0.2">
      <c r="A711" s="29" t="s">
        <v>824</v>
      </c>
      <c r="B711" s="2" t="s">
        <v>822</v>
      </c>
      <c r="C711" s="29" t="s">
        <v>823</v>
      </c>
      <c r="D711" s="2" t="s">
        <v>808</v>
      </c>
      <c r="E711" s="2" t="s">
        <v>909</v>
      </c>
      <c r="F711" s="2" t="s">
        <v>23</v>
      </c>
      <c r="G711" s="2"/>
      <c r="H711" s="2"/>
      <c r="I711" s="2" t="s">
        <v>223</v>
      </c>
      <c r="J711" s="28"/>
      <c r="K711" s="28" t="s">
        <v>1765</v>
      </c>
      <c r="L711" s="44" t="s">
        <v>1014</v>
      </c>
      <c r="M711" s="4" t="s">
        <v>3</v>
      </c>
      <c r="N711" s="47">
        <v>34417823</v>
      </c>
      <c r="O711" s="88" t="s">
        <v>1593</v>
      </c>
      <c r="P711" s="38">
        <v>32872</v>
      </c>
      <c r="Q711" s="38"/>
      <c r="R711" s="38"/>
      <c r="S711" s="38"/>
      <c r="T711" s="38"/>
      <c r="U711" s="17" t="s">
        <v>215</v>
      </c>
      <c r="V711" s="17" t="s">
        <v>915</v>
      </c>
      <c r="W711" s="12">
        <v>41579</v>
      </c>
      <c r="X711" s="13"/>
      <c r="Y711" s="12">
        <v>42735</v>
      </c>
      <c r="Z711" s="2"/>
      <c r="AA711" s="2" t="s">
        <v>479</v>
      </c>
      <c r="AB711" s="9"/>
      <c r="AC711" s="5">
        <v>1000</v>
      </c>
      <c r="AD711" s="5">
        <v>1070</v>
      </c>
      <c r="AE711" s="5">
        <v>1170</v>
      </c>
      <c r="AF711" s="5">
        <f t="shared" si="729"/>
        <v>1310</v>
      </c>
      <c r="AG711" s="5">
        <f t="shared" si="763"/>
        <v>1310</v>
      </c>
      <c r="AH711" s="5">
        <f t="shared" si="763"/>
        <v>1310</v>
      </c>
      <c r="AI711" s="5">
        <f t="shared" ref="AI711:AJ711" si="766">+AH711</f>
        <v>1310</v>
      </c>
      <c r="AJ711" s="5">
        <f t="shared" si="766"/>
        <v>1310</v>
      </c>
      <c r="AK711" s="29" t="s">
        <v>42</v>
      </c>
      <c r="AL711" s="105" t="str">
        <f>+AK711</f>
        <v>C0</v>
      </c>
    </row>
    <row r="712" spans="1:38" s="6" customFormat="1" ht="15" customHeight="1" x14ac:dyDescent="0.2">
      <c r="A712" s="29" t="s">
        <v>824</v>
      </c>
      <c r="B712" s="29" t="s">
        <v>822</v>
      </c>
      <c r="C712" s="29" t="s">
        <v>823</v>
      </c>
      <c r="D712" s="2" t="s">
        <v>800</v>
      </c>
      <c r="E712" s="2" t="s">
        <v>20</v>
      </c>
      <c r="F712" s="7"/>
      <c r="G712" s="7"/>
      <c r="H712" s="8"/>
      <c r="I712" s="3"/>
      <c r="J712" s="28" t="s">
        <v>254</v>
      </c>
      <c r="K712" s="28"/>
      <c r="L712" s="42" t="s">
        <v>459</v>
      </c>
      <c r="M712" s="4" t="s">
        <v>3</v>
      </c>
      <c r="N712" s="15">
        <v>33507251</v>
      </c>
      <c r="O712" s="88">
        <v>20335072511</v>
      </c>
      <c r="P712" s="38"/>
      <c r="Q712" s="38"/>
      <c r="R712" s="38"/>
      <c r="S712" s="38"/>
      <c r="T712" s="38"/>
      <c r="U712" s="16" t="s">
        <v>796</v>
      </c>
      <c r="V712" s="16" t="s">
        <v>916</v>
      </c>
      <c r="W712" s="12">
        <v>40238</v>
      </c>
      <c r="X712" s="48">
        <v>42735</v>
      </c>
      <c r="Y712" s="12">
        <v>42735</v>
      </c>
      <c r="Z712" s="2" t="s">
        <v>17</v>
      </c>
      <c r="AA712" s="2"/>
      <c r="AB712" s="18"/>
      <c r="AC712" s="5">
        <v>1000</v>
      </c>
      <c r="AD712" s="5"/>
      <c r="AE712" s="5">
        <v>1170</v>
      </c>
      <c r="AF712" s="5">
        <f t="shared" si="729"/>
        <v>1310</v>
      </c>
      <c r="AG712" s="5">
        <f t="shared" si="763"/>
        <v>1310</v>
      </c>
      <c r="AH712" s="5">
        <f t="shared" si="763"/>
        <v>1310</v>
      </c>
      <c r="AI712" s="5">
        <f t="shared" ref="AI712:AJ712" si="767">+AH712</f>
        <v>1310</v>
      </c>
      <c r="AJ712" s="5">
        <f t="shared" si="767"/>
        <v>1310</v>
      </c>
      <c r="AK712" s="2"/>
      <c r="AL712" s="105" t="str">
        <f>+Z712</f>
        <v>C1</v>
      </c>
    </row>
    <row r="713" spans="1:38" s="6" customFormat="1" ht="15" customHeight="1" x14ac:dyDescent="0.2">
      <c r="A713" s="29" t="s">
        <v>824</v>
      </c>
      <c r="B713" s="29" t="s">
        <v>822</v>
      </c>
      <c r="C713" s="29" t="s">
        <v>823</v>
      </c>
      <c r="D713" s="2" t="s">
        <v>800</v>
      </c>
      <c r="E713" s="7" t="s">
        <v>487</v>
      </c>
      <c r="F713" s="7"/>
      <c r="G713" s="7"/>
      <c r="H713" s="2" t="s">
        <v>884</v>
      </c>
      <c r="I713" s="2" t="s">
        <v>220</v>
      </c>
      <c r="J713" s="28"/>
      <c r="K713" s="28" t="s">
        <v>1767</v>
      </c>
      <c r="L713" s="42" t="s">
        <v>1121</v>
      </c>
      <c r="M713" s="7" t="s">
        <v>3</v>
      </c>
      <c r="N713" s="15">
        <v>27641729</v>
      </c>
      <c r="O713" s="88">
        <v>27276417296</v>
      </c>
      <c r="P713" s="38">
        <v>28915</v>
      </c>
      <c r="Q713" s="38"/>
      <c r="R713" s="38"/>
      <c r="S713" s="38"/>
      <c r="T713" s="38"/>
      <c r="U713" s="17" t="s">
        <v>215</v>
      </c>
      <c r="V713" s="17" t="s">
        <v>915</v>
      </c>
      <c r="W713" s="12">
        <v>42491</v>
      </c>
      <c r="X713" s="20"/>
      <c r="Y713" s="12">
        <v>42735</v>
      </c>
      <c r="Z713" s="2"/>
      <c r="AA713" s="2" t="s">
        <v>479</v>
      </c>
      <c r="AB713" s="24"/>
      <c r="AC713" s="5">
        <v>1000</v>
      </c>
      <c r="AD713" s="5">
        <f>+AC713*1.07</f>
        <v>1070</v>
      </c>
      <c r="AE713" s="5">
        <v>1170</v>
      </c>
      <c r="AF713" s="5">
        <f t="shared" si="729"/>
        <v>1310</v>
      </c>
      <c r="AG713" s="5">
        <f t="shared" si="763"/>
        <v>1310</v>
      </c>
      <c r="AH713" s="5">
        <f t="shared" si="763"/>
        <v>1310</v>
      </c>
      <c r="AI713" s="5">
        <f t="shared" ref="AI713:AJ713" si="768">+AH713</f>
        <v>1310</v>
      </c>
      <c r="AJ713" s="5">
        <f t="shared" si="768"/>
        <v>1310</v>
      </c>
      <c r="AK713" s="2" t="s">
        <v>53</v>
      </c>
      <c r="AL713" s="105" t="str">
        <f>+AK713</f>
        <v>B0</v>
      </c>
    </row>
    <row r="714" spans="1:38" s="6" customFormat="1" ht="15" customHeight="1" x14ac:dyDescent="0.2">
      <c r="A714" s="29" t="s">
        <v>824</v>
      </c>
      <c r="B714" s="29" t="s">
        <v>822</v>
      </c>
      <c r="C714" s="29" t="s">
        <v>823</v>
      </c>
      <c r="D714" s="2" t="s">
        <v>800</v>
      </c>
      <c r="E714" s="2" t="s">
        <v>485</v>
      </c>
      <c r="F714" s="2"/>
      <c r="G714" s="2"/>
      <c r="H714" s="2"/>
      <c r="I714" s="3"/>
      <c r="J714" s="28" t="s">
        <v>254</v>
      </c>
      <c r="K714" s="28"/>
      <c r="L714" s="42" t="s">
        <v>283</v>
      </c>
      <c r="M714" s="4" t="s">
        <v>3</v>
      </c>
      <c r="N714" s="15">
        <v>11078343</v>
      </c>
      <c r="O714" s="88">
        <v>20110783435</v>
      </c>
      <c r="P714" s="38"/>
      <c r="Q714" s="38"/>
      <c r="R714" s="38"/>
      <c r="S714" s="38"/>
      <c r="T714" s="38"/>
      <c r="U714" s="16" t="s">
        <v>796</v>
      </c>
      <c r="V714" s="16" t="s">
        <v>916</v>
      </c>
      <c r="W714" s="12">
        <v>41244</v>
      </c>
      <c r="X714" s="48">
        <v>42735</v>
      </c>
      <c r="Y714" s="12">
        <v>42735</v>
      </c>
      <c r="Z714" s="2" t="s">
        <v>42</v>
      </c>
      <c r="AA714" s="2"/>
      <c r="AB714" s="18"/>
      <c r="AC714" s="5">
        <v>1000</v>
      </c>
      <c r="AD714" s="5"/>
      <c r="AE714" s="5">
        <v>1170</v>
      </c>
      <c r="AF714" s="5">
        <f t="shared" si="729"/>
        <v>1310</v>
      </c>
      <c r="AG714" s="5">
        <f t="shared" si="763"/>
        <v>1310</v>
      </c>
      <c r="AH714" s="5">
        <f t="shared" si="763"/>
        <v>1310</v>
      </c>
      <c r="AI714" s="5">
        <f t="shared" ref="AI714:AJ714" si="769">+AH714</f>
        <v>1310</v>
      </c>
      <c r="AJ714" s="5">
        <f t="shared" si="769"/>
        <v>1310</v>
      </c>
      <c r="AK714" s="2"/>
      <c r="AL714" s="105" t="str">
        <f>+Z714</f>
        <v>C0</v>
      </c>
    </row>
    <row r="715" spans="1:38" s="6" customFormat="1" ht="15" customHeight="1" x14ac:dyDescent="0.2">
      <c r="A715" s="29" t="s">
        <v>824</v>
      </c>
      <c r="B715" s="29" t="s">
        <v>822</v>
      </c>
      <c r="C715" s="29" t="s">
        <v>823</v>
      </c>
      <c r="D715" s="2" t="s">
        <v>800</v>
      </c>
      <c r="E715" s="2" t="s">
        <v>486</v>
      </c>
      <c r="F715" s="2"/>
      <c r="G715" s="2"/>
      <c r="H715" s="2" t="s">
        <v>1710</v>
      </c>
      <c r="I715" s="3" t="s">
        <v>1754</v>
      </c>
      <c r="J715" s="28" t="s">
        <v>254</v>
      </c>
      <c r="K715" s="28"/>
      <c r="L715" s="42" t="s">
        <v>315</v>
      </c>
      <c r="M715" s="4" t="s">
        <v>3</v>
      </c>
      <c r="N715" s="15">
        <v>22232165</v>
      </c>
      <c r="O715" s="88">
        <v>20222321655</v>
      </c>
      <c r="P715" s="38">
        <v>26135</v>
      </c>
      <c r="Q715" s="38"/>
      <c r="R715" s="38"/>
      <c r="S715" s="38"/>
      <c r="T715" s="38"/>
      <c r="U715" s="17" t="s">
        <v>215</v>
      </c>
      <c r="V715" s="17" t="s">
        <v>1698</v>
      </c>
      <c r="W715" s="12"/>
      <c r="X715" s="20"/>
      <c r="Y715" s="12">
        <v>42735</v>
      </c>
      <c r="Z715" s="2"/>
      <c r="AA715" s="2" t="s">
        <v>479</v>
      </c>
      <c r="AB715" s="25" t="s">
        <v>479</v>
      </c>
      <c r="AC715" s="5">
        <v>1000</v>
      </c>
      <c r="AD715" s="5">
        <f>+AC715*1.07</f>
        <v>1070</v>
      </c>
      <c r="AE715" s="5">
        <v>1170</v>
      </c>
      <c r="AF715" s="5">
        <f t="shared" si="729"/>
        <v>1310</v>
      </c>
      <c r="AG715" s="5">
        <f t="shared" si="763"/>
        <v>1310</v>
      </c>
      <c r="AH715" s="5">
        <f t="shared" si="763"/>
        <v>1310</v>
      </c>
      <c r="AI715" s="5">
        <f t="shared" ref="AI715:AJ715" si="770">+AH715</f>
        <v>1310</v>
      </c>
      <c r="AJ715" s="5">
        <f t="shared" si="770"/>
        <v>1310</v>
      </c>
      <c r="AK715" s="2"/>
      <c r="AL715" s="107" t="s">
        <v>1818</v>
      </c>
    </row>
    <row r="716" spans="1:38" s="6" customFormat="1" ht="15" customHeight="1" x14ac:dyDescent="0.2">
      <c r="A716" s="29" t="s">
        <v>824</v>
      </c>
      <c r="B716" s="2" t="s">
        <v>822</v>
      </c>
      <c r="C716" s="3"/>
      <c r="D716" s="2" t="s">
        <v>825</v>
      </c>
      <c r="E716" s="3" t="s">
        <v>18</v>
      </c>
      <c r="F716" s="2" t="s">
        <v>19</v>
      </c>
      <c r="G716" s="2"/>
      <c r="H716" s="2" t="s">
        <v>20</v>
      </c>
      <c r="I716" s="2" t="s">
        <v>1760</v>
      </c>
      <c r="J716" s="28" t="s">
        <v>548</v>
      </c>
      <c r="K716" s="28" t="s">
        <v>548</v>
      </c>
      <c r="L716" s="44" t="s">
        <v>985</v>
      </c>
      <c r="M716" s="2" t="s">
        <v>3</v>
      </c>
      <c r="N716" s="47">
        <v>30979332</v>
      </c>
      <c r="O716" s="88" t="s">
        <v>1608</v>
      </c>
      <c r="P716" s="38">
        <v>30812</v>
      </c>
      <c r="Q716" s="38"/>
      <c r="R716" s="38"/>
      <c r="S716" s="38"/>
      <c r="T716" s="38"/>
      <c r="U716" s="17" t="s">
        <v>215</v>
      </c>
      <c r="V716" s="17" t="s">
        <v>915</v>
      </c>
      <c r="W716" s="12">
        <v>41122</v>
      </c>
      <c r="X716" s="12"/>
      <c r="Y716" s="12">
        <v>42735</v>
      </c>
      <c r="Z716" s="2"/>
      <c r="AA716" s="2" t="s">
        <v>479</v>
      </c>
      <c r="AB716" s="7"/>
      <c r="AC716" s="5">
        <v>1000</v>
      </c>
      <c r="AD716" s="5">
        <f>+AC716</f>
        <v>1000</v>
      </c>
      <c r="AE716" s="5">
        <v>1170</v>
      </c>
      <c r="AF716" s="5">
        <f t="shared" si="729"/>
        <v>1310</v>
      </c>
      <c r="AG716" s="5">
        <f t="shared" si="763"/>
        <v>1310</v>
      </c>
      <c r="AH716" s="5">
        <f t="shared" si="763"/>
        <v>1310</v>
      </c>
      <c r="AI716" s="5">
        <f t="shared" ref="AI716:AJ716" si="771">+AH716</f>
        <v>1310</v>
      </c>
      <c r="AJ716" s="5">
        <f t="shared" si="771"/>
        <v>1310</v>
      </c>
      <c r="AK716" s="2"/>
      <c r="AL716" s="106"/>
    </row>
    <row r="717" spans="1:38" s="6" customFormat="1" ht="15" customHeight="1" x14ac:dyDescent="0.2">
      <c r="A717" s="29" t="s">
        <v>824</v>
      </c>
      <c r="B717" s="29" t="s">
        <v>822</v>
      </c>
      <c r="C717" s="29" t="s">
        <v>823</v>
      </c>
      <c r="D717" s="2" t="s">
        <v>800</v>
      </c>
      <c r="E717" s="7" t="s">
        <v>541</v>
      </c>
      <c r="F717" s="7"/>
      <c r="G717" s="7"/>
      <c r="H717" s="8"/>
      <c r="I717" s="3" t="s">
        <v>1746</v>
      </c>
      <c r="J717" s="28" t="s">
        <v>254</v>
      </c>
      <c r="K717" s="28" t="s">
        <v>1767</v>
      </c>
      <c r="L717" s="42" t="s">
        <v>425</v>
      </c>
      <c r="M717" s="4" t="s">
        <v>3</v>
      </c>
      <c r="N717" s="15">
        <v>20477882</v>
      </c>
      <c r="O717" s="88" t="s">
        <v>1195</v>
      </c>
      <c r="P717" s="38">
        <v>25126</v>
      </c>
      <c r="Q717" s="38"/>
      <c r="R717" s="38"/>
      <c r="S717" s="38"/>
      <c r="T717" s="38"/>
      <c r="U717" s="17" t="s">
        <v>215</v>
      </c>
      <c r="V717" s="17" t="s">
        <v>915</v>
      </c>
      <c r="W717" s="12">
        <v>41730</v>
      </c>
      <c r="X717" s="20"/>
      <c r="Y717" s="12">
        <v>42735</v>
      </c>
      <c r="Z717" s="2"/>
      <c r="AA717" s="2" t="s">
        <v>479</v>
      </c>
      <c r="AB717" s="24" t="s">
        <v>479</v>
      </c>
      <c r="AC717" s="5">
        <v>1000</v>
      </c>
      <c r="AD717" s="5">
        <f>+AC717*1.07</f>
        <v>1070</v>
      </c>
      <c r="AE717" s="5">
        <v>1170</v>
      </c>
      <c r="AF717" s="5">
        <f t="shared" si="729"/>
        <v>1310</v>
      </c>
      <c r="AG717" s="5">
        <f t="shared" si="763"/>
        <v>1310</v>
      </c>
      <c r="AH717" s="5">
        <f t="shared" si="763"/>
        <v>1310</v>
      </c>
      <c r="AI717" s="5">
        <f t="shared" ref="AI717:AJ717" si="772">+AH717</f>
        <v>1310</v>
      </c>
      <c r="AJ717" s="5">
        <f t="shared" si="772"/>
        <v>1310</v>
      </c>
      <c r="AK717" s="2" t="s">
        <v>53</v>
      </c>
      <c r="AL717" s="105" t="str">
        <f>+AK717</f>
        <v>B0</v>
      </c>
    </row>
    <row r="718" spans="1:38" s="6" customFormat="1" ht="15" customHeight="1" x14ac:dyDescent="0.2">
      <c r="A718" s="29" t="s">
        <v>824</v>
      </c>
      <c r="B718" s="29" t="s">
        <v>822</v>
      </c>
      <c r="C718" s="29" t="s">
        <v>823</v>
      </c>
      <c r="D718" s="2" t="s">
        <v>800</v>
      </c>
      <c r="E718" s="7" t="s">
        <v>541</v>
      </c>
      <c r="F718" s="7"/>
      <c r="G718" s="7"/>
      <c r="H718" s="8"/>
      <c r="I718" s="3" t="s">
        <v>1747</v>
      </c>
      <c r="J718" s="28" t="s">
        <v>254</v>
      </c>
      <c r="K718" s="28" t="s">
        <v>1767</v>
      </c>
      <c r="L718" s="42" t="s">
        <v>426</v>
      </c>
      <c r="M718" s="4" t="s">
        <v>3</v>
      </c>
      <c r="N718" s="15">
        <v>29018545</v>
      </c>
      <c r="O718" s="88" t="s">
        <v>1343</v>
      </c>
      <c r="P718" s="38">
        <v>29771</v>
      </c>
      <c r="Q718" s="38"/>
      <c r="R718" s="38"/>
      <c r="S718" s="38"/>
      <c r="T718" s="38"/>
      <c r="U718" s="17" t="s">
        <v>215</v>
      </c>
      <c r="V718" s="17" t="s">
        <v>915</v>
      </c>
      <c r="W718" s="12">
        <v>41730</v>
      </c>
      <c r="X718" s="20"/>
      <c r="Y718" s="12">
        <v>42735</v>
      </c>
      <c r="Z718" s="2"/>
      <c r="AA718" s="2" t="s">
        <v>479</v>
      </c>
      <c r="AB718" s="24" t="s">
        <v>479</v>
      </c>
      <c r="AC718" s="5">
        <v>1000</v>
      </c>
      <c r="AD718" s="5">
        <v>1070</v>
      </c>
      <c r="AE718" s="5">
        <v>1170</v>
      </c>
      <c r="AF718" s="5">
        <f t="shared" si="729"/>
        <v>1310</v>
      </c>
      <c r="AG718" s="5">
        <f t="shared" si="763"/>
        <v>1310</v>
      </c>
      <c r="AH718" s="5">
        <f t="shared" si="763"/>
        <v>1310</v>
      </c>
      <c r="AI718" s="5">
        <f t="shared" ref="AI718:AJ718" si="773">+AH718</f>
        <v>1310</v>
      </c>
      <c r="AJ718" s="5">
        <f t="shared" si="773"/>
        <v>1310</v>
      </c>
      <c r="AK718" s="29" t="s">
        <v>42</v>
      </c>
      <c r="AL718" s="105" t="str">
        <f>+AK718</f>
        <v>C0</v>
      </c>
    </row>
    <row r="719" spans="1:38" s="6" customFormat="1" ht="15" customHeight="1" x14ac:dyDescent="0.2">
      <c r="A719" s="29" t="s">
        <v>824</v>
      </c>
      <c r="B719" s="29" t="s">
        <v>822</v>
      </c>
      <c r="C719" s="29" t="s">
        <v>823</v>
      </c>
      <c r="D719" s="2" t="s">
        <v>808</v>
      </c>
      <c r="E719" s="2" t="s">
        <v>909</v>
      </c>
      <c r="F719" s="2" t="s">
        <v>23</v>
      </c>
      <c r="G719" s="3"/>
      <c r="H719" s="2" t="s">
        <v>246</v>
      </c>
      <c r="I719" s="2" t="s">
        <v>222</v>
      </c>
      <c r="J719" s="28" t="s">
        <v>73</v>
      </c>
      <c r="K719" s="28" t="s">
        <v>1765</v>
      </c>
      <c r="L719" s="43" t="s">
        <v>172</v>
      </c>
      <c r="M719" s="4" t="s">
        <v>3</v>
      </c>
      <c r="N719" s="15">
        <v>37233955</v>
      </c>
      <c r="O719" s="88" t="s">
        <v>1526</v>
      </c>
      <c r="P719" s="38">
        <v>34127</v>
      </c>
      <c r="Q719" s="38"/>
      <c r="R719" s="38"/>
      <c r="S719" s="38"/>
      <c r="T719" s="38"/>
      <c r="U719" s="17" t="s">
        <v>215</v>
      </c>
      <c r="V719" s="17" t="s">
        <v>915</v>
      </c>
      <c r="W719" s="12">
        <v>42217</v>
      </c>
      <c r="X719" s="37"/>
      <c r="Y719" s="12">
        <v>42735</v>
      </c>
      <c r="Z719" s="2"/>
      <c r="AA719" s="2" t="s">
        <v>479</v>
      </c>
      <c r="AB719" s="7" t="s">
        <v>61</v>
      </c>
      <c r="AC719" s="5">
        <v>1000</v>
      </c>
      <c r="AD719" s="5">
        <f>+AC719*1.07</f>
        <v>1070</v>
      </c>
      <c r="AE719" s="5">
        <v>1170</v>
      </c>
      <c r="AF719" s="5">
        <f t="shared" si="729"/>
        <v>1310</v>
      </c>
      <c r="AG719" s="5">
        <f t="shared" si="763"/>
        <v>1310</v>
      </c>
      <c r="AH719" s="5">
        <f t="shared" si="763"/>
        <v>1310</v>
      </c>
      <c r="AI719" s="5">
        <f t="shared" ref="AI719:AJ719" si="774">+AH719</f>
        <v>1310</v>
      </c>
      <c r="AJ719" s="5">
        <f t="shared" si="774"/>
        <v>1310</v>
      </c>
      <c r="AK719" s="29" t="s">
        <v>42</v>
      </c>
      <c r="AL719" s="105" t="str">
        <f>+AK719</f>
        <v>C0</v>
      </c>
    </row>
    <row r="720" spans="1:38" s="6" customFormat="1" ht="15" customHeight="1" x14ac:dyDescent="0.2">
      <c r="A720" s="29" t="s">
        <v>824</v>
      </c>
      <c r="B720" s="29" t="s">
        <v>1098</v>
      </c>
      <c r="C720" s="14"/>
      <c r="D720" s="2" t="s">
        <v>1833</v>
      </c>
      <c r="E720" s="2"/>
      <c r="F720" s="3"/>
      <c r="G720" s="3"/>
      <c r="H720" s="2"/>
      <c r="I720" s="2" t="s">
        <v>1707</v>
      </c>
      <c r="J720" s="28"/>
      <c r="K720" s="28" t="s">
        <v>1765</v>
      </c>
      <c r="L720" s="45" t="s">
        <v>1629</v>
      </c>
      <c r="M720" s="7" t="s">
        <v>3</v>
      </c>
      <c r="N720" s="15">
        <v>23118409</v>
      </c>
      <c r="O720" s="88"/>
      <c r="P720" s="38">
        <v>26643</v>
      </c>
      <c r="Q720" s="38"/>
      <c r="R720" s="38"/>
      <c r="S720" s="38"/>
      <c r="T720" s="38"/>
      <c r="U720" s="16" t="s">
        <v>215</v>
      </c>
      <c r="V720" s="16" t="s">
        <v>915</v>
      </c>
      <c r="W720" s="12">
        <v>42552</v>
      </c>
      <c r="X720" s="48"/>
      <c r="Y720" s="48">
        <v>42735</v>
      </c>
      <c r="Z720" s="2"/>
      <c r="AA720" s="2" t="s">
        <v>479</v>
      </c>
      <c r="AB720" s="14"/>
      <c r="AC720" s="5"/>
      <c r="AD720" s="5"/>
      <c r="AE720" s="5">
        <v>1170</v>
      </c>
      <c r="AF720" s="5">
        <f t="shared" si="729"/>
        <v>0</v>
      </c>
      <c r="AG720" s="5">
        <f t="shared" si="763"/>
        <v>0</v>
      </c>
      <c r="AH720" s="5">
        <f t="shared" si="763"/>
        <v>0</v>
      </c>
      <c r="AI720" s="5">
        <f t="shared" ref="AI720:AJ720" si="775">+AH720</f>
        <v>0</v>
      </c>
      <c r="AJ720" s="5">
        <f t="shared" si="775"/>
        <v>0</v>
      </c>
      <c r="AK720" s="2"/>
      <c r="AL720" s="106"/>
    </row>
    <row r="721" spans="1:38" s="6" customFormat="1" ht="15" customHeight="1" x14ac:dyDescent="0.2">
      <c r="A721" s="29" t="s">
        <v>824</v>
      </c>
      <c r="B721" s="29" t="s">
        <v>822</v>
      </c>
      <c r="C721" s="14"/>
      <c r="D721" s="2" t="s">
        <v>1833</v>
      </c>
      <c r="E721" s="2" t="s">
        <v>1109</v>
      </c>
      <c r="F721" s="2"/>
      <c r="G721" s="2"/>
      <c r="H721" s="2" t="s">
        <v>884</v>
      </c>
      <c r="I721" s="28" t="s">
        <v>1707</v>
      </c>
      <c r="J721" s="28"/>
      <c r="K721" s="28" t="s">
        <v>1765</v>
      </c>
      <c r="L721" s="41" t="s">
        <v>946</v>
      </c>
      <c r="M721" s="4" t="s">
        <v>3</v>
      </c>
      <c r="N721" s="15">
        <v>20117208</v>
      </c>
      <c r="O721" s="88">
        <v>27201172085</v>
      </c>
      <c r="P721" s="38">
        <v>24899</v>
      </c>
      <c r="Q721" s="38"/>
      <c r="R721" s="38"/>
      <c r="S721" s="38"/>
      <c r="T721" s="38"/>
      <c r="U721" s="17" t="s">
        <v>215</v>
      </c>
      <c r="V721" s="17" t="s">
        <v>915</v>
      </c>
      <c r="W721" s="12"/>
      <c r="X721" s="12"/>
      <c r="Y721" s="12">
        <v>42735</v>
      </c>
      <c r="Z721" s="2"/>
      <c r="AA721" s="2" t="s">
        <v>479</v>
      </c>
      <c r="AB721" s="3"/>
      <c r="AC721" s="5">
        <v>1000</v>
      </c>
      <c r="AD721" s="5">
        <f>+AC721*1.07</f>
        <v>1070</v>
      </c>
      <c r="AE721" s="5">
        <v>1170</v>
      </c>
      <c r="AF721" s="5">
        <f t="shared" si="729"/>
        <v>1310</v>
      </c>
      <c r="AG721" s="5">
        <f t="shared" si="763"/>
        <v>1310</v>
      </c>
      <c r="AH721" s="5">
        <f t="shared" si="763"/>
        <v>1310</v>
      </c>
      <c r="AI721" s="5">
        <f t="shared" ref="AI721:AJ721" si="776">+AH721</f>
        <v>1310</v>
      </c>
      <c r="AJ721" s="5">
        <f t="shared" si="776"/>
        <v>1310</v>
      </c>
      <c r="AK721" s="29"/>
      <c r="AL721" s="105"/>
    </row>
    <row r="722" spans="1:38" s="6" customFormat="1" ht="15" customHeight="1" x14ac:dyDescent="0.2">
      <c r="A722" s="29" t="s">
        <v>824</v>
      </c>
      <c r="B722" s="29" t="s">
        <v>822</v>
      </c>
      <c r="C722" s="29" t="s">
        <v>823</v>
      </c>
      <c r="D722" s="2" t="s">
        <v>800</v>
      </c>
      <c r="E722" s="2" t="s">
        <v>484</v>
      </c>
      <c r="F722" s="2"/>
      <c r="G722" s="2"/>
      <c r="H722" s="2" t="s">
        <v>1707</v>
      </c>
      <c r="I722" s="3" t="s">
        <v>1748</v>
      </c>
      <c r="J722" s="28" t="s">
        <v>254</v>
      </c>
      <c r="K722" s="28" t="s">
        <v>1767</v>
      </c>
      <c r="L722" s="42" t="s">
        <v>276</v>
      </c>
      <c r="M722" s="4" t="s">
        <v>3</v>
      </c>
      <c r="N722" s="15">
        <v>6237441</v>
      </c>
      <c r="O722" s="88" t="s">
        <v>1142</v>
      </c>
      <c r="P722" s="38">
        <v>18258</v>
      </c>
      <c r="Q722" s="38"/>
      <c r="R722" s="38"/>
      <c r="S722" s="38"/>
      <c r="T722" s="38"/>
      <c r="U722" s="17" t="s">
        <v>215</v>
      </c>
      <c r="V722" s="17" t="s">
        <v>915</v>
      </c>
      <c r="W722" s="12">
        <v>41426</v>
      </c>
      <c r="X722" s="22"/>
      <c r="Y722" s="12">
        <v>42735</v>
      </c>
      <c r="Z722" s="2"/>
      <c r="AA722" s="2" t="s">
        <v>479</v>
      </c>
      <c r="AB722" s="24" t="s">
        <v>479</v>
      </c>
      <c r="AC722" s="5">
        <v>1000</v>
      </c>
      <c r="AD722" s="5">
        <v>1070</v>
      </c>
      <c r="AE722" s="5">
        <v>1170</v>
      </c>
      <c r="AF722" s="5">
        <f t="shared" si="729"/>
        <v>1310</v>
      </c>
      <c r="AG722" s="5">
        <f t="shared" si="763"/>
        <v>1310</v>
      </c>
      <c r="AH722" s="5">
        <f t="shared" si="763"/>
        <v>1310</v>
      </c>
      <c r="AI722" s="5">
        <f t="shared" ref="AI722:AJ722" si="777">+AH722</f>
        <v>1310</v>
      </c>
      <c r="AJ722" s="5">
        <f t="shared" si="777"/>
        <v>1310</v>
      </c>
      <c r="AK722" s="2" t="s">
        <v>53</v>
      </c>
      <c r="AL722" s="105" t="str">
        <f>+AK722</f>
        <v>B0</v>
      </c>
    </row>
    <row r="723" spans="1:38" s="6" customFormat="1" ht="15" customHeight="1" x14ac:dyDescent="0.2">
      <c r="A723" s="29" t="s">
        <v>824</v>
      </c>
      <c r="B723" s="2" t="s">
        <v>822</v>
      </c>
      <c r="C723" s="29" t="s">
        <v>823</v>
      </c>
      <c r="D723" s="2" t="s">
        <v>808</v>
      </c>
      <c r="E723" s="2" t="s">
        <v>216</v>
      </c>
      <c r="F723" s="2"/>
      <c r="G723" s="3"/>
      <c r="H723" s="2" t="s">
        <v>221</v>
      </c>
      <c r="I723" s="3"/>
      <c r="J723" s="28" t="s">
        <v>73</v>
      </c>
      <c r="K723" s="28"/>
      <c r="L723" s="45" t="s">
        <v>173</v>
      </c>
      <c r="M723" s="4" t="s">
        <v>3</v>
      </c>
      <c r="N723" s="15">
        <v>25065302</v>
      </c>
      <c r="O723" s="88">
        <v>27250653021</v>
      </c>
      <c r="P723" s="38"/>
      <c r="Q723" s="38"/>
      <c r="R723" s="38"/>
      <c r="S723" s="38"/>
      <c r="T723" s="38"/>
      <c r="U723" s="16" t="s">
        <v>796</v>
      </c>
      <c r="V723" s="16" t="s">
        <v>916</v>
      </c>
      <c r="W723" s="12">
        <v>40575</v>
      </c>
      <c r="X723" s="48">
        <v>42735</v>
      </c>
      <c r="Y723" s="12">
        <v>42735</v>
      </c>
      <c r="Z723" s="2" t="s">
        <v>15</v>
      </c>
      <c r="AA723" s="2"/>
      <c r="AB723" s="14"/>
      <c r="AC723" s="5">
        <v>1000</v>
      </c>
      <c r="AD723" s="5"/>
      <c r="AE723" s="5">
        <v>1170</v>
      </c>
      <c r="AF723" s="5">
        <f t="shared" si="729"/>
        <v>1310</v>
      </c>
      <c r="AG723" s="5">
        <f t="shared" si="763"/>
        <v>1310</v>
      </c>
      <c r="AH723" s="5">
        <f t="shared" si="763"/>
        <v>1310</v>
      </c>
      <c r="AI723" s="5">
        <f t="shared" ref="AI723:AJ723" si="778">+AH723</f>
        <v>1310</v>
      </c>
      <c r="AJ723" s="5">
        <f t="shared" si="778"/>
        <v>1310</v>
      </c>
      <c r="AK723" s="2"/>
      <c r="AL723" s="105" t="str">
        <f>+Z723</f>
        <v>B3</v>
      </c>
    </row>
    <row r="724" spans="1:38" s="6" customFormat="1" ht="15" customHeight="1" x14ac:dyDescent="0.2">
      <c r="A724" s="29" t="s">
        <v>824</v>
      </c>
      <c r="B724" s="29" t="s">
        <v>822</v>
      </c>
      <c r="C724" s="14"/>
      <c r="D724" s="2" t="s">
        <v>928</v>
      </c>
      <c r="E724" s="2" t="s">
        <v>11</v>
      </c>
      <c r="F724" s="2"/>
      <c r="G724" s="2"/>
      <c r="H724" s="2"/>
      <c r="I724" s="2" t="s">
        <v>1707</v>
      </c>
      <c r="J724" s="28"/>
      <c r="K724" s="28" t="s">
        <v>1765</v>
      </c>
      <c r="L724" s="41" t="s">
        <v>888</v>
      </c>
      <c r="M724" s="4" t="s">
        <v>3</v>
      </c>
      <c r="N724" s="15">
        <v>29986135</v>
      </c>
      <c r="O724" s="88" t="s">
        <v>1360</v>
      </c>
      <c r="P724" s="38">
        <v>30315</v>
      </c>
      <c r="Q724" s="38"/>
      <c r="R724" s="38"/>
      <c r="S724" s="38"/>
      <c r="T724" s="38"/>
      <c r="U724" s="17" t="s">
        <v>215</v>
      </c>
      <c r="V724" s="17" t="s">
        <v>915</v>
      </c>
      <c r="W724" s="12">
        <v>42370</v>
      </c>
      <c r="X724" s="12"/>
      <c r="Y724" s="12">
        <v>42735</v>
      </c>
      <c r="Z724" s="2"/>
      <c r="AA724" s="2" t="s">
        <v>479</v>
      </c>
      <c r="AB724" s="3"/>
      <c r="AC724" s="5">
        <v>1000</v>
      </c>
      <c r="AD724" s="5">
        <f>+AC724*1.07</f>
        <v>1070</v>
      </c>
      <c r="AE724" s="5">
        <v>1170</v>
      </c>
      <c r="AF724" s="5">
        <f t="shared" si="729"/>
        <v>1310</v>
      </c>
      <c r="AG724" s="5">
        <f t="shared" si="763"/>
        <v>1310</v>
      </c>
      <c r="AH724" s="5">
        <f t="shared" si="763"/>
        <v>1310</v>
      </c>
      <c r="AI724" s="5">
        <f t="shared" ref="AI724:AJ724" si="779">+AH724</f>
        <v>1310</v>
      </c>
      <c r="AJ724" s="5">
        <f t="shared" si="779"/>
        <v>1310</v>
      </c>
      <c r="AK724" s="2" t="s">
        <v>43</v>
      </c>
      <c r="AL724" s="105" t="str">
        <f>+AK724</f>
        <v>A0</v>
      </c>
    </row>
    <row r="725" spans="1:38" s="6" customFormat="1" ht="15" customHeight="1" x14ac:dyDescent="0.2">
      <c r="A725" s="29" t="s">
        <v>824</v>
      </c>
      <c r="B725" s="29"/>
      <c r="C725" s="14"/>
      <c r="D725" s="2" t="s">
        <v>820</v>
      </c>
      <c r="E725" s="2" t="s">
        <v>921</v>
      </c>
      <c r="F725" s="2" t="s">
        <v>217</v>
      </c>
      <c r="G725" s="3"/>
      <c r="H725" s="2" t="s">
        <v>1644</v>
      </c>
      <c r="I725" s="2" t="s">
        <v>1707</v>
      </c>
      <c r="J725" s="28"/>
      <c r="K725" s="28" t="s">
        <v>1765</v>
      </c>
      <c r="L725" s="41" t="s">
        <v>1683</v>
      </c>
      <c r="M725" s="7" t="s">
        <v>3</v>
      </c>
      <c r="N725" s="15">
        <v>33435429</v>
      </c>
      <c r="O725" s="88">
        <v>27334354291</v>
      </c>
      <c r="P725" s="38">
        <v>32197</v>
      </c>
      <c r="Q725" s="38"/>
      <c r="R725" s="38"/>
      <c r="S725" s="38"/>
      <c r="T725" s="38"/>
      <c r="U725" s="17" t="s">
        <v>215</v>
      </c>
      <c r="V725" s="17" t="s">
        <v>915</v>
      </c>
      <c r="W725" s="12">
        <v>42565</v>
      </c>
      <c r="X725" s="48"/>
      <c r="Y725" s="48">
        <v>42735</v>
      </c>
      <c r="Z725" s="2"/>
      <c r="AA725" s="2" t="s">
        <v>479</v>
      </c>
      <c r="AB725" s="3"/>
      <c r="AC725" s="5"/>
      <c r="AD725" s="5"/>
      <c r="AE725" s="5">
        <v>1170</v>
      </c>
      <c r="AF725" s="5">
        <f t="shared" si="729"/>
        <v>0</v>
      </c>
      <c r="AG725" s="5">
        <f t="shared" si="763"/>
        <v>0</v>
      </c>
      <c r="AH725" s="5">
        <f t="shared" si="763"/>
        <v>0</v>
      </c>
      <c r="AI725" s="5">
        <f t="shared" ref="AI725:AJ725" si="780">+AH725</f>
        <v>0</v>
      </c>
      <c r="AJ725" s="5">
        <f t="shared" si="780"/>
        <v>0</v>
      </c>
      <c r="AK725" s="29" t="s">
        <v>42</v>
      </c>
      <c r="AL725" s="105" t="str">
        <f>+AK725</f>
        <v>C0</v>
      </c>
    </row>
    <row r="726" spans="1:38" s="6" customFormat="1" ht="15" customHeight="1" x14ac:dyDescent="0.2">
      <c r="A726" s="29" t="s">
        <v>824</v>
      </c>
      <c r="B726" s="2" t="s">
        <v>822</v>
      </c>
      <c r="C726" s="3"/>
      <c r="D726" s="2" t="s">
        <v>825</v>
      </c>
      <c r="E726" s="3" t="s">
        <v>18</v>
      </c>
      <c r="F726" s="2" t="s">
        <v>19</v>
      </c>
      <c r="G726" s="2"/>
      <c r="H726" s="2" t="s">
        <v>50</v>
      </c>
      <c r="I726" s="2" t="s">
        <v>1707</v>
      </c>
      <c r="J726" s="28" t="s">
        <v>548</v>
      </c>
      <c r="K726" s="28" t="s">
        <v>548</v>
      </c>
      <c r="L726" s="44" t="s">
        <v>716</v>
      </c>
      <c r="M726" s="4" t="s">
        <v>3</v>
      </c>
      <c r="N726" s="15">
        <v>32262741</v>
      </c>
      <c r="O726" s="88" t="s">
        <v>1413</v>
      </c>
      <c r="P726" s="38">
        <v>31522</v>
      </c>
      <c r="Q726" s="38"/>
      <c r="R726" s="38"/>
      <c r="S726" s="38"/>
      <c r="T726" s="38"/>
      <c r="U726" s="17" t="s">
        <v>215</v>
      </c>
      <c r="V726" s="17" t="s">
        <v>915</v>
      </c>
      <c r="W726" s="12">
        <v>41244</v>
      </c>
      <c r="X726" s="12"/>
      <c r="Y726" s="12">
        <v>42735</v>
      </c>
      <c r="Z726" s="2"/>
      <c r="AA726" s="2" t="s">
        <v>479</v>
      </c>
      <c r="AB726" s="7" t="s">
        <v>787</v>
      </c>
      <c r="AC726" s="5">
        <v>1000</v>
      </c>
      <c r="AD726" s="5">
        <f>+AC726</f>
        <v>1000</v>
      </c>
      <c r="AE726" s="5">
        <v>1170</v>
      </c>
      <c r="AF726" s="5">
        <f t="shared" si="729"/>
        <v>1310</v>
      </c>
      <c r="AG726" s="5">
        <f t="shared" si="763"/>
        <v>1310</v>
      </c>
      <c r="AH726" s="5">
        <f t="shared" si="763"/>
        <v>1310</v>
      </c>
      <c r="AI726" s="5">
        <f t="shared" ref="AI726:AJ726" si="781">+AH726</f>
        <v>1310</v>
      </c>
      <c r="AJ726" s="5">
        <f t="shared" si="781"/>
        <v>1310</v>
      </c>
      <c r="AK726" s="2"/>
      <c r="AL726" s="106"/>
    </row>
    <row r="727" spans="1:38" s="6" customFormat="1" ht="15" customHeight="1" x14ac:dyDescent="0.2">
      <c r="A727" s="29" t="s">
        <v>824</v>
      </c>
      <c r="B727" s="2" t="s">
        <v>822</v>
      </c>
      <c r="C727" s="3"/>
      <c r="D727" s="2" t="s">
        <v>825</v>
      </c>
      <c r="E727" s="3" t="s">
        <v>18</v>
      </c>
      <c r="F727" s="2" t="s">
        <v>19</v>
      </c>
      <c r="G727" s="2"/>
      <c r="H727" s="2" t="s">
        <v>45</v>
      </c>
      <c r="I727" s="2" t="s">
        <v>1707</v>
      </c>
      <c r="J727" s="28" t="s">
        <v>548</v>
      </c>
      <c r="K727" s="28" t="s">
        <v>548</v>
      </c>
      <c r="L727" s="44" t="s">
        <v>717</v>
      </c>
      <c r="M727" s="4" t="s">
        <v>3</v>
      </c>
      <c r="N727" s="15">
        <v>20552687</v>
      </c>
      <c r="O727" s="88" t="s">
        <v>1196</v>
      </c>
      <c r="P727" s="38">
        <v>25143</v>
      </c>
      <c r="Q727" s="38"/>
      <c r="R727" s="38"/>
      <c r="S727" s="38"/>
      <c r="T727" s="38"/>
      <c r="U727" s="17" t="s">
        <v>215</v>
      </c>
      <c r="V727" s="17" t="s">
        <v>915</v>
      </c>
      <c r="W727" s="12">
        <v>41022</v>
      </c>
      <c r="X727" s="12"/>
      <c r="Y727" s="12">
        <v>42735</v>
      </c>
      <c r="Z727" s="2"/>
      <c r="AA727" s="2" t="s">
        <v>479</v>
      </c>
      <c r="AB727" s="7" t="s">
        <v>787</v>
      </c>
      <c r="AC727" s="5">
        <v>1000</v>
      </c>
      <c r="AD727" s="5">
        <f>+AC727</f>
        <v>1000</v>
      </c>
      <c r="AE727" s="5">
        <v>1170</v>
      </c>
      <c r="AF727" s="5">
        <f t="shared" si="729"/>
        <v>1310</v>
      </c>
      <c r="AG727" s="5">
        <f t="shared" si="763"/>
        <v>1310</v>
      </c>
      <c r="AH727" s="5">
        <f t="shared" si="763"/>
        <v>1310</v>
      </c>
      <c r="AI727" s="5">
        <f t="shared" ref="AI727:AJ727" si="782">+AH727</f>
        <v>1310</v>
      </c>
      <c r="AJ727" s="5">
        <f t="shared" si="782"/>
        <v>1310</v>
      </c>
      <c r="AK727" s="2"/>
      <c r="AL727" s="106"/>
    </row>
    <row r="728" spans="1:38" s="6" customFormat="1" ht="15" customHeight="1" x14ac:dyDescent="0.2">
      <c r="A728" s="29" t="s">
        <v>824</v>
      </c>
      <c r="B728" s="2" t="s">
        <v>822</v>
      </c>
      <c r="C728" s="29" t="s">
        <v>823</v>
      </c>
      <c r="D728" s="2" t="s">
        <v>1820</v>
      </c>
      <c r="E728" s="2"/>
      <c r="F728" s="3"/>
      <c r="G728" s="3"/>
      <c r="H728" s="2" t="s">
        <v>48</v>
      </c>
      <c r="I728" s="3"/>
      <c r="J728" s="28" t="s">
        <v>73</v>
      </c>
      <c r="K728" s="28"/>
      <c r="L728" s="31" t="s">
        <v>174</v>
      </c>
      <c r="M728" s="4" t="s">
        <v>3</v>
      </c>
      <c r="N728" s="15">
        <v>30800939</v>
      </c>
      <c r="O728" s="88">
        <v>23308009394</v>
      </c>
      <c r="P728" s="38"/>
      <c r="Q728" s="38"/>
      <c r="R728" s="38"/>
      <c r="S728" s="38"/>
      <c r="T728" s="38"/>
      <c r="U728" s="16" t="s">
        <v>796</v>
      </c>
      <c r="V728" s="16" t="s">
        <v>916</v>
      </c>
      <c r="W728" s="12">
        <v>41609</v>
      </c>
      <c r="X728" s="12">
        <v>42460</v>
      </c>
      <c r="Y728" s="12">
        <v>42735</v>
      </c>
      <c r="Z728" s="2" t="s">
        <v>30</v>
      </c>
      <c r="AA728" s="2"/>
      <c r="AB728" s="14"/>
      <c r="AC728" s="5">
        <v>1000</v>
      </c>
      <c r="AD728" s="5"/>
      <c r="AE728" s="5">
        <v>1170</v>
      </c>
      <c r="AF728" s="5">
        <f t="shared" si="729"/>
        <v>1310</v>
      </c>
      <c r="AG728" s="5">
        <f t="shared" si="763"/>
        <v>1310</v>
      </c>
      <c r="AH728" s="5">
        <f t="shared" si="763"/>
        <v>1310</v>
      </c>
      <c r="AI728" s="5">
        <f t="shared" ref="AI728:AJ728" si="783">+AH728</f>
        <v>1310</v>
      </c>
      <c r="AJ728" s="5">
        <f t="shared" si="783"/>
        <v>1310</v>
      </c>
      <c r="AK728" s="2"/>
      <c r="AL728" s="105" t="str">
        <f>+Z728</f>
        <v>B1</v>
      </c>
    </row>
    <row r="729" spans="1:38" s="6" customFormat="1" ht="15" customHeight="1" x14ac:dyDescent="0.2">
      <c r="A729" s="29" t="s">
        <v>824</v>
      </c>
      <c r="B729" s="29" t="s">
        <v>822</v>
      </c>
      <c r="C729" s="29" t="s">
        <v>823</v>
      </c>
      <c r="D729" s="2" t="s">
        <v>800</v>
      </c>
      <c r="E729" s="2" t="s">
        <v>489</v>
      </c>
      <c r="F729" s="2"/>
      <c r="G729" s="2"/>
      <c r="H729" s="2"/>
      <c r="I729" s="3" t="s">
        <v>1731</v>
      </c>
      <c r="J729" s="28" t="s">
        <v>254</v>
      </c>
      <c r="K729" s="28" t="s">
        <v>1767</v>
      </c>
      <c r="L729" s="42" t="s">
        <v>367</v>
      </c>
      <c r="M729" s="4" t="s">
        <v>3</v>
      </c>
      <c r="N729" s="15">
        <v>29871046</v>
      </c>
      <c r="O729" s="88" t="s">
        <v>1357</v>
      </c>
      <c r="P729" s="38">
        <v>30104</v>
      </c>
      <c r="Q729" s="38"/>
      <c r="R729" s="38"/>
      <c r="S729" s="38"/>
      <c r="T729" s="38"/>
      <c r="U729" s="17" t="s">
        <v>215</v>
      </c>
      <c r="V729" s="17" t="s">
        <v>915</v>
      </c>
      <c r="W729" s="12">
        <v>41821</v>
      </c>
      <c r="X729" s="20"/>
      <c r="Y729" s="12">
        <v>42735</v>
      </c>
      <c r="Z729" s="2"/>
      <c r="AA729" s="2" t="s">
        <v>479</v>
      </c>
      <c r="AB729" s="24" t="s">
        <v>479</v>
      </c>
      <c r="AC729" s="5">
        <v>1000</v>
      </c>
      <c r="AD729" s="5">
        <v>1070</v>
      </c>
      <c r="AE729" s="5">
        <v>1170</v>
      </c>
      <c r="AF729" s="5">
        <f t="shared" si="729"/>
        <v>1310</v>
      </c>
      <c r="AG729" s="5">
        <f t="shared" ref="AG729:AH747" si="784">+AF729</f>
        <v>1310</v>
      </c>
      <c r="AH729" s="5">
        <f t="shared" si="784"/>
        <v>1310</v>
      </c>
      <c r="AI729" s="5">
        <f t="shared" ref="AI729:AJ729" si="785">+AH729</f>
        <v>1310</v>
      </c>
      <c r="AJ729" s="5">
        <f t="shared" si="785"/>
        <v>1310</v>
      </c>
      <c r="AK729" s="29" t="s">
        <v>42</v>
      </c>
      <c r="AL729" s="105" t="str">
        <f>+AK729</f>
        <v>C0</v>
      </c>
    </row>
    <row r="730" spans="1:38" s="6" customFormat="1" ht="15" customHeight="1" x14ac:dyDescent="0.2">
      <c r="A730" s="29" t="s">
        <v>824</v>
      </c>
      <c r="B730" s="2" t="s">
        <v>822</v>
      </c>
      <c r="C730" s="3"/>
      <c r="D730" s="2" t="s">
        <v>825</v>
      </c>
      <c r="E730" s="3" t="s">
        <v>18</v>
      </c>
      <c r="F730" s="2" t="s">
        <v>19</v>
      </c>
      <c r="G730" s="2"/>
      <c r="H730" s="2" t="s">
        <v>39</v>
      </c>
      <c r="I730" s="2" t="s">
        <v>1707</v>
      </c>
      <c r="J730" s="28" t="s">
        <v>548</v>
      </c>
      <c r="K730" s="28" t="s">
        <v>548</v>
      </c>
      <c r="L730" s="44" t="s">
        <v>718</v>
      </c>
      <c r="M730" s="4" t="s">
        <v>3</v>
      </c>
      <c r="N730" s="15">
        <v>25554128</v>
      </c>
      <c r="O730" s="88" t="s">
        <v>1268</v>
      </c>
      <c r="P730" s="38">
        <v>28043</v>
      </c>
      <c r="Q730" s="38"/>
      <c r="R730" s="38"/>
      <c r="S730" s="38"/>
      <c r="T730" s="38"/>
      <c r="U730" s="17" t="s">
        <v>215</v>
      </c>
      <c r="V730" s="17" t="s">
        <v>915</v>
      </c>
      <c r="W730" s="12">
        <v>41032</v>
      </c>
      <c r="X730" s="12"/>
      <c r="Y730" s="12">
        <v>42735</v>
      </c>
      <c r="Z730" s="2"/>
      <c r="AA730" s="2" t="s">
        <v>479</v>
      </c>
      <c r="AB730" s="7" t="s">
        <v>787</v>
      </c>
      <c r="AC730" s="5">
        <v>1000</v>
      </c>
      <c r="AD730" s="5">
        <f>+AC730</f>
        <v>1000</v>
      </c>
      <c r="AE730" s="5">
        <v>1170</v>
      </c>
      <c r="AF730" s="5">
        <f t="shared" si="729"/>
        <v>1310</v>
      </c>
      <c r="AG730" s="5">
        <f t="shared" si="784"/>
        <v>1310</v>
      </c>
      <c r="AH730" s="5">
        <f t="shared" si="784"/>
        <v>1310</v>
      </c>
      <c r="AI730" s="5">
        <f t="shared" ref="AI730:AJ730" si="786">+AH730</f>
        <v>1310</v>
      </c>
      <c r="AJ730" s="5">
        <f t="shared" si="786"/>
        <v>1310</v>
      </c>
      <c r="AK730" s="2"/>
      <c r="AL730" s="106"/>
    </row>
    <row r="731" spans="1:38" s="6" customFormat="1" ht="15" customHeight="1" x14ac:dyDescent="0.2">
      <c r="A731" s="29" t="s">
        <v>824</v>
      </c>
      <c r="B731" s="29" t="s">
        <v>822</v>
      </c>
      <c r="C731" s="14"/>
      <c r="D731" s="2" t="s">
        <v>1833</v>
      </c>
      <c r="E731" s="2"/>
      <c r="F731" s="3"/>
      <c r="G731" s="3"/>
      <c r="H731" s="2" t="s">
        <v>884</v>
      </c>
      <c r="I731" s="2" t="s">
        <v>1707</v>
      </c>
      <c r="J731" s="28"/>
      <c r="K731" s="28" t="s">
        <v>1765</v>
      </c>
      <c r="L731" s="41" t="s">
        <v>1762</v>
      </c>
      <c r="M731" s="7" t="s">
        <v>3</v>
      </c>
      <c r="N731" s="15">
        <v>6717338</v>
      </c>
      <c r="O731" s="88">
        <v>23067173384</v>
      </c>
      <c r="P731" s="38">
        <v>18742</v>
      </c>
      <c r="Q731" s="38"/>
      <c r="R731" s="38"/>
      <c r="S731" s="38"/>
      <c r="T731" s="38"/>
      <c r="U731" s="17" t="s">
        <v>215</v>
      </c>
      <c r="V731" s="17" t="s">
        <v>915</v>
      </c>
      <c r="W731" s="12">
        <v>42552</v>
      </c>
      <c r="X731" s="48"/>
      <c r="Y731" s="12">
        <v>42735</v>
      </c>
      <c r="Z731" s="2"/>
      <c r="AA731" s="2" t="s">
        <v>479</v>
      </c>
      <c r="AB731" s="3"/>
      <c r="AC731" s="5"/>
      <c r="AD731" s="5"/>
      <c r="AE731" s="5">
        <v>1170</v>
      </c>
      <c r="AF731" s="5">
        <f t="shared" si="729"/>
        <v>0</v>
      </c>
      <c r="AG731" s="5">
        <f t="shared" si="784"/>
        <v>0</v>
      </c>
      <c r="AH731" s="5">
        <f t="shared" si="784"/>
        <v>0</v>
      </c>
      <c r="AI731" s="5">
        <f t="shared" ref="AI731:AJ731" si="787">+AH731</f>
        <v>0</v>
      </c>
      <c r="AJ731" s="5">
        <f t="shared" si="787"/>
        <v>0</v>
      </c>
      <c r="AK731" s="2" t="s">
        <v>53</v>
      </c>
      <c r="AL731" s="105" t="str">
        <f>+AK731</f>
        <v>B0</v>
      </c>
    </row>
    <row r="732" spans="1:38" s="6" customFormat="1" ht="15" customHeight="1" x14ac:dyDescent="0.2">
      <c r="A732" s="29" t="s">
        <v>824</v>
      </c>
      <c r="B732" s="2"/>
      <c r="C732" s="3"/>
      <c r="D732" s="2" t="s">
        <v>820</v>
      </c>
      <c r="E732" s="2" t="s">
        <v>63</v>
      </c>
      <c r="F732" s="2"/>
      <c r="G732" s="2"/>
      <c r="H732" s="2"/>
      <c r="I732" s="2" t="s">
        <v>1707</v>
      </c>
      <c r="J732" s="28"/>
      <c r="K732" s="28" t="s">
        <v>1765</v>
      </c>
      <c r="L732" s="41" t="s">
        <v>1023</v>
      </c>
      <c r="M732" s="7" t="s">
        <v>3</v>
      </c>
      <c r="N732" s="15">
        <v>34103577</v>
      </c>
      <c r="O732" s="88" t="s">
        <v>1461</v>
      </c>
      <c r="P732" s="38">
        <v>32537</v>
      </c>
      <c r="Q732" s="38"/>
      <c r="R732" s="38"/>
      <c r="S732" s="38"/>
      <c r="T732" s="38"/>
      <c r="U732" s="17" t="s">
        <v>215</v>
      </c>
      <c r="V732" s="16" t="s">
        <v>915</v>
      </c>
      <c r="W732" s="12">
        <v>42522</v>
      </c>
      <c r="X732" s="12"/>
      <c r="Y732" s="12">
        <v>42735</v>
      </c>
      <c r="Z732" s="2"/>
      <c r="AA732" s="2" t="s">
        <v>479</v>
      </c>
      <c r="AB732" s="3"/>
      <c r="AC732" s="5"/>
      <c r="AD732" s="5">
        <v>1070</v>
      </c>
      <c r="AE732" s="5">
        <v>1170</v>
      </c>
      <c r="AF732" s="5">
        <f t="shared" si="729"/>
        <v>0</v>
      </c>
      <c r="AG732" s="5">
        <f t="shared" si="784"/>
        <v>0</v>
      </c>
      <c r="AH732" s="5">
        <f t="shared" si="784"/>
        <v>0</v>
      </c>
      <c r="AI732" s="5">
        <f t="shared" ref="AI732:AJ732" si="788">+AH732</f>
        <v>0</v>
      </c>
      <c r="AJ732" s="5">
        <f t="shared" si="788"/>
        <v>0</v>
      </c>
      <c r="AK732" s="29" t="s">
        <v>42</v>
      </c>
      <c r="AL732" s="105" t="str">
        <f>+AK732</f>
        <v>C0</v>
      </c>
    </row>
    <row r="733" spans="1:38" s="6" customFormat="1" ht="15" customHeight="1" x14ac:dyDescent="0.2">
      <c r="A733" s="29" t="s">
        <v>824</v>
      </c>
      <c r="B733" s="29" t="s">
        <v>822</v>
      </c>
      <c r="C733" s="29" t="s">
        <v>823</v>
      </c>
      <c r="D733" s="2" t="s">
        <v>800</v>
      </c>
      <c r="E733" s="7" t="s">
        <v>541</v>
      </c>
      <c r="F733" s="7"/>
      <c r="G733" s="7"/>
      <c r="H733" s="8"/>
      <c r="I733" s="3"/>
      <c r="J733" s="28" t="s">
        <v>254</v>
      </c>
      <c r="K733" s="28"/>
      <c r="L733" s="42" t="s">
        <v>414</v>
      </c>
      <c r="M733" s="4" t="s">
        <v>3</v>
      </c>
      <c r="N733" s="15">
        <v>35360516</v>
      </c>
      <c r="O733" s="88">
        <v>20353605160</v>
      </c>
      <c r="P733" s="38"/>
      <c r="Q733" s="38"/>
      <c r="R733" s="38"/>
      <c r="S733" s="38"/>
      <c r="T733" s="38"/>
      <c r="U733" s="16" t="s">
        <v>796</v>
      </c>
      <c r="V733" s="16" t="s">
        <v>916</v>
      </c>
      <c r="W733" s="12">
        <v>41821</v>
      </c>
      <c r="X733" s="12">
        <v>42460</v>
      </c>
      <c r="Y733" s="12">
        <v>42735</v>
      </c>
      <c r="Z733" s="2" t="s">
        <v>49</v>
      </c>
      <c r="AA733" s="2"/>
      <c r="AB733" s="18"/>
      <c r="AC733" s="5">
        <v>1000</v>
      </c>
      <c r="AD733" s="5"/>
      <c r="AE733" s="5">
        <v>1170</v>
      </c>
      <c r="AF733" s="5">
        <f t="shared" si="729"/>
        <v>1310</v>
      </c>
      <c r="AG733" s="5">
        <f t="shared" si="784"/>
        <v>1310</v>
      </c>
      <c r="AH733" s="5">
        <f t="shared" si="784"/>
        <v>1310</v>
      </c>
      <c r="AI733" s="5">
        <f t="shared" ref="AI733:AJ733" si="789">+AH733</f>
        <v>1310</v>
      </c>
      <c r="AJ733" s="5">
        <f t="shared" si="789"/>
        <v>1310</v>
      </c>
      <c r="AK733" s="2"/>
      <c r="AL733" s="105" t="str">
        <f>+Z733</f>
        <v>D1</v>
      </c>
    </row>
    <row r="734" spans="1:38" s="6" customFormat="1" ht="15" customHeight="1" x14ac:dyDescent="0.2">
      <c r="A734" s="29" t="s">
        <v>824</v>
      </c>
      <c r="B734" s="29" t="s">
        <v>822</v>
      </c>
      <c r="C734" s="29" t="s">
        <v>823</v>
      </c>
      <c r="D734" s="2" t="s">
        <v>800</v>
      </c>
      <c r="E734" s="7" t="s">
        <v>541</v>
      </c>
      <c r="F734" s="7"/>
      <c r="G734" s="7"/>
      <c r="H734" s="8"/>
      <c r="I734" s="3"/>
      <c r="J734" s="28" t="s">
        <v>254</v>
      </c>
      <c r="K734" s="28"/>
      <c r="L734" s="42" t="s">
        <v>415</v>
      </c>
      <c r="M734" s="4" t="s">
        <v>3</v>
      </c>
      <c r="N734" s="15">
        <v>36426532</v>
      </c>
      <c r="O734" s="88">
        <v>20364265329</v>
      </c>
      <c r="P734" s="38"/>
      <c r="Q734" s="38"/>
      <c r="R734" s="38"/>
      <c r="S734" s="38"/>
      <c r="T734" s="38"/>
      <c r="U734" s="16" t="s">
        <v>796</v>
      </c>
      <c r="V734" s="16" t="s">
        <v>916</v>
      </c>
      <c r="W734" s="12">
        <v>41122</v>
      </c>
      <c r="X734" s="48">
        <v>42735</v>
      </c>
      <c r="Y734" s="12">
        <v>42735</v>
      </c>
      <c r="Z734" s="2" t="s">
        <v>24</v>
      </c>
      <c r="AA734" s="2"/>
      <c r="AB734" s="18"/>
      <c r="AC734" s="5">
        <v>1000</v>
      </c>
      <c r="AD734" s="5"/>
      <c r="AE734" s="5">
        <v>1170</v>
      </c>
      <c r="AF734" s="5">
        <f t="shared" si="729"/>
        <v>1310</v>
      </c>
      <c r="AG734" s="5">
        <f t="shared" si="784"/>
        <v>1310</v>
      </c>
      <c r="AH734" s="5">
        <f t="shared" si="784"/>
        <v>1310</v>
      </c>
      <c r="AI734" s="5">
        <f t="shared" ref="AI734:AJ734" si="790">+AH734</f>
        <v>1310</v>
      </c>
      <c r="AJ734" s="5">
        <f t="shared" si="790"/>
        <v>1310</v>
      </c>
      <c r="AK734" s="2"/>
      <c r="AL734" s="105" t="str">
        <f>+Z734</f>
        <v>D0</v>
      </c>
    </row>
    <row r="735" spans="1:38" s="6" customFormat="1" ht="15" customHeight="1" x14ac:dyDescent="0.2">
      <c r="A735" s="29" t="s">
        <v>824</v>
      </c>
      <c r="B735" s="29" t="s">
        <v>822</v>
      </c>
      <c r="C735" s="29" t="s">
        <v>823</v>
      </c>
      <c r="D735" s="2" t="s">
        <v>800</v>
      </c>
      <c r="E735" s="2" t="s">
        <v>487</v>
      </c>
      <c r="F735" s="2"/>
      <c r="G735" s="2"/>
      <c r="H735" s="2" t="s">
        <v>1711</v>
      </c>
      <c r="I735" s="3" t="s">
        <v>1749</v>
      </c>
      <c r="J735" s="28" t="s">
        <v>254</v>
      </c>
      <c r="K735" s="28" t="s">
        <v>1767</v>
      </c>
      <c r="L735" s="42" t="s">
        <v>326</v>
      </c>
      <c r="M735" s="4" t="s">
        <v>3</v>
      </c>
      <c r="N735" s="15">
        <v>39562840</v>
      </c>
      <c r="O735" s="88" t="s">
        <v>1561</v>
      </c>
      <c r="P735" s="38">
        <v>35146</v>
      </c>
      <c r="Q735" s="38"/>
      <c r="R735" s="38"/>
      <c r="S735" s="38"/>
      <c r="T735" s="38"/>
      <c r="U735" s="17" t="s">
        <v>215</v>
      </c>
      <c r="V735" s="17" t="s">
        <v>915</v>
      </c>
      <c r="W735" s="12">
        <v>41730</v>
      </c>
      <c r="X735" s="20"/>
      <c r="Y735" s="12">
        <v>42735</v>
      </c>
      <c r="Z735" s="2"/>
      <c r="AA735" s="2" t="s">
        <v>479</v>
      </c>
      <c r="AB735" s="24" t="s">
        <v>479</v>
      </c>
      <c r="AC735" s="5">
        <v>1000</v>
      </c>
      <c r="AD735" s="5">
        <v>1070</v>
      </c>
      <c r="AE735" s="5">
        <v>1170</v>
      </c>
      <c r="AF735" s="5">
        <f t="shared" si="729"/>
        <v>1310</v>
      </c>
      <c r="AG735" s="5">
        <f t="shared" si="784"/>
        <v>1310</v>
      </c>
      <c r="AH735" s="5">
        <f t="shared" si="784"/>
        <v>1310</v>
      </c>
      <c r="AI735" s="5">
        <f t="shared" ref="AI735:AJ735" si="791">+AH735</f>
        <v>1310</v>
      </c>
      <c r="AJ735" s="5">
        <f t="shared" si="791"/>
        <v>1310</v>
      </c>
      <c r="AK735" s="29" t="s">
        <v>42</v>
      </c>
      <c r="AL735" s="105" t="str">
        <f>+AK735</f>
        <v>C0</v>
      </c>
    </row>
    <row r="736" spans="1:38" s="6" customFormat="1" ht="15" customHeight="1" x14ac:dyDescent="0.2">
      <c r="A736" s="29" t="s">
        <v>824</v>
      </c>
      <c r="B736" s="29" t="s">
        <v>822</v>
      </c>
      <c r="C736" s="29" t="s">
        <v>823</v>
      </c>
      <c r="D736" s="2" t="s">
        <v>800</v>
      </c>
      <c r="E736" s="2" t="s">
        <v>490</v>
      </c>
      <c r="F736" s="2"/>
      <c r="G736" s="2"/>
      <c r="H736" s="2"/>
      <c r="I736" s="3"/>
      <c r="J736" s="28" t="s">
        <v>254</v>
      </c>
      <c r="K736" s="28"/>
      <c r="L736" s="42" t="s">
        <v>336</v>
      </c>
      <c r="M736" s="4" t="s">
        <v>3</v>
      </c>
      <c r="N736" s="15">
        <v>16965096</v>
      </c>
      <c r="O736" s="88">
        <v>23169650969</v>
      </c>
      <c r="P736" s="38"/>
      <c r="Q736" s="38"/>
      <c r="R736" s="38"/>
      <c r="S736" s="38"/>
      <c r="T736" s="38"/>
      <c r="U736" s="16" t="s">
        <v>796</v>
      </c>
      <c r="V736" s="16" t="s">
        <v>916</v>
      </c>
      <c r="W736" s="12">
        <v>41213</v>
      </c>
      <c r="X736" s="48">
        <v>42735</v>
      </c>
      <c r="Y736" s="12">
        <v>42735</v>
      </c>
      <c r="Z736" s="2" t="s">
        <v>42</v>
      </c>
      <c r="AA736" s="2"/>
      <c r="AB736" s="18"/>
      <c r="AC736" s="5">
        <v>1000</v>
      </c>
      <c r="AD736" s="5"/>
      <c r="AE736" s="5">
        <v>1170</v>
      </c>
      <c r="AF736" s="5">
        <f t="shared" si="729"/>
        <v>1310</v>
      </c>
      <c r="AG736" s="5">
        <f t="shared" si="784"/>
        <v>1310</v>
      </c>
      <c r="AH736" s="5">
        <f t="shared" si="784"/>
        <v>1310</v>
      </c>
      <c r="AI736" s="5">
        <f t="shared" ref="AI736:AJ736" si="792">+AH736</f>
        <v>1310</v>
      </c>
      <c r="AJ736" s="5">
        <f t="shared" si="792"/>
        <v>1310</v>
      </c>
      <c r="AK736" s="2"/>
      <c r="AL736" s="105" t="str">
        <f>+Z736</f>
        <v>C0</v>
      </c>
    </row>
    <row r="737" spans="1:38" s="6" customFormat="1" ht="15" customHeight="1" x14ac:dyDescent="0.2">
      <c r="A737" s="29" t="s">
        <v>824</v>
      </c>
      <c r="B737" s="29" t="s">
        <v>822</v>
      </c>
      <c r="C737" s="29" t="s">
        <v>823</v>
      </c>
      <c r="D737" s="2" t="s">
        <v>800</v>
      </c>
      <c r="E737" s="2" t="s">
        <v>489</v>
      </c>
      <c r="F737" s="2"/>
      <c r="G737" s="2"/>
      <c r="H737" s="2"/>
      <c r="I737" s="3" t="s">
        <v>1721</v>
      </c>
      <c r="J737" s="28" t="s">
        <v>254</v>
      </c>
      <c r="K737" s="28" t="s">
        <v>1767</v>
      </c>
      <c r="L737" s="42" t="s">
        <v>1763</v>
      </c>
      <c r="M737" s="4" t="s">
        <v>3</v>
      </c>
      <c r="N737" s="15">
        <v>18221165</v>
      </c>
      <c r="O737" s="88" t="s">
        <v>1182</v>
      </c>
      <c r="P737" s="38">
        <v>24436</v>
      </c>
      <c r="Q737" s="38"/>
      <c r="R737" s="38"/>
      <c r="S737" s="38"/>
      <c r="T737" s="38"/>
      <c r="U737" s="17" t="s">
        <v>215</v>
      </c>
      <c r="V737" s="17" t="s">
        <v>915</v>
      </c>
      <c r="W737" s="12">
        <v>41091</v>
      </c>
      <c r="X737" s="20"/>
      <c r="Y737" s="12">
        <v>42735</v>
      </c>
      <c r="Z737" s="2"/>
      <c r="AA737" s="2" t="s">
        <v>479</v>
      </c>
      <c r="AB737" s="24" t="s">
        <v>479</v>
      </c>
      <c r="AC737" s="5">
        <v>1000</v>
      </c>
      <c r="AD737" s="5">
        <f>+AC737*1.07</f>
        <v>1070</v>
      </c>
      <c r="AE737" s="5">
        <v>1170</v>
      </c>
      <c r="AF737" s="5">
        <f t="shared" si="729"/>
        <v>1310</v>
      </c>
      <c r="AG737" s="5">
        <f t="shared" si="784"/>
        <v>1310</v>
      </c>
      <c r="AH737" s="5">
        <f t="shared" si="784"/>
        <v>1310</v>
      </c>
      <c r="AI737" s="5">
        <f t="shared" ref="AI737:AJ737" si="793">+AH737</f>
        <v>1310</v>
      </c>
      <c r="AJ737" s="5">
        <f t="shared" si="793"/>
        <v>1310</v>
      </c>
      <c r="AK737" s="29" t="s">
        <v>42</v>
      </c>
      <c r="AL737" s="105" t="str">
        <f>+AK737</f>
        <v>C0</v>
      </c>
    </row>
    <row r="738" spans="1:38" s="6" customFormat="1" ht="15" customHeight="1" x14ac:dyDescent="0.2">
      <c r="A738" s="29" t="s">
        <v>824</v>
      </c>
      <c r="B738" s="29" t="s">
        <v>822</v>
      </c>
      <c r="C738" s="29" t="s">
        <v>823</v>
      </c>
      <c r="D738" s="2" t="s">
        <v>800</v>
      </c>
      <c r="E738" s="7" t="s">
        <v>497</v>
      </c>
      <c r="F738" s="7"/>
      <c r="G738" s="7"/>
      <c r="H738" s="8"/>
      <c r="I738" s="3" t="s">
        <v>1723</v>
      </c>
      <c r="J738" s="28" t="s">
        <v>254</v>
      </c>
      <c r="K738" s="28" t="s">
        <v>1767</v>
      </c>
      <c r="L738" s="42" t="s">
        <v>393</v>
      </c>
      <c r="M738" s="4" t="s">
        <v>3</v>
      </c>
      <c r="N738" s="15">
        <v>32525350</v>
      </c>
      <c r="O738" s="88" t="s">
        <v>1422</v>
      </c>
      <c r="P738" s="38">
        <v>31679</v>
      </c>
      <c r="Q738" s="38"/>
      <c r="R738" s="38"/>
      <c r="S738" s="38"/>
      <c r="T738" s="38"/>
      <c r="U738" s="17" t="s">
        <v>215</v>
      </c>
      <c r="V738" s="17" t="s">
        <v>915</v>
      </c>
      <c r="W738" s="12">
        <v>40725</v>
      </c>
      <c r="X738" s="20"/>
      <c r="Y738" s="12">
        <v>42735</v>
      </c>
      <c r="Z738" s="2"/>
      <c r="AA738" s="2" t="s">
        <v>479</v>
      </c>
      <c r="AB738" s="24" t="s">
        <v>479</v>
      </c>
      <c r="AC738" s="5">
        <v>1000</v>
      </c>
      <c r="AD738" s="5">
        <v>1070</v>
      </c>
      <c r="AE738" s="5">
        <v>1170</v>
      </c>
      <c r="AF738" s="5">
        <f t="shared" si="729"/>
        <v>1310</v>
      </c>
      <c r="AG738" s="5">
        <f t="shared" si="784"/>
        <v>1310</v>
      </c>
      <c r="AH738" s="5">
        <f t="shared" si="784"/>
        <v>1310</v>
      </c>
      <c r="AI738" s="5">
        <f t="shared" ref="AI738:AJ738" si="794">+AH738</f>
        <v>1310</v>
      </c>
      <c r="AJ738" s="5">
        <f t="shared" si="794"/>
        <v>1310</v>
      </c>
      <c r="AK738" s="29" t="s">
        <v>42</v>
      </c>
      <c r="AL738" s="105" t="str">
        <f>+AK738</f>
        <v>C0</v>
      </c>
    </row>
    <row r="739" spans="1:38" s="6" customFormat="1" ht="15" customHeight="1" x14ac:dyDescent="0.2">
      <c r="A739" s="29" t="s">
        <v>824</v>
      </c>
      <c r="B739" s="2" t="s">
        <v>822</v>
      </c>
      <c r="C739" s="29" t="s">
        <v>823</v>
      </c>
      <c r="D739" s="2" t="s">
        <v>808</v>
      </c>
      <c r="E739" s="2" t="s">
        <v>216</v>
      </c>
      <c r="F739" s="2" t="s">
        <v>1066</v>
      </c>
      <c r="G739" s="2"/>
      <c r="H739" s="44"/>
      <c r="I739" s="2" t="s">
        <v>1066</v>
      </c>
      <c r="J739" s="28"/>
      <c r="K739" s="28" t="s">
        <v>1765</v>
      </c>
      <c r="L739" s="44" t="s">
        <v>1137</v>
      </c>
      <c r="M739" s="7" t="s">
        <v>3</v>
      </c>
      <c r="N739" s="15">
        <v>37143089</v>
      </c>
      <c r="O739" s="88">
        <v>27371443895</v>
      </c>
      <c r="P739" s="38">
        <v>33893</v>
      </c>
      <c r="Q739" s="38"/>
      <c r="R739" s="38"/>
      <c r="S739" s="38"/>
      <c r="T739" s="38"/>
      <c r="U739" s="17" t="s">
        <v>215</v>
      </c>
      <c r="V739" s="17" t="s">
        <v>915</v>
      </c>
      <c r="W739" s="12">
        <v>42522</v>
      </c>
      <c r="X739" s="13"/>
      <c r="Y739" s="12">
        <v>42735</v>
      </c>
      <c r="Z739" s="2"/>
      <c r="AA739" s="2" t="s">
        <v>479</v>
      </c>
      <c r="AB739" s="7"/>
      <c r="AC739" s="5"/>
      <c r="AD739" s="5">
        <v>1070</v>
      </c>
      <c r="AE739" s="5">
        <v>1170</v>
      </c>
      <c r="AF739" s="5">
        <f t="shared" si="729"/>
        <v>0</v>
      </c>
      <c r="AG739" s="5">
        <f t="shared" si="784"/>
        <v>0</v>
      </c>
      <c r="AH739" s="5">
        <f t="shared" si="784"/>
        <v>0</v>
      </c>
      <c r="AI739" s="5">
        <f t="shared" ref="AI739:AJ739" si="795">+AH739</f>
        <v>0</v>
      </c>
      <c r="AJ739" s="5">
        <f t="shared" si="795"/>
        <v>0</v>
      </c>
      <c r="AK739" s="2" t="s">
        <v>42</v>
      </c>
      <c r="AL739" s="105" t="str">
        <f>+AK739</f>
        <v>C0</v>
      </c>
    </row>
    <row r="740" spans="1:38" s="6" customFormat="1" ht="15" customHeight="1" x14ac:dyDescent="0.2">
      <c r="A740" s="29" t="s">
        <v>824</v>
      </c>
      <c r="B740" s="2" t="s">
        <v>1098</v>
      </c>
      <c r="C740" s="14"/>
      <c r="D740" s="2" t="s">
        <v>1833</v>
      </c>
      <c r="E740" s="2"/>
      <c r="F740" s="3"/>
      <c r="G740" s="3"/>
      <c r="H740" s="2" t="s">
        <v>884</v>
      </c>
      <c r="I740" s="2" t="s">
        <v>1707</v>
      </c>
      <c r="J740" s="28"/>
      <c r="K740" s="28" t="s">
        <v>1765</v>
      </c>
      <c r="L740" s="41" t="s">
        <v>846</v>
      </c>
      <c r="M740" s="4" t="s">
        <v>3</v>
      </c>
      <c r="N740" s="15">
        <v>20405368</v>
      </c>
      <c r="O740" s="88" t="s">
        <v>1594</v>
      </c>
      <c r="P740" s="38">
        <v>25044</v>
      </c>
      <c r="Q740" s="38"/>
      <c r="R740" s="38"/>
      <c r="S740" s="38"/>
      <c r="T740" s="38"/>
      <c r="U740" s="17" t="s">
        <v>215</v>
      </c>
      <c r="V740" s="17" t="s">
        <v>915</v>
      </c>
      <c r="W740" s="12">
        <v>42370</v>
      </c>
      <c r="X740" s="48"/>
      <c r="Y740" s="12">
        <v>42735</v>
      </c>
      <c r="Z740" s="2"/>
      <c r="AA740" s="2" t="s">
        <v>479</v>
      </c>
      <c r="AB740" s="3" t="s">
        <v>10</v>
      </c>
      <c r="AC740" s="5">
        <v>1000</v>
      </c>
      <c r="AD740" s="5">
        <f>+AC740*1.07</f>
        <v>1070</v>
      </c>
      <c r="AE740" s="5">
        <v>1170</v>
      </c>
      <c r="AF740" s="5">
        <f t="shared" si="729"/>
        <v>1310</v>
      </c>
      <c r="AG740" s="5">
        <f t="shared" si="784"/>
        <v>1310</v>
      </c>
      <c r="AH740" s="5">
        <f t="shared" si="784"/>
        <v>1310</v>
      </c>
      <c r="AI740" s="5">
        <f t="shared" ref="AI740:AJ740" si="796">+AH740</f>
        <v>1310</v>
      </c>
      <c r="AJ740" s="5">
        <f t="shared" si="796"/>
        <v>1310</v>
      </c>
      <c r="AK740" s="2" t="s">
        <v>43</v>
      </c>
      <c r="AL740" s="105" t="str">
        <f>+AK740</f>
        <v>A0</v>
      </c>
    </row>
    <row r="741" spans="1:38" s="6" customFormat="1" ht="15" customHeight="1" x14ac:dyDescent="0.2">
      <c r="A741" s="29" t="s">
        <v>824</v>
      </c>
      <c r="B741" s="29" t="s">
        <v>822</v>
      </c>
      <c r="C741" s="29" t="s">
        <v>823</v>
      </c>
      <c r="D741" s="2" t="s">
        <v>800</v>
      </c>
      <c r="E741" s="2" t="s">
        <v>20</v>
      </c>
      <c r="F741" s="7"/>
      <c r="G741" s="7"/>
      <c r="H741" s="8"/>
      <c r="I741" s="3"/>
      <c r="J741" s="28" t="s">
        <v>254</v>
      </c>
      <c r="K741" s="28"/>
      <c r="L741" s="42" t="s">
        <v>460</v>
      </c>
      <c r="M741" s="4" t="s">
        <v>3</v>
      </c>
      <c r="N741" s="15">
        <v>23877871</v>
      </c>
      <c r="O741" s="88">
        <v>23238778719</v>
      </c>
      <c r="P741" s="38"/>
      <c r="Q741" s="38"/>
      <c r="R741" s="38"/>
      <c r="S741" s="38"/>
      <c r="T741" s="38"/>
      <c r="U741" s="16" t="s">
        <v>796</v>
      </c>
      <c r="V741" s="16" t="s">
        <v>916</v>
      </c>
      <c r="W741" s="12">
        <v>41213</v>
      </c>
      <c r="X741" s="48">
        <v>42735</v>
      </c>
      <c r="Y741" s="12">
        <v>42735</v>
      </c>
      <c r="Z741" s="2" t="s">
        <v>42</v>
      </c>
      <c r="AA741" s="2"/>
      <c r="AB741" s="18"/>
      <c r="AC741" s="5">
        <v>1000</v>
      </c>
      <c r="AD741" s="5"/>
      <c r="AE741" s="5">
        <v>1170</v>
      </c>
      <c r="AF741" s="5">
        <f t="shared" ref="AF741:AF757" si="797">+AC741*1.31</f>
        <v>1310</v>
      </c>
      <c r="AG741" s="5">
        <f t="shared" si="784"/>
        <v>1310</v>
      </c>
      <c r="AH741" s="5">
        <f t="shared" si="784"/>
        <v>1310</v>
      </c>
      <c r="AI741" s="5">
        <f t="shared" ref="AI741:AJ741" si="798">+AH741</f>
        <v>1310</v>
      </c>
      <c r="AJ741" s="5">
        <f t="shared" si="798"/>
        <v>1310</v>
      </c>
      <c r="AK741" s="2"/>
      <c r="AL741" s="105" t="str">
        <f>+Z741</f>
        <v>C0</v>
      </c>
    </row>
    <row r="742" spans="1:38" s="6" customFormat="1" ht="15" customHeight="1" x14ac:dyDescent="0.2">
      <c r="A742" s="29" t="s">
        <v>824</v>
      </c>
      <c r="B742" s="2" t="s">
        <v>822</v>
      </c>
      <c r="C742" s="3"/>
      <c r="D742" s="2" t="s">
        <v>825</v>
      </c>
      <c r="E742" s="3" t="s">
        <v>18</v>
      </c>
      <c r="F742" s="2" t="s">
        <v>19</v>
      </c>
      <c r="G742" s="2"/>
      <c r="H742" s="2" t="s">
        <v>36</v>
      </c>
      <c r="I742" s="2" t="s">
        <v>1707</v>
      </c>
      <c r="J742" s="28" t="s">
        <v>548</v>
      </c>
      <c r="K742" s="28" t="s">
        <v>548</v>
      </c>
      <c r="L742" s="44" t="s">
        <v>719</v>
      </c>
      <c r="M742" s="4" t="s">
        <v>3</v>
      </c>
      <c r="N742" s="15">
        <v>38357112</v>
      </c>
      <c r="O742" s="88" t="s">
        <v>1544</v>
      </c>
      <c r="P742" s="38">
        <v>34490</v>
      </c>
      <c r="Q742" s="38"/>
      <c r="R742" s="38"/>
      <c r="S742" s="38"/>
      <c r="T742" s="38"/>
      <c r="U742" s="17" t="s">
        <v>215</v>
      </c>
      <c r="V742" s="17" t="s">
        <v>915</v>
      </c>
      <c r="W742" s="12">
        <v>42037</v>
      </c>
      <c r="X742" s="12"/>
      <c r="Y742" s="12">
        <v>42735</v>
      </c>
      <c r="Z742" s="2"/>
      <c r="AA742" s="2" t="s">
        <v>479</v>
      </c>
      <c r="AB742" s="7" t="s">
        <v>787</v>
      </c>
      <c r="AC742" s="5">
        <v>1000</v>
      </c>
      <c r="AD742" s="5">
        <f>+AC742</f>
        <v>1000</v>
      </c>
      <c r="AE742" s="5">
        <v>1170</v>
      </c>
      <c r="AF742" s="5">
        <f t="shared" si="797"/>
        <v>1310</v>
      </c>
      <c r="AG742" s="5">
        <f t="shared" si="784"/>
        <v>1310</v>
      </c>
      <c r="AH742" s="5">
        <f t="shared" si="784"/>
        <v>1310</v>
      </c>
      <c r="AI742" s="5">
        <f t="shared" ref="AI742:AJ742" si="799">+AH742</f>
        <v>1310</v>
      </c>
      <c r="AJ742" s="5">
        <f t="shared" si="799"/>
        <v>1310</v>
      </c>
      <c r="AK742" s="2"/>
      <c r="AL742" s="106"/>
    </row>
    <row r="743" spans="1:38" s="6" customFormat="1" ht="15" customHeight="1" x14ac:dyDescent="0.2">
      <c r="A743" s="29" t="s">
        <v>824</v>
      </c>
      <c r="B743" s="29" t="s">
        <v>822</v>
      </c>
      <c r="C743" s="29" t="s">
        <v>823</v>
      </c>
      <c r="D743" s="2" t="s">
        <v>808</v>
      </c>
      <c r="E743" s="2" t="s">
        <v>909</v>
      </c>
      <c r="F743" s="2" t="s">
        <v>524</v>
      </c>
      <c r="G743" s="3"/>
      <c r="H743" s="2" t="s">
        <v>223</v>
      </c>
      <c r="I743" s="3"/>
      <c r="J743" s="28" t="s">
        <v>73</v>
      </c>
      <c r="K743" s="28"/>
      <c r="L743" s="45" t="s">
        <v>175</v>
      </c>
      <c r="M743" s="4" t="s">
        <v>3</v>
      </c>
      <c r="N743" s="15">
        <v>34294750</v>
      </c>
      <c r="O743" s="88">
        <v>27342947501</v>
      </c>
      <c r="P743" s="38"/>
      <c r="Q743" s="38"/>
      <c r="R743" s="38"/>
      <c r="S743" s="38"/>
      <c r="T743" s="38"/>
      <c r="U743" s="16" t="s">
        <v>796</v>
      </c>
      <c r="V743" s="16" t="s">
        <v>916</v>
      </c>
      <c r="W743" s="12">
        <v>40712</v>
      </c>
      <c r="X743" s="48">
        <v>42735</v>
      </c>
      <c r="Y743" s="12">
        <v>42735</v>
      </c>
      <c r="Z743" s="2" t="s">
        <v>42</v>
      </c>
      <c r="AA743" s="2"/>
      <c r="AB743" s="14"/>
      <c r="AC743" s="5">
        <v>1000</v>
      </c>
      <c r="AD743" s="5"/>
      <c r="AE743" s="5">
        <v>1170</v>
      </c>
      <c r="AF743" s="5">
        <f t="shared" si="797"/>
        <v>1310</v>
      </c>
      <c r="AG743" s="5">
        <f t="shared" si="784"/>
        <v>1310</v>
      </c>
      <c r="AH743" s="5">
        <f t="shared" si="784"/>
        <v>1310</v>
      </c>
      <c r="AI743" s="5">
        <f t="shared" ref="AI743:AJ743" si="800">+AH743</f>
        <v>1310</v>
      </c>
      <c r="AJ743" s="5">
        <f t="shared" si="800"/>
        <v>1310</v>
      </c>
      <c r="AK743" s="2"/>
      <c r="AL743" s="105" t="str">
        <f>+Z743</f>
        <v>C0</v>
      </c>
    </row>
    <row r="744" spans="1:38" s="6" customFormat="1" ht="15" customHeight="1" x14ac:dyDescent="0.2">
      <c r="A744" s="29" t="s">
        <v>824</v>
      </c>
      <c r="B744" s="29"/>
      <c r="C744" s="14"/>
      <c r="D744" s="2" t="s">
        <v>819</v>
      </c>
      <c r="E744" s="2"/>
      <c r="F744" s="3"/>
      <c r="G744" s="3"/>
      <c r="H744" s="2" t="s">
        <v>884</v>
      </c>
      <c r="I744" s="2" t="s">
        <v>1707</v>
      </c>
      <c r="J744" s="28"/>
      <c r="K744" s="28" t="s">
        <v>1765</v>
      </c>
      <c r="L744" s="41" t="s">
        <v>1620</v>
      </c>
      <c r="M744" s="7" t="s">
        <v>3</v>
      </c>
      <c r="N744" s="15">
        <v>4522026</v>
      </c>
      <c r="O744" s="88">
        <v>20045220266</v>
      </c>
      <c r="P744" s="38">
        <v>16488</v>
      </c>
      <c r="Q744" s="38"/>
      <c r="R744" s="38"/>
      <c r="S744" s="38"/>
      <c r="T744" s="38"/>
      <c r="U744" s="17" t="s">
        <v>215</v>
      </c>
      <c r="V744" s="17" t="s">
        <v>915</v>
      </c>
      <c r="W744" s="12">
        <v>42522</v>
      </c>
      <c r="X744" s="48"/>
      <c r="Y744" s="12">
        <v>42735</v>
      </c>
      <c r="Z744" s="2"/>
      <c r="AA744" s="2" t="s">
        <v>479</v>
      </c>
      <c r="AB744" s="3"/>
      <c r="AC744" s="5"/>
      <c r="AD744" s="5">
        <v>1070</v>
      </c>
      <c r="AE744" s="5">
        <v>1170</v>
      </c>
      <c r="AF744" s="5">
        <f t="shared" si="797"/>
        <v>0</v>
      </c>
      <c r="AG744" s="5">
        <f t="shared" si="784"/>
        <v>0</v>
      </c>
      <c r="AH744" s="5">
        <f t="shared" si="784"/>
        <v>0</v>
      </c>
      <c r="AI744" s="5">
        <f t="shared" ref="AI744:AJ744" si="801">+AH744</f>
        <v>0</v>
      </c>
      <c r="AJ744" s="5">
        <f t="shared" si="801"/>
        <v>0</v>
      </c>
      <c r="AK744" s="2" t="s">
        <v>42</v>
      </c>
      <c r="AL744" s="105" t="str">
        <f>+AK744</f>
        <v>C0</v>
      </c>
    </row>
    <row r="745" spans="1:38" s="6" customFormat="1" ht="15" customHeight="1" x14ac:dyDescent="0.2">
      <c r="A745" s="29" t="s">
        <v>824</v>
      </c>
      <c r="B745" s="29" t="s">
        <v>822</v>
      </c>
      <c r="C745" s="29" t="s">
        <v>823</v>
      </c>
      <c r="D745" s="2" t="s">
        <v>800</v>
      </c>
      <c r="E745" s="2" t="s">
        <v>489</v>
      </c>
      <c r="F745" s="2"/>
      <c r="G745" s="2"/>
      <c r="H745" s="2"/>
      <c r="I745" s="3"/>
      <c r="J745" s="28" t="s">
        <v>254</v>
      </c>
      <c r="K745" s="28"/>
      <c r="L745" s="42" t="s">
        <v>348</v>
      </c>
      <c r="M745" s="4" t="s">
        <v>3</v>
      </c>
      <c r="N745" s="15">
        <v>13780199</v>
      </c>
      <c r="O745" s="88">
        <v>27137801995</v>
      </c>
      <c r="P745" s="38"/>
      <c r="Q745" s="38"/>
      <c r="R745" s="38"/>
      <c r="S745" s="38"/>
      <c r="T745" s="38"/>
      <c r="U745" s="16" t="s">
        <v>796</v>
      </c>
      <c r="V745" s="16" t="s">
        <v>916</v>
      </c>
      <c r="W745" s="12">
        <v>40878</v>
      </c>
      <c r="X745" s="48">
        <v>42735</v>
      </c>
      <c r="Y745" s="12">
        <v>42735</v>
      </c>
      <c r="Z745" s="2" t="s">
        <v>24</v>
      </c>
      <c r="AA745" s="2"/>
      <c r="AB745" s="18"/>
      <c r="AC745" s="5">
        <v>1000</v>
      </c>
      <c r="AD745" s="5"/>
      <c r="AE745" s="5">
        <v>1170</v>
      </c>
      <c r="AF745" s="5">
        <f t="shared" si="797"/>
        <v>1310</v>
      </c>
      <c r="AG745" s="5">
        <f t="shared" si="784"/>
        <v>1310</v>
      </c>
      <c r="AH745" s="5">
        <f t="shared" si="784"/>
        <v>1310</v>
      </c>
      <c r="AI745" s="5">
        <f t="shared" ref="AI745:AJ745" si="802">+AH745</f>
        <v>1310</v>
      </c>
      <c r="AJ745" s="5">
        <f t="shared" si="802"/>
        <v>1310</v>
      </c>
      <c r="AK745" s="2"/>
      <c r="AL745" s="105" t="str">
        <f>+Z745</f>
        <v>D0</v>
      </c>
    </row>
    <row r="746" spans="1:38" s="6" customFormat="1" ht="15" customHeight="1" x14ac:dyDescent="0.2">
      <c r="A746" s="29" t="s">
        <v>824</v>
      </c>
      <c r="B746" s="29" t="s">
        <v>822</v>
      </c>
      <c r="C746" s="29" t="s">
        <v>823</v>
      </c>
      <c r="D746" s="2" t="s">
        <v>800</v>
      </c>
      <c r="E746" s="2" t="s">
        <v>20</v>
      </c>
      <c r="F746" s="7"/>
      <c r="G746" s="7"/>
      <c r="H746" s="8"/>
      <c r="I746" s="3"/>
      <c r="J746" s="28" t="s">
        <v>254</v>
      </c>
      <c r="K746" s="28"/>
      <c r="L746" s="42" t="s">
        <v>461</v>
      </c>
      <c r="M746" s="4" t="s">
        <v>3</v>
      </c>
      <c r="N746" s="15">
        <v>23222525</v>
      </c>
      <c r="O746" s="88">
        <v>20232225255</v>
      </c>
      <c r="P746" s="38"/>
      <c r="Q746" s="38"/>
      <c r="R746" s="38"/>
      <c r="S746" s="38"/>
      <c r="T746" s="38"/>
      <c r="U746" s="16" t="s">
        <v>796</v>
      </c>
      <c r="V746" s="16" t="s">
        <v>916</v>
      </c>
      <c r="W746" s="12">
        <v>41213</v>
      </c>
      <c r="X746" s="48">
        <v>42735</v>
      </c>
      <c r="Y746" s="12">
        <v>42735</v>
      </c>
      <c r="Z746" s="2" t="s">
        <v>42</v>
      </c>
      <c r="AA746" s="2"/>
      <c r="AB746" s="18"/>
      <c r="AC746" s="5">
        <v>1000</v>
      </c>
      <c r="AD746" s="5"/>
      <c r="AE746" s="5">
        <v>1170</v>
      </c>
      <c r="AF746" s="5">
        <f t="shared" si="797"/>
        <v>1310</v>
      </c>
      <c r="AG746" s="5">
        <f t="shared" si="784"/>
        <v>1310</v>
      </c>
      <c r="AH746" s="5">
        <f t="shared" si="784"/>
        <v>1310</v>
      </c>
      <c r="AI746" s="5">
        <f t="shared" ref="AI746:AJ746" si="803">+AH746</f>
        <v>1310</v>
      </c>
      <c r="AJ746" s="5">
        <f t="shared" si="803"/>
        <v>1310</v>
      </c>
      <c r="AK746" s="2"/>
      <c r="AL746" s="105" t="str">
        <f>+Z746</f>
        <v>C0</v>
      </c>
    </row>
    <row r="747" spans="1:38" s="6" customFormat="1" ht="15" customHeight="1" x14ac:dyDescent="0.2">
      <c r="A747" s="29" t="s">
        <v>824</v>
      </c>
      <c r="B747" s="29" t="s">
        <v>822</v>
      </c>
      <c r="C747" s="3"/>
      <c r="D747" s="2" t="s">
        <v>1833</v>
      </c>
      <c r="E747" s="3"/>
      <c r="F747" s="2"/>
      <c r="G747" s="2"/>
      <c r="H747" s="2" t="s">
        <v>884</v>
      </c>
      <c r="I747" s="2" t="s">
        <v>1707</v>
      </c>
      <c r="J747" s="28"/>
      <c r="K747" s="28" t="s">
        <v>1765</v>
      </c>
      <c r="L747" s="44" t="s">
        <v>1649</v>
      </c>
      <c r="M747" s="7" t="s">
        <v>3</v>
      </c>
      <c r="N747" s="15">
        <v>20964558</v>
      </c>
      <c r="O747" s="88">
        <v>20209645581</v>
      </c>
      <c r="P747" s="38">
        <v>25357</v>
      </c>
      <c r="Q747" s="38"/>
      <c r="R747" s="38"/>
      <c r="S747" s="38"/>
      <c r="T747" s="38"/>
      <c r="U747" s="17" t="s">
        <v>215</v>
      </c>
      <c r="V747" s="17" t="s">
        <v>915</v>
      </c>
      <c r="W747" s="12"/>
      <c r="X747" s="12"/>
      <c r="Y747" s="12">
        <v>42735</v>
      </c>
      <c r="Z747" s="2"/>
      <c r="AA747" s="2" t="s">
        <v>479</v>
      </c>
      <c r="AB747" s="7"/>
      <c r="AC747" s="5"/>
      <c r="AD747" s="5"/>
      <c r="AE747" s="5">
        <v>1170</v>
      </c>
      <c r="AF747" s="5">
        <f t="shared" si="797"/>
        <v>0</v>
      </c>
      <c r="AG747" s="5">
        <f t="shared" si="784"/>
        <v>0</v>
      </c>
      <c r="AH747" s="5">
        <f t="shared" si="784"/>
        <v>0</v>
      </c>
      <c r="AI747" s="5">
        <f t="shared" ref="AI747:AJ747" si="804">+AH747</f>
        <v>0</v>
      </c>
      <c r="AJ747" s="5">
        <f t="shared" si="804"/>
        <v>0</v>
      </c>
      <c r="AK747" s="2" t="s">
        <v>43</v>
      </c>
      <c r="AL747" s="105" t="str">
        <f>+AK747</f>
        <v>A0</v>
      </c>
    </row>
    <row r="748" spans="1:38" s="6" customFormat="1" ht="15" customHeight="1" x14ac:dyDescent="0.2">
      <c r="A748" s="29" t="s">
        <v>824</v>
      </c>
      <c r="B748" s="29" t="s">
        <v>822</v>
      </c>
      <c r="C748" s="29" t="s">
        <v>823</v>
      </c>
      <c r="D748" s="2" t="s">
        <v>808</v>
      </c>
      <c r="E748" s="2" t="s">
        <v>517</v>
      </c>
      <c r="F748" s="2"/>
      <c r="G748" s="2"/>
      <c r="H748" s="2"/>
      <c r="I748" s="2" t="s">
        <v>1707</v>
      </c>
      <c r="J748" s="28"/>
      <c r="K748" s="28" t="s">
        <v>1765</v>
      </c>
      <c r="L748" s="42" t="s">
        <v>720</v>
      </c>
      <c r="M748" s="4" t="s">
        <v>3</v>
      </c>
      <c r="N748" s="15">
        <v>18780914</v>
      </c>
      <c r="O748" s="88" t="s">
        <v>1187</v>
      </c>
      <c r="P748" s="38">
        <v>24129</v>
      </c>
      <c r="Q748" s="38"/>
      <c r="R748" s="38"/>
      <c r="S748" s="38"/>
      <c r="T748" s="38"/>
      <c r="U748" s="17" t="s">
        <v>215</v>
      </c>
      <c r="V748" s="17" t="s">
        <v>915</v>
      </c>
      <c r="W748" s="12">
        <v>40605</v>
      </c>
      <c r="X748" s="22"/>
      <c r="Y748" s="12">
        <v>42735</v>
      </c>
      <c r="Z748" s="2"/>
      <c r="AA748" s="2" t="s">
        <v>479</v>
      </c>
      <c r="AB748" s="24" t="s">
        <v>479</v>
      </c>
      <c r="AC748" s="5">
        <v>1000</v>
      </c>
      <c r="AD748" s="5">
        <v>1070</v>
      </c>
      <c r="AE748" s="5">
        <v>1170</v>
      </c>
      <c r="AF748" s="5">
        <f t="shared" si="797"/>
        <v>1310</v>
      </c>
      <c r="AG748" s="5">
        <f t="shared" ref="AG748:AH756" si="805">+AF748</f>
        <v>1310</v>
      </c>
      <c r="AH748" s="5">
        <f t="shared" si="805"/>
        <v>1310</v>
      </c>
      <c r="AI748" s="5">
        <f t="shared" ref="AI748:AJ748" si="806">+AH748</f>
        <v>1310</v>
      </c>
      <c r="AJ748" s="5">
        <f t="shared" si="806"/>
        <v>1310</v>
      </c>
      <c r="AK748" s="29" t="s">
        <v>42</v>
      </c>
      <c r="AL748" s="105" t="str">
        <f>+AK748</f>
        <v>C0</v>
      </c>
    </row>
    <row r="749" spans="1:38" s="6" customFormat="1" ht="15" customHeight="1" x14ac:dyDescent="0.2">
      <c r="A749" s="29" t="s">
        <v>824</v>
      </c>
      <c r="B749" s="29" t="s">
        <v>822</v>
      </c>
      <c r="C749" s="29" t="s">
        <v>823</v>
      </c>
      <c r="D749" s="2" t="s">
        <v>800</v>
      </c>
      <c r="E749" s="7" t="s">
        <v>541</v>
      </c>
      <c r="F749" s="7"/>
      <c r="G749" s="7"/>
      <c r="H749" s="8"/>
      <c r="I749" s="3" t="s">
        <v>1750</v>
      </c>
      <c r="J749" s="28" t="s">
        <v>254</v>
      </c>
      <c r="K749" s="28" t="s">
        <v>1767</v>
      </c>
      <c r="L749" s="42" t="s">
        <v>721</v>
      </c>
      <c r="M749" s="4" t="s">
        <v>3</v>
      </c>
      <c r="N749" s="15">
        <v>23496931</v>
      </c>
      <c r="O749" s="88" t="s">
        <v>1232</v>
      </c>
      <c r="P749" s="38">
        <v>27096</v>
      </c>
      <c r="Q749" s="38"/>
      <c r="R749" s="38"/>
      <c r="S749" s="38"/>
      <c r="T749" s="38"/>
      <c r="U749" s="17" t="s">
        <v>215</v>
      </c>
      <c r="V749" s="17" t="s">
        <v>915</v>
      </c>
      <c r="W749" s="12">
        <v>41821</v>
      </c>
      <c r="X749" s="20"/>
      <c r="Y749" s="12">
        <v>42735</v>
      </c>
      <c r="Z749" s="2"/>
      <c r="AA749" s="2" t="s">
        <v>479</v>
      </c>
      <c r="AB749" s="24" t="s">
        <v>479</v>
      </c>
      <c r="AC749" s="5">
        <v>1000</v>
      </c>
      <c r="AD749" s="5">
        <v>1070</v>
      </c>
      <c r="AE749" s="5">
        <v>1170</v>
      </c>
      <c r="AF749" s="5">
        <f t="shared" si="797"/>
        <v>1310</v>
      </c>
      <c r="AG749" s="5">
        <f t="shared" si="805"/>
        <v>1310</v>
      </c>
      <c r="AH749" s="5">
        <f t="shared" si="805"/>
        <v>1310</v>
      </c>
      <c r="AI749" s="5">
        <f t="shared" ref="AI749:AJ749" si="807">+AH749</f>
        <v>1310</v>
      </c>
      <c r="AJ749" s="5">
        <f t="shared" si="807"/>
        <v>1310</v>
      </c>
      <c r="AK749" s="29" t="s">
        <v>42</v>
      </c>
      <c r="AL749" s="105" t="str">
        <f>+AK749</f>
        <v>C0</v>
      </c>
    </row>
    <row r="750" spans="1:38" s="6" customFormat="1" ht="15" customHeight="1" x14ac:dyDescent="0.2">
      <c r="A750" s="29" t="s">
        <v>824</v>
      </c>
      <c r="B750" s="29" t="s">
        <v>822</v>
      </c>
      <c r="C750" s="29" t="s">
        <v>823</v>
      </c>
      <c r="D750" s="2" t="s">
        <v>1820</v>
      </c>
      <c r="E750" s="2"/>
      <c r="F750" s="2"/>
      <c r="G750" s="2"/>
      <c r="H750" s="2" t="s">
        <v>884</v>
      </c>
      <c r="I750" s="2" t="s">
        <v>1707</v>
      </c>
      <c r="J750" s="28"/>
      <c r="K750" s="28" t="s">
        <v>1765</v>
      </c>
      <c r="L750" s="44" t="s">
        <v>1678</v>
      </c>
      <c r="M750" s="7" t="s">
        <v>3</v>
      </c>
      <c r="N750" s="15">
        <v>6082291</v>
      </c>
      <c r="O750" s="88"/>
      <c r="P750" s="38">
        <v>17966</v>
      </c>
      <c r="Q750" s="38"/>
      <c r="R750" s="38"/>
      <c r="S750" s="38"/>
      <c r="T750" s="38"/>
      <c r="U750" s="17" t="s">
        <v>215</v>
      </c>
      <c r="V750" s="17" t="s">
        <v>915</v>
      </c>
      <c r="W750" s="12">
        <v>42552</v>
      </c>
      <c r="X750" s="13"/>
      <c r="Y750" s="12">
        <v>42735</v>
      </c>
      <c r="Z750" s="2"/>
      <c r="AA750" s="2" t="s">
        <v>479</v>
      </c>
      <c r="AB750" s="7"/>
      <c r="AC750" s="5"/>
      <c r="AD750" s="5"/>
      <c r="AE750" s="5">
        <v>1170</v>
      </c>
      <c r="AF750" s="5">
        <f t="shared" si="797"/>
        <v>0</v>
      </c>
      <c r="AG750" s="5">
        <f t="shared" si="805"/>
        <v>0</v>
      </c>
      <c r="AH750" s="5">
        <f t="shared" si="805"/>
        <v>0</v>
      </c>
      <c r="AI750" s="5">
        <f t="shared" ref="AI750:AJ750" si="808">+AH750</f>
        <v>0</v>
      </c>
      <c r="AJ750" s="5">
        <f t="shared" si="808"/>
        <v>0</v>
      </c>
      <c r="AK750" s="2" t="s">
        <v>53</v>
      </c>
      <c r="AL750" s="105" t="str">
        <f>+AK750</f>
        <v>B0</v>
      </c>
    </row>
    <row r="751" spans="1:38" s="6" customFormat="1" ht="15" customHeight="1" x14ac:dyDescent="0.2">
      <c r="A751" s="29" t="s">
        <v>824</v>
      </c>
      <c r="B751" s="2" t="s">
        <v>822</v>
      </c>
      <c r="C751" s="3"/>
      <c r="D751" s="2" t="s">
        <v>825</v>
      </c>
      <c r="E751" s="3" t="s">
        <v>18</v>
      </c>
      <c r="F751" s="2" t="s">
        <v>19</v>
      </c>
      <c r="G751" s="2"/>
      <c r="H751" s="2" t="s">
        <v>21</v>
      </c>
      <c r="I751" s="3"/>
      <c r="J751" s="28" t="s">
        <v>548</v>
      </c>
      <c r="K751" s="28"/>
      <c r="L751" s="41" t="s">
        <v>722</v>
      </c>
      <c r="M751" s="4" t="s">
        <v>3</v>
      </c>
      <c r="N751" s="15">
        <v>25639689</v>
      </c>
      <c r="O751" s="88">
        <v>20256396891</v>
      </c>
      <c r="P751" s="61"/>
      <c r="Q751" s="61"/>
      <c r="R751" s="61"/>
      <c r="S751" s="61"/>
      <c r="T751" s="61"/>
      <c r="U751" s="16" t="s">
        <v>796</v>
      </c>
      <c r="V751" s="16" t="s">
        <v>916</v>
      </c>
      <c r="W751" s="12">
        <v>42064</v>
      </c>
      <c r="X751" s="12">
        <v>42460</v>
      </c>
      <c r="Y751" s="12">
        <v>42735</v>
      </c>
      <c r="Z751" s="2" t="s">
        <v>53</v>
      </c>
      <c r="AA751" s="2"/>
      <c r="AB751" s="3"/>
      <c r="AC751" s="5">
        <v>1000</v>
      </c>
      <c r="AD751" s="5"/>
      <c r="AE751" s="5">
        <v>1170</v>
      </c>
      <c r="AF751" s="5">
        <f t="shared" si="797"/>
        <v>1310</v>
      </c>
      <c r="AG751" s="5">
        <f t="shared" si="805"/>
        <v>1310</v>
      </c>
      <c r="AH751" s="5">
        <f t="shared" si="805"/>
        <v>1310</v>
      </c>
      <c r="AI751" s="5">
        <f t="shared" ref="AI751:AJ751" si="809">+AH751</f>
        <v>1310</v>
      </c>
      <c r="AJ751" s="5">
        <f t="shared" si="809"/>
        <v>1310</v>
      </c>
      <c r="AK751" s="2"/>
      <c r="AL751" s="105" t="str">
        <f>+Z751</f>
        <v>B0</v>
      </c>
    </row>
    <row r="752" spans="1:38" s="6" customFormat="1" ht="15" customHeight="1" x14ac:dyDescent="0.2">
      <c r="A752" s="29" t="s">
        <v>824</v>
      </c>
      <c r="B752" s="29" t="s">
        <v>822</v>
      </c>
      <c r="C752" s="29" t="s">
        <v>823</v>
      </c>
      <c r="D752" s="2" t="s">
        <v>800</v>
      </c>
      <c r="E752" s="7" t="s">
        <v>497</v>
      </c>
      <c r="F752" s="7"/>
      <c r="G752" s="7"/>
      <c r="H752" s="8"/>
      <c r="I752" s="3" t="s">
        <v>1714</v>
      </c>
      <c r="J752" s="28" t="s">
        <v>254</v>
      </c>
      <c r="K752" s="28" t="s">
        <v>1767</v>
      </c>
      <c r="L752" s="42" t="s">
        <v>394</v>
      </c>
      <c r="M752" s="4" t="s">
        <v>3</v>
      </c>
      <c r="N752" s="15">
        <v>26949673</v>
      </c>
      <c r="O752" s="88" t="s">
        <v>1300</v>
      </c>
      <c r="P752" s="38">
        <v>28891</v>
      </c>
      <c r="Q752" s="38"/>
      <c r="R752" s="38"/>
      <c r="S752" s="38"/>
      <c r="T752" s="38"/>
      <c r="U752" s="17" t="s">
        <v>215</v>
      </c>
      <c r="V752" s="17" t="s">
        <v>915</v>
      </c>
      <c r="W752" s="12">
        <v>41791</v>
      </c>
      <c r="X752" s="20"/>
      <c r="Y752" s="12">
        <v>42735</v>
      </c>
      <c r="Z752" s="2"/>
      <c r="AA752" s="2" t="s">
        <v>479</v>
      </c>
      <c r="AB752" s="24" t="s">
        <v>479</v>
      </c>
      <c r="AC752" s="5">
        <v>1000</v>
      </c>
      <c r="AD752" s="5">
        <v>1070</v>
      </c>
      <c r="AE752" s="5">
        <v>1170</v>
      </c>
      <c r="AF752" s="5">
        <f t="shared" si="797"/>
        <v>1310</v>
      </c>
      <c r="AG752" s="5">
        <f t="shared" si="805"/>
        <v>1310</v>
      </c>
      <c r="AH752" s="5">
        <f t="shared" si="805"/>
        <v>1310</v>
      </c>
      <c r="AI752" s="5">
        <f t="shared" ref="AI752:AJ752" si="810">+AH752</f>
        <v>1310</v>
      </c>
      <c r="AJ752" s="5">
        <f t="shared" si="810"/>
        <v>1310</v>
      </c>
      <c r="AK752" s="29" t="s">
        <v>42</v>
      </c>
      <c r="AL752" s="105" t="str">
        <f>+AK752</f>
        <v>C0</v>
      </c>
    </row>
    <row r="753" spans="1:38" s="6" customFormat="1" ht="15" customHeight="1" x14ac:dyDescent="0.2">
      <c r="A753" s="29" t="s">
        <v>824</v>
      </c>
      <c r="B753" s="29" t="s">
        <v>822</v>
      </c>
      <c r="C753" s="14"/>
      <c r="D753" s="2" t="s">
        <v>1833</v>
      </c>
      <c r="E753" s="2"/>
      <c r="F753" s="3"/>
      <c r="G753" s="3"/>
      <c r="H753" s="2" t="s">
        <v>884</v>
      </c>
      <c r="I753" s="2" t="s">
        <v>1707</v>
      </c>
      <c r="J753" s="28"/>
      <c r="K753" s="28" t="s">
        <v>1765</v>
      </c>
      <c r="L753" s="41" t="s">
        <v>1048</v>
      </c>
      <c r="M753" s="7" t="s">
        <v>3</v>
      </c>
      <c r="N753" s="15">
        <v>31614943</v>
      </c>
      <c r="O753" s="88">
        <v>20316149430</v>
      </c>
      <c r="P753" s="38">
        <v>31191</v>
      </c>
      <c r="Q753" s="38"/>
      <c r="R753" s="38"/>
      <c r="S753" s="38"/>
      <c r="T753" s="38"/>
      <c r="U753" s="17" t="s">
        <v>215</v>
      </c>
      <c r="V753" s="17" t="s">
        <v>915</v>
      </c>
      <c r="W753" s="12"/>
      <c r="X753" s="48"/>
      <c r="Y753" s="12">
        <v>42735</v>
      </c>
      <c r="Z753" s="2"/>
      <c r="AA753" s="2" t="s">
        <v>479</v>
      </c>
      <c r="AB753" s="3"/>
      <c r="AC753" s="5">
        <v>1000</v>
      </c>
      <c r="AD753" s="5">
        <f>+AC753*1.07</f>
        <v>1070</v>
      </c>
      <c r="AE753" s="5">
        <v>1170</v>
      </c>
      <c r="AF753" s="5">
        <f t="shared" si="797"/>
        <v>1310</v>
      </c>
      <c r="AG753" s="5">
        <f t="shared" si="805"/>
        <v>1310</v>
      </c>
      <c r="AH753" s="5">
        <f t="shared" si="805"/>
        <v>1310</v>
      </c>
      <c r="AI753" s="5">
        <f t="shared" ref="AI753:AJ753" si="811">+AH753</f>
        <v>1310</v>
      </c>
      <c r="AJ753" s="5">
        <f t="shared" si="811"/>
        <v>1310</v>
      </c>
      <c r="AK753" s="29" t="s">
        <v>42</v>
      </c>
      <c r="AL753" s="105" t="str">
        <f>+AK753</f>
        <v>C0</v>
      </c>
    </row>
    <row r="754" spans="1:38" s="6" customFormat="1" ht="15" customHeight="1" x14ac:dyDescent="0.2">
      <c r="A754" s="29" t="s">
        <v>824</v>
      </c>
      <c r="B754" s="2" t="s">
        <v>822</v>
      </c>
      <c r="C754" s="29" t="s">
        <v>823</v>
      </c>
      <c r="D754" s="2" t="s">
        <v>808</v>
      </c>
      <c r="E754" s="2" t="s">
        <v>216</v>
      </c>
      <c r="F754" s="2"/>
      <c r="G754" s="3"/>
      <c r="H754" s="2" t="s">
        <v>221</v>
      </c>
      <c r="I754" s="3"/>
      <c r="J754" s="28" t="s">
        <v>73</v>
      </c>
      <c r="K754" s="28"/>
      <c r="L754" s="43" t="s">
        <v>176</v>
      </c>
      <c r="M754" s="4" t="s">
        <v>3</v>
      </c>
      <c r="N754" s="15">
        <v>25730787</v>
      </c>
      <c r="O754" s="88">
        <v>20257307876</v>
      </c>
      <c r="P754" s="38"/>
      <c r="Q754" s="38"/>
      <c r="R754" s="38"/>
      <c r="S754" s="38"/>
      <c r="T754" s="38"/>
      <c r="U754" s="16" t="s">
        <v>796</v>
      </c>
      <c r="V754" s="16" t="s">
        <v>916</v>
      </c>
      <c r="W754" s="12">
        <v>39391</v>
      </c>
      <c r="X754" s="48">
        <v>42735</v>
      </c>
      <c r="Y754" s="12">
        <v>42735</v>
      </c>
      <c r="Z754" s="2" t="s">
        <v>60</v>
      </c>
      <c r="AA754" s="2"/>
      <c r="AB754" s="14"/>
      <c r="AC754" s="5">
        <v>1000</v>
      </c>
      <c r="AD754" s="5"/>
      <c r="AE754" s="5">
        <v>1170</v>
      </c>
      <c r="AF754" s="5">
        <f t="shared" si="797"/>
        <v>1310</v>
      </c>
      <c r="AG754" s="5">
        <f t="shared" si="805"/>
        <v>1310</v>
      </c>
      <c r="AH754" s="5">
        <f t="shared" si="805"/>
        <v>1310</v>
      </c>
      <c r="AI754" s="5">
        <f t="shared" ref="AI754:AJ754" si="812">+AH754</f>
        <v>1310</v>
      </c>
      <c r="AJ754" s="5">
        <f t="shared" si="812"/>
        <v>1310</v>
      </c>
      <c r="AK754" s="2"/>
      <c r="AL754" s="105" t="str">
        <f>+Z754</f>
        <v>B2</v>
      </c>
    </row>
    <row r="755" spans="1:38" s="6" customFormat="1" ht="15" customHeight="1" x14ac:dyDescent="0.2">
      <c r="A755" s="29" t="s">
        <v>824</v>
      </c>
      <c r="B755" s="2" t="s">
        <v>822</v>
      </c>
      <c r="C755" s="3"/>
      <c r="D755" s="2" t="s">
        <v>825</v>
      </c>
      <c r="E755" s="3" t="s">
        <v>18</v>
      </c>
      <c r="F755" s="2" t="s">
        <v>19</v>
      </c>
      <c r="G755" s="2"/>
      <c r="H755" s="2" t="s">
        <v>21</v>
      </c>
      <c r="I755" s="3"/>
      <c r="J755" s="28" t="s">
        <v>548</v>
      </c>
      <c r="K755" s="28"/>
      <c r="L755" s="41" t="s">
        <v>723</v>
      </c>
      <c r="M755" s="2" t="s">
        <v>64</v>
      </c>
      <c r="N755" s="15">
        <v>26183522</v>
      </c>
      <c r="O755" s="88">
        <v>27261835229</v>
      </c>
      <c r="P755" s="61"/>
      <c r="Q755" s="61"/>
      <c r="R755" s="61"/>
      <c r="S755" s="61"/>
      <c r="T755" s="61"/>
      <c r="U755" s="16" t="s">
        <v>796</v>
      </c>
      <c r="V755" s="16" t="s">
        <v>916</v>
      </c>
      <c r="W755" s="12">
        <v>41609</v>
      </c>
      <c r="X755" s="12">
        <v>42460</v>
      </c>
      <c r="Y755" s="12">
        <v>42735</v>
      </c>
      <c r="Z755" s="2" t="s">
        <v>30</v>
      </c>
      <c r="AA755" s="2"/>
      <c r="AB755" s="3"/>
      <c r="AC755" s="5">
        <v>1000</v>
      </c>
      <c r="AD755" s="5"/>
      <c r="AE755" s="5">
        <v>1170</v>
      </c>
      <c r="AF755" s="5">
        <f t="shared" si="797"/>
        <v>1310</v>
      </c>
      <c r="AG755" s="5">
        <f t="shared" si="805"/>
        <v>1310</v>
      </c>
      <c r="AH755" s="5">
        <f t="shared" si="805"/>
        <v>1310</v>
      </c>
      <c r="AI755" s="5">
        <f t="shared" ref="AI755:AJ755" si="813">+AH755</f>
        <v>1310</v>
      </c>
      <c r="AJ755" s="5">
        <f t="shared" si="813"/>
        <v>1310</v>
      </c>
      <c r="AK755" s="2"/>
      <c r="AL755" s="105" t="str">
        <f>+Z755</f>
        <v>B1</v>
      </c>
    </row>
    <row r="756" spans="1:38" s="6" customFormat="1" ht="15" customHeight="1" x14ac:dyDescent="0.2">
      <c r="A756" s="29" t="s">
        <v>824</v>
      </c>
      <c r="B756" s="29" t="s">
        <v>822</v>
      </c>
      <c r="C756" s="29" t="s">
        <v>823</v>
      </c>
      <c r="D756" s="2" t="s">
        <v>800</v>
      </c>
      <c r="E756" s="2"/>
      <c r="F756" s="3"/>
      <c r="G756" s="3"/>
      <c r="H756" s="2" t="s">
        <v>884</v>
      </c>
      <c r="I756" s="2" t="s">
        <v>1707</v>
      </c>
      <c r="J756" s="28" t="s">
        <v>254</v>
      </c>
      <c r="K756" s="28" t="s">
        <v>1767</v>
      </c>
      <c r="L756" s="41" t="s">
        <v>1035</v>
      </c>
      <c r="M756" s="4" t="s">
        <v>3</v>
      </c>
      <c r="N756" s="15">
        <v>18303910</v>
      </c>
      <c r="O756" s="88" t="s">
        <v>1595</v>
      </c>
      <c r="P756" s="38">
        <v>24693</v>
      </c>
      <c r="Q756" s="38"/>
      <c r="R756" s="38"/>
      <c r="S756" s="38"/>
      <c r="T756" s="38"/>
      <c r="U756" s="17" t="s">
        <v>215</v>
      </c>
      <c r="V756" s="17" t="s">
        <v>915</v>
      </c>
      <c r="W756" s="12">
        <v>42370</v>
      </c>
      <c r="X756" s="48"/>
      <c r="Y756" s="12">
        <v>42735</v>
      </c>
      <c r="Z756" s="2"/>
      <c r="AA756" s="2" t="s">
        <v>479</v>
      </c>
      <c r="AB756" s="3" t="s">
        <v>10</v>
      </c>
      <c r="AC756" s="5">
        <v>1000</v>
      </c>
      <c r="AD756" s="5">
        <f>+AC756*1.07</f>
        <v>1070</v>
      </c>
      <c r="AE756" s="5">
        <v>1170</v>
      </c>
      <c r="AF756" s="5">
        <f t="shared" si="797"/>
        <v>1310</v>
      </c>
      <c r="AG756" s="5">
        <f t="shared" si="805"/>
        <v>1310</v>
      </c>
      <c r="AH756" s="5">
        <f t="shared" si="805"/>
        <v>1310</v>
      </c>
      <c r="AI756" s="5">
        <f t="shared" ref="AI756:AJ756" si="814">+AH756</f>
        <v>1310</v>
      </c>
      <c r="AJ756" s="5">
        <f t="shared" si="814"/>
        <v>1310</v>
      </c>
      <c r="AK756" s="2" t="s">
        <v>43</v>
      </c>
      <c r="AL756" s="105" t="str">
        <f>+AK756</f>
        <v>A0</v>
      </c>
    </row>
    <row r="757" spans="1:38" s="6" customFormat="1" ht="15" customHeight="1" x14ac:dyDescent="0.2">
      <c r="A757" s="29" t="s">
        <v>824</v>
      </c>
      <c r="B757" s="29" t="s">
        <v>822</v>
      </c>
      <c r="C757" s="29"/>
      <c r="D757" s="2" t="s">
        <v>956</v>
      </c>
      <c r="E757" s="2" t="s">
        <v>956</v>
      </c>
      <c r="F757" s="3"/>
      <c r="G757" s="3"/>
      <c r="H757" s="2"/>
      <c r="I757" s="2"/>
      <c r="J757" s="28"/>
      <c r="K757" s="28"/>
      <c r="L757" s="41" t="s">
        <v>1809</v>
      </c>
      <c r="M757" s="4" t="s">
        <v>3</v>
      </c>
      <c r="N757" s="15">
        <v>17547110</v>
      </c>
      <c r="O757" s="88">
        <v>20175471104</v>
      </c>
      <c r="P757" s="38"/>
      <c r="Q757" s="38"/>
      <c r="R757" s="38"/>
      <c r="S757" s="38"/>
      <c r="T757" s="38"/>
      <c r="U757" s="17"/>
      <c r="V757" s="17" t="s">
        <v>915</v>
      </c>
      <c r="W757" s="12">
        <v>42552</v>
      </c>
      <c r="X757" s="48"/>
      <c r="Y757" s="48">
        <v>42643</v>
      </c>
      <c r="Z757" s="2"/>
      <c r="AA757" s="2" t="s">
        <v>479</v>
      </c>
      <c r="AB757" s="3"/>
      <c r="AC757" s="5"/>
      <c r="AD757" s="5"/>
      <c r="AE757" s="5">
        <v>1170</v>
      </c>
      <c r="AF757" s="5">
        <f t="shared" si="797"/>
        <v>0</v>
      </c>
      <c r="AG757" s="5">
        <v>1310</v>
      </c>
      <c r="AH757" s="5" t="s">
        <v>1818</v>
      </c>
      <c r="AI757" s="5" t="str">
        <f t="shared" ref="AI757:AJ757" si="815">+AH757</f>
        <v xml:space="preserve"> --</v>
      </c>
      <c r="AJ757" s="5" t="str">
        <f t="shared" si="815"/>
        <v xml:space="preserve"> --</v>
      </c>
      <c r="AK757" s="29" t="s">
        <v>42</v>
      </c>
      <c r="AL757" s="105" t="str">
        <f>+AK757</f>
        <v>C0</v>
      </c>
    </row>
    <row r="758" spans="1:38" s="6" customFormat="1" ht="15" customHeight="1" x14ac:dyDescent="0.2">
      <c r="A758" s="29" t="s">
        <v>824</v>
      </c>
      <c r="B758" s="2" t="s">
        <v>822</v>
      </c>
      <c r="C758" s="3"/>
      <c r="D758" s="2" t="s">
        <v>825</v>
      </c>
      <c r="E758" s="3" t="s">
        <v>18</v>
      </c>
      <c r="F758" s="2" t="s">
        <v>1012</v>
      </c>
      <c r="G758" s="2"/>
      <c r="H758" s="2" t="s">
        <v>20</v>
      </c>
      <c r="I758" s="2" t="s">
        <v>1760</v>
      </c>
      <c r="J758" s="28" t="s">
        <v>548</v>
      </c>
      <c r="K758" s="28" t="s">
        <v>548</v>
      </c>
      <c r="L758" s="44" t="s">
        <v>1006</v>
      </c>
      <c r="M758" s="7" t="s">
        <v>3</v>
      </c>
      <c r="N758" s="47">
        <v>24462764</v>
      </c>
      <c r="O758" s="88">
        <v>20244627642</v>
      </c>
      <c r="P758" s="38">
        <v>27490</v>
      </c>
      <c r="Q758" s="38"/>
      <c r="R758" s="38"/>
      <c r="S758" s="38"/>
      <c r="T758" s="38"/>
      <c r="U758" s="17" t="s">
        <v>215</v>
      </c>
      <c r="V758" s="17" t="s">
        <v>915</v>
      </c>
      <c r="W758" s="12">
        <v>40969</v>
      </c>
      <c r="X758" s="12"/>
      <c r="Y758" s="12">
        <v>42735</v>
      </c>
      <c r="Z758" s="2"/>
      <c r="AA758" s="2" t="s">
        <v>479</v>
      </c>
      <c r="AB758" s="7"/>
      <c r="AC758" s="5">
        <v>1000</v>
      </c>
      <c r="AD758" s="5">
        <f>+AC758</f>
        <v>1000</v>
      </c>
      <c r="AE758" s="5">
        <v>1170</v>
      </c>
      <c r="AF758" s="5">
        <f t="shared" ref="AF758:AF821" si="816">+AC758*1.31</f>
        <v>1310</v>
      </c>
      <c r="AG758" s="5">
        <f>+AF758</f>
        <v>1310</v>
      </c>
      <c r="AH758" s="5">
        <f>+AG758</f>
        <v>1310</v>
      </c>
      <c r="AI758" s="5">
        <f t="shared" ref="AI758:AJ758" si="817">+AH758</f>
        <v>1310</v>
      </c>
      <c r="AJ758" s="5">
        <f t="shared" si="817"/>
        <v>1310</v>
      </c>
      <c r="AK758" s="2"/>
      <c r="AL758" s="8"/>
    </row>
    <row r="759" spans="1:38" s="6" customFormat="1" ht="15" customHeight="1" x14ac:dyDescent="0.2">
      <c r="A759" s="29" t="s">
        <v>824</v>
      </c>
      <c r="B759" s="29" t="s">
        <v>822</v>
      </c>
      <c r="C759" s="29" t="s">
        <v>823</v>
      </c>
      <c r="D759" s="2" t="s">
        <v>1820</v>
      </c>
      <c r="E759" s="2"/>
      <c r="F759" s="3"/>
      <c r="G759" s="3"/>
      <c r="H759" s="2" t="s">
        <v>884</v>
      </c>
      <c r="I759" s="2" t="s">
        <v>1707</v>
      </c>
      <c r="J759" s="28"/>
      <c r="K759" s="28" t="s">
        <v>1765</v>
      </c>
      <c r="L759" s="45" t="s">
        <v>1056</v>
      </c>
      <c r="M759" s="7" t="s">
        <v>3</v>
      </c>
      <c r="N759" s="15">
        <v>33174786</v>
      </c>
      <c r="O759" s="88">
        <v>20331747867</v>
      </c>
      <c r="P759" s="38">
        <v>31973</v>
      </c>
      <c r="Q759" s="38"/>
      <c r="R759" s="38"/>
      <c r="S759" s="38"/>
      <c r="T759" s="38"/>
      <c r="U759" s="17" t="s">
        <v>215</v>
      </c>
      <c r="V759" s="16" t="s">
        <v>915</v>
      </c>
      <c r="W759" s="12"/>
      <c r="X759" s="48"/>
      <c r="Y759" s="12">
        <v>42735</v>
      </c>
      <c r="Z759" s="2"/>
      <c r="AA759" s="2" t="s">
        <v>479</v>
      </c>
      <c r="AB759" s="14"/>
      <c r="AC759" s="5"/>
      <c r="AD759" s="5">
        <v>1070</v>
      </c>
      <c r="AE759" s="5">
        <v>1170</v>
      </c>
      <c r="AF759" s="5">
        <f t="shared" si="816"/>
        <v>0</v>
      </c>
      <c r="AG759" s="5">
        <f t="shared" ref="AG759:AH778" si="818">+AF759</f>
        <v>0</v>
      </c>
      <c r="AH759" s="5">
        <f t="shared" si="818"/>
        <v>0</v>
      </c>
      <c r="AI759" s="5">
        <f t="shared" ref="AI759:AJ759" si="819">+AH759</f>
        <v>0</v>
      </c>
      <c r="AJ759" s="5">
        <f t="shared" si="819"/>
        <v>0</v>
      </c>
      <c r="AK759" s="29" t="s">
        <v>42</v>
      </c>
      <c r="AL759" s="105" t="str">
        <f>+AK759</f>
        <v>C0</v>
      </c>
    </row>
    <row r="760" spans="1:38" s="6" customFormat="1" ht="15" customHeight="1" x14ac:dyDescent="0.2">
      <c r="A760" s="29" t="s">
        <v>824</v>
      </c>
      <c r="B760" s="29" t="s">
        <v>822</v>
      </c>
      <c r="C760" s="29" t="s">
        <v>823</v>
      </c>
      <c r="D760" s="2" t="s">
        <v>808</v>
      </c>
      <c r="E760" s="2" t="s">
        <v>909</v>
      </c>
      <c r="F760" s="2" t="s">
        <v>52</v>
      </c>
      <c r="G760" s="3"/>
      <c r="H760" s="2" t="s">
        <v>223</v>
      </c>
      <c r="I760" s="2" t="s">
        <v>1707</v>
      </c>
      <c r="J760" s="28" t="s">
        <v>73</v>
      </c>
      <c r="K760" s="28" t="s">
        <v>1765</v>
      </c>
      <c r="L760" s="43" t="s">
        <v>177</v>
      </c>
      <c r="M760" s="4" t="s">
        <v>3</v>
      </c>
      <c r="N760" s="15">
        <v>31851944</v>
      </c>
      <c r="O760" s="88" t="s">
        <v>1400</v>
      </c>
      <c r="P760" s="38">
        <v>29067</v>
      </c>
      <c r="Q760" s="38"/>
      <c r="R760" s="38"/>
      <c r="S760" s="38"/>
      <c r="T760" s="38"/>
      <c r="U760" s="17" t="s">
        <v>215</v>
      </c>
      <c r="V760" s="17" t="s">
        <v>915</v>
      </c>
      <c r="W760" s="12">
        <v>42157</v>
      </c>
      <c r="X760" s="37"/>
      <c r="Y760" s="12">
        <v>42735</v>
      </c>
      <c r="Z760" s="2"/>
      <c r="AA760" s="2" t="s">
        <v>479</v>
      </c>
      <c r="AB760" s="7" t="s">
        <v>61</v>
      </c>
      <c r="AC760" s="5">
        <v>1000</v>
      </c>
      <c r="AD760" s="5">
        <f>+AC760*1.07</f>
        <v>1070</v>
      </c>
      <c r="AE760" s="5">
        <v>1170</v>
      </c>
      <c r="AF760" s="5">
        <f t="shared" si="816"/>
        <v>1310</v>
      </c>
      <c r="AG760" s="5">
        <f t="shared" si="818"/>
        <v>1310</v>
      </c>
      <c r="AH760" s="5">
        <f t="shared" si="818"/>
        <v>1310</v>
      </c>
      <c r="AI760" s="5">
        <f t="shared" ref="AI760:AJ760" si="820">+AH760</f>
        <v>1310</v>
      </c>
      <c r="AJ760" s="5">
        <f t="shared" si="820"/>
        <v>1310</v>
      </c>
      <c r="AK760" s="29" t="s">
        <v>42</v>
      </c>
      <c r="AL760" s="105" t="str">
        <f>+AK760</f>
        <v>C0</v>
      </c>
    </row>
    <row r="761" spans="1:38" s="6" customFormat="1" ht="15" customHeight="1" x14ac:dyDescent="0.2">
      <c r="A761" s="29" t="s">
        <v>824</v>
      </c>
      <c r="B761" s="29" t="s">
        <v>822</v>
      </c>
      <c r="C761" s="29" t="s">
        <v>823</v>
      </c>
      <c r="D761" s="2" t="s">
        <v>1820</v>
      </c>
      <c r="E761" s="2"/>
      <c r="F761" s="2"/>
      <c r="G761" s="2"/>
      <c r="H761" s="2" t="s">
        <v>884</v>
      </c>
      <c r="I761" s="2" t="s">
        <v>1707</v>
      </c>
      <c r="J761" s="28"/>
      <c r="K761" s="28" t="s">
        <v>1765</v>
      </c>
      <c r="L761" s="44" t="s">
        <v>1677</v>
      </c>
      <c r="M761" s="7" t="s">
        <v>3</v>
      </c>
      <c r="N761" s="15">
        <v>38614565</v>
      </c>
      <c r="O761" s="88"/>
      <c r="P761" s="38">
        <v>34653</v>
      </c>
      <c r="Q761" s="38"/>
      <c r="R761" s="38"/>
      <c r="S761" s="38"/>
      <c r="T761" s="38"/>
      <c r="U761" s="17" t="s">
        <v>215</v>
      </c>
      <c r="V761" s="17" t="s">
        <v>915</v>
      </c>
      <c r="W761" s="12">
        <v>42552</v>
      </c>
      <c r="X761" s="13"/>
      <c r="Y761" s="12">
        <v>42735</v>
      </c>
      <c r="Z761" s="2"/>
      <c r="AA761" s="2" t="s">
        <v>479</v>
      </c>
      <c r="AB761" s="7"/>
      <c r="AC761" s="5"/>
      <c r="AD761" s="5"/>
      <c r="AE761" s="5">
        <v>1170</v>
      </c>
      <c r="AF761" s="5">
        <f t="shared" si="816"/>
        <v>0</v>
      </c>
      <c r="AG761" s="5">
        <f t="shared" si="818"/>
        <v>0</v>
      </c>
      <c r="AH761" s="5">
        <f t="shared" si="818"/>
        <v>0</v>
      </c>
      <c r="AI761" s="5">
        <f t="shared" ref="AI761:AJ761" si="821">+AH761</f>
        <v>0</v>
      </c>
      <c r="AJ761" s="5">
        <f t="shared" si="821"/>
        <v>0</v>
      </c>
      <c r="AK761" s="2" t="s">
        <v>53</v>
      </c>
      <c r="AL761" s="105" t="str">
        <f>+AK761</f>
        <v>B0</v>
      </c>
    </row>
    <row r="762" spans="1:38" s="6" customFormat="1" ht="15" customHeight="1" x14ac:dyDescent="0.2">
      <c r="A762" s="29" t="s">
        <v>824</v>
      </c>
      <c r="B762" s="2" t="s">
        <v>822</v>
      </c>
      <c r="C762" s="3"/>
      <c r="D762" s="2" t="s">
        <v>825</v>
      </c>
      <c r="E762" s="3" t="s">
        <v>18</v>
      </c>
      <c r="F762" s="2" t="s">
        <v>19</v>
      </c>
      <c r="G762" s="2"/>
      <c r="H762" s="2" t="s">
        <v>45</v>
      </c>
      <c r="I762" s="2" t="s">
        <v>1760</v>
      </c>
      <c r="J762" s="28" t="s">
        <v>548</v>
      </c>
      <c r="K762" s="28" t="s">
        <v>548</v>
      </c>
      <c r="L762" s="44" t="s">
        <v>724</v>
      </c>
      <c r="M762" s="4" t="s">
        <v>3</v>
      </c>
      <c r="N762" s="15">
        <v>31023100</v>
      </c>
      <c r="O762" s="88" t="s">
        <v>1383</v>
      </c>
      <c r="P762" s="38">
        <v>31298</v>
      </c>
      <c r="Q762" s="38"/>
      <c r="R762" s="38"/>
      <c r="S762" s="38"/>
      <c r="T762" s="38"/>
      <c r="U762" s="17" t="s">
        <v>215</v>
      </c>
      <c r="V762" s="17" t="s">
        <v>915</v>
      </c>
      <c r="W762" s="12">
        <v>40452</v>
      </c>
      <c r="X762" s="12"/>
      <c r="Y762" s="12">
        <v>42735</v>
      </c>
      <c r="Z762" s="2"/>
      <c r="AA762" s="2" t="s">
        <v>479</v>
      </c>
      <c r="AB762" s="7" t="s">
        <v>787</v>
      </c>
      <c r="AC762" s="5">
        <v>1000</v>
      </c>
      <c r="AD762" s="5">
        <f>+AC762</f>
        <v>1000</v>
      </c>
      <c r="AE762" s="5">
        <v>1170</v>
      </c>
      <c r="AF762" s="5">
        <f t="shared" si="816"/>
        <v>1310</v>
      </c>
      <c r="AG762" s="5">
        <f t="shared" si="818"/>
        <v>1310</v>
      </c>
      <c r="AH762" s="5">
        <f t="shared" si="818"/>
        <v>1310</v>
      </c>
      <c r="AI762" s="5">
        <f t="shared" ref="AI762:AJ762" si="822">+AH762</f>
        <v>1310</v>
      </c>
      <c r="AJ762" s="5">
        <f t="shared" si="822"/>
        <v>1310</v>
      </c>
      <c r="AK762" s="2"/>
      <c r="AL762" s="106"/>
    </row>
    <row r="763" spans="1:38" s="6" customFormat="1" ht="15" customHeight="1" x14ac:dyDescent="0.2">
      <c r="A763" s="29" t="s">
        <v>824</v>
      </c>
      <c r="B763" s="2" t="s">
        <v>822</v>
      </c>
      <c r="C763" s="3"/>
      <c r="D763" s="2" t="s">
        <v>825</v>
      </c>
      <c r="E763" s="3" t="s">
        <v>18</v>
      </c>
      <c r="F763" s="2" t="s">
        <v>19</v>
      </c>
      <c r="G763" s="2"/>
      <c r="H763" s="2" t="s">
        <v>37</v>
      </c>
      <c r="I763" s="2" t="s">
        <v>1761</v>
      </c>
      <c r="J763" s="28" t="s">
        <v>548</v>
      </c>
      <c r="K763" s="28" t="s">
        <v>548</v>
      </c>
      <c r="L763" s="44" t="s">
        <v>986</v>
      </c>
      <c r="M763" s="7" t="s">
        <v>3</v>
      </c>
      <c r="N763" s="47">
        <v>31953814</v>
      </c>
      <c r="O763" s="88" t="s">
        <v>1402</v>
      </c>
      <c r="P763" s="38">
        <v>31380</v>
      </c>
      <c r="Q763" s="38"/>
      <c r="R763" s="38"/>
      <c r="S763" s="38"/>
      <c r="T763" s="38"/>
      <c r="U763" s="17" t="s">
        <v>215</v>
      </c>
      <c r="V763" s="17" t="s">
        <v>915</v>
      </c>
      <c r="W763" s="12">
        <v>41764</v>
      </c>
      <c r="X763" s="12"/>
      <c r="Y763" s="12">
        <v>42735</v>
      </c>
      <c r="Z763" s="2"/>
      <c r="AA763" s="2" t="s">
        <v>479</v>
      </c>
      <c r="AB763" s="7"/>
      <c r="AC763" s="5">
        <v>1000</v>
      </c>
      <c r="AD763" s="5">
        <f>+AC763</f>
        <v>1000</v>
      </c>
      <c r="AE763" s="5">
        <v>1170</v>
      </c>
      <c r="AF763" s="5">
        <f t="shared" si="816"/>
        <v>1310</v>
      </c>
      <c r="AG763" s="5">
        <f t="shared" si="818"/>
        <v>1310</v>
      </c>
      <c r="AH763" s="5">
        <f t="shared" si="818"/>
        <v>1310</v>
      </c>
      <c r="AI763" s="5">
        <f t="shared" ref="AI763:AJ763" si="823">+AH763</f>
        <v>1310</v>
      </c>
      <c r="AJ763" s="5">
        <f t="shared" si="823"/>
        <v>1310</v>
      </c>
      <c r="AK763" s="2"/>
      <c r="AL763" s="106"/>
    </row>
    <row r="764" spans="1:38" s="6" customFormat="1" ht="15" customHeight="1" x14ac:dyDescent="0.2">
      <c r="A764" s="29" t="s">
        <v>824</v>
      </c>
      <c r="B764" s="2" t="s">
        <v>822</v>
      </c>
      <c r="C764" s="3"/>
      <c r="D764" s="2" t="s">
        <v>825</v>
      </c>
      <c r="E764" s="3" t="s">
        <v>18</v>
      </c>
      <c r="F764" s="2" t="s">
        <v>19</v>
      </c>
      <c r="G764" s="2"/>
      <c r="H764" s="2" t="s">
        <v>37</v>
      </c>
      <c r="I764" s="2" t="s">
        <v>1761</v>
      </c>
      <c r="J764" s="28" t="s">
        <v>548</v>
      </c>
      <c r="K764" s="28" t="s">
        <v>548</v>
      </c>
      <c r="L764" s="44" t="s">
        <v>725</v>
      </c>
      <c r="M764" s="4" t="s">
        <v>3</v>
      </c>
      <c r="N764" s="15">
        <v>92566818</v>
      </c>
      <c r="O764" s="88" t="s">
        <v>1570</v>
      </c>
      <c r="P764" s="38">
        <v>21999</v>
      </c>
      <c r="Q764" s="38"/>
      <c r="R764" s="38"/>
      <c r="S764" s="38"/>
      <c r="T764" s="38"/>
      <c r="U764" s="17" t="s">
        <v>215</v>
      </c>
      <c r="V764" s="17" t="s">
        <v>915</v>
      </c>
      <c r="W764" s="12">
        <v>41377</v>
      </c>
      <c r="X764" s="12"/>
      <c r="Y764" s="12">
        <v>42735</v>
      </c>
      <c r="Z764" s="2"/>
      <c r="AA764" s="2" t="s">
        <v>479</v>
      </c>
      <c r="AB764" s="7" t="s">
        <v>787</v>
      </c>
      <c r="AC764" s="5">
        <v>1000</v>
      </c>
      <c r="AD764" s="5">
        <f>+AC764</f>
        <v>1000</v>
      </c>
      <c r="AE764" s="5">
        <v>1170</v>
      </c>
      <c r="AF764" s="5">
        <f t="shared" si="816"/>
        <v>1310</v>
      </c>
      <c r="AG764" s="5">
        <f t="shared" si="818"/>
        <v>1310</v>
      </c>
      <c r="AH764" s="5">
        <f t="shared" si="818"/>
        <v>1310</v>
      </c>
      <c r="AI764" s="5">
        <f t="shared" ref="AI764:AJ764" si="824">+AH764</f>
        <v>1310</v>
      </c>
      <c r="AJ764" s="5">
        <f t="shared" si="824"/>
        <v>1310</v>
      </c>
      <c r="AK764" s="2"/>
      <c r="AL764" s="106"/>
    </row>
    <row r="765" spans="1:38" s="6" customFormat="1" ht="15" customHeight="1" x14ac:dyDescent="0.2">
      <c r="A765" s="29" t="s">
        <v>824</v>
      </c>
      <c r="B765" s="29" t="s">
        <v>822</v>
      </c>
      <c r="C765" s="14"/>
      <c r="D765" s="2" t="s">
        <v>1106</v>
      </c>
      <c r="E765" s="3"/>
      <c r="F765" s="2"/>
      <c r="G765" s="2"/>
      <c r="H765" s="2" t="s">
        <v>884</v>
      </c>
      <c r="I765" s="2" t="s">
        <v>1707</v>
      </c>
      <c r="J765" s="28"/>
      <c r="K765" s="28" t="s">
        <v>1765</v>
      </c>
      <c r="L765" s="41" t="s">
        <v>953</v>
      </c>
      <c r="M765" s="4" t="s">
        <v>3</v>
      </c>
      <c r="N765" s="15">
        <v>93959605</v>
      </c>
      <c r="O765" s="88" t="s">
        <v>1573</v>
      </c>
      <c r="P765" s="38">
        <v>30419</v>
      </c>
      <c r="Q765" s="38"/>
      <c r="R765" s="38"/>
      <c r="S765" s="38"/>
      <c r="T765" s="38"/>
      <c r="U765" s="17" t="s">
        <v>215</v>
      </c>
      <c r="V765" s="17" t="s">
        <v>915</v>
      </c>
      <c r="W765" s="12"/>
      <c r="X765" s="12"/>
      <c r="Y765" s="12">
        <v>42735</v>
      </c>
      <c r="Z765" s="2"/>
      <c r="AA765" s="2" t="s">
        <v>479</v>
      </c>
      <c r="AB765" s="3"/>
      <c r="AC765" s="5">
        <v>1000</v>
      </c>
      <c r="AD765" s="5">
        <f>+AC765*1.07</f>
        <v>1070</v>
      </c>
      <c r="AE765" s="5">
        <v>1170</v>
      </c>
      <c r="AF765" s="5">
        <f t="shared" si="816"/>
        <v>1310</v>
      </c>
      <c r="AG765" s="5">
        <f t="shared" si="818"/>
        <v>1310</v>
      </c>
      <c r="AH765" s="5">
        <f t="shared" si="818"/>
        <v>1310</v>
      </c>
      <c r="AI765" s="5">
        <f t="shared" ref="AI765:AJ765" si="825">+AH765</f>
        <v>1310</v>
      </c>
      <c r="AJ765" s="5">
        <f t="shared" si="825"/>
        <v>1310</v>
      </c>
      <c r="AK765" s="2" t="s">
        <v>53</v>
      </c>
      <c r="AL765" s="105" t="str">
        <f>+AK765</f>
        <v>B0</v>
      </c>
    </row>
    <row r="766" spans="1:38" s="6" customFormat="1" ht="15" customHeight="1" x14ac:dyDescent="0.2">
      <c r="A766" s="29" t="s">
        <v>824</v>
      </c>
      <c r="B766" s="2" t="s">
        <v>822</v>
      </c>
      <c r="C766" s="3"/>
      <c r="D766" s="2" t="s">
        <v>825</v>
      </c>
      <c r="E766" s="3" t="s">
        <v>18</v>
      </c>
      <c r="F766" s="2" t="s">
        <v>1012</v>
      </c>
      <c r="G766" s="2"/>
      <c r="H766" s="2" t="s">
        <v>20</v>
      </c>
      <c r="I766" s="2" t="s">
        <v>1760</v>
      </c>
      <c r="J766" s="28" t="s">
        <v>548</v>
      </c>
      <c r="K766" s="28" t="s">
        <v>548</v>
      </c>
      <c r="L766" s="44" t="s">
        <v>1007</v>
      </c>
      <c r="M766" s="7" t="s">
        <v>3</v>
      </c>
      <c r="N766" s="47">
        <v>31039670</v>
      </c>
      <c r="O766" s="88" t="s">
        <v>1384</v>
      </c>
      <c r="P766" s="38">
        <v>30965</v>
      </c>
      <c r="Q766" s="38"/>
      <c r="R766" s="38"/>
      <c r="S766" s="38"/>
      <c r="T766" s="38"/>
      <c r="U766" s="17" t="s">
        <v>215</v>
      </c>
      <c r="V766" s="17" t="s">
        <v>915</v>
      </c>
      <c r="W766" s="12">
        <v>41395</v>
      </c>
      <c r="X766" s="12"/>
      <c r="Y766" s="12">
        <v>42735</v>
      </c>
      <c r="Z766" s="2"/>
      <c r="AA766" s="2" t="s">
        <v>479</v>
      </c>
      <c r="AB766" s="7"/>
      <c r="AC766" s="5">
        <v>1000</v>
      </c>
      <c r="AD766" s="5">
        <f>+AC766</f>
        <v>1000</v>
      </c>
      <c r="AE766" s="5">
        <v>1170</v>
      </c>
      <c r="AF766" s="5">
        <f t="shared" si="816"/>
        <v>1310</v>
      </c>
      <c r="AG766" s="5">
        <f t="shared" si="818"/>
        <v>1310</v>
      </c>
      <c r="AH766" s="5">
        <f t="shared" si="818"/>
        <v>1310</v>
      </c>
      <c r="AI766" s="5">
        <f t="shared" ref="AI766:AJ766" si="826">+AH766</f>
        <v>1310</v>
      </c>
      <c r="AJ766" s="5">
        <f t="shared" si="826"/>
        <v>1310</v>
      </c>
      <c r="AK766" s="2"/>
      <c r="AL766" s="106"/>
    </row>
    <row r="767" spans="1:38" s="6" customFormat="1" ht="15" customHeight="1" x14ac:dyDescent="0.2">
      <c r="A767" s="29" t="s">
        <v>824</v>
      </c>
      <c r="B767" s="2" t="s">
        <v>822</v>
      </c>
      <c r="C767" s="29" t="s">
        <v>823</v>
      </c>
      <c r="D767" s="2" t="s">
        <v>808</v>
      </c>
      <c r="E767" s="2" t="s">
        <v>216</v>
      </c>
      <c r="F767" s="2" t="s">
        <v>1066</v>
      </c>
      <c r="G767" s="2"/>
      <c r="H767" s="2"/>
      <c r="I767" s="2" t="s">
        <v>1066</v>
      </c>
      <c r="J767" s="28"/>
      <c r="K767" s="28" t="s">
        <v>1765</v>
      </c>
      <c r="L767" s="44" t="s">
        <v>1128</v>
      </c>
      <c r="M767" s="7" t="s">
        <v>3</v>
      </c>
      <c r="N767" s="15">
        <v>35402655</v>
      </c>
      <c r="O767" s="88">
        <v>20354026555</v>
      </c>
      <c r="P767" s="38">
        <v>33081</v>
      </c>
      <c r="Q767" s="38"/>
      <c r="R767" s="38"/>
      <c r="S767" s="38"/>
      <c r="T767" s="38"/>
      <c r="U767" s="17" t="s">
        <v>215</v>
      </c>
      <c r="V767" s="17" t="s">
        <v>915</v>
      </c>
      <c r="W767" s="12">
        <v>42522</v>
      </c>
      <c r="X767" s="13"/>
      <c r="Y767" s="12">
        <v>42735</v>
      </c>
      <c r="Z767" s="2"/>
      <c r="AA767" s="2" t="s">
        <v>479</v>
      </c>
      <c r="AB767" s="7"/>
      <c r="AC767" s="5"/>
      <c r="AD767" s="5">
        <v>1070</v>
      </c>
      <c r="AE767" s="5">
        <v>1170</v>
      </c>
      <c r="AF767" s="5">
        <f t="shared" si="816"/>
        <v>0</v>
      </c>
      <c r="AG767" s="5">
        <f t="shared" si="818"/>
        <v>0</v>
      </c>
      <c r="AH767" s="5">
        <f t="shared" si="818"/>
        <v>0</v>
      </c>
      <c r="AI767" s="5">
        <f t="shared" ref="AI767:AJ767" si="827">+AH767</f>
        <v>0</v>
      </c>
      <c r="AJ767" s="5">
        <f t="shared" si="827"/>
        <v>0</v>
      </c>
      <c r="AK767" s="2" t="s">
        <v>42</v>
      </c>
      <c r="AL767" s="105" t="str">
        <f>+AK767</f>
        <v>C0</v>
      </c>
    </row>
    <row r="768" spans="1:38" s="6" customFormat="1" ht="15" customHeight="1" x14ac:dyDescent="0.2">
      <c r="A768" s="29" t="s">
        <v>824</v>
      </c>
      <c r="B768" s="29"/>
      <c r="C768" s="14"/>
      <c r="D768" s="2" t="s">
        <v>819</v>
      </c>
      <c r="E768" s="2"/>
      <c r="F768" s="3"/>
      <c r="G768" s="3"/>
      <c r="H768" s="2" t="s">
        <v>884</v>
      </c>
      <c r="I768" s="2" t="s">
        <v>1707</v>
      </c>
      <c r="J768" s="28"/>
      <c r="K768" s="28" t="s">
        <v>1765</v>
      </c>
      <c r="L768" s="41" t="s">
        <v>864</v>
      </c>
      <c r="M768" s="4" t="s">
        <v>3</v>
      </c>
      <c r="N768" s="15">
        <v>23608875</v>
      </c>
      <c r="O768" s="88" t="s">
        <v>1596</v>
      </c>
      <c r="P768" s="38">
        <v>27090</v>
      </c>
      <c r="Q768" s="38"/>
      <c r="R768" s="38"/>
      <c r="S768" s="38"/>
      <c r="T768" s="38"/>
      <c r="U768" s="17" t="s">
        <v>215</v>
      </c>
      <c r="V768" s="17" t="s">
        <v>915</v>
      </c>
      <c r="W768" s="12">
        <v>42370</v>
      </c>
      <c r="X768" s="48"/>
      <c r="Y768" s="12">
        <v>42735</v>
      </c>
      <c r="Z768" s="2"/>
      <c r="AA768" s="2" t="s">
        <v>479</v>
      </c>
      <c r="AB768" s="3" t="s">
        <v>10</v>
      </c>
      <c r="AC768" s="5">
        <v>1000</v>
      </c>
      <c r="AD768" s="5">
        <f>+AC768*1.07</f>
        <v>1070</v>
      </c>
      <c r="AE768" s="5">
        <v>1170</v>
      </c>
      <c r="AF768" s="5">
        <f t="shared" si="816"/>
        <v>1310</v>
      </c>
      <c r="AG768" s="5">
        <f t="shared" si="818"/>
        <v>1310</v>
      </c>
      <c r="AH768" s="5">
        <f t="shared" si="818"/>
        <v>1310</v>
      </c>
      <c r="AI768" s="5">
        <f t="shared" ref="AI768:AJ768" si="828">+AH768</f>
        <v>1310</v>
      </c>
      <c r="AJ768" s="5">
        <f t="shared" si="828"/>
        <v>1310</v>
      </c>
      <c r="AK768" s="2" t="s">
        <v>43</v>
      </c>
      <c r="AL768" s="105" t="str">
        <f>+AK768</f>
        <v>A0</v>
      </c>
    </row>
    <row r="769" spans="1:38" s="6" customFormat="1" ht="15" customHeight="1" x14ac:dyDescent="0.2">
      <c r="A769" s="29" t="s">
        <v>824</v>
      </c>
      <c r="B769" s="29" t="s">
        <v>822</v>
      </c>
      <c r="C769" s="29" t="s">
        <v>823</v>
      </c>
      <c r="D769" s="2" t="s">
        <v>800</v>
      </c>
      <c r="E769" s="7" t="s">
        <v>499</v>
      </c>
      <c r="F769" s="7"/>
      <c r="G769" s="7"/>
      <c r="H769" s="8"/>
      <c r="I769" s="3"/>
      <c r="J769" s="28" t="s">
        <v>254</v>
      </c>
      <c r="K769" s="28"/>
      <c r="L769" s="42" t="s">
        <v>403</v>
      </c>
      <c r="M769" s="4" t="s">
        <v>3</v>
      </c>
      <c r="N769" s="15">
        <v>92521410</v>
      </c>
      <c r="O769" s="88">
        <v>20925214109</v>
      </c>
      <c r="P769" s="38"/>
      <c r="Q769" s="38"/>
      <c r="R769" s="38"/>
      <c r="S769" s="38"/>
      <c r="T769" s="38"/>
      <c r="U769" s="16" t="s">
        <v>796</v>
      </c>
      <c r="V769" s="16" t="s">
        <v>916</v>
      </c>
      <c r="W769" s="12">
        <v>41183</v>
      </c>
      <c r="X769" s="48">
        <v>42735</v>
      </c>
      <c r="Y769" s="12">
        <v>42735</v>
      </c>
      <c r="Z769" s="2" t="s">
        <v>42</v>
      </c>
      <c r="AA769" s="2"/>
      <c r="AB769" s="18"/>
      <c r="AC769" s="5">
        <v>1000</v>
      </c>
      <c r="AD769" s="5"/>
      <c r="AE769" s="5">
        <v>1170</v>
      </c>
      <c r="AF769" s="5">
        <f t="shared" si="816"/>
        <v>1310</v>
      </c>
      <c r="AG769" s="5">
        <f t="shared" si="818"/>
        <v>1310</v>
      </c>
      <c r="AH769" s="5">
        <f t="shared" si="818"/>
        <v>1310</v>
      </c>
      <c r="AI769" s="5">
        <f t="shared" ref="AI769:AJ769" si="829">+AH769</f>
        <v>1310</v>
      </c>
      <c r="AJ769" s="5">
        <f t="shared" si="829"/>
        <v>1310</v>
      </c>
      <c r="AK769" s="2"/>
      <c r="AL769" s="105" t="str">
        <f>+Z769</f>
        <v>C0</v>
      </c>
    </row>
    <row r="770" spans="1:38" s="6" customFormat="1" ht="15" customHeight="1" x14ac:dyDescent="0.2">
      <c r="A770" s="29" t="s">
        <v>824</v>
      </c>
      <c r="B770" s="2" t="s">
        <v>822</v>
      </c>
      <c r="C770" s="3"/>
      <c r="D770" s="2" t="s">
        <v>825</v>
      </c>
      <c r="E770" s="3" t="s">
        <v>18</v>
      </c>
      <c r="F770" s="2" t="s">
        <v>19</v>
      </c>
      <c r="G770" s="2"/>
      <c r="H770" s="2" t="s">
        <v>22</v>
      </c>
      <c r="I770" s="3"/>
      <c r="J770" s="28" t="s">
        <v>548</v>
      </c>
      <c r="K770" s="28"/>
      <c r="L770" s="41" t="s">
        <v>726</v>
      </c>
      <c r="M770" s="4" t="s">
        <v>3</v>
      </c>
      <c r="N770" s="15">
        <v>30885489</v>
      </c>
      <c r="O770" s="88">
        <v>27308854898</v>
      </c>
      <c r="P770" s="61"/>
      <c r="Q770" s="61"/>
      <c r="R770" s="61"/>
      <c r="S770" s="61"/>
      <c r="T770" s="61"/>
      <c r="U770" s="16" t="s">
        <v>796</v>
      </c>
      <c r="V770" s="16" t="s">
        <v>916</v>
      </c>
      <c r="W770" s="12">
        <v>41244</v>
      </c>
      <c r="X770" s="48">
        <v>42735</v>
      </c>
      <c r="Y770" s="12">
        <v>42735</v>
      </c>
      <c r="Z770" s="2" t="s">
        <v>30</v>
      </c>
      <c r="AA770" s="2"/>
      <c r="AB770" s="3"/>
      <c r="AC770" s="5">
        <v>1000</v>
      </c>
      <c r="AD770" s="5"/>
      <c r="AE770" s="5">
        <v>1170</v>
      </c>
      <c r="AF770" s="5">
        <f t="shared" si="816"/>
        <v>1310</v>
      </c>
      <c r="AG770" s="5">
        <f t="shared" si="818"/>
        <v>1310</v>
      </c>
      <c r="AH770" s="5">
        <f t="shared" si="818"/>
        <v>1310</v>
      </c>
      <c r="AI770" s="5">
        <f t="shared" ref="AI770:AJ770" si="830">+AH770</f>
        <v>1310</v>
      </c>
      <c r="AJ770" s="5">
        <f t="shared" si="830"/>
        <v>1310</v>
      </c>
      <c r="AK770" s="2"/>
      <c r="AL770" s="105" t="str">
        <f>+Z770</f>
        <v>B1</v>
      </c>
    </row>
    <row r="771" spans="1:38" s="6" customFormat="1" ht="15" customHeight="1" x14ac:dyDescent="0.2">
      <c r="A771" s="29" t="s">
        <v>824</v>
      </c>
      <c r="B771" s="2" t="s">
        <v>822</v>
      </c>
      <c r="C771" s="3"/>
      <c r="D771" s="2" t="s">
        <v>825</v>
      </c>
      <c r="E771" s="3" t="s">
        <v>18</v>
      </c>
      <c r="F771" s="2" t="s">
        <v>19</v>
      </c>
      <c r="G771" s="2"/>
      <c r="H771" s="2" t="s">
        <v>29</v>
      </c>
      <c r="I771" s="3"/>
      <c r="J771" s="28" t="s">
        <v>548</v>
      </c>
      <c r="K771" s="28"/>
      <c r="L771" s="41" t="s">
        <v>727</v>
      </c>
      <c r="M771" s="4" t="s">
        <v>3</v>
      </c>
      <c r="N771" s="15">
        <v>16977688</v>
      </c>
      <c r="O771" s="88">
        <v>27169776887</v>
      </c>
      <c r="P771" s="61"/>
      <c r="Q771" s="61"/>
      <c r="R771" s="61"/>
      <c r="S771" s="61"/>
      <c r="T771" s="61"/>
      <c r="U771" s="16" t="s">
        <v>796</v>
      </c>
      <c r="V771" s="16" t="s">
        <v>916</v>
      </c>
      <c r="W771" s="12">
        <v>41913</v>
      </c>
      <c r="X771" s="12">
        <v>42460</v>
      </c>
      <c r="Y771" s="12">
        <v>42735</v>
      </c>
      <c r="Z771" s="2" t="s">
        <v>42</v>
      </c>
      <c r="AA771" s="2"/>
      <c r="AB771" s="3"/>
      <c r="AC771" s="5">
        <v>1000</v>
      </c>
      <c r="AD771" s="5"/>
      <c r="AE771" s="5">
        <v>1170</v>
      </c>
      <c r="AF771" s="5">
        <f t="shared" si="816"/>
        <v>1310</v>
      </c>
      <c r="AG771" s="5">
        <f t="shared" si="818"/>
        <v>1310</v>
      </c>
      <c r="AH771" s="5">
        <f t="shared" si="818"/>
        <v>1310</v>
      </c>
      <c r="AI771" s="5">
        <f t="shared" ref="AI771:AJ771" si="831">+AH771</f>
        <v>1310</v>
      </c>
      <c r="AJ771" s="5">
        <f t="shared" si="831"/>
        <v>1310</v>
      </c>
      <c r="AK771" s="2"/>
      <c r="AL771" s="105" t="str">
        <f>+Z771</f>
        <v>C0</v>
      </c>
    </row>
    <row r="772" spans="1:38" s="6" customFormat="1" ht="15" customHeight="1" x14ac:dyDescent="0.2">
      <c r="A772" s="29" t="s">
        <v>824</v>
      </c>
      <c r="B772" s="29" t="s">
        <v>822</v>
      </c>
      <c r="C772" s="29" t="s">
        <v>823</v>
      </c>
      <c r="D772" s="2" t="s">
        <v>800</v>
      </c>
      <c r="E772" s="7" t="s">
        <v>501</v>
      </c>
      <c r="F772" s="7"/>
      <c r="G772" s="7"/>
      <c r="H772" s="8"/>
      <c r="I772" s="3"/>
      <c r="J772" s="28" t="s">
        <v>254</v>
      </c>
      <c r="K772" s="28"/>
      <c r="L772" s="42" t="s">
        <v>448</v>
      </c>
      <c r="M772" s="4" t="s">
        <v>3</v>
      </c>
      <c r="N772" s="15">
        <v>17083297</v>
      </c>
      <c r="O772" s="88">
        <v>20170832974</v>
      </c>
      <c r="P772" s="38"/>
      <c r="Q772" s="38"/>
      <c r="R772" s="38"/>
      <c r="S772" s="38"/>
      <c r="T772" s="38"/>
      <c r="U772" s="16" t="s">
        <v>796</v>
      </c>
      <c r="V772" s="16" t="s">
        <v>916</v>
      </c>
      <c r="W772" s="12">
        <v>41213</v>
      </c>
      <c r="X772" s="48">
        <v>42735</v>
      </c>
      <c r="Y772" s="12">
        <v>42735</v>
      </c>
      <c r="Z772" s="2" t="s">
        <v>42</v>
      </c>
      <c r="AA772" s="2"/>
      <c r="AB772" s="18"/>
      <c r="AC772" s="5">
        <v>1000</v>
      </c>
      <c r="AD772" s="5"/>
      <c r="AE772" s="5">
        <v>1170</v>
      </c>
      <c r="AF772" s="5">
        <f t="shared" si="816"/>
        <v>1310</v>
      </c>
      <c r="AG772" s="5">
        <f t="shared" si="818"/>
        <v>1310</v>
      </c>
      <c r="AH772" s="5">
        <f t="shared" si="818"/>
        <v>1310</v>
      </c>
      <c r="AI772" s="5">
        <f t="shared" ref="AI772:AJ772" si="832">+AH772</f>
        <v>1310</v>
      </c>
      <c r="AJ772" s="5">
        <f t="shared" si="832"/>
        <v>1310</v>
      </c>
      <c r="AK772" s="2"/>
      <c r="AL772" s="105" t="str">
        <f>+Z772</f>
        <v>C0</v>
      </c>
    </row>
    <row r="773" spans="1:38" s="6" customFormat="1" ht="15" customHeight="1" x14ac:dyDescent="0.2">
      <c r="A773" s="29" t="s">
        <v>824</v>
      </c>
      <c r="B773" s="29" t="s">
        <v>822</v>
      </c>
      <c r="C773" s="29" t="s">
        <v>823</v>
      </c>
      <c r="D773" s="2" t="s">
        <v>800</v>
      </c>
      <c r="E773" s="2" t="s">
        <v>484</v>
      </c>
      <c r="F773" s="2"/>
      <c r="G773" s="2"/>
      <c r="H773" s="2" t="s">
        <v>1707</v>
      </c>
      <c r="I773" s="2"/>
      <c r="J773" s="28" t="s">
        <v>254</v>
      </c>
      <c r="K773" s="28"/>
      <c r="L773" s="42" t="s">
        <v>275</v>
      </c>
      <c r="M773" s="4" t="s">
        <v>3</v>
      </c>
      <c r="N773" s="15">
        <v>37162434</v>
      </c>
      <c r="O773" s="88">
        <v>20371624342</v>
      </c>
      <c r="P773" s="38"/>
      <c r="Q773" s="38"/>
      <c r="R773" s="38"/>
      <c r="S773" s="38"/>
      <c r="T773" s="38"/>
      <c r="U773" s="16" t="s">
        <v>796</v>
      </c>
      <c r="V773" s="16" t="s">
        <v>916</v>
      </c>
      <c r="W773" s="12">
        <v>41243</v>
      </c>
      <c r="X773" s="48">
        <v>42735</v>
      </c>
      <c r="Y773" s="12">
        <v>42735</v>
      </c>
      <c r="Z773" s="2" t="s">
        <v>24</v>
      </c>
      <c r="AA773" s="2"/>
      <c r="AB773" s="18"/>
      <c r="AC773" s="5">
        <v>1000</v>
      </c>
      <c r="AD773" s="5"/>
      <c r="AE773" s="5">
        <v>1170</v>
      </c>
      <c r="AF773" s="5">
        <f t="shared" si="816"/>
        <v>1310</v>
      </c>
      <c r="AG773" s="5">
        <f t="shared" si="818"/>
        <v>1310</v>
      </c>
      <c r="AH773" s="5">
        <f t="shared" si="818"/>
        <v>1310</v>
      </c>
      <c r="AI773" s="5">
        <f t="shared" ref="AI773:AJ773" si="833">+AH773</f>
        <v>1310</v>
      </c>
      <c r="AJ773" s="5">
        <f t="shared" si="833"/>
        <v>1310</v>
      </c>
      <c r="AK773" s="2"/>
      <c r="AL773" s="105" t="str">
        <f>+Z773</f>
        <v>D0</v>
      </c>
    </row>
    <row r="774" spans="1:38" s="6" customFormat="1" ht="15" customHeight="1" x14ac:dyDescent="0.2">
      <c r="A774" s="29" t="s">
        <v>824</v>
      </c>
      <c r="B774" s="2" t="s">
        <v>822</v>
      </c>
      <c r="C774" s="29" t="s">
        <v>823</v>
      </c>
      <c r="D774" s="2" t="s">
        <v>808</v>
      </c>
      <c r="E774" s="2" t="s">
        <v>11</v>
      </c>
      <c r="F774" s="2" t="s">
        <v>218</v>
      </c>
      <c r="G774" s="3"/>
      <c r="H774" s="2"/>
      <c r="I774" s="2" t="s">
        <v>1707</v>
      </c>
      <c r="J774" s="28" t="s">
        <v>73</v>
      </c>
      <c r="K774" s="28" t="s">
        <v>1765</v>
      </c>
      <c r="L774" s="41" t="s">
        <v>852</v>
      </c>
      <c r="M774" s="4" t="s">
        <v>3</v>
      </c>
      <c r="N774" s="15">
        <v>25121660</v>
      </c>
      <c r="O774" s="88" t="s">
        <v>1255</v>
      </c>
      <c r="P774" s="38">
        <v>27772</v>
      </c>
      <c r="Q774" s="38"/>
      <c r="R774" s="38"/>
      <c r="S774" s="38"/>
      <c r="T774" s="38"/>
      <c r="U774" s="17" t="s">
        <v>215</v>
      </c>
      <c r="V774" s="17" t="s">
        <v>915</v>
      </c>
      <c r="W774" s="12">
        <v>42401</v>
      </c>
      <c r="X774" s="48"/>
      <c r="Y774" s="12">
        <v>42735</v>
      </c>
      <c r="Z774" s="2"/>
      <c r="AA774" s="2" t="s">
        <v>479</v>
      </c>
      <c r="AB774" s="3" t="s">
        <v>10</v>
      </c>
      <c r="AC774" s="5">
        <v>1000</v>
      </c>
      <c r="AD774" s="5">
        <f>+AC774*1.07</f>
        <v>1070</v>
      </c>
      <c r="AE774" s="5">
        <v>1170</v>
      </c>
      <c r="AF774" s="5">
        <f t="shared" si="816"/>
        <v>1310</v>
      </c>
      <c r="AG774" s="5">
        <f t="shared" si="818"/>
        <v>1310</v>
      </c>
      <c r="AH774" s="5">
        <f t="shared" si="818"/>
        <v>1310</v>
      </c>
      <c r="AI774" s="5">
        <f t="shared" ref="AI774:AJ774" si="834">+AH774</f>
        <v>1310</v>
      </c>
      <c r="AJ774" s="5">
        <f t="shared" si="834"/>
        <v>1310</v>
      </c>
      <c r="AK774" s="2" t="s">
        <v>53</v>
      </c>
      <c r="AL774" s="105" t="str">
        <f>+AK774</f>
        <v>B0</v>
      </c>
    </row>
    <row r="775" spans="1:38" s="6" customFormat="1" ht="15" customHeight="1" x14ac:dyDescent="0.2">
      <c r="A775" s="29" t="s">
        <v>824</v>
      </c>
      <c r="B775" s="29" t="s">
        <v>822</v>
      </c>
      <c r="C775" s="29" t="s">
        <v>823</v>
      </c>
      <c r="D775" s="2" t="s">
        <v>800</v>
      </c>
      <c r="E775" s="7" t="s">
        <v>501</v>
      </c>
      <c r="F775" s="7"/>
      <c r="G775" s="7"/>
      <c r="H775" s="8"/>
      <c r="I775" s="3"/>
      <c r="J775" s="28" t="s">
        <v>254</v>
      </c>
      <c r="K775" s="28"/>
      <c r="L775" s="42" t="s">
        <v>449</v>
      </c>
      <c r="M775" s="4" t="s">
        <v>3</v>
      </c>
      <c r="N775" s="15">
        <v>32456433</v>
      </c>
      <c r="O775" s="88">
        <v>20324564331</v>
      </c>
      <c r="P775" s="38"/>
      <c r="Q775" s="38"/>
      <c r="R775" s="38"/>
      <c r="S775" s="38"/>
      <c r="T775" s="38"/>
      <c r="U775" s="16" t="s">
        <v>796</v>
      </c>
      <c r="V775" s="16" t="s">
        <v>916</v>
      </c>
      <c r="W775" s="12">
        <v>41091</v>
      </c>
      <c r="X775" s="48">
        <v>42735</v>
      </c>
      <c r="Y775" s="12">
        <v>42735</v>
      </c>
      <c r="Z775" s="2" t="s">
        <v>24</v>
      </c>
      <c r="AA775" s="2"/>
      <c r="AB775" s="18"/>
      <c r="AC775" s="5">
        <v>1000</v>
      </c>
      <c r="AD775" s="5"/>
      <c r="AE775" s="5">
        <v>1170</v>
      </c>
      <c r="AF775" s="5">
        <f t="shared" si="816"/>
        <v>1310</v>
      </c>
      <c r="AG775" s="5">
        <f t="shared" si="818"/>
        <v>1310</v>
      </c>
      <c r="AH775" s="5">
        <f t="shared" si="818"/>
        <v>1310</v>
      </c>
      <c r="AI775" s="5">
        <f t="shared" ref="AI775:AJ775" si="835">+AH775</f>
        <v>1310</v>
      </c>
      <c r="AJ775" s="5">
        <f t="shared" si="835"/>
        <v>1310</v>
      </c>
      <c r="AK775" s="2"/>
      <c r="AL775" s="105" t="str">
        <f>+Z775</f>
        <v>D0</v>
      </c>
    </row>
    <row r="776" spans="1:38" s="6" customFormat="1" ht="15" customHeight="1" x14ac:dyDescent="0.2">
      <c r="A776" s="29" t="s">
        <v>824</v>
      </c>
      <c r="B776" s="2" t="s">
        <v>822</v>
      </c>
      <c r="C776" s="29" t="s">
        <v>823</v>
      </c>
      <c r="D776" s="2" t="s">
        <v>808</v>
      </c>
      <c r="E776" s="2" t="s">
        <v>216</v>
      </c>
      <c r="F776" s="2" t="s">
        <v>503</v>
      </c>
      <c r="G776" s="2"/>
      <c r="H776" s="44"/>
      <c r="I776" s="2" t="s">
        <v>225</v>
      </c>
      <c r="J776" s="28"/>
      <c r="K776" s="28" t="s">
        <v>1765</v>
      </c>
      <c r="L776" s="44" t="s">
        <v>1136</v>
      </c>
      <c r="M776" s="7" t="s">
        <v>3</v>
      </c>
      <c r="N776" s="15">
        <v>29718936</v>
      </c>
      <c r="O776" s="88">
        <v>27297189366</v>
      </c>
      <c r="P776" s="38">
        <v>30255</v>
      </c>
      <c r="Q776" s="38"/>
      <c r="R776" s="38"/>
      <c r="S776" s="38"/>
      <c r="T776" s="38"/>
      <c r="U776" s="17" t="s">
        <v>215</v>
      </c>
      <c r="V776" s="17" t="s">
        <v>915</v>
      </c>
      <c r="W776" s="12">
        <v>42522</v>
      </c>
      <c r="X776" s="13"/>
      <c r="Y776" s="12">
        <v>42735</v>
      </c>
      <c r="Z776" s="2"/>
      <c r="AA776" s="2" t="s">
        <v>479</v>
      </c>
      <c r="AB776" s="7"/>
      <c r="AC776" s="5"/>
      <c r="AD776" s="5">
        <v>1070</v>
      </c>
      <c r="AE776" s="5">
        <v>1170</v>
      </c>
      <c r="AF776" s="5">
        <f t="shared" si="816"/>
        <v>0</v>
      </c>
      <c r="AG776" s="5">
        <f t="shared" si="818"/>
        <v>0</v>
      </c>
      <c r="AH776" s="5">
        <f t="shared" si="818"/>
        <v>0</v>
      </c>
      <c r="AI776" s="5">
        <f t="shared" ref="AI776:AJ776" si="836">+AH776</f>
        <v>0</v>
      </c>
      <c r="AJ776" s="5">
        <f t="shared" si="836"/>
        <v>0</v>
      </c>
      <c r="AK776" s="29" t="s">
        <v>42</v>
      </c>
      <c r="AL776" s="105" t="str">
        <f>+AK776</f>
        <v>C0</v>
      </c>
    </row>
    <row r="777" spans="1:38" s="6" customFormat="1" ht="15" customHeight="1" x14ac:dyDescent="0.2">
      <c r="A777" s="29" t="s">
        <v>824</v>
      </c>
      <c r="B777" s="29" t="s">
        <v>822</v>
      </c>
      <c r="C777" s="29" t="s">
        <v>823</v>
      </c>
      <c r="D777" s="2" t="s">
        <v>800</v>
      </c>
      <c r="E777" s="7" t="s">
        <v>541</v>
      </c>
      <c r="F777" s="7"/>
      <c r="G777" s="7"/>
      <c r="H777" s="8"/>
      <c r="I777" s="3" t="s">
        <v>1751</v>
      </c>
      <c r="J777" s="28" t="s">
        <v>254</v>
      </c>
      <c r="K777" s="28" t="s">
        <v>1767</v>
      </c>
      <c r="L777" s="42" t="s">
        <v>427</v>
      </c>
      <c r="M777" s="4" t="s">
        <v>3</v>
      </c>
      <c r="N777" s="15">
        <v>28713736</v>
      </c>
      <c r="O777" s="88" t="s">
        <v>1335</v>
      </c>
      <c r="P777" s="38">
        <v>29698</v>
      </c>
      <c r="Q777" s="38"/>
      <c r="R777" s="38"/>
      <c r="S777" s="38"/>
      <c r="T777" s="38"/>
      <c r="U777" s="17" t="s">
        <v>215</v>
      </c>
      <c r="V777" s="17" t="s">
        <v>915</v>
      </c>
      <c r="W777" s="12">
        <v>40725</v>
      </c>
      <c r="X777" s="20"/>
      <c r="Y777" s="12">
        <v>42735</v>
      </c>
      <c r="Z777" s="2"/>
      <c r="AA777" s="2" t="s">
        <v>479</v>
      </c>
      <c r="AB777" s="24" t="s">
        <v>479</v>
      </c>
      <c r="AC777" s="5">
        <v>1000</v>
      </c>
      <c r="AD777" s="5">
        <v>1070</v>
      </c>
      <c r="AE777" s="5">
        <v>1170</v>
      </c>
      <c r="AF777" s="5">
        <f t="shared" si="816"/>
        <v>1310</v>
      </c>
      <c r="AG777" s="5">
        <f t="shared" si="818"/>
        <v>1310</v>
      </c>
      <c r="AH777" s="5">
        <f t="shared" si="818"/>
        <v>1310</v>
      </c>
      <c r="AI777" s="5">
        <f t="shared" ref="AI777:AJ777" si="837">+AH777</f>
        <v>1310</v>
      </c>
      <c r="AJ777" s="5">
        <f t="shared" si="837"/>
        <v>1310</v>
      </c>
      <c r="AK777" s="29" t="s">
        <v>42</v>
      </c>
      <c r="AL777" s="105" t="str">
        <f>+AK777</f>
        <v>C0</v>
      </c>
    </row>
    <row r="778" spans="1:38" s="6" customFormat="1" ht="15" customHeight="1" x14ac:dyDescent="0.2">
      <c r="A778" s="29" t="s">
        <v>824</v>
      </c>
      <c r="B778" s="29"/>
      <c r="C778" s="29"/>
      <c r="D778" s="2" t="s">
        <v>820</v>
      </c>
      <c r="E778" s="2" t="s">
        <v>921</v>
      </c>
      <c r="F778" s="3" t="s">
        <v>525</v>
      </c>
      <c r="G778" s="3" t="s">
        <v>520</v>
      </c>
      <c r="H778" s="2" t="s">
        <v>234</v>
      </c>
      <c r="I778" s="3"/>
      <c r="J778" s="28" t="s">
        <v>73</v>
      </c>
      <c r="K778" s="28"/>
      <c r="L778" s="45" t="s">
        <v>804</v>
      </c>
      <c r="M778" s="4" t="s">
        <v>3</v>
      </c>
      <c r="N778" s="15">
        <v>13072833</v>
      </c>
      <c r="O778" s="88">
        <v>20130728333</v>
      </c>
      <c r="P778" s="61"/>
      <c r="Q778" s="61"/>
      <c r="R778" s="61"/>
      <c r="S778" s="61"/>
      <c r="T778" s="61"/>
      <c r="U778" s="16" t="s">
        <v>796</v>
      </c>
      <c r="V778" s="16" t="s">
        <v>916</v>
      </c>
      <c r="W778" s="12">
        <v>41974</v>
      </c>
      <c r="X778" s="12">
        <v>42460</v>
      </c>
      <c r="Y778" s="12">
        <v>42735</v>
      </c>
      <c r="Z778" s="2" t="s">
        <v>24</v>
      </c>
      <c r="AA778" s="2"/>
      <c r="AB778" s="14"/>
      <c r="AC778" s="5">
        <v>1000</v>
      </c>
      <c r="AD778" s="5"/>
      <c r="AE778" s="5">
        <v>1170</v>
      </c>
      <c r="AF778" s="5">
        <f t="shared" si="816"/>
        <v>1310</v>
      </c>
      <c r="AG778" s="5">
        <f t="shared" si="818"/>
        <v>1310</v>
      </c>
      <c r="AH778" s="5">
        <f t="shared" si="818"/>
        <v>1310</v>
      </c>
      <c r="AI778" s="5">
        <f t="shared" ref="AI778:AJ778" si="838">+AH778</f>
        <v>1310</v>
      </c>
      <c r="AJ778" s="5">
        <f t="shared" si="838"/>
        <v>1310</v>
      </c>
      <c r="AK778" s="2"/>
      <c r="AL778" s="105" t="str">
        <f>+Z778</f>
        <v>D0</v>
      </c>
    </row>
    <row r="779" spans="1:38" s="6" customFormat="1" ht="15" customHeight="1" x14ac:dyDescent="0.2">
      <c r="A779" s="29" t="s">
        <v>824</v>
      </c>
      <c r="B779" s="2" t="s">
        <v>822</v>
      </c>
      <c r="C779" s="3"/>
      <c r="D779" s="2" t="s">
        <v>825</v>
      </c>
      <c r="E779" s="3" t="s">
        <v>18</v>
      </c>
      <c r="F779" s="2" t="s">
        <v>19</v>
      </c>
      <c r="G779" s="2"/>
      <c r="H779" s="2" t="s">
        <v>35</v>
      </c>
      <c r="I779" s="2" t="s">
        <v>1707</v>
      </c>
      <c r="J779" s="28" t="s">
        <v>548</v>
      </c>
      <c r="K779" s="28" t="s">
        <v>548</v>
      </c>
      <c r="L779" s="44" t="s">
        <v>728</v>
      </c>
      <c r="M779" s="3" t="s">
        <v>3</v>
      </c>
      <c r="N779" s="15">
        <v>25216896</v>
      </c>
      <c r="O779" s="88" t="s">
        <v>1260</v>
      </c>
      <c r="P779" s="38">
        <v>27816</v>
      </c>
      <c r="Q779" s="38"/>
      <c r="R779" s="38"/>
      <c r="S779" s="38"/>
      <c r="T779" s="38"/>
      <c r="U779" s="17" t="s">
        <v>215</v>
      </c>
      <c r="V779" s="17" t="s">
        <v>915</v>
      </c>
      <c r="W779" s="12">
        <v>40909</v>
      </c>
      <c r="X779" s="13"/>
      <c r="Y779" s="12">
        <v>42735</v>
      </c>
      <c r="Z779" s="2"/>
      <c r="AA779" s="2" t="s">
        <v>479</v>
      </c>
      <c r="AB779" s="7" t="s">
        <v>787</v>
      </c>
      <c r="AC779" s="5">
        <v>1000</v>
      </c>
      <c r="AD779" s="5">
        <f>+AC779</f>
        <v>1000</v>
      </c>
      <c r="AE779" s="5">
        <v>1170</v>
      </c>
      <c r="AF779" s="5">
        <f t="shared" si="816"/>
        <v>1310</v>
      </c>
      <c r="AG779" s="5">
        <f t="shared" ref="AG779:AH798" si="839">+AF779</f>
        <v>1310</v>
      </c>
      <c r="AH779" s="5">
        <f t="shared" si="839"/>
        <v>1310</v>
      </c>
      <c r="AI779" s="5">
        <f t="shared" ref="AI779:AJ779" si="840">+AH779</f>
        <v>1310</v>
      </c>
      <c r="AJ779" s="5">
        <f t="shared" si="840"/>
        <v>1310</v>
      </c>
      <c r="AK779" s="2"/>
      <c r="AL779" s="106"/>
    </row>
    <row r="780" spans="1:38" s="6" customFormat="1" ht="15" customHeight="1" x14ac:dyDescent="0.2">
      <c r="A780" s="29" t="s">
        <v>824</v>
      </c>
      <c r="B780" s="2" t="s">
        <v>822</v>
      </c>
      <c r="C780" s="29" t="s">
        <v>823</v>
      </c>
      <c r="D780" s="2" t="s">
        <v>808</v>
      </c>
      <c r="E780" s="2" t="s">
        <v>216</v>
      </c>
      <c r="F780" s="2"/>
      <c r="G780" s="2"/>
      <c r="H780" s="2"/>
      <c r="I780" s="3"/>
      <c r="J780" s="28"/>
      <c r="K780" s="28"/>
      <c r="L780" s="41" t="s">
        <v>831</v>
      </c>
      <c r="M780" s="4" t="s">
        <v>3</v>
      </c>
      <c r="N780" s="15">
        <v>27329367</v>
      </c>
      <c r="O780" s="88">
        <v>20273293672</v>
      </c>
      <c r="P780" s="38"/>
      <c r="Q780" s="38"/>
      <c r="R780" s="38"/>
      <c r="S780" s="38"/>
      <c r="T780" s="38"/>
      <c r="U780" s="17" t="s">
        <v>796</v>
      </c>
      <c r="V780" s="16" t="s">
        <v>916</v>
      </c>
      <c r="W780" s="12">
        <v>41609</v>
      </c>
      <c r="X780" s="12">
        <v>42460</v>
      </c>
      <c r="Y780" s="12">
        <v>42735</v>
      </c>
      <c r="Z780" s="2" t="s">
        <v>67</v>
      </c>
      <c r="AA780" s="2"/>
      <c r="AB780" s="3"/>
      <c r="AC780" s="5">
        <v>1000</v>
      </c>
      <c r="AD780" s="5"/>
      <c r="AE780" s="5">
        <v>1170</v>
      </c>
      <c r="AF780" s="5">
        <f t="shared" si="816"/>
        <v>1310</v>
      </c>
      <c r="AG780" s="5">
        <f t="shared" si="839"/>
        <v>1310</v>
      </c>
      <c r="AH780" s="5">
        <f t="shared" si="839"/>
        <v>1310</v>
      </c>
      <c r="AI780" s="5">
        <f t="shared" ref="AI780:AJ780" si="841">+AH780</f>
        <v>1310</v>
      </c>
      <c r="AJ780" s="5">
        <f t="shared" si="841"/>
        <v>1310</v>
      </c>
      <c r="AK780" s="2"/>
      <c r="AL780" s="105" t="str">
        <f>+Z780</f>
        <v>C2</v>
      </c>
    </row>
    <row r="781" spans="1:38" s="6" customFormat="1" ht="15" customHeight="1" x14ac:dyDescent="0.2">
      <c r="A781" s="29" t="s">
        <v>824</v>
      </c>
      <c r="B781" s="29" t="s">
        <v>822</v>
      </c>
      <c r="C781" s="29"/>
      <c r="D781" s="2" t="s">
        <v>928</v>
      </c>
      <c r="E781" s="2" t="s">
        <v>11</v>
      </c>
      <c r="F781" s="2"/>
      <c r="G781" s="2"/>
      <c r="H781" s="2"/>
      <c r="I781" s="3"/>
      <c r="J781" s="28" t="s">
        <v>73</v>
      </c>
      <c r="K781" s="28" t="s">
        <v>1765</v>
      </c>
      <c r="L781" s="42" t="s">
        <v>298</v>
      </c>
      <c r="M781" s="4" t="s">
        <v>3</v>
      </c>
      <c r="N781" s="15">
        <v>21833580</v>
      </c>
      <c r="O781" s="88">
        <v>27218335808</v>
      </c>
      <c r="P781" s="61"/>
      <c r="Q781" s="61"/>
      <c r="R781" s="61"/>
      <c r="S781" s="61"/>
      <c r="T781" s="61"/>
      <c r="U781" s="16" t="s">
        <v>796</v>
      </c>
      <c r="V781" s="16" t="s">
        <v>916</v>
      </c>
      <c r="W781" s="12">
        <v>41243</v>
      </c>
      <c r="X781" s="48">
        <v>42735</v>
      </c>
      <c r="Y781" s="12">
        <v>42735</v>
      </c>
      <c r="Z781" s="2" t="s">
        <v>42</v>
      </c>
      <c r="AA781" s="2"/>
      <c r="AB781" s="18"/>
      <c r="AC781" s="5">
        <v>1000</v>
      </c>
      <c r="AD781" s="5"/>
      <c r="AE781" s="5">
        <v>1170</v>
      </c>
      <c r="AF781" s="5">
        <f t="shared" si="816"/>
        <v>1310</v>
      </c>
      <c r="AG781" s="5">
        <f t="shared" si="839"/>
        <v>1310</v>
      </c>
      <c r="AH781" s="5">
        <f t="shared" si="839"/>
        <v>1310</v>
      </c>
      <c r="AI781" s="5">
        <f t="shared" ref="AI781:AJ781" si="842">+AH781</f>
        <v>1310</v>
      </c>
      <c r="AJ781" s="5">
        <f t="shared" si="842"/>
        <v>1310</v>
      </c>
      <c r="AK781" s="2"/>
      <c r="AL781" s="105" t="str">
        <f>+Z781</f>
        <v>C0</v>
      </c>
    </row>
    <row r="782" spans="1:38" s="6" customFormat="1" ht="15" customHeight="1" x14ac:dyDescent="0.2">
      <c r="A782" s="29" t="s">
        <v>824</v>
      </c>
      <c r="B782" s="29" t="s">
        <v>822</v>
      </c>
      <c r="C782" s="29" t="s">
        <v>823</v>
      </c>
      <c r="D782" s="2" t="s">
        <v>800</v>
      </c>
      <c r="E782" s="2"/>
      <c r="F782" s="3"/>
      <c r="G782" s="3"/>
      <c r="H782" s="2" t="s">
        <v>884</v>
      </c>
      <c r="I782" s="2" t="s">
        <v>1707</v>
      </c>
      <c r="J782" s="28"/>
      <c r="K782" s="28" t="s">
        <v>1767</v>
      </c>
      <c r="L782" s="41" t="s">
        <v>965</v>
      </c>
      <c r="M782" s="7" t="s">
        <v>3</v>
      </c>
      <c r="N782" s="15">
        <v>32805681</v>
      </c>
      <c r="O782" s="88">
        <v>27328056815</v>
      </c>
      <c r="P782" s="38">
        <v>32065</v>
      </c>
      <c r="Q782" s="38"/>
      <c r="R782" s="38"/>
      <c r="S782" s="38"/>
      <c r="T782" s="38"/>
      <c r="U782" s="17" t="s">
        <v>215</v>
      </c>
      <c r="V782" s="17" t="s">
        <v>915</v>
      </c>
      <c r="W782" s="12"/>
      <c r="X782" s="48"/>
      <c r="Y782" s="12">
        <v>42735</v>
      </c>
      <c r="Z782" s="2"/>
      <c r="AA782" s="2" t="s">
        <v>479</v>
      </c>
      <c r="AB782" s="3"/>
      <c r="AC782" s="5">
        <v>1000</v>
      </c>
      <c r="AD782" s="5">
        <v>1070</v>
      </c>
      <c r="AE782" s="5">
        <v>1170</v>
      </c>
      <c r="AF782" s="5">
        <f t="shared" si="816"/>
        <v>1310</v>
      </c>
      <c r="AG782" s="5">
        <f t="shared" si="839"/>
        <v>1310</v>
      </c>
      <c r="AH782" s="5">
        <f t="shared" si="839"/>
        <v>1310</v>
      </c>
      <c r="AI782" s="5">
        <f t="shared" ref="AI782:AJ782" si="843">+AH782</f>
        <v>1310</v>
      </c>
      <c r="AJ782" s="5">
        <f t="shared" si="843"/>
        <v>1310</v>
      </c>
      <c r="AK782" s="2" t="s">
        <v>53</v>
      </c>
      <c r="AL782" s="105" t="str">
        <f>+AK782</f>
        <v>B0</v>
      </c>
    </row>
    <row r="783" spans="1:38" s="6" customFormat="1" ht="15" customHeight="1" x14ac:dyDescent="0.2">
      <c r="A783" s="29" t="s">
        <v>824</v>
      </c>
      <c r="B783" s="29" t="s">
        <v>822</v>
      </c>
      <c r="C783" s="29" t="s">
        <v>823</v>
      </c>
      <c r="D783" s="2" t="s">
        <v>808</v>
      </c>
      <c r="E783" s="2" t="s">
        <v>909</v>
      </c>
      <c r="F783" s="2" t="s">
        <v>795</v>
      </c>
      <c r="G783" s="3"/>
      <c r="H783" s="2" t="s">
        <v>1037</v>
      </c>
      <c r="I783" s="3"/>
      <c r="J783" s="28"/>
      <c r="K783" s="28"/>
      <c r="L783" s="45" t="s">
        <v>1038</v>
      </c>
      <c r="M783" s="7" t="s">
        <v>3</v>
      </c>
      <c r="N783" s="15">
        <v>18528740</v>
      </c>
      <c r="O783" s="88">
        <v>20185287409</v>
      </c>
      <c r="P783" s="38"/>
      <c r="Q783" s="38"/>
      <c r="R783" s="38"/>
      <c r="S783" s="38"/>
      <c r="T783" s="38"/>
      <c r="U783" s="36"/>
      <c r="V783" s="17" t="s">
        <v>916</v>
      </c>
      <c r="W783" s="12">
        <v>41609</v>
      </c>
      <c r="X783" s="37"/>
      <c r="Y783" s="12">
        <v>42735</v>
      </c>
      <c r="Z783" s="2" t="s">
        <v>24</v>
      </c>
      <c r="AA783" s="2"/>
      <c r="AB783" s="2"/>
      <c r="AC783" s="5"/>
      <c r="AD783" s="5"/>
      <c r="AE783" s="5">
        <v>1170</v>
      </c>
      <c r="AF783" s="5">
        <f t="shared" si="816"/>
        <v>0</v>
      </c>
      <c r="AG783" s="5">
        <f t="shared" si="839"/>
        <v>0</v>
      </c>
      <c r="AH783" s="5">
        <f t="shared" si="839"/>
        <v>0</v>
      </c>
      <c r="AI783" s="5">
        <f t="shared" ref="AI783:AJ783" si="844">+AH783</f>
        <v>0</v>
      </c>
      <c r="AJ783" s="5">
        <f t="shared" si="844"/>
        <v>0</v>
      </c>
      <c r="AK783" s="2"/>
      <c r="AL783" s="105" t="str">
        <f>+Z783</f>
        <v>D0</v>
      </c>
    </row>
    <row r="784" spans="1:38" s="6" customFormat="1" ht="15" customHeight="1" x14ac:dyDescent="0.2">
      <c r="A784" s="29" t="s">
        <v>824</v>
      </c>
      <c r="B784" s="29"/>
      <c r="C784" s="14"/>
      <c r="D784" s="2" t="s">
        <v>820</v>
      </c>
      <c r="E784" s="2" t="s">
        <v>818</v>
      </c>
      <c r="F784" s="3"/>
      <c r="G784" s="3"/>
      <c r="H784" s="2" t="s">
        <v>221</v>
      </c>
      <c r="I784" s="2" t="s">
        <v>221</v>
      </c>
      <c r="J784" s="28" t="s">
        <v>73</v>
      </c>
      <c r="K784" s="28" t="s">
        <v>1765</v>
      </c>
      <c r="L784" s="43" t="s">
        <v>178</v>
      </c>
      <c r="M784" s="4" t="s">
        <v>3</v>
      </c>
      <c r="N784" s="15">
        <v>36547045</v>
      </c>
      <c r="O784" s="88" t="s">
        <v>1513</v>
      </c>
      <c r="P784" s="38">
        <v>33507</v>
      </c>
      <c r="Q784" s="38"/>
      <c r="R784" s="38"/>
      <c r="S784" s="38"/>
      <c r="T784" s="38"/>
      <c r="U784" s="17" t="s">
        <v>215</v>
      </c>
      <c r="V784" s="17" t="s">
        <v>915</v>
      </c>
      <c r="W784" s="12">
        <v>41813</v>
      </c>
      <c r="X784" s="37"/>
      <c r="Y784" s="12">
        <v>42735</v>
      </c>
      <c r="Z784" s="2"/>
      <c r="AA784" s="2" t="s">
        <v>479</v>
      </c>
      <c r="AB784" s="2" t="s">
        <v>782</v>
      </c>
      <c r="AC784" s="5">
        <v>1000</v>
      </c>
      <c r="AD784" s="5">
        <f>+AC784*1.07</f>
        <v>1070</v>
      </c>
      <c r="AE784" s="5">
        <v>1170</v>
      </c>
      <c r="AF784" s="5">
        <f t="shared" si="816"/>
        <v>1310</v>
      </c>
      <c r="AG784" s="5">
        <f t="shared" si="839"/>
        <v>1310</v>
      </c>
      <c r="AH784" s="5">
        <f t="shared" si="839"/>
        <v>1310</v>
      </c>
      <c r="AI784" s="5">
        <f t="shared" ref="AI784:AJ784" si="845">+AH784</f>
        <v>1310</v>
      </c>
      <c r="AJ784" s="5">
        <f t="shared" si="845"/>
        <v>1310</v>
      </c>
      <c r="AK784" s="29" t="s">
        <v>42</v>
      </c>
      <c r="AL784" s="105" t="str">
        <f>+AK784</f>
        <v>C0</v>
      </c>
    </row>
    <row r="785" spans="1:38" s="6" customFormat="1" ht="15" customHeight="1" x14ac:dyDescent="0.2">
      <c r="A785" s="29" t="s">
        <v>824</v>
      </c>
      <c r="B785" s="29" t="s">
        <v>822</v>
      </c>
      <c r="C785" s="29" t="s">
        <v>823</v>
      </c>
      <c r="D785" s="2" t="s">
        <v>800</v>
      </c>
      <c r="E785" s="2" t="s">
        <v>11</v>
      </c>
      <c r="F785" s="2"/>
      <c r="G785" s="2"/>
      <c r="H785" s="2" t="s">
        <v>1707</v>
      </c>
      <c r="I785" s="3"/>
      <c r="J785" s="28" t="s">
        <v>254</v>
      </c>
      <c r="K785" s="28"/>
      <c r="L785" s="42" t="s">
        <v>299</v>
      </c>
      <c r="M785" s="4" t="s">
        <v>3</v>
      </c>
      <c r="N785" s="15">
        <v>36482574</v>
      </c>
      <c r="O785" s="88">
        <v>27364825744</v>
      </c>
      <c r="P785" s="38"/>
      <c r="Q785" s="38"/>
      <c r="R785" s="38"/>
      <c r="S785" s="38"/>
      <c r="T785" s="38"/>
      <c r="U785" s="16" t="s">
        <v>796</v>
      </c>
      <c r="V785" s="16" t="s">
        <v>916</v>
      </c>
      <c r="W785" s="12">
        <v>41456</v>
      </c>
      <c r="X785" s="12">
        <v>42460</v>
      </c>
      <c r="Y785" s="12">
        <v>42735</v>
      </c>
      <c r="Z785" s="2" t="s">
        <v>42</v>
      </c>
      <c r="AA785" s="2"/>
      <c r="AB785" s="18"/>
      <c r="AC785" s="5">
        <v>1000</v>
      </c>
      <c r="AD785" s="5"/>
      <c r="AE785" s="5">
        <v>1170</v>
      </c>
      <c r="AF785" s="5">
        <f t="shared" si="816"/>
        <v>1310</v>
      </c>
      <c r="AG785" s="5">
        <f t="shared" si="839"/>
        <v>1310</v>
      </c>
      <c r="AH785" s="5">
        <f t="shared" si="839"/>
        <v>1310</v>
      </c>
      <c r="AI785" s="5">
        <f t="shared" ref="AI785:AJ785" si="846">+AH785</f>
        <v>1310</v>
      </c>
      <c r="AJ785" s="5">
        <f t="shared" si="846"/>
        <v>1310</v>
      </c>
      <c r="AK785" s="2"/>
      <c r="AL785" s="105" t="str">
        <f>+Z785</f>
        <v>C0</v>
      </c>
    </row>
    <row r="786" spans="1:38" s="6" customFormat="1" ht="15" customHeight="1" x14ac:dyDescent="0.2">
      <c r="A786" s="29" t="s">
        <v>824</v>
      </c>
      <c r="B786" s="29" t="s">
        <v>822</v>
      </c>
      <c r="C786" s="29" t="s">
        <v>823</v>
      </c>
      <c r="D786" s="2" t="s">
        <v>800</v>
      </c>
      <c r="E786" s="7" t="s">
        <v>499</v>
      </c>
      <c r="F786" s="7"/>
      <c r="G786" s="7"/>
      <c r="H786" s="8"/>
      <c r="I786" s="3"/>
      <c r="J786" s="28" t="s">
        <v>254</v>
      </c>
      <c r="K786" s="28"/>
      <c r="L786" s="42" t="s">
        <v>408</v>
      </c>
      <c r="M786" s="4" t="s">
        <v>3</v>
      </c>
      <c r="N786" s="15">
        <v>93978389</v>
      </c>
      <c r="O786" s="88">
        <v>27939783895</v>
      </c>
      <c r="P786" s="38"/>
      <c r="Q786" s="38"/>
      <c r="R786" s="38"/>
      <c r="S786" s="38"/>
      <c r="T786" s="38"/>
      <c r="U786" s="16" t="s">
        <v>796</v>
      </c>
      <c r="V786" s="16" t="s">
        <v>916</v>
      </c>
      <c r="W786" s="12">
        <v>41061</v>
      </c>
      <c r="X786" s="48">
        <v>42735</v>
      </c>
      <c r="Y786" s="12">
        <v>42735</v>
      </c>
      <c r="Z786" s="2" t="s">
        <v>42</v>
      </c>
      <c r="AA786" s="2"/>
      <c r="AB786" s="21"/>
      <c r="AC786" s="5">
        <v>1000</v>
      </c>
      <c r="AD786" s="5"/>
      <c r="AE786" s="5">
        <v>1170</v>
      </c>
      <c r="AF786" s="5">
        <f t="shared" si="816"/>
        <v>1310</v>
      </c>
      <c r="AG786" s="5">
        <f t="shared" si="839"/>
        <v>1310</v>
      </c>
      <c r="AH786" s="5">
        <f t="shared" si="839"/>
        <v>1310</v>
      </c>
      <c r="AI786" s="5">
        <f t="shared" ref="AI786:AJ786" si="847">+AH786</f>
        <v>1310</v>
      </c>
      <c r="AJ786" s="5">
        <f t="shared" si="847"/>
        <v>1310</v>
      </c>
      <c r="AK786" s="2"/>
      <c r="AL786" s="105" t="str">
        <f>+Z786</f>
        <v>C0</v>
      </c>
    </row>
    <row r="787" spans="1:38" s="6" customFormat="1" ht="15" customHeight="1" x14ac:dyDescent="0.2">
      <c r="A787" s="29" t="s">
        <v>824</v>
      </c>
      <c r="B787" s="29" t="s">
        <v>822</v>
      </c>
      <c r="C787" s="29" t="s">
        <v>823</v>
      </c>
      <c r="D787" s="2" t="s">
        <v>800</v>
      </c>
      <c r="E787" s="2" t="s">
        <v>488</v>
      </c>
      <c r="F787" s="2"/>
      <c r="G787" s="2"/>
      <c r="H787" s="2"/>
      <c r="I787" s="3" t="s">
        <v>500</v>
      </c>
      <c r="J787" s="28" t="s">
        <v>254</v>
      </c>
      <c r="K787" s="28" t="s">
        <v>1767</v>
      </c>
      <c r="L787" s="42" t="s">
        <v>331</v>
      </c>
      <c r="M787" s="4" t="s">
        <v>3</v>
      </c>
      <c r="N787" s="15">
        <v>34738374</v>
      </c>
      <c r="O787" s="88" t="s">
        <v>1480</v>
      </c>
      <c r="P787" s="38">
        <v>32739</v>
      </c>
      <c r="Q787" s="38"/>
      <c r="R787" s="38"/>
      <c r="S787" s="38"/>
      <c r="T787" s="38"/>
      <c r="U787" s="17" t="s">
        <v>215</v>
      </c>
      <c r="V787" s="17" t="s">
        <v>915</v>
      </c>
      <c r="W787" s="12">
        <v>41426</v>
      </c>
      <c r="X787" s="20"/>
      <c r="Y787" s="12">
        <v>42735</v>
      </c>
      <c r="Z787" s="2"/>
      <c r="AA787" s="2" t="s">
        <v>479</v>
      </c>
      <c r="AB787" s="24" t="s">
        <v>479</v>
      </c>
      <c r="AC787" s="5">
        <v>1000</v>
      </c>
      <c r="AD787" s="5">
        <v>1070</v>
      </c>
      <c r="AE787" s="5">
        <v>1170</v>
      </c>
      <c r="AF787" s="5">
        <f t="shared" si="816"/>
        <v>1310</v>
      </c>
      <c r="AG787" s="5">
        <f t="shared" si="839"/>
        <v>1310</v>
      </c>
      <c r="AH787" s="5">
        <f t="shared" si="839"/>
        <v>1310</v>
      </c>
      <c r="AI787" s="5">
        <f t="shared" ref="AI787:AJ787" si="848">+AH787</f>
        <v>1310</v>
      </c>
      <c r="AJ787" s="5">
        <f t="shared" si="848"/>
        <v>1310</v>
      </c>
      <c r="AK787" s="29" t="s">
        <v>42</v>
      </c>
      <c r="AL787" s="105" t="str">
        <f>+AK787</f>
        <v>C0</v>
      </c>
    </row>
    <row r="788" spans="1:38" s="6" customFormat="1" ht="15" customHeight="1" x14ac:dyDescent="0.2">
      <c r="A788" s="29" t="s">
        <v>824</v>
      </c>
      <c r="B788" s="2" t="s">
        <v>822</v>
      </c>
      <c r="C788" s="29" t="s">
        <v>823</v>
      </c>
      <c r="D788" s="2" t="s">
        <v>808</v>
      </c>
      <c r="E788" s="2"/>
      <c r="F788" s="2"/>
      <c r="G788" s="2"/>
      <c r="H788" s="3"/>
      <c r="I788" s="2" t="s">
        <v>1707</v>
      </c>
      <c r="J788" s="28"/>
      <c r="K788" s="28" t="s">
        <v>1765</v>
      </c>
      <c r="L788" s="42" t="s">
        <v>1094</v>
      </c>
      <c r="M788" s="7" t="s">
        <v>3</v>
      </c>
      <c r="N788" s="15">
        <v>11530452</v>
      </c>
      <c r="O788" s="88">
        <v>20115304527</v>
      </c>
      <c r="P788" s="38">
        <v>20123</v>
      </c>
      <c r="Q788" s="38"/>
      <c r="R788" s="38"/>
      <c r="S788" s="38"/>
      <c r="T788" s="38"/>
      <c r="U788" s="17" t="s">
        <v>215</v>
      </c>
      <c r="V788" s="17" t="s">
        <v>915</v>
      </c>
      <c r="W788" s="12">
        <v>42461</v>
      </c>
      <c r="X788" s="19"/>
      <c r="Y788" s="12">
        <v>42735</v>
      </c>
      <c r="Z788" s="2"/>
      <c r="AA788" s="2" t="s">
        <v>479</v>
      </c>
      <c r="AB788" s="2"/>
      <c r="AC788" s="5">
        <v>1000</v>
      </c>
      <c r="AD788" s="5">
        <f>+AC788*1.07</f>
        <v>1070</v>
      </c>
      <c r="AE788" s="5">
        <v>1170</v>
      </c>
      <c r="AF788" s="5">
        <f t="shared" si="816"/>
        <v>1310</v>
      </c>
      <c r="AG788" s="5">
        <f t="shared" si="839"/>
        <v>1310</v>
      </c>
      <c r="AH788" s="5">
        <f t="shared" si="839"/>
        <v>1310</v>
      </c>
      <c r="AI788" s="5">
        <f t="shared" ref="AI788:AJ788" si="849">+AH788</f>
        <v>1310</v>
      </c>
      <c r="AJ788" s="5">
        <f t="shared" si="849"/>
        <v>1310</v>
      </c>
      <c r="AK788" s="2" t="s">
        <v>43</v>
      </c>
      <c r="AL788" s="105" t="str">
        <f>+AK788</f>
        <v>A0</v>
      </c>
    </row>
    <row r="789" spans="1:38" s="6" customFormat="1" ht="15" customHeight="1" x14ac:dyDescent="0.2">
      <c r="A789" s="29" t="s">
        <v>824</v>
      </c>
      <c r="B789" s="29"/>
      <c r="C789" s="29"/>
      <c r="D789" s="2" t="s">
        <v>820</v>
      </c>
      <c r="E789" s="7" t="s">
        <v>63</v>
      </c>
      <c r="F789" s="7"/>
      <c r="G789" s="7"/>
      <c r="H789" s="8"/>
      <c r="I789" s="2" t="s">
        <v>1707</v>
      </c>
      <c r="J789" s="28"/>
      <c r="K789" s="28" t="s">
        <v>1765</v>
      </c>
      <c r="L789" s="42" t="s">
        <v>1122</v>
      </c>
      <c r="M789" s="7" t="s">
        <v>3</v>
      </c>
      <c r="N789" s="15">
        <v>30643205</v>
      </c>
      <c r="O789" s="88">
        <v>27306432058</v>
      </c>
      <c r="P789" s="38">
        <v>31168</v>
      </c>
      <c r="Q789" s="38"/>
      <c r="R789" s="38"/>
      <c r="S789" s="38"/>
      <c r="T789" s="38"/>
      <c r="U789" s="17" t="s">
        <v>215</v>
      </c>
      <c r="V789" s="17" t="s">
        <v>915</v>
      </c>
      <c r="W789" s="12">
        <v>42522</v>
      </c>
      <c r="X789" s="20"/>
      <c r="Y789" s="12">
        <v>42735</v>
      </c>
      <c r="Z789" s="2"/>
      <c r="AA789" s="2" t="s">
        <v>479</v>
      </c>
      <c r="AB789" s="24"/>
      <c r="AC789" s="5">
        <v>1000</v>
      </c>
      <c r="AD789" s="5">
        <f>+AC789*1.07</f>
        <v>1070</v>
      </c>
      <c r="AE789" s="5">
        <v>1170</v>
      </c>
      <c r="AF789" s="5">
        <f t="shared" si="816"/>
        <v>1310</v>
      </c>
      <c r="AG789" s="5">
        <f t="shared" si="839"/>
        <v>1310</v>
      </c>
      <c r="AH789" s="5">
        <f t="shared" si="839"/>
        <v>1310</v>
      </c>
      <c r="AI789" s="5">
        <f t="shared" ref="AI789:AJ789" si="850">+AH789</f>
        <v>1310</v>
      </c>
      <c r="AJ789" s="5">
        <f t="shared" si="850"/>
        <v>1310</v>
      </c>
      <c r="AK789" s="29" t="s">
        <v>42</v>
      </c>
      <c r="AL789" s="105" t="str">
        <f>+AK789</f>
        <v>C0</v>
      </c>
    </row>
    <row r="790" spans="1:38" s="6" customFormat="1" ht="15" customHeight="1" x14ac:dyDescent="0.2">
      <c r="A790" s="29" t="s">
        <v>824</v>
      </c>
      <c r="B790" s="29" t="s">
        <v>822</v>
      </c>
      <c r="C790" s="29" t="s">
        <v>823</v>
      </c>
      <c r="D790" s="2" t="s">
        <v>800</v>
      </c>
      <c r="E790" s="2" t="s">
        <v>59</v>
      </c>
      <c r="F790" s="2"/>
      <c r="G790" s="2"/>
      <c r="H790" s="2" t="s">
        <v>1707</v>
      </c>
      <c r="I790" s="3"/>
      <c r="J790" s="28" t="s">
        <v>254</v>
      </c>
      <c r="K790" s="28"/>
      <c r="L790" s="42" t="s">
        <v>257</v>
      </c>
      <c r="M790" s="4" t="s">
        <v>3</v>
      </c>
      <c r="N790" s="15">
        <v>35532252</v>
      </c>
      <c r="O790" s="88">
        <v>20355322522</v>
      </c>
      <c r="P790" s="38"/>
      <c r="Q790" s="38"/>
      <c r="R790" s="38"/>
      <c r="S790" s="38"/>
      <c r="T790" s="38"/>
      <c r="U790" s="16" t="s">
        <v>796</v>
      </c>
      <c r="V790" s="16" t="s">
        <v>916</v>
      </c>
      <c r="W790" s="12">
        <v>41760</v>
      </c>
      <c r="X790" s="12">
        <v>42460</v>
      </c>
      <c r="Y790" s="12">
        <v>42735</v>
      </c>
      <c r="Z790" s="2" t="s">
        <v>49</v>
      </c>
      <c r="AA790" s="2"/>
      <c r="AB790" s="18"/>
      <c r="AC790" s="5">
        <v>1000</v>
      </c>
      <c r="AD790" s="5"/>
      <c r="AE790" s="5">
        <v>1170</v>
      </c>
      <c r="AF790" s="5">
        <f t="shared" si="816"/>
        <v>1310</v>
      </c>
      <c r="AG790" s="5">
        <f t="shared" si="839"/>
        <v>1310</v>
      </c>
      <c r="AH790" s="5">
        <f t="shared" si="839"/>
        <v>1310</v>
      </c>
      <c r="AI790" s="5">
        <f t="shared" ref="AI790:AJ790" si="851">+AH790</f>
        <v>1310</v>
      </c>
      <c r="AJ790" s="5">
        <f t="shared" si="851"/>
        <v>1310</v>
      </c>
      <c r="AK790" s="2"/>
      <c r="AL790" s="105" t="str">
        <f>+Z790</f>
        <v>D1</v>
      </c>
    </row>
    <row r="791" spans="1:38" s="6" customFormat="1" ht="15" customHeight="1" x14ac:dyDescent="0.2">
      <c r="A791" s="29" t="s">
        <v>824</v>
      </c>
      <c r="B791" s="29" t="s">
        <v>822</v>
      </c>
      <c r="C791" s="29" t="s">
        <v>823</v>
      </c>
      <c r="D791" s="2" t="s">
        <v>800</v>
      </c>
      <c r="E791" s="2"/>
      <c r="F791" s="3"/>
      <c r="G791" s="3"/>
      <c r="H791" s="2" t="s">
        <v>884</v>
      </c>
      <c r="I791" s="2" t="s">
        <v>1707</v>
      </c>
      <c r="J791" s="28" t="s">
        <v>254</v>
      </c>
      <c r="K791" s="28" t="s">
        <v>1767</v>
      </c>
      <c r="L791" s="41" t="s">
        <v>1675</v>
      </c>
      <c r="M791" s="4" t="s">
        <v>3</v>
      </c>
      <c r="N791" s="15">
        <v>25824447</v>
      </c>
      <c r="O791" s="88" t="s">
        <v>1597</v>
      </c>
      <c r="P791" s="38">
        <v>28254</v>
      </c>
      <c r="Q791" s="38"/>
      <c r="R791" s="38"/>
      <c r="S791" s="38"/>
      <c r="T791" s="38"/>
      <c r="U791" s="17" t="s">
        <v>215</v>
      </c>
      <c r="V791" s="17" t="s">
        <v>915</v>
      </c>
      <c r="W791" s="12">
        <v>42370</v>
      </c>
      <c r="X791" s="48"/>
      <c r="Y791" s="12">
        <v>42735</v>
      </c>
      <c r="Z791" s="2"/>
      <c r="AA791" s="2" t="s">
        <v>479</v>
      </c>
      <c r="AB791" s="3" t="s">
        <v>10</v>
      </c>
      <c r="AC791" s="5">
        <v>1000</v>
      </c>
      <c r="AD791" s="5">
        <f>+AC791*1.07</f>
        <v>1070</v>
      </c>
      <c r="AE791" s="5">
        <v>1170</v>
      </c>
      <c r="AF791" s="5">
        <f t="shared" si="816"/>
        <v>1310</v>
      </c>
      <c r="AG791" s="5">
        <f t="shared" si="839"/>
        <v>1310</v>
      </c>
      <c r="AH791" s="5">
        <f t="shared" si="839"/>
        <v>1310</v>
      </c>
      <c r="AI791" s="5">
        <f t="shared" ref="AI791:AJ791" si="852">+AH791</f>
        <v>1310</v>
      </c>
      <c r="AJ791" s="5">
        <f t="shared" si="852"/>
        <v>1310</v>
      </c>
      <c r="AK791" s="2" t="s">
        <v>42</v>
      </c>
      <c r="AL791" s="105" t="str">
        <f>+AK791</f>
        <v>C0</v>
      </c>
    </row>
    <row r="792" spans="1:38" s="6" customFormat="1" ht="15" customHeight="1" x14ac:dyDescent="0.2">
      <c r="A792" s="29" t="s">
        <v>824</v>
      </c>
      <c r="B792" s="2" t="s">
        <v>822</v>
      </c>
      <c r="C792" s="3"/>
      <c r="D792" s="2" t="s">
        <v>825</v>
      </c>
      <c r="E792" s="3" t="s">
        <v>18</v>
      </c>
      <c r="F792" s="2" t="s">
        <v>19</v>
      </c>
      <c r="G792" s="2"/>
      <c r="H792" s="2" t="s">
        <v>35</v>
      </c>
      <c r="I792" s="2" t="s">
        <v>1707</v>
      </c>
      <c r="J792" s="28" t="s">
        <v>548</v>
      </c>
      <c r="K792" s="28" t="s">
        <v>548</v>
      </c>
      <c r="L792" s="44" t="s">
        <v>729</v>
      </c>
      <c r="M792" s="4" t="s">
        <v>3</v>
      </c>
      <c r="N792" s="15">
        <v>33443159</v>
      </c>
      <c r="O792" s="88" t="s">
        <v>1448</v>
      </c>
      <c r="P792" s="38">
        <v>32099</v>
      </c>
      <c r="Q792" s="38"/>
      <c r="R792" s="38"/>
      <c r="S792" s="38"/>
      <c r="T792" s="38"/>
      <c r="U792" s="17" t="s">
        <v>215</v>
      </c>
      <c r="V792" s="17" t="s">
        <v>915</v>
      </c>
      <c r="W792" s="12">
        <v>41061</v>
      </c>
      <c r="X792" s="12"/>
      <c r="Y792" s="12">
        <v>42735</v>
      </c>
      <c r="Z792" s="2"/>
      <c r="AA792" s="2" t="s">
        <v>479</v>
      </c>
      <c r="AB792" s="7" t="s">
        <v>787</v>
      </c>
      <c r="AC792" s="5">
        <v>1000</v>
      </c>
      <c r="AD792" s="5">
        <f>+AC792</f>
        <v>1000</v>
      </c>
      <c r="AE792" s="5">
        <v>1170</v>
      </c>
      <c r="AF792" s="5">
        <f t="shared" si="816"/>
        <v>1310</v>
      </c>
      <c r="AG792" s="5">
        <f t="shared" si="839"/>
        <v>1310</v>
      </c>
      <c r="AH792" s="5">
        <f t="shared" si="839"/>
        <v>1310</v>
      </c>
      <c r="AI792" s="5">
        <f t="shared" ref="AI792:AJ792" si="853">+AH792</f>
        <v>1310</v>
      </c>
      <c r="AJ792" s="5">
        <f t="shared" si="853"/>
        <v>1310</v>
      </c>
      <c r="AK792" s="2"/>
      <c r="AL792" s="106"/>
    </row>
    <row r="793" spans="1:38" s="6" customFormat="1" ht="15" customHeight="1" x14ac:dyDescent="0.2">
      <c r="A793" s="29" t="s">
        <v>824</v>
      </c>
      <c r="B793" s="29" t="s">
        <v>822</v>
      </c>
      <c r="C793" s="29" t="s">
        <v>823</v>
      </c>
      <c r="D793" s="2" t="s">
        <v>800</v>
      </c>
      <c r="E793" s="2" t="s">
        <v>486</v>
      </c>
      <c r="F793" s="2"/>
      <c r="G793" s="2"/>
      <c r="H793" s="2" t="s">
        <v>1710</v>
      </c>
      <c r="I793" s="3" t="s">
        <v>1718</v>
      </c>
      <c r="J793" s="28" t="s">
        <v>254</v>
      </c>
      <c r="K793" s="28"/>
      <c r="L793" s="42" t="s">
        <v>1688</v>
      </c>
      <c r="M793" s="4" t="s">
        <v>3</v>
      </c>
      <c r="N793" s="15">
        <v>20854162</v>
      </c>
      <c r="O793" s="88">
        <v>27208541620</v>
      </c>
      <c r="P793" s="38"/>
      <c r="Q793" s="38"/>
      <c r="R793" s="38"/>
      <c r="S793" s="38"/>
      <c r="T793" s="38"/>
      <c r="U793" s="17" t="s">
        <v>215</v>
      </c>
      <c r="V793" s="17" t="s">
        <v>1698</v>
      </c>
      <c r="W793" s="12"/>
      <c r="X793" s="20"/>
      <c r="Y793" s="12">
        <v>42735</v>
      </c>
      <c r="Z793" s="2"/>
      <c r="AA793" s="2" t="s">
        <v>479</v>
      </c>
      <c r="AB793" s="25" t="s">
        <v>479</v>
      </c>
      <c r="AC793" s="5">
        <v>1000</v>
      </c>
      <c r="AD793" s="5">
        <f>+AC793*1.07</f>
        <v>1070</v>
      </c>
      <c r="AE793" s="5">
        <v>1170</v>
      </c>
      <c r="AF793" s="5">
        <f t="shared" si="816"/>
        <v>1310</v>
      </c>
      <c r="AG793" s="5">
        <v>1310</v>
      </c>
      <c r="AH793" s="5">
        <f t="shared" si="839"/>
        <v>1310</v>
      </c>
      <c r="AI793" s="5">
        <f t="shared" ref="AI793:AJ793" si="854">+AH793</f>
        <v>1310</v>
      </c>
      <c r="AJ793" s="5">
        <f t="shared" si="854"/>
        <v>1310</v>
      </c>
      <c r="AK793" s="29"/>
      <c r="AL793" s="107" t="s">
        <v>1818</v>
      </c>
    </row>
    <row r="794" spans="1:38" s="6" customFormat="1" ht="15" customHeight="1" x14ac:dyDescent="0.2">
      <c r="A794" s="29" t="s">
        <v>824</v>
      </c>
      <c r="B794" s="29" t="s">
        <v>822</v>
      </c>
      <c r="C794" s="29" t="s">
        <v>823</v>
      </c>
      <c r="D794" s="2" t="s">
        <v>800</v>
      </c>
      <c r="E794" s="7" t="s">
        <v>499</v>
      </c>
      <c r="F794" s="7"/>
      <c r="G794" s="7"/>
      <c r="H794" s="8"/>
      <c r="I794" s="3" t="s">
        <v>1718</v>
      </c>
      <c r="J794" s="28" t="s">
        <v>254</v>
      </c>
      <c r="K794" s="28" t="s">
        <v>1767</v>
      </c>
      <c r="L794" s="42" t="s">
        <v>1689</v>
      </c>
      <c r="M794" s="4" t="s">
        <v>3</v>
      </c>
      <c r="N794" s="15">
        <v>25204241</v>
      </c>
      <c r="O794" s="88" t="s">
        <v>1259</v>
      </c>
      <c r="P794" s="38">
        <v>27927</v>
      </c>
      <c r="Q794" s="38"/>
      <c r="R794" s="38"/>
      <c r="S794" s="38"/>
      <c r="T794" s="38"/>
      <c r="U794" s="17" t="s">
        <v>215</v>
      </c>
      <c r="V794" s="17" t="s">
        <v>915</v>
      </c>
      <c r="W794" s="12">
        <v>41913</v>
      </c>
      <c r="X794" s="20"/>
      <c r="Y794" s="12">
        <v>42735</v>
      </c>
      <c r="Z794" s="2"/>
      <c r="AA794" s="2" t="s">
        <v>479</v>
      </c>
      <c r="AB794" s="24" t="s">
        <v>479</v>
      </c>
      <c r="AC794" s="5">
        <v>1000</v>
      </c>
      <c r="AD794" s="5">
        <v>1070</v>
      </c>
      <c r="AE794" s="5">
        <v>1170</v>
      </c>
      <c r="AF794" s="5">
        <f t="shared" si="816"/>
        <v>1310</v>
      </c>
      <c r="AG794" s="5">
        <f t="shared" si="839"/>
        <v>1310</v>
      </c>
      <c r="AH794" s="5">
        <f t="shared" si="839"/>
        <v>1310</v>
      </c>
      <c r="AI794" s="5">
        <f t="shared" ref="AI794:AJ794" si="855">+AH794</f>
        <v>1310</v>
      </c>
      <c r="AJ794" s="5">
        <f t="shared" si="855"/>
        <v>1310</v>
      </c>
      <c r="AK794" s="29" t="s">
        <v>42</v>
      </c>
      <c r="AL794" s="105" t="str">
        <f>+AK794</f>
        <v>C0</v>
      </c>
    </row>
    <row r="795" spans="1:38" s="6" customFormat="1" ht="15" customHeight="1" x14ac:dyDescent="0.2">
      <c r="A795" s="29" t="s">
        <v>824</v>
      </c>
      <c r="B795" s="29"/>
      <c r="C795" s="29"/>
      <c r="D795" s="2" t="s">
        <v>820</v>
      </c>
      <c r="E795" s="2" t="s">
        <v>921</v>
      </c>
      <c r="F795" s="3" t="s">
        <v>525</v>
      </c>
      <c r="G795" s="3" t="s">
        <v>520</v>
      </c>
      <c r="H795" s="2" t="s">
        <v>234</v>
      </c>
      <c r="I795" s="3"/>
      <c r="J795" s="28" t="s">
        <v>73</v>
      </c>
      <c r="K795" s="28"/>
      <c r="L795" s="45" t="s">
        <v>179</v>
      </c>
      <c r="M795" s="4" t="s">
        <v>3</v>
      </c>
      <c r="N795" s="15">
        <v>29477026</v>
      </c>
      <c r="O795" s="88">
        <v>20294770268</v>
      </c>
      <c r="P795" s="61"/>
      <c r="Q795" s="61"/>
      <c r="R795" s="61"/>
      <c r="S795" s="61"/>
      <c r="T795" s="61"/>
      <c r="U795" s="16" t="s">
        <v>796</v>
      </c>
      <c r="V795" s="16" t="s">
        <v>916</v>
      </c>
      <c r="W795" s="12">
        <v>41974</v>
      </c>
      <c r="X795" s="12">
        <v>42460</v>
      </c>
      <c r="Y795" s="12">
        <v>42735</v>
      </c>
      <c r="Z795" s="2" t="s">
        <v>24</v>
      </c>
      <c r="AA795" s="2"/>
      <c r="AB795" s="14"/>
      <c r="AC795" s="5">
        <v>1000</v>
      </c>
      <c r="AD795" s="5"/>
      <c r="AE795" s="5">
        <v>1170</v>
      </c>
      <c r="AF795" s="5">
        <f t="shared" si="816"/>
        <v>1310</v>
      </c>
      <c r="AG795" s="5">
        <f t="shared" si="839"/>
        <v>1310</v>
      </c>
      <c r="AH795" s="5">
        <f t="shared" si="839"/>
        <v>1310</v>
      </c>
      <c r="AI795" s="5">
        <f t="shared" ref="AI795:AJ795" si="856">+AH795</f>
        <v>1310</v>
      </c>
      <c r="AJ795" s="5">
        <f t="shared" si="856"/>
        <v>1310</v>
      </c>
      <c r="AK795" s="29"/>
      <c r="AL795" s="105" t="str">
        <f>+Z795</f>
        <v>D0</v>
      </c>
    </row>
    <row r="796" spans="1:38" ht="15" customHeight="1" x14ac:dyDescent="0.2">
      <c r="A796" s="29" t="s">
        <v>824</v>
      </c>
      <c r="B796" s="29"/>
      <c r="C796" s="29"/>
      <c r="D796" s="2" t="s">
        <v>820</v>
      </c>
      <c r="E796" s="2" t="s">
        <v>817</v>
      </c>
      <c r="F796" s="3"/>
      <c r="G796" s="3"/>
      <c r="H796" s="2" t="s">
        <v>221</v>
      </c>
      <c r="I796" s="2" t="s">
        <v>1707</v>
      </c>
      <c r="J796" s="28"/>
      <c r="K796" s="28" t="s">
        <v>1765</v>
      </c>
      <c r="L796" s="45" t="s">
        <v>932</v>
      </c>
      <c r="M796" s="4" t="s">
        <v>3</v>
      </c>
      <c r="N796" s="15">
        <v>45735293</v>
      </c>
      <c r="O796" s="88" t="s">
        <v>1568</v>
      </c>
      <c r="P796" s="38">
        <v>34878</v>
      </c>
      <c r="Q796" s="38"/>
      <c r="R796" s="38"/>
      <c r="S796" s="38"/>
      <c r="T796" s="38"/>
      <c r="U796" s="17" t="s">
        <v>215</v>
      </c>
      <c r="V796" s="16" t="s">
        <v>915</v>
      </c>
      <c r="W796" s="12">
        <v>42492</v>
      </c>
      <c r="X796" s="48"/>
      <c r="Y796" s="12">
        <v>42735</v>
      </c>
      <c r="Z796" s="2"/>
      <c r="AA796" s="2" t="s">
        <v>479</v>
      </c>
      <c r="AB796" s="14"/>
      <c r="AC796" s="5">
        <v>1000</v>
      </c>
      <c r="AD796" s="5">
        <f>+AC796*1.07</f>
        <v>1070</v>
      </c>
      <c r="AE796" s="5">
        <v>1170</v>
      </c>
      <c r="AF796" s="5">
        <f t="shared" si="816"/>
        <v>1310</v>
      </c>
      <c r="AG796" s="5">
        <f t="shared" si="839"/>
        <v>1310</v>
      </c>
      <c r="AH796" s="5">
        <f t="shared" si="839"/>
        <v>1310</v>
      </c>
      <c r="AI796" s="5">
        <f t="shared" ref="AI796:AJ796" si="857">+AH796</f>
        <v>1310</v>
      </c>
      <c r="AJ796" s="5">
        <f t="shared" si="857"/>
        <v>1310</v>
      </c>
      <c r="AK796" s="2" t="s">
        <v>42</v>
      </c>
      <c r="AL796" s="105" t="str">
        <f>+AK796</f>
        <v>C0</v>
      </c>
    </row>
    <row r="797" spans="1:38" ht="15" customHeight="1" x14ac:dyDescent="0.2">
      <c r="A797" s="29" t="s">
        <v>824</v>
      </c>
      <c r="B797" s="2" t="s">
        <v>822</v>
      </c>
      <c r="C797" s="29"/>
      <c r="D797" s="2" t="s">
        <v>825</v>
      </c>
      <c r="E797" s="3" t="s">
        <v>8</v>
      </c>
      <c r="F797" s="2" t="s">
        <v>913</v>
      </c>
      <c r="G797" s="2"/>
      <c r="H797" s="2" t="s">
        <v>28</v>
      </c>
      <c r="I797" s="2" t="s">
        <v>13</v>
      </c>
      <c r="J797" s="28" t="s">
        <v>549</v>
      </c>
      <c r="K797" s="28" t="s">
        <v>549</v>
      </c>
      <c r="L797" s="41" t="s">
        <v>730</v>
      </c>
      <c r="M797" s="4" t="s">
        <v>3</v>
      </c>
      <c r="N797" s="15">
        <v>31442888</v>
      </c>
      <c r="O797" s="88">
        <v>23314428889</v>
      </c>
      <c r="P797" s="38">
        <v>31100</v>
      </c>
      <c r="Q797" s="38"/>
      <c r="R797" s="38"/>
      <c r="S797" s="38"/>
      <c r="T797" s="38"/>
      <c r="U797" s="17" t="s">
        <v>215</v>
      </c>
      <c r="V797" s="17" t="s">
        <v>915</v>
      </c>
      <c r="W797" s="12">
        <v>42248</v>
      </c>
      <c r="X797" s="12"/>
      <c r="Y797" s="12">
        <v>42735</v>
      </c>
      <c r="Z797" s="2"/>
      <c r="AA797" s="2" t="s">
        <v>479</v>
      </c>
      <c r="AB797" s="3" t="s">
        <v>10</v>
      </c>
      <c r="AC797" s="5">
        <v>1000</v>
      </c>
      <c r="AD797" s="5">
        <f>+AC797*1.07</f>
        <v>1070</v>
      </c>
      <c r="AE797" s="5">
        <v>1170</v>
      </c>
      <c r="AF797" s="5">
        <f t="shared" si="816"/>
        <v>1310</v>
      </c>
      <c r="AG797" s="5">
        <f t="shared" si="839"/>
        <v>1310</v>
      </c>
      <c r="AH797" s="5">
        <f t="shared" si="839"/>
        <v>1310</v>
      </c>
      <c r="AI797" s="5">
        <f t="shared" ref="AI797:AJ797" si="858">+AH797</f>
        <v>1310</v>
      </c>
      <c r="AJ797" s="5">
        <f t="shared" si="858"/>
        <v>1310</v>
      </c>
      <c r="AK797" s="2" t="s">
        <v>1815</v>
      </c>
      <c r="AL797" s="106"/>
    </row>
    <row r="798" spans="1:38" ht="15" customHeight="1" x14ac:dyDescent="0.2">
      <c r="A798" s="29" t="s">
        <v>824</v>
      </c>
      <c r="B798" s="2" t="s">
        <v>822</v>
      </c>
      <c r="C798" s="3"/>
      <c r="D798" s="2" t="s">
        <v>825</v>
      </c>
      <c r="E798" s="3" t="s">
        <v>18</v>
      </c>
      <c r="F798" s="2" t="s">
        <v>1012</v>
      </c>
      <c r="G798" s="2"/>
      <c r="H798" s="2" t="s">
        <v>37</v>
      </c>
      <c r="I798" s="2" t="s">
        <v>1707</v>
      </c>
      <c r="J798" s="28" t="s">
        <v>548</v>
      </c>
      <c r="K798" s="28" t="s">
        <v>548</v>
      </c>
      <c r="L798" s="44" t="s">
        <v>1008</v>
      </c>
      <c r="M798" s="7" t="s">
        <v>3</v>
      </c>
      <c r="N798" s="47">
        <v>26621205</v>
      </c>
      <c r="O798" s="88" t="s">
        <v>1294</v>
      </c>
      <c r="P798" s="38">
        <v>28660</v>
      </c>
      <c r="Q798" s="38"/>
      <c r="R798" s="38"/>
      <c r="S798" s="38"/>
      <c r="T798" s="38"/>
      <c r="U798" s="17" t="s">
        <v>215</v>
      </c>
      <c r="V798" s="17" t="s">
        <v>915</v>
      </c>
      <c r="W798" s="12">
        <v>42095</v>
      </c>
      <c r="X798" s="12"/>
      <c r="Y798" s="12">
        <v>42735</v>
      </c>
      <c r="Z798" s="2"/>
      <c r="AA798" s="2" t="s">
        <v>479</v>
      </c>
      <c r="AB798" s="7"/>
      <c r="AC798" s="5">
        <v>1000</v>
      </c>
      <c r="AD798" s="5">
        <f>+AC798</f>
        <v>1000</v>
      </c>
      <c r="AE798" s="5">
        <v>1170</v>
      </c>
      <c r="AF798" s="5">
        <f t="shared" si="816"/>
        <v>1310</v>
      </c>
      <c r="AG798" s="5">
        <f t="shared" si="839"/>
        <v>1310</v>
      </c>
      <c r="AH798" s="5">
        <f t="shared" si="839"/>
        <v>1310</v>
      </c>
      <c r="AI798" s="5">
        <f t="shared" ref="AI798:AJ798" si="859">+AH798</f>
        <v>1310</v>
      </c>
      <c r="AJ798" s="5">
        <f t="shared" si="859"/>
        <v>1310</v>
      </c>
      <c r="AK798" s="2"/>
      <c r="AL798" s="106"/>
    </row>
    <row r="799" spans="1:38" ht="15" customHeight="1" x14ac:dyDescent="0.2">
      <c r="A799" s="29" t="s">
        <v>824</v>
      </c>
      <c r="B799" s="29" t="s">
        <v>822</v>
      </c>
      <c r="C799" s="29" t="s">
        <v>823</v>
      </c>
      <c r="D799" s="2" t="s">
        <v>800</v>
      </c>
      <c r="E799" s="7" t="s">
        <v>497</v>
      </c>
      <c r="F799" s="7"/>
      <c r="G799" s="7"/>
      <c r="H799" s="8"/>
      <c r="I799" s="3" t="s">
        <v>1714</v>
      </c>
      <c r="J799" s="28" t="s">
        <v>254</v>
      </c>
      <c r="K799" s="28" t="s">
        <v>1767</v>
      </c>
      <c r="L799" s="42" t="s">
        <v>1690</v>
      </c>
      <c r="M799" s="4" t="s">
        <v>3</v>
      </c>
      <c r="N799" s="15">
        <v>92820166</v>
      </c>
      <c r="O799" s="88" t="s">
        <v>1598</v>
      </c>
      <c r="P799" s="38">
        <v>28206</v>
      </c>
      <c r="Q799" s="38"/>
      <c r="R799" s="38"/>
      <c r="S799" s="38"/>
      <c r="T799" s="38"/>
      <c r="U799" s="17" t="s">
        <v>215</v>
      </c>
      <c r="V799" s="17" t="s">
        <v>915</v>
      </c>
      <c r="W799" s="12">
        <v>40725</v>
      </c>
      <c r="X799" s="20"/>
      <c r="Y799" s="12">
        <v>42735</v>
      </c>
      <c r="Z799" s="2"/>
      <c r="AA799" s="2" t="s">
        <v>479</v>
      </c>
      <c r="AB799" s="24" t="s">
        <v>479</v>
      </c>
      <c r="AC799" s="5">
        <v>1000</v>
      </c>
      <c r="AD799" s="5">
        <v>1070</v>
      </c>
      <c r="AE799" s="5">
        <v>1170</v>
      </c>
      <c r="AF799" s="5">
        <f t="shared" si="816"/>
        <v>1310</v>
      </c>
      <c r="AG799" s="5">
        <f t="shared" ref="AG799:AH818" si="860">+AF799</f>
        <v>1310</v>
      </c>
      <c r="AH799" s="5">
        <f t="shared" si="860"/>
        <v>1310</v>
      </c>
      <c r="AI799" s="5">
        <f t="shared" ref="AI799:AJ799" si="861">+AH799</f>
        <v>1310</v>
      </c>
      <c r="AJ799" s="5">
        <f t="shared" si="861"/>
        <v>1310</v>
      </c>
      <c r="AK799" s="29" t="s">
        <v>42</v>
      </c>
      <c r="AL799" s="105" t="str">
        <f>+AK799</f>
        <v>C0</v>
      </c>
    </row>
    <row r="800" spans="1:38" ht="15" customHeight="1" x14ac:dyDescent="0.2">
      <c r="A800" s="29" t="s">
        <v>824</v>
      </c>
      <c r="B800" s="2" t="s">
        <v>822</v>
      </c>
      <c r="C800" s="3"/>
      <c r="D800" s="2" t="s">
        <v>825</v>
      </c>
      <c r="E800" s="3" t="s">
        <v>18</v>
      </c>
      <c r="F800" s="2" t="s">
        <v>19</v>
      </c>
      <c r="G800" s="2"/>
      <c r="H800" s="2" t="s">
        <v>37</v>
      </c>
      <c r="I800" s="2" t="s">
        <v>1761</v>
      </c>
      <c r="J800" s="28" t="s">
        <v>548</v>
      </c>
      <c r="K800" s="28" t="s">
        <v>548</v>
      </c>
      <c r="L800" s="44" t="s">
        <v>987</v>
      </c>
      <c r="M800" s="7" t="s">
        <v>3</v>
      </c>
      <c r="N800" s="47">
        <v>31009104</v>
      </c>
      <c r="O800" s="88" t="s">
        <v>1382</v>
      </c>
      <c r="P800" s="38">
        <v>30686</v>
      </c>
      <c r="Q800" s="38"/>
      <c r="R800" s="38"/>
      <c r="S800" s="38"/>
      <c r="T800" s="38"/>
      <c r="U800" s="17" t="s">
        <v>215</v>
      </c>
      <c r="V800" s="17" t="s">
        <v>915</v>
      </c>
      <c r="W800" s="12">
        <v>40603</v>
      </c>
      <c r="X800" s="12"/>
      <c r="Y800" s="12">
        <v>42735</v>
      </c>
      <c r="Z800" s="2"/>
      <c r="AA800" s="2" t="s">
        <v>479</v>
      </c>
      <c r="AB800" s="7"/>
      <c r="AC800" s="5">
        <v>1000</v>
      </c>
      <c r="AD800" s="5">
        <f>+AC800</f>
        <v>1000</v>
      </c>
      <c r="AE800" s="5">
        <v>1170</v>
      </c>
      <c r="AF800" s="5">
        <f t="shared" si="816"/>
        <v>1310</v>
      </c>
      <c r="AG800" s="5">
        <f t="shared" si="860"/>
        <v>1310</v>
      </c>
      <c r="AH800" s="5">
        <f t="shared" si="860"/>
        <v>1310</v>
      </c>
      <c r="AI800" s="5">
        <f t="shared" ref="AI800:AJ800" si="862">+AH800</f>
        <v>1310</v>
      </c>
      <c r="AJ800" s="5">
        <f t="shared" si="862"/>
        <v>1310</v>
      </c>
      <c r="AK800" s="2"/>
      <c r="AL800" s="106"/>
    </row>
    <row r="801" spans="1:38" ht="15" customHeight="1" x14ac:dyDescent="0.2">
      <c r="A801" s="29" t="s">
        <v>824</v>
      </c>
      <c r="B801" s="29"/>
      <c r="C801" s="14"/>
      <c r="D801" s="2" t="s">
        <v>820</v>
      </c>
      <c r="E801" s="2" t="s">
        <v>818</v>
      </c>
      <c r="F801" s="3"/>
      <c r="G801" s="3"/>
      <c r="H801" s="2" t="s">
        <v>221</v>
      </c>
      <c r="I801" s="3"/>
      <c r="J801" s="28" t="s">
        <v>73</v>
      </c>
      <c r="K801" s="28"/>
      <c r="L801" s="45" t="s">
        <v>180</v>
      </c>
      <c r="M801" s="4" t="s">
        <v>3</v>
      </c>
      <c r="N801" s="15">
        <v>27738544</v>
      </c>
      <c r="O801" s="88">
        <v>23277385449</v>
      </c>
      <c r="P801" s="61"/>
      <c r="Q801" s="61"/>
      <c r="R801" s="61"/>
      <c r="S801" s="61"/>
      <c r="T801" s="61"/>
      <c r="U801" s="16" t="s">
        <v>796</v>
      </c>
      <c r="V801" s="16" t="s">
        <v>916</v>
      </c>
      <c r="W801" s="12">
        <v>41518</v>
      </c>
      <c r="X801" s="12">
        <v>42460</v>
      </c>
      <c r="Y801" s="12">
        <v>42735</v>
      </c>
      <c r="Z801" s="2" t="s">
        <v>42</v>
      </c>
      <c r="AA801" s="2"/>
      <c r="AB801" s="14"/>
      <c r="AC801" s="5">
        <v>1000</v>
      </c>
      <c r="AD801" s="5"/>
      <c r="AE801" s="5">
        <v>1170</v>
      </c>
      <c r="AF801" s="5">
        <f t="shared" si="816"/>
        <v>1310</v>
      </c>
      <c r="AG801" s="5">
        <f t="shared" si="860"/>
        <v>1310</v>
      </c>
      <c r="AH801" s="5">
        <f t="shared" si="860"/>
        <v>1310</v>
      </c>
      <c r="AI801" s="5">
        <f t="shared" ref="AI801:AJ801" si="863">+AH801</f>
        <v>1310</v>
      </c>
      <c r="AJ801" s="5">
        <f t="shared" si="863"/>
        <v>1310</v>
      </c>
      <c r="AK801" s="29"/>
      <c r="AL801" s="105" t="str">
        <f>+Z801</f>
        <v>C0</v>
      </c>
    </row>
    <row r="802" spans="1:38" ht="15" customHeight="1" x14ac:dyDescent="0.2">
      <c r="A802" s="29" t="s">
        <v>824</v>
      </c>
      <c r="B802" s="29" t="s">
        <v>822</v>
      </c>
      <c r="C802" s="29" t="s">
        <v>823</v>
      </c>
      <c r="D802" s="2" t="s">
        <v>808</v>
      </c>
      <c r="E802" s="2" t="s">
        <v>909</v>
      </c>
      <c r="F802" s="2" t="s">
        <v>812</v>
      </c>
      <c r="G802" s="2"/>
      <c r="H802" s="2" t="s">
        <v>70</v>
      </c>
      <c r="I802" s="2" t="s">
        <v>1707</v>
      </c>
      <c r="J802" s="28" t="s">
        <v>73</v>
      </c>
      <c r="K802" s="28" t="s">
        <v>1765</v>
      </c>
      <c r="L802" s="41" t="s">
        <v>731</v>
      </c>
      <c r="M802" s="4" t="s">
        <v>3</v>
      </c>
      <c r="N802" s="15">
        <v>24946722</v>
      </c>
      <c r="O802" s="88" t="s">
        <v>1252</v>
      </c>
      <c r="P802" s="38">
        <v>27731</v>
      </c>
      <c r="Q802" s="38"/>
      <c r="R802" s="38"/>
      <c r="S802" s="38"/>
      <c r="T802" s="38"/>
      <c r="U802" s="17" t="s">
        <v>215</v>
      </c>
      <c r="V802" s="17" t="s">
        <v>915</v>
      </c>
      <c r="W802" s="12">
        <v>42156</v>
      </c>
      <c r="X802" s="13"/>
      <c r="Y802" s="12">
        <v>42735</v>
      </c>
      <c r="Z802" s="2"/>
      <c r="AA802" s="2" t="s">
        <v>479</v>
      </c>
      <c r="AB802" s="3" t="s">
        <v>10</v>
      </c>
      <c r="AC802" s="5">
        <v>1000</v>
      </c>
      <c r="AD802" s="5">
        <v>1070</v>
      </c>
      <c r="AE802" s="5">
        <v>1170</v>
      </c>
      <c r="AF802" s="5">
        <f t="shared" si="816"/>
        <v>1310</v>
      </c>
      <c r="AG802" s="5">
        <f t="shared" si="860"/>
        <v>1310</v>
      </c>
      <c r="AH802" s="5">
        <f t="shared" si="860"/>
        <v>1310</v>
      </c>
      <c r="AI802" s="5">
        <f t="shared" ref="AI802:AJ802" si="864">+AH802</f>
        <v>1310</v>
      </c>
      <c r="AJ802" s="5">
        <f t="shared" si="864"/>
        <v>1310</v>
      </c>
      <c r="AK802" s="2" t="s">
        <v>43</v>
      </c>
      <c r="AL802" s="105" t="str">
        <f>+AK802</f>
        <v>A0</v>
      </c>
    </row>
    <row r="803" spans="1:38" ht="15" customHeight="1" x14ac:dyDescent="0.2">
      <c r="A803" s="29" t="s">
        <v>824</v>
      </c>
      <c r="B803" s="29" t="s">
        <v>822</v>
      </c>
      <c r="C803" s="14"/>
      <c r="D803" s="2" t="s">
        <v>1833</v>
      </c>
      <c r="E803" s="2" t="s">
        <v>1109</v>
      </c>
      <c r="F803" s="2"/>
      <c r="G803" s="2"/>
      <c r="H803" s="2" t="s">
        <v>884</v>
      </c>
      <c r="I803" s="28" t="s">
        <v>1707</v>
      </c>
      <c r="J803" s="28"/>
      <c r="K803" s="28" t="s">
        <v>1765</v>
      </c>
      <c r="L803" s="41" t="s">
        <v>955</v>
      </c>
      <c r="M803" s="4" t="s">
        <v>3</v>
      </c>
      <c r="N803" s="15">
        <v>33275553</v>
      </c>
      <c r="O803" s="88" t="s">
        <v>1441</v>
      </c>
      <c r="P803" s="38">
        <v>31983</v>
      </c>
      <c r="Q803" s="38"/>
      <c r="R803" s="38"/>
      <c r="S803" s="38"/>
      <c r="T803" s="38"/>
      <c r="U803" s="17" t="s">
        <v>215</v>
      </c>
      <c r="V803" s="17" t="s">
        <v>915</v>
      </c>
      <c r="W803" s="12"/>
      <c r="X803" s="12"/>
      <c r="Y803" s="12">
        <v>42735</v>
      </c>
      <c r="Z803" s="2"/>
      <c r="AA803" s="2" t="s">
        <v>479</v>
      </c>
      <c r="AB803" s="3"/>
      <c r="AC803" s="5">
        <v>1000</v>
      </c>
      <c r="AD803" s="5">
        <f>+AC803*1.07</f>
        <v>1070</v>
      </c>
      <c r="AE803" s="5">
        <v>1170</v>
      </c>
      <c r="AF803" s="5">
        <f t="shared" si="816"/>
        <v>1310</v>
      </c>
      <c r="AG803" s="5">
        <f t="shared" si="860"/>
        <v>1310</v>
      </c>
      <c r="AH803" s="5">
        <f t="shared" si="860"/>
        <v>1310</v>
      </c>
      <c r="AI803" s="5">
        <f t="shared" ref="AI803:AJ803" si="865">+AH803</f>
        <v>1310</v>
      </c>
      <c r="AJ803" s="5">
        <f t="shared" si="865"/>
        <v>1310</v>
      </c>
      <c r="AK803" s="2" t="s">
        <v>53</v>
      </c>
      <c r="AL803" s="105" t="str">
        <f>+AK803</f>
        <v>B0</v>
      </c>
    </row>
    <row r="804" spans="1:38" ht="15" customHeight="1" x14ac:dyDescent="0.2">
      <c r="A804" s="29" t="s">
        <v>824</v>
      </c>
      <c r="B804" s="29" t="s">
        <v>822</v>
      </c>
      <c r="C804" s="29" t="s">
        <v>823</v>
      </c>
      <c r="D804" s="2" t="s">
        <v>800</v>
      </c>
      <c r="E804" s="7" t="s">
        <v>541</v>
      </c>
      <c r="F804" s="7"/>
      <c r="G804" s="7"/>
      <c r="H804" s="8"/>
      <c r="I804" s="3" t="s">
        <v>1714</v>
      </c>
      <c r="J804" s="28" t="s">
        <v>254</v>
      </c>
      <c r="K804" s="28" t="s">
        <v>1767</v>
      </c>
      <c r="L804" s="42" t="s">
        <v>428</v>
      </c>
      <c r="M804" s="4" t="s">
        <v>3</v>
      </c>
      <c r="N804" s="15">
        <v>29975332</v>
      </c>
      <c r="O804" s="88" t="s">
        <v>1359</v>
      </c>
      <c r="P804" s="38">
        <v>30332</v>
      </c>
      <c r="Q804" s="38"/>
      <c r="R804" s="38"/>
      <c r="S804" s="38"/>
      <c r="T804" s="38"/>
      <c r="U804" s="17" t="s">
        <v>215</v>
      </c>
      <c r="V804" s="17" t="s">
        <v>915</v>
      </c>
      <c r="W804" s="12">
        <v>41791</v>
      </c>
      <c r="X804" s="20"/>
      <c r="Y804" s="12">
        <v>42735</v>
      </c>
      <c r="Z804" s="2"/>
      <c r="AA804" s="2" t="s">
        <v>479</v>
      </c>
      <c r="AB804" s="24" t="s">
        <v>479</v>
      </c>
      <c r="AC804" s="5">
        <v>1000</v>
      </c>
      <c r="AD804" s="5">
        <v>1070</v>
      </c>
      <c r="AE804" s="5">
        <v>1170</v>
      </c>
      <c r="AF804" s="5">
        <f t="shared" si="816"/>
        <v>1310</v>
      </c>
      <c r="AG804" s="5">
        <f t="shared" si="860"/>
        <v>1310</v>
      </c>
      <c r="AH804" s="5">
        <f t="shared" si="860"/>
        <v>1310</v>
      </c>
      <c r="AI804" s="5">
        <f t="shared" ref="AI804:AJ804" si="866">+AH804</f>
        <v>1310</v>
      </c>
      <c r="AJ804" s="5">
        <f t="shared" si="866"/>
        <v>1310</v>
      </c>
      <c r="AK804" s="29" t="s">
        <v>42</v>
      </c>
      <c r="AL804" s="105" t="str">
        <f>+AK804</f>
        <v>C0</v>
      </c>
    </row>
    <row r="805" spans="1:38" ht="15" customHeight="1" x14ac:dyDescent="0.2">
      <c r="A805" s="29" t="s">
        <v>824</v>
      </c>
      <c r="B805" s="2" t="s">
        <v>822</v>
      </c>
      <c r="C805" s="29" t="s">
        <v>823</v>
      </c>
      <c r="D805" s="2" t="s">
        <v>808</v>
      </c>
      <c r="E805" s="2" t="s">
        <v>216</v>
      </c>
      <c r="F805" s="2" t="s">
        <v>1066</v>
      </c>
      <c r="G805" s="7"/>
      <c r="H805" s="8"/>
      <c r="I805" s="2" t="s">
        <v>1066</v>
      </c>
      <c r="J805" s="28"/>
      <c r="K805" s="28" t="s">
        <v>1765</v>
      </c>
      <c r="L805" s="42" t="s">
        <v>1135</v>
      </c>
      <c r="M805" s="7" t="s">
        <v>3</v>
      </c>
      <c r="N805" s="15">
        <v>37805084</v>
      </c>
      <c r="O805" s="88">
        <v>20378050848</v>
      </c>
      <c r="P805" s="38">
        <v>34171</v>
      </c>
      <c r="Q805" s="38"/>
      <c r="R805" s="38"/>
      <c r="S805" s="38"/>
      <c r="T805" s="38"/>
      <c r="U805" s="17" t="s">
        <v>215</v>
      </c>
      <c r="V805" s="16" t="s">
        <v>915</v>
      </c>
      <c r="W805" s="12">
        <v>42522</v>
      </c>
      <c r="X805" s="48"/>
      <c r="Y805" s="12">
        <v>42735</v>
      </c>
      <c r="Z805" s="2"/>
      <c r="AA805" s="2" t="s">
        <v>479</v>
      </c>
      <c r="AB805" s="18"/>
      <c r="AC805" s="5"/>
      <c r="AD805" s="5">
        <v>1070</v>
      </c>
      <c r="AE805" s="5">
        <v>1170</v>
      </c>
      <c r="AF805" s="5">
        <f t="shared" si="816"/>
        <v>0</v>
      </c>
      <c r="AG805" s="5">
        <f t="shared" si="860"/>
        <v>0</v>
      </c>
      <c r="AH805" s="5">
        <f t="shared" si="860"/>
        <v>0</v>
      </c>
      <c r="AI805" s="5">
        <f t="shared" ref="AI805:AJ805" si="867">+AH805</f>
        <v>0</v>
      </c>
      <c r="AJ805" s="5">
        <f t="shared" si="867"/>
        <v>0</v>
      </c>
      <c r="AK805" s="2" t="s">
        <v>42</v>
      </c>
      <c r="AL805" s="105" t="str">
        <f>+AK805</f>
        <v>C0</v>
      </c>
    </row>
    <row r="806" spans="1:38" ht="15" customHeight="1" x14ac:dyDescent="0.2">
      <c r="A806" s="29" t="s">
        <v>824</v>
      </c>
      <c r="B806" s="2" t="s">
        <v>822</v>
      </c>
      <c r="C806" s="29" t="s">
        <v>823</v>
      </c>
      <c r="D806" s="2" t="s">
        <v>808</v>
      </c>
      <c r="E806" s="2" t="s">
        <v>216</v>
      </c>
      <c r="F806" s="2" t="s">
        <v>1066</v>
      </c>
      <c r="G806" s="2"/>
      <c r="H806" s="2"/>
      <c r="I806" s="2" t="s">
        <v>1066</v>
      </c>
      <c r="J806" s="28"/>
      <c r="K806" s="28" t="s">
        <v>1765</v>
      </c>
      <c r="L806" s="44" t="s">
        <v>1626</v>
      </c>
      <c r="M806" s="7" t="s">
        <v>3</v>
      </c>
      <c r="N806" s="15">
        <v>40946532</v>
      </c>
      <c r="O806" s="88"/>
      <c r="P806" s="38">
        <v>35930</v>
      </c>
      <c r="Q806" s="38"/>
      <c r="R806" s="38"/>
      <c r="S806" s="38"/>
      <c r="T806" s="38"/>
      <c r="U806" s="17" t="s">
        <v>215</v>
      </c>
      <c r="V806" s="17" t="s">
        <v>915</v>
      </c>
      <c r="W806" s="12">
        <v>42552</v>
      </c>
      <c r="X806" s="12"/>
      <c r="Y806" s="12">
        <v>42735</v>
      </c>
      <c r="Z806" s="2"/>
      <c r="AA806" s="2" t="s">
        <v>479</v>
      </c>
      <c r="AB806" s="7"/>
      <c r="AC806" s="5"/>
      <c r="AD806" s="5"/>
      <c r="AE806" s="5">
        <v>1170</v>
      </c>
      <c r="AF806" s="5">
        <f t="shared" si="816"/>
        <v>0</v>
      </c>
      <c r="AG806" s="5">
        <f t="shared" si="860"/>
        <v>0</v>
      </c>
      <c r="AH806" s="5">
        <f t="shared" si="860"/>
        <v>0</v>
      </c>
      <c r="AI806" s="5">
        <f t="shared" ref="AI806:AJ806" si="868">+AH806</f>
        <v>0</v>
      </c>
      <c r="AJ806" s="5">
        <f t="shared" si="868"/>
        <v>0</v>
      </c>
      <c r="AK806" s="2" t="s">
        <v>42</v>
      </c>
      <c r="AL806" s="105" t="str">
        <f>+AK806</f>
        <v>C0</v>
      </c>
    </row>
    <row r="807" spans="1:38" ht="15" customHeight="1" x14ac:dyDescent="0.2">
      <c r="A807" s="29" t="s">
        <v>824</v>
      </c>
      <c r="B807" s="29" t="s">
        <v>822</v>
      </c>
      <c r="C807" s="29" t="s">
        <v>823</v>
      </c>
      <c r="D807" s="2" t="s">
        <v>808</v>
      </c>
      <c r="E807" s="2" t="s">
        <v>59</v>
      </c>
      <c r="F807" s="3"/>
      <c r="G807" s="3"/>
      <c r="H807" s="2" t="s">
        <v>221</v>
      </c>
      <c r="I807" s="3"/>
      <c r="J807" s="28" t="s">
        <v>73</v>
      </c>
      <c r="K807" s="28"/>
      <c r="L807" s="44" t="s">
        <v>181</v>
      </c>
      <c r="M807" s="4" t="s">
        <v>3</v>
      </c>
      <c r="N807" s="15">
        <v>23126327</v>
      </c>
      <c r="O807" s="88">
        <v>20231263277</v>
      </c>
      <c r="P807" s="38"/>
      <c r="Q807" s="38"/>
      <c r="R807" s="38"/>
      <c r="S807" s="38"/>
      <c r="T807" s="38"/>
      <c r="U807" s="16" t="s">
        <v>796</v>
      </c>
      <c r="V807" s="16" t="s">
        <v>916</v>
      </c>
      <c r="W807" s="12">
        <v>40378</v>
      </c>
      <c r="X807" s="48">
        <v>42735</v>
      </c>
      <c r="Y807" s="12">
        <v>42735</v>
      </c>
      <c r="Z807" s="2" t="s">
        <v>30</v>
      </c>
      <c r="AA807" s="2"/>
      <c r="AB807" s="14"/>
      <c r="AC807" s="5">
        <v>1000</v>
      </c>
      <c r="AD807" s="5"/>
      <c r="AE807" s="5">
        <v>1170</v>
      </c>
      <c r="AF807" s="5">
        <f t="shared" si="816"/>
        <v>1310</v>
      </c>
      <c r="AG807" s="5">
        <f t="shared" si="860"/>
        <v>1310</v>
      </c>
      <c r="AH807" s="5">
        <f t="shared" si="860"/>
        <v>1310</v>
      </c>
      <c r="AI807" s="5">
        <f t="shared" ref="AI807:AJ807" si="869">+AH807</f>
        <v>1310</v>
      </c>
      <c r="AJ807" s="5">
        <f t="shared" si="869"/>
        <v>1310</v>
      </c>
      <c r="AK807" s="29"/>
      <c r="AL807" s="105" t="str">
        <f>+Z807</f>
        <v>B1</v>
      </c>
    </row>
    <row r="808" spans="1:38" ht="15" customHeight="1" x14ac:dyDescent="0.2">
      <c r="A808" s="29" t="s">
        <v>824</v>
      </c>
      <c r="B808" s="29" t="s">
        <v>822</v>
      </c>
      <c r="C808" s="29" t="s">
        <v>823</v>
      </c>
      <c r="D808" s="2" t="s">
        <v>808</v>
      </c>
      <c r="E808" s="7" t="s">
        <v>20</v>
      </c>
      <c r="F808" s="7"/>
      <c r="G808" s="7"/>
      <c r="H808" s="8"/>
      <c r="I808" s="2" t="s">
        <v>235</v>
      </c>
      <c r="J808" s="28"/>
      <c r="K808" s="28" t="s">
        <v>1765</v>
      </c>
      <c r="L808" s="42" t="s">
        <v>1022</v>
      </c>
      <c r="M808" s="7" t="s">
        <v>3</v>
      </c>
      <c r="N808" s="15">
        <v>30530974</v>
      </c>
      <c r="O808" s="88" t="s">
        <v>1373</v>
      </c>
      <c r="P808" s="38">
        <v>30807</v>
      </c>
      <c r="Q808" s="38"/>
      <c r="R808" s="38"/>
      <c r="S808" s="38"/>
      <c r="T808" s="38"/>
      <c r="U808" s="17" t="s">
        <v>215</v>
      </c>
      <c r="V808" s="17" t="s">
        <v>915</v>
      </c>
      <c r="W808" s="12">
        <v>42461</v>
      </c>
      <c r="X808" s="20"/>
      <c r="Y808" s="12">
        <v>42735</v>
      </c>
      <c r="Z808" s="2"/>
      <c r="AA808" s="2" t="s">
        <v>479</v>
      </c>
      <c r="AB808" s="24"/>
      <c r="AC808" s="5">
        <v>1000</v>
      </c>
      <c r="AD808" s="5">
        <f>+AC808*1.07</f>
        <v>1070</v>
      </c>
      <c r="AE808" s="5">
        <v>1170</v>
      </c>
      <c r="AF808" s="5">
        <f t="shared" si="816"/>
        <v>1310</v>
      </c>
      <c r="AG808" s="5">
        <f t="shared" si="860"/>
        <v>1310</v>
      </c>
      <c r="AH808" s="5">
        <f t="shared" si="860"/>
        <v>1310</v>
      </c>
      <c r="AI808" s="5">
        <f t="shared" ref="AI808:AJ808" si="870">+AH808</f>
        <v>1310</v>
      </c>
      <c r="AJ808" s="5">
        <f t="shared" si="870"/>
        <v>1310</v>
      </c>
      <c r="AK808" s="2" t="s">
        <v>53</v>
      </c>
      <c r="AL808" s="105" t="str">
        <f>+AK808</f>
        <v>B0</v>
      </c>
    </row>
    <row r="809" spans="1:38" ht="15" customHeight="1" x14ac:dyDescent="0.2">
      <c r="A809" s="29" t="s">
        <v>824</v>
      </c>
      <c r="B809" s="29" t="s">
        <v>822</v>
      </c>
      <c r="C809" s="29" t="s">
        <v>823</v>
      </c>
      <c r="D809" s="2" t="s">
        <v>808</v>
      </c>
      <c r="E809" s="2" t="s">
        <v>909</v>
      </c>
      <c r="F809" s="2" t="s">
        <v>813</v>
      </c>
      <c r="G809" s="3" t="s">
        <v>519</v>
      </c>
      <c r="H809" s="2" t="s">
        <v>226</v>
      </c>
      <c r="I809" s="2" t="s">
        <v>247</v>
      </c>
      <c r="J809" s="28" t="s">
        <v>73</v>
      </c>
      <c r="K809" s="28" t="s">
        <v>1765</v>
      </c>
      <c r="L809" s="43" t="s">
        <v>182</v>
      </c>
      <c r="M809" s="4" t="s">
        <v>3</v>
      </c>
      <c r="N809" s="15">
        <v>27257335</v>
      </c>
      <c r="O809" s="88" t="s">
        <v>1309</v>
      </c>
      <c r="P809" s="38">
        <v>28999</v>
      </c>
      <c r="Q809" s="38"/>
      <c r="R809" s="38"/>
      <c r="S809" s="38"/>
      <c r="T809" s="38"/>
      <c r="U809" s="17" t="s">
        <v>215</v>
      </c>
      <c r="V809" s="17" t="s">
        <v>915</v>
      </c>
      <c r="W809" s="12">
        <v>42083</v>
      </c>
      <c r="X809" s="37"/>
      <c r="Y809" s="12">
        <v>42735</v>
      </c>
      <c r="Z809" s="2"/>
      <c r="AA809" s="2" t="s">
        <v>479</v>
      </c>
      <c r="AB809" s="14" t="s">
        <v>539</v>
      </c>
      <c r="AC809" s="5">
        <v>1000</v>
      </c>
      <c r="AD809" s="5">
        <v>1070</v>
      </c>
      <c r="AE809" s="5">
        <v>1170</v>
      </c>
      <c r="AF809" s="5">
        <f t="shared" si="816"/>
        <v>1310</v>
      </c>
      <c r="AG809" s="5">
        <f t="shared" si="860"/>
        <v>1310</v>
      </c>
      <c r="AH809" s="5">
        <f t="shared" si="860"/>
        <v>1310</v>
      </c>
      <c r="AI809" s="5">
        <f t="shared" ref="AI809:AJ809" si="871">+AH809</f>
        <v>1310</v>
      </c>
      <c r="AJ809" s="5">
        <f t="shared" si="871"/>
        <v>1310</v>
      </c>
      <c r="AK809" s="2" t="s">
        <v>53</v>
      </c>
      <c r="AL809" s="105" t="str">
        <f>+AK809</f>
        <v>B0</v>
      </c>
    </row>
    <row r="810" spans="1:38" ht="15" customHeight="1" x14ac:dyDescent="0.2">
      <c r="A810" s="29" t="s">
        <v>824</v>
      </c>
      <c r="B810" s="29"/>
      <c r="C810" s="3"/>
      <c r="D810" s="2" t="s">
        <v>820</v>
      </c>
      <c r="E810" s="2" t="s">
        <v>63</v>
      </c>
      <c r="F810" s="2"/>
      <c r="G810" s="2"/>
      <c r="H810" s="2" t="s">
        <v>27</v>
      </c>
      <c r="I810" s="3"/>
      <c r="J810" s="28" t="s">
        <v>73</v>
      </c>
      <c r="K810" s="28"/>
      <c r="L810" s="41" t="s">
        <v>732</v>
      </c>
      <c r="M810" s="4" t="s">
        <v>3</v>
      </c>
      <c r="N810" s="15">
        <v>31464052</v>
      </c>
      <c r="O810" s="88">
        <v>20314640528</v>
      </c>
      <c r="P810" s="61"/>
      <c r="Q810" s="61"/>
      <c r="R810" s="61"/>
      <c r="S810" s="61"/>
      <c r="T810" s="61"/>
      <c r="U810" s="16" t="s">
        <v>796</v>
      </c>
      <c r="V810" s="16" t="s">
        <v>916</v>
      </c>
      <c r="W810" s="12">
        <v>42064</v>
      </c>
      <c r="X810" s="12">
        <v>42460</v>
      </c>
      <c r="Y810" s="12">
        <v>42735</v>
      </c>
      <c r="Z810" s="2" t="s">
        <v>43</v>
      </c>
      <c r="AA810" s="2"/>
      <c r="AB810" s="3"/>
      <c r="AC810" s="5">
        <v>1000</v>
      </c>
      <c r="AD810" s="5"/>
      <c r="AE810" s="5">
        <v>1170</v>
      </c>
      <c r="AF810" s="5">
        <f t="shared" si="816"/>
        <v>1310</v>
      </c>
      <c r="AG810" s="5">
        <f t="shared" si="860"/>
        <v>1310</v>
      </c>
      <c r="AH810" s="5">
        <f t="shared" si="860"/>
        <v>1310</v>
      </c>
      <c r="AI810" s="5">
        <f t="shared" ref="AI810:AJ810" si="872">+AH810</f>
        <v>1310</v>
      </c>
      <c r="AJ810" s="5">
        <f t="shared" si="872"/>
        <v>1310</v>
      </c>
      <c r="AK810" s="29"/>
      <c r="AL810" s="105" t="str">
        <f>+Z810</f>
        <v>A0</v>
      </c>
    </row>
    <row r="811" spans="1:38" ht="15" customHeight="1" x14ac:dyDescent="0.2">
      <c r="A811" s="29" t="s">
        <v>824</v>
      </c>
      <c r="B811" s="29"/>
      <c r="C811" s="3"/>
      <c r="D811" s="2" t="s">
        <v>820</v>
      </c>
      <c r="E811" s="2" t="s">
        <v>63</v>
      </c>
      <c r="F811" s="2"/>
      <c r="G811" s="2"/>
      <c r="H811" s="2" t="s">
        <v>27</v>
      </c>
      <c r="I811" s="2" t="s">
        <v>1707</v>
      </c>
      <c r="J811" s="28"/>
      <c r="K811" s="28" t="s">
        <v>1765</v>
      </c>
      <c r="L811" s="44" t="s">
        <v>835</v>
      </c>
      <c r="M811" s="7" t="s">
        <v>3</v>
      </c>
      <c r="N811" s="15">
        <v>35317218</v>
      </c>
      <c r="O811" s="88" t="s">
        <v>1491</v>
      </c>
      <c r="P811" s="38">
        <v>33092</v>
      </c>
      <c r="Q811" s="38"/>
      <c r="R811" s="38"/>
      <c r="S811" s="38"/>
      <c r="T811" s="38"/>
      <c r="U811" s="17" t="s">
        <v>215</v>
      </c>
      <c r="V811" s="17" t="s">
        <v>915</v>
      </c>
      <c r="W811" s="12"/>
      <c r="X811" s="12"/>
      <c r="Y811" s="12">
        <v>42735</v>
      </c>
      <c r="Z811" s="2"/>
      <c r="AA811" s="2" t="s">
        <v>479</v>
      </c>
      <c r="AB811" s="7"/>
      <c r="AC811" s="5">
        <v>1000</v>
      </c>
      <c r="AD811" s="5">
        <f>+AC811*1.07</f>
        <v>1070</v>
      </c>
      <c r="AE811" s="5">
        <v>1170</v>
      </c>
      <c r="AF811" s="5">
        <f t="shared" si="816"/>
        <v>1310</v>
      </c>
      <c r="AG811" s="5">
        <f t="shared" si="860"/>
        <v>1310</v>
      </c>
      <c r="AH811" s="5">
        <f t="shared" si="860"/>
        <v>1310</v>
      </c>
      <c r="AI811" s="5">
        <f t="shared" ref="AI811:AJ811" si="873">+AH811</f>
        <v>1310</v>
      </c>
      <c r="AJ811" s="5">
        <f t="shared" si="873"/>
        <v>1310</v>
      </c>
      <c r="AK811" s="2" t="s">
        <v>53</v>
      </c>
      <c r="AL811" s="105" t="str">
        <f>+AK811</f>
        <v>B0</v>
      </c>
    </row>
    <row r="812" spans="1:38" ht="15" customHeight="1" x14ac:dyDescent="0.2">
      <c r="A812" s="29" t="s">
        <v>824</v>
      </c>
      <c r="B812" s="2" t="s">
        <v>822</v>
      </c>
      <c r="C812" s="3"/>
      <c r="D812" s="2" t="s">
        <v>825</v>
      </c>
      <c r="E812" s="3" t="s">
        <v>18</v>
      </c>
      <c r="F812" s="2" t="s">
        <v>19</v>
      </c>
      <c r="G812" s="2"/>
      <c r="H812" s="2" t="s">
        <v>37</v>
      </c>
      <c r="I812" s="2" t="s">
        <v>1761</v>
      </c>
      <c r="J812" s="28" t="s">
        <v>548</v>
      </c>
      <c r="K812" s="28" t="s">
        <v>548</v>
      </c>
      <c r="L812" s="44" t="s">
        <v>988</v>
      </c>
      <c r="M812" s="7" t="s">
        <v>3</v>
      </c>
      <c r="N812" s="47">
        <v>25296801</v>
      </c>
      <c r="O812" s="88" t="s">
        <v>1263</v>
      </c>
      <c r="P812" s="38">
        <v>27881</v>
      </c>
      <c r="Q812" s="38"/>
      <c r="R812" s="38"/>
      <c r="S812" s="38"/>
      <c r="T812" s="38"/>
      <c r="U812" s="17" t="s">
        <v>215</v>
      </c>
      <c r="V812" s="17" t="s">
        <v>915</v>
      </c>
      <c r="W812" s="12">
        <v>40525</v>
      </c>
      <c r="X812" s="12"/>
      <c r="Y812" s="12">
        <v>42735</v>
      </c>
      <c r="Z812" s="2"/>
      <c r="AA812" s="2" t="s">
        <v>479</v>
      </c>
      <c r="AB812" s="7"/>
      <c r="AC812" s="5">
        <v>1000</v>
      </c>
      <c r="AD812" s="5">
        <f>+AC812</f>
        <v>1000</v>
      </c>
      <c r="AE812" s="5">
        <v>1170</v>
      </c>
      <c r="AF812" s="5">
        <f t="shared" si="816"/>
        <v>1310</v>
      </c>
      <c r="AG812" s="5">
        <f t="shared" si="860"/>
        <v>1310</v>
      </c>
      <c r="AH812" s="5">
        <f t="shared" si="860"/>
        <v>1310</v>
      </c>
      <c r="AI812" s="5">
        <f t="shared" ref="AI812:AJ812" si="874">+AH812</f>
        <v>1310</v>
      </c>
      <c r="AJ812" s="5">
        <f t="shared" si="874"/>
        <v>1310</v>
      </c>
      <c r="AK812" s="2"/>
      <c r="AL812" s="106"/>
    </row>
    <row r="813" spans="1:38" ht="15" customHeight="1" x14ac:dyDescent="0.2">
      <c r="A813" s="29" t="s">
        <v>824</v>
      </c>
      <c r="B813" s="29" t="s">
        <v>822</v>
      </c>
      <c r="C813" s="29" t="s">
        <v>823</v>
      </c>
      <c r="D813" s="2" t="s">
        <v>800</v>
      </c>
      <c r="E813" s="2" t="s">
        <v>490</v>
      </c>
      <c r="F813" s="2"/>
      <c r="G813" s="2"/>
      <c r="H813" s="2"/>
      <c r="I813" s="3"/>
      <c r="J813" s="28" t="s">
        <v>254</v>
      </c>
      <c r="K813" s="28"/>
      <c r="L813" s="42" t="s">
        <v>337</v>
      </c>
      <c r="M813" s="4" t="s">
        <v>3</v>
      </c>
      <c r="N813" s="15">
        <v>29107451</v>
      </c>
      <c r="O813" s="88">
        <v>20291074511</v>
      </c>
      <c r="P813" s="38"/>
      <c r="Q813" s="38"/>
      <c r="R813" s="38"/>
      <c r="S813" s="38"/>
      <c r="T813" s="38"/>
      <c r="U813" s="16" t="s">
        <v>796</v>
      </c>
      <c r="V813" s="16" t="s">
        <v>916</v>
      </c>
      <c r="W813" s="12">
        <v>41243</v>
      </c>
      <c r="X813" s="48">
        <v>42735</v>
      </c>
      <c r="Y813" s="12">
        <v>42735</v>
      </c>
      <c r="Z813" s="2" t="s">
        <v>1817</v>
      </c>
      <c r="AA813" s="2"/>
      <c r="AB813" s="18"/>
      <c r="AC813" s="5">
        <v>1000</v>
      </c>
      <c r="AD813" s="5"/>
      <c r="AE813" s="5">
        <v>1170</v>
      </c>
      <c r="AF813" s="5">
        <f t="shared" si="816"/>
        <v>1310</v>
      </c>
      <c r="AG813" s="5">
        <f t="shared" si="860"/>
        <v>1310</v>
      </c>
      <c r="AH813" s="5">
        <f t="shared" si="860"/>
        <v>1310</v>
      </c>
      <c r="AI813" s="5">
        <f t="shared" ref="AI813:AJ813" si="875">+AH813</f>
        <v>1310</v>
      </c>
      <c r="AJ813" s="5">
        <f t="shared" si="875"/>
        <v>1310</v>
      </c>
      <c r="AK813" s="29"/>
      <c r="AL813" s="105" t="str">
        <f>+Z813</f>
        <v>F0</v>
      </c>
    </row>
    <row r="814" spans="1:38" ht="15" customHeight="1" x14ac:dyDescent="0.2">
      <c r="A814" s="29" t="s">
        <v>824</v>
      </c>
      <c r="B814" s="29" t="s">
        <v>822</v>
      </c>
      <c r="C814" s="29" t="s">
        <v>823</v>
      </c>
      <c r="D814" s="2" t="s">
        <v>800</v>
      </c>
      <c r="E814" s="2" t="s">
        <v>486</v>
      </c>
      <c r="F814" s="2"/>
      <c r="G814" s="2"/>
      <c r="H814" s="2" t="s">
        <v>1710</v>
      </c>
      <c r="I814" s="3" t="s">
        <v>1754</v>
      </c>
      <c r="J814" s="28" t="s">
        <v>254</v>
      </c>
      <c r="K814" s="28"/>
      <c r="L814" s="42" t="s">
        <v>1691</v>
      </c>
      <c r="M814" s="4" t="s">
        <v>3</v>
      </c>
      <c r="N814" s="15">
        <v>35561305</v>
      </c>
      <c r="O814" s="88">
        <v>23355613054</v>
      </c>
      <c r="P814" s="38">
        <v>33203</v>
      </c>
      <c r="Q814" s="38"/>
      <c r="R814" s="38"/>
      <c r="S814" s="38"/>
      <c r="T814" s="38"/>
      <c r="U814" s="17" t="s">
        <v>215</v>
      </c>
      <c r="V814" s="17" t="s">
        <v>1698</v>
      </c>
      <c r="W814" s="12">
        <v>41821</v>
      </c>
      <c r="X814" s="20"/>
      <c r="Y814" s="12">
        <v>42735</v>
      </c>
      <c r="Z814" s="2"/>
      <c r="AA814" s="2" t="s">
        <v>479</v>
      </c>
      <c r="AB814" s="25" t="s">
        <v>479</v>
      </c>
      <c r="AC814" s="5">
        <v>1000</v>
      </c>
      <c r="AD814" s="5">
        <f>+AC814*1.07</f>
        <v>1070</v>
      </c>
      <c r="AE814" s="5">
        <v>1170</v>
      </c>
      <c r="AF814" s="5">
        <f t="shared" si="816"/>
        <v>1310</v>
      </c>
      <c r="AG814" s="5">
        <f t="shared" si="860"/>
        <v>1310</v>
      </c>
      <c r="AH814" s="5">
        <f t="shared" si="860"/>
        <v>1310</v>
      </c>
      <c r="AI814" s="5">
        <f t="shared" ref="AI814:AJ814" si="876">+AH814</f>
        <v>1310</v>
      </c>
      <c r="AJ814" s="5">
        <f t="shared" si="876"/>
        <v>1310</v>
      </c>
      <c r="AK814" s="29"/>
      <c r="AL814" s="107" t="s">
        <v>1818</v>
      </c>
    </row>
    <row r="815" spans="1:38" ht="15" customHeight="1" x14ac:dyDescent="0.2">
      <c r="A815" s="29" t="s">
        <v>824</v>
      </c>
      <c r="B815" s="29" t="s">
        <v>822</v>
      </c>
      <c r="C815" s="29" t="s">
        <v>823</v>
      </c>
      <c r="D815" s="2" t="s">
        <v>800</v>
      </c>
      <c r="E815" s="2" t="s">
        <v>486</v>
      </c>
      <c r="F815" s="2"/>
      <c r="G815" s="2"/>
      <c r="H815" s="2" t="s">
        <v>1710</v>
      </c>
      <c r="I815" s="3" t="s">
        <v>1754</v>
      </c>
      <c r="J815" s="28" t="s">
        <v>254</v>
      </c>
      <c r="K815" s="28"/>
      <c r="L815" s="42" t="s">
        <v>316</v>
      </c>
      <c r="M815" s="4" t="s">
        <v>3</v>
      </c>
      <c r="N815" s="15">
        <v>17038143</v>
      </c>
      <c r="O815" s="88">
        <v>20170381433</v>
      </c>
      <c r="P815" s="38">
        <v>23762</v>
      </c>
      <c r="Q815" s="38"/>
      <c r="R815" s="38"/>
      <c r="S815" s="38"/>
      <c r="T815" s="38"/>
      <c r="U815" s="17" t="s">
        <v>215</v>
      </c>
      <c r="V815" s="17" t="s">
        <v>1698</v>
      </c>
      <c r="W815" s="12"/>
      <c r="X815" s="20"/>
      <c r="Y815" s="12">
        <v>42735</v>
      </c>
      <c r="Z815" s="2"/>
      <c r="AA815" s="2" t="s">
        <v>479</v>
      </c>
      <c r="AB815" s="25" t="s">
        <v>479</v>
      </c>
      <c r="AC815" s="5">
        <v>1000</v>
      </c>
      <c r="AD815" s="5">
        <f>+AC815*1.07</f>
        <v>1070</v>
      </c>
      <c r="AE815" s="5">
        <v>1170</v>
      </c>
      <c r="AF815" s="5">
        <f t="shared" si="816"/>
        <v>1310</v>
      </c>
      <c r="AG815" s="5">
        <f t="shared" si="860"/>
        <v>1310</v>
      </c>
      <c r="AH815" s="5">
        <f t="shared" si="860"/>
        <v>1310</v>
      </c>
      <c r="AI815" s="5">
        <f t="shared" ref="AI815:AJ815" si="877">+AH815</f>
        <v>1310</v>
      </c>
      <c r="AJ815" s="5">
        <f t="shared" si="877"/>
        <v>1310</v>
      </c>
      <c r="AK815" s="29"/>
      <c r="AL815" s="107" t="s">
        <v>1818</v>
      </c>
    </row>
    <row r="816" spans="1:38" ht="15" customHeight="1" x14ac:dyDescent="0.2">
      <c r="A816" s="29" t="s">
        <v>824</v>
      </c>
      <c r="B816" s="29"/>
      <c r="C816" s="14"/>
      <c r="D816" s="2" t="s">
        <v>820</v>
      </c>
      <c r="E816" s="2" t="s">
        <v>818</v>
      </c>
      <c r="F816" s="3"/>
      <c r="G816" s="3"/>
      <c r="H816" s="2" t="s">
        <v>221</v>
      </c>
      <c r="I816" s="2" t="s">
        <v>221</v>
      </c>
      <c r="J816" s="28" t="s">
        <v>73</v>
      </c>
      <c r="K816" s="28" t="s">
        <v>1765</v>
      </c>
      <c r="L816" s="43" t="s">
        <v>183</v>
      </c>
      <c r="M816" s="4" t="s">
        <v>3</v>
      </c>
      <c r="N816" s="15">
        <v>22777432</v>
      </c>
      <c r="O816" s="88" t="s">
        <v>1211</v>
      </c>
      <c r="P816" s="38">
        <v>26540</v>
      </c>
      <c r="Q816" s="38"/>
      <c r="R816" s="38"/>
      <c r="S816" s="38"/>
      <c r="T816" s="38"/>
      <c r="U816" s="17" t="s">
        <v>215</v>
      </c>
      <c r="V816" s="17" t="s">
        <v>915</v>
      </c>
      <c r="W816" s="12">
        <v>42145</v>
      </c>
      <c r="X816" s="37"/>
      <c r="Y816" s="12">
        <v>42735</v>
      </c>
      <c r="Z816" s="2"/>
      <c r="AA816" s="2" t="s">
        <v>479</v>
      </c>
      <c r="AB816" s="2" t="s">
        <v>782</v>
      </c>
      <c r="AC816" s="5">
        <v>1000</v>
      </c>
      <c r="AD816" s="5">
        <f>+AC816*1.07</f>
        <v>1070</v>
      </c>
      <c r="AE816" s="5">
        <v>1170</v>
      </c>
      <c r="AF816" s="5">
        <f t="shared" si="816"/>
        <v>1310</v>
      </c>
      <c r="AG816" s="5">
        <f t="shared" si="860"/>
        <v>1310</v>
      </c>
      <c r="AH816" s="5">
        <f t="shared" si="860"/>
        <v>1310</v>
      </c>
      <c r="AI816" s="5">
        <f t="shared" ref="AI816:AJ816" si="878">+AH816</f>
        <v>1310</v>
      </c>
      <c r="AJ816" s="5">
        <f t="shared" si="878"/>
        <v>1310</v>
      </c>
      <c r="AK816" s="29" t="s">
        <v>42</v>
      </c>
      <c r="AL816" s="105" t="str">
        <f>+AK816</f>
        <v>C0</v>
      </c>
    </row>
    <row r="817" spans="1:38" ht="15" customHeight="1" x14ac:dyDescent="0.2">
      <c r="A817" s="29" t="s">
        <v>824</v>
      </c>
      <c r="B817" s="2" t="s">
        <v>822</v>
      </c>
      <c r="C817" s="29" t="s">
        <v>823</v>
      </c>
      <c r="D817" s="2" t="s">
        <v>808</v>
      </c>
      <c r="E817" s="2" t="s">
        <v>216</v>
      </c>
      <c r="F817" s="2" t="s">
        <v>1066</v>
      </c>
      <c r="G817" s="2"/>
      <c r="H817" s="3"/>
      <c r="I817" s="2" t="s">
        <v>1066</v>
      </c>
      <c r="J817" s="28"/>
      <c r="K817" s="28" t="s">
        <v>1765</v>
      </c>
      <c r="L817" s="42" t="s">
        <v>1077</v>
      </c>
      <c r="M817" s="7" t="s">
        <v>3</v>
      </c>
      <c r="N817" s="15">
        <v>38625956</v>
      </c>
      <c r="O817" s="88">
        <v>27386259564</v>
      </c>
      <c r="P817" s="38">
        <v>34702</v>
      </c>
      <c r="Q817" s="38"/>
      <c r="R817" s="38"/>
      <c r="S817" s="38"/>
      <c r="T817" s="38"/>
      <c r="U817" s="17" t="s">
        <v>215</v>
      </c>
      <c r="V817" s="17" t="s">
        <v>915</v>
      </c>
      <c r="W817" s="12">
        <v>42491</v>
      </c>
      <c r="X817" s="19"/>
      <c r="Y817" s="12">
        <v>42735</v>
      </c>
      <c r="Z817" s="2"/>
      <c r="AA817" s="2" t="s">
        <v>479</v>
      </c>
      <c r="AB817" s="2"/>
      <c r="AC817" s="5">
        <v>1000</v>
      </c>
      <c r="AD817" s="5">
        <v>1070</v>
      </c>
      <c r="AE817" s="5">
        <v>1170</v>
      </c>
      <c r="AF817" s="5">
        <f t="shared" si="816"/>
        <v>1310</v>
      </c>
      <c r="AG817" s="5">
        <f t="shared" si="860"/>
        <v>1310</v>
      </c>
      <c r="AH817" s="5">
        <f t="shared" si="860"/>
        <v>1310</v>
      </c>
      <c r="AI817" s="5">
        <f t="shared" ref="AI817:AJ817" si="879">+AH817</f>
        <v>1310</v>
      </c>
      <c r="AJ817" s="5">
        <f t="shared" si="879"/>
        <v>1310</v>
      </c>
      <c r="AK817" s="2" t="s">
        <v>42</v>
      </c>
      <c r="AL817" s="105" t="str">
        <f>+AK817</f>
        <v>C0</v>
      </c>
    </row>
    <row r="818" spans="1:38" ht="15" customHeight="1" x14ac:dyDescent="0.2">
      <c r="A818" s="29" t="s">
        <v>824</v>
      </c>
      <c r="B818" s="29" t="s">
        <v>822</v>
      </c>
      <c r="C818" s="29" t="s">
        <v>823</v>
      </c>
      <c r="D818" s="2" t="s">
        <v>800</v>
      </c>
      <c r="E818" s="7" t="s">
        <v>503</v>
      </c>
      <c r="F818" s="7"/>
      <c r="G818" s="7"/>
      <c r="H818" s="8"/>
      <c r="I818" s="3"/>
      <c r="J818" s="28" t="s">
        <v>254</v>
      </c>
      <c r="K818" s="28"/>
      <c r="L818" s="42" t="s">
        <v>472</v>
      </c>
      <c r="M818" s="4" t="s">
        <v>3</v>
      </c>
      <c r="N818" s="15">
        <v>28165475</v>
      </c>
      <c r="O818" s="88">
        <v>27281654751</v>
      </c>
      <c r="P818" s="38"/>
      <c r="Q818" s="38"/>
      <c r="R818" s="38"/>
      <c r="S818" s="38"/>
      <c r="T818" s="38"/>
      <c r="U818" s="16" t="s">
        <v>796</v>
      </c>
      <c r="V818" s="16" t="s">
        <v>916</v>
      </c>
      <c r="W818" s="12">
        <v>41395</v>
      </c>
      <c r="X818" s="12">
        <v>42460</v>
      </c>
      <c r="Y818" s="12">
        <v>42735</v>
      </c>
      <c r="Z818" s="2" t="s">
        <v>42</v>
      </c>
      <c r="AA818" s="2"/>
      <c r="AB818" s="18"/>
      <c r="AC818" s="5">
        <v>1000</v>
      </c>
      <c r="AD818" s="5"/>
      <c r="AE818" s="5">
        <v>1170</v>
      </c>
      <c r="AF818" s="5">
        <f t="shared" si="816"/>
        <v>1310</v>
      </c>
      <c r="AG818" s="5">
        <f t="shared" si="860"/>
        <v>1310</v>
      </c>
      <c r="AH818" s="5">
        <f t="shared" si="860"/>
        <v>1310</v>
      </c>
      <c r="AI818" s="5">
        <f t="shared" ref="AI818:AJ818" si="880">+AH818</f>
        <v>1310</v>
      </c>
      <c r="AJ818" s="5">
        <f t="shared" si="880"/>
        <v>1310</v>
      </c>
      <c r="AK818" s="29"/>
      <c r="AL818" s="105" t="str">
        <f>+Z818</f>
        <v>C0</v>
      </c>
    </row>
    <row r="819" spans="1:38" ht="15" customHeight="1" x14ac:dyDescent="0.2">
      <c r="A819" s="29" t="s">
        <v>824</v>
      </c>
      <c r="B819" s="2" t="s">
        <v>822</v>
      </c>
      <c r="C819" s="3"/>
      <c r="D819" s="2" t="s">
        <v>825</v>
      </c>
      <c r="E819" s="3" t="s">
        <v>18</v>
      </c>
      <c r="F819" s="2" t="s">
        <v>19</v>
      </c>
      <c r="G819" s="2"/>
      <c r="H819" s="2" t="s">
        <v>1028</v>
      </c>
      <c r="I819" s="2" t="s">
        <v>500</v>
      </c>
      <c r="J819" s="28" t="s">
        <v>548</v>
      </c>
      <c r="K819" s="28" t="s">
        <v>548</v>
      </c>
      <c r="L819" s="44" t="s">
        <v>733</v>
      </c>
      <c r="M819" s="3" t="s">
        <v>3</v>
      </c>
      <c r="N819" s="15">
        <v>36944732</v>
      </c>
      <c r="O819" s="88" t="s">
        <v>1519</v>
      </c>
      <c r="P819" s="38">
        <v>33945</v>
      </c>
      <c r="Q819" s="38"/>
      <c r="R819" s="38"/>
      <c r="S819" s="38"/>
      <c r="T819" s="38"/>
      <c r="U819" s="17" t="s">
        <v>215</v>
      </c>
      <c r="V819" s="17" t="s">
        <v>915</v>
      </c>
      <c r="W819" s="12">
        <v>41456</v>
      </c>
      <c r="X819" s="13"/>
      <c r="Y819" s="12">
        <v>42735</v>
      </c>
      <c r="Z819" s="2"/>
      <c r="AA819" s="2" t="s">
        <v>479</v>
      </c>
      <c r="AB819" s="7" t="s">
        <v>787</v>
      </c>
      <c r="AC819" s="5">
        <v>1000</v>
      </c>
      <c r="AD819" s="5">
        <f>+AC819*1.07</f>
        <v>1070</v>
      </c>
      <c r="AE819" s="5">
        <v>1170</v>
      </c>
      <c r="AF819" s="5">
        <f t="shared" si="816"/>
        <v>1310</v>
      </c>
      <c r="AG819" s="5">
        <f t="shared" ref="AG819:AH838" si="881">+AF819</f>
        <v>1310</v>
      </c>
      <c r="AH819" s="5">
        <f t="shared" si="881"/>
        <v>1310</v>
      </c>
      <c r="AI819" s="5">
        <f t="shared" ref="AI819:AJ819" si="882">+AH819</f>
        <v>1310</v>
      </c>
      <c r="AJ819" s="5">
        <f t="shared" si="882"/>
        <v>1310</v>
      </c>
      <c r="AK819" s="2"/>
      <c r="AL819" s="106"/>
    </row>
    <row r="820" spans="1:38" ht="15" customHeight="1" x14ac:dyDescent="0.2">
      <c r="A820" s="29" t="s">
        <v>824</v>
      </c>
      <c r="B820" s="2" t="s">
        <v>822</v>
      </c>
      <c r="C820" s="3"/>
      <c r="D820" s="2" t="s">
        <v>825</v>
      </c>
      <c r="E820" s="3" t="s">
        <v>18</v>
      </c>
      <c r="F820" s="2" t="s">
        <v>19</v>
      </c>
      <c r="G820" s="2"/>
      <c r="H820" s="2" t="s">
        <v>36</v>
      </c>
      <c r="I820" s="2" t="s">
        <v>1707</v>
      </c>
      <c r="J820" s="28" t="s">
        <v>548</v>
      </c>
      <c r="K820" s="28" t="s">
        <v>548</v>
      </c>
      <c r="L820" s="44" t="s">
        <v>734</v>
      </c>
      <c r="M820" s="4" t="s">
        <v>3</v>
      </c>
      <c r="N820" s="15">
        <v>35084320</v>
      </c>
      <c r="O820" s="88" t="s">
        <v>1485</v>
      </c>
      <c r="P820" s="38">
        <v>32990</v>
      </c>
      <c r="Q820" s="38"/>
      <c r="R820" s="38"/>
      <c r="S820" s="38"/>
      <c r="T820" s="38"/>
      <c r="U820" s="17" t="s">
        <v>215</v>
      </c>
      <c r="V820" s="17" t="s">
        <v>915</v>
      </c>
      <c r="W820" s="12">
        <v>41334</v>
      </c>
      <c r="X820" s="12"/>
      <c r="Y820" s="12">
        <v>42735</v>
      </c>
      <c r="Z820" s="2"/>
      <c r="AA820" s="2" t="s">
        <v>479</v>
      </c>
      <c r="AB820" s="7" t="s">
        <v>787</v>
      </c>
      <c r="AC820" s="5">
        <v>1000</v>
      </c>
      <c r="AD820" s="5">
        <f>+AC820</f>
        <v>1000</v>
      </c>
      <c r="AE820" s="5">
        <v>1170</v>
      </c>
      <c r="AF820" s="5">
        <f t="shared" si="816"/>
        <v>1310</v>
      </c>
      <c r="AG820" s="5">
        <f t="shared" si="881"/>
        <v>1310</v>
      </c>
      <c r="AH820" s="5">
        <f t="shared" si="881"/>
        <v>1310</v>
      </c>
      <c r="AI820" s="5">
        <f t="shared" ref="AI820:AJ820" si="883">+AH820</f>
        <v>1310</v>
      </c>
      <c r="AJ820" s="5">
        <f t="shared" si="883"/>
        <v>1310</v>
      </c>
      <c r="AK820" s="2"/>
      <c r="AL820" s="106"/>
    </row>
    <row r="821" spans="1:38" ht="15" customHeight="1" x14ac:dyDescent="0.2">
      <c r="A821" s="29" t="s">
        <v>824</v>
      </c>
      <c r="B821" s="29" t="s">
        <v>822</v>
      </c>
      <c r="C821" s="14"/>
      <c r="D821" s="2" t="s">
        <v>1833</v>
      </c>
      <c r="E821" s="2"/>
      <c r="F821" s="3"/>
      <c r="G821" s="3"/>
      <c r="H821" s="2" t="s">
        <v>884</v>
      </c>
      <c r="I821" s="2" t="s">
        <v>1707</v>
      </c>
      <c r="J821" s="28"/>
      <c r="K821" s="28" t="s">
        <v>1765</v>
      </c>
      <c r="L821" s="41" t="s">
        <v>1621</v>
      </c>
      <c r="M821" s="7" t="s">
        <v>3</v>
      </c>
      <c r="N821" s="15">
        <v>30860376</v>
      </c>
      <c r="O821" s="88">
        <v>27308603763</v>
      </c>
      <c r="P821" s="38">
        <v>30743</v>
      </c>
      <c r="Q821" s="38"/>
      <c r="R821" s="38"/>
      <c r="S821" s="38"/>
      <c r="T821" s="38"/>
      <c r="U821" s="17" t="s">
        <v>215</v>
      </c>
      <c r="V821" s="17" t="s">
        <v>915</v>
      </c>
      <c r="W821" s="12">
        <v>42461</v>
      </c>
      <c r="X821" s="48"/>
      <c r="Y821" s="12">
        <v>42735</v>
      </c>
      <c r="Z821" s="2"/>
      <c r="AA821" s="2" t="s">
        <v>479</v>
      </c>
      <c r="AB821" s="3"/>
      <c r="AC821" s="5"/>
      <c r="AD821" s="5">
        <v>1070</v>
      </c>
      <c r="AE821" s="5">
        <v>1170</v>
      </c>
      <c r="AF821" s="5">
        <f t="shared" si="816"/>
        <v>0</v>
      </c>
      <c r="AG821" s="5">
        <f t="shared" si="881"/>
        <v>0</v>
      </c>
      <c r="AH821" s="5">
        <f t="shared" si="881"/>
        <v>0</v>
      </c>
      <c r="AI821" s="5">
        <f t="shared" ref="AI821:AJ821" si="884">+AH821</f>
        <v>0</v>
      </c>
      <c r="AJ821" s="5">
        <f t="shared" si="884"/>
        <v>0</v>
      </c>
      <c r="AK821" s="2" t="s">
        <v>43</v>
      </c>
      <c r="AL821" s="105" t="str">
        <f>+AK821</f>
        <v>A0</v>
      </c>
    </row>
    <row r="822" spans="1:38" ht="15" customHeight="1" x14ac:dyDescent="0.2">
      <c r="A822" s="29" t="s">
        <v>824</v>
      </c>
      <c r="B822" s="29" t="s">
        <v>822</v>
      </c>
      <c r="C822" s="29" t="s">
        <v>823</v>
      </c>
      <c r="D822" s="2" t="s">
        <v>800</v>
      </c>
      <c r="E822" s="7" t="s">
        <v>541</v>
      </c>
      <c r="F822" s="7"/>
      <c r="G822" s="7"/>
      <c r="H822" s="8"/>
      <c r="I822" s="3" t="s">
        <v>1752</v>
      </c>
      <c r="J822" s="28" t="s">
        <v>254</v>
      </c>
      <c r="K822" s="28" t="s">
        <v>1767</v>
      </c>
      <c r="L822" s="42" t="s">
        <v>1692</v>
      </c>
      <c r="M822" s="4" t="s">
        <v>3</v>
      </c>
      <c r="N822" s="15">
        <v>34782221</v>
      </c>
      <c r="O822" s="88" t="s">
        <v>1482</v>
      </c>
      <c r="P822" s="38">
        <v>32562</v>
      </c>
      <c r="Q822" s="38"/>
      <c r="R822" s="38"/>
      <c r="S822" s="38"/>
      <c r="T822" s="38"/>
      <c r="U822" s="17" t="s">
        <v>215</v>
      </c>
      <c r="V822" s="17" t="s">
        <v>915</v>
      </c>
      <c r="W822" s="12">
        <v>40700</v>
      </c>
      <c r="X822" s="20"/>
      <c r="Y822" s="12">
        <v>42735</v>
      </c>
      <c r="Z822" s="2"/>
      <c r="AA822" s="2" t="s">
        <v>479</v>
      </c>
      <c r="AB822" s="24" t="s">
        <v>479</v>
      </c>
      <c r="AC822" s="5">
        <v>1000</v>
      </c>
      <c r="AD822" s="5">
        <v>1070</v>
      </c>
      <c r="AE822" s="5">
        <v>1170</v>
      </c>
      <c r="AF822" s="5">
        <f t="shared" ref="AF822:AF823" si="885">+AC822*1.31</f>
        <v>1310</v>
      </c>
      <c r="AG822" s="5">
        <f t="shared" si="881"/>
        <v>1310</v>
      </c>
      <c r="AH822" s="5">
        <f t="shared" si="881"/>
        <v>1310</v>
      </c>
      <c r="AI822" s="5">
        <f t="shared" ref="AI822:AJ822" si="886">+AH822</f>
        <v>1310</v>
      </c>
      <c r="AJ822" s="5">
        <f t="shared" si="886"/>
        <v>1310</v>
      </c>
      <c r="AK822" s="29" t="s">
        <v>42</v>
      </c>
      <c r="AL822" s="105" t="str">
        <f>+AK822</f>
        <v>C0</v>
      </c>
    </row>
    <row r="823" spans="1:38" ht="15" customHeight="1" x14ac:dyDescent="0.2">
      <c r="A823" s="29" t="s">
        <v>824</v>
      </c>
      <c r="B823" s="2" t="s">
        <v>822</v>
      </c>
      <c r="C823" s="3"/>
      <c r="D823" s="2" t="s">
        <v>825</v>
      </c>
      <c r="E823" s="3" t="s">
        <v>18</v>
      </c>
      <c r="F823" s="2" t="s">
        <v>19</v>
      </c>
      <c r="G823" s="2"/>
      <c r="H823" s="2" t="s">
        <v>45</v>
      </c>
      <c r="I823" s="3"/>
      <c r="J823" s="28" t="s">
        <v>548</v>
      </c>
      <c r="K823" s="28"/>
      <c r="L823" s="41" t="s">
        <v>735</v>
      </c>
      <c r="M823" s="4" t="s">
        <v>3</v>
      </c>
      <c r="N823" s="15">
        <v>30886045</v>
      </c>
      <c r="O823" s="88">
        <v>20308860451</v>
      </c>
      <c r="P823" s="61"/>
      <c r="Q823" s="61"/>
      <c r="R823" s="61"/>
      <c r="S823" s="61"/>
      <c r="T823" s="61"/>
      <c r="U823" s="16" t="s">
        <v>796</v>
      </c>
      <c r="V823" s="16" t="s">
        <v>916</v>
      </c>
      <c r="W823" s="12">
        <v>41609</v>
      </c>
      <c r="X823" s="12">
        <v>42460</v>
      </c>
      <c r="Y823" s="12">
        <v>42735</v>
      </c>
      <c r="Z823" s="2" t="s">
        <v>53</v>
      </c>
      <c r="AA823" s="2"/>
      <c r="AB823" s="3"/>
      <c r="AC823" s="5">
        <v>1000</v>
      </c>
      <c r="AD823" s="5"/>
      <c r="AE823" s="5">
        <v>1170</v>
      </c>
      <c r="AF823" s="5">
        <f t="shared" si="885"/>
        <v>1310</v>
      </c>
      <c r="AG823" s="5">
        <f t="shared" si="881"/>
        <v>1310</v>
      </c>
      <c r="AH823" s="5">
        <f t="shared" si="881"/>
        <v>1310</v>
      </c>
      <c r="AI823" s="5">
        <f t="shared" ref="AI823:AJ823" si="887">+AH823</f>
        <v>1310</v>
      </c>
      <c r="AJ823" s="5">
        <f t="shared" si="887"/>
        <v>1310</v>
      </c>
      <c r="AK823" s="29"/>
      <c r="AL823" s="105" t="str">
        <f>+Z823</f>
        <v>B0</v>
      </c>
    </row>
    <row r="824" spans="1:38" ht="15" customHeight="1" x14ac:dyDescent="0.2">
      <c r="A824" s="29" t="s">
        <v>824</v>
      </c>
      <c r="B824" s="29"/>
      <c r="C824" s="29"/>
      <c r="D824" s="2" t="s">
        <v>820</v>
      </c>
      <c r="E824" s="2" t="s">
        <v>63</v>
      </c>
      <c r="F824" s="2"/>
      <c r="G824" s="2"/>
      <c r="H824" s="2"/>
      <c r="I824" s="3"/>
      <c r="J824" s="28"/>
      <c r="K824" s="28"/>
      <c r="L824" s="44" t="s">
        <v>1672</v>
      </c>
      <c r="M824" s="7" t="s">
        <v>3</v>
      </c>
      <c r="N824" s="15">
        <v>28591140</v>
      </c>
      <c r="O824" s="88"/>
      <c r="P824" s="38"/>
      <c r="Q824" s="38"/>
      <c r="R824" s="38"/>
      <c r="S824" s="38"/>
      <c r="T824" s="38"/>
      <c r="U824" s="17" t="s">
        <v>796</v>
      </c>
      <c r="V824" s="17" t="s">
        <v>916</v>
      </c>
      <c r="W824" s="12"/>
      <c r="X824" s="12"/>
      <c r="Y824" s="12">
        <v>42735</v>
      </c>
      <c r="Z824" s="2" t="s">
        <v>30</v>
      </c>
      <c r="AA824" s="2"/>
      <c r="AB824" s="7"/>
      <c r="AC824" s="5"/>
      <c r="AD824" s="5"/>
      <c r="AE824" s="5"/>
      <c r="AF824" s="5">
        <f>+AE824*1.092</f>
        <v>0</v>
      </c>
      <c r="AG824" s="5">
        <f t="shared" si="881"/>
        <v>0</v>
      </c>
      <c r="AH824" s="5">
        <f t="shared" si="881"/>
        <v>0</v>
      </c>
      <c r="AI824" s="5">
        <f t="shared" ref="AI824:AJ824" si="888">+AH824</f>
        <v>0</v>
      </c>
      <c r="AJ824" s="5">
        <f t="shared" si="888"/>
        <v>0</v>
      </c>
      <c r="AK824" s="29"/>
      <c r="AL824" s="105" t="str">
        <f>+Z824</f>
        <v>B1</v>
      </c>
    </row>
    <row r="825" spans="1:38" ht="15" customHeight="1" x14ac:dyDescent="0.2">
      <c r="A825" s="29" t="s">
        <v>824</v>
      </c>
      <c r="B825" s="29" t="s">
        <v>822</v>
      </c>
      <c r="C825" s="29" t="s">
        <v>823</v>
      </c>
      <c r="D825" s="2" t="s">
        <v>800</v>
      </c>
      <c r="E825" s="7" t="s">
        <v>497</v>
      </c>
      <c r="F825" s="7"/>
      <c r="G825" s="7"/>
      <c r="H825" s="8"/>
      <c r="I825" s="3" t="s">
        <v>1714</v>
      </c>
      <c r="J825" s="28" t="s">
        <v>254</v>
      </c>
      <c r="K825" s="28" t="s">
        <v>1767</v>
      </c>
      <c r="L825" s="42" t="s">
        <v>1693</v>
      </c>
      <c r="M825" s="4" t="s">
        <v>3</v>
      </c>
      <c r="N825" s="15">
        <v>40843063</v>
      </c>
      <c r="O825" s="88" t="s">
        <v>1566</v>
      </c>
      <c r="P825" s="38">
        <v>32022</v>
      </c>
      <c r="Q825" s="38"/>
      <c r="R825" s="38"/>
      <c r="S825" s="38"/>
      <c r="T825" s="38"/>
      <c r="U825" s="17" t="s">
        <v>215</v>
      </c>
      <c r="V825" s="17" t="s">
        <v>915</v>
      </c>
      <c r="W825" s="12">
        <v>41974</v>
      </c>
      <c r="X825" s="20"/>
      <c r="Y825" s="12">
        <v>42735</v>
      </c>
      <c r="Z825" s="2"/>
      <c r="AA825" s="2" t="s">
        <v>479</v>
      </c>
      <c r="AB825" s="24" t="s">
        <v>479</v>
      </c>
      <c r="AC825" s="5">
        <v>1000</v>
      </c>
      <c r="AD825" s="5">
        <v>1070</v>
      </c>
      <c r="AE825" s="5">
        <v>1170</v>
      </c>
      <c r="AF825" s="5">
        <f t="shared" ref="AF825:AF888" si="889">+AC825*1.31</f>
        <v>1310</v>
      </c>
      <c r="AG825" s="5">
        <f t="shared" si="881"/>
        <v>1310</v>
      </c>
      <c r="AH825" s="5">
        <f t="shared" si="881"/>
        <v>1310</v>
      </c>
      <c r="AI825" s="5">
        <f t="shared" ref="AI825:AJ825" si="890">+AH825</f>
        <v>1310</v>
      </c>
      <c r="AJ825" s="5">
        <f t="shared" si="890"/>
        <v>1310</v>
      </c>
      <c r="AK825" s="29" t="s">
        <v>42</v>
      </c>
      <c r="AL825" s="105" t="str">
        <f>+AK825</f>
        <v>C0</v>
      </c>
    </row>
    <row r="826" spans="1:38" ht="15" customHeight="1" x14ac:dyDescent="0.2">
      <c r="A826" s="29" t="s">
        <v>824</v>
      </c>
      <c r="B826" s="29" t="s">
        <v>822</v>
      </c>
      <c r="C826" s="29"/>
      <c r="D826" s="2" t="s">
        <v>1833</v>
      </c>
      <c r="E826" s="2"/>
      <c r="F826" s="3"/>
      <c r="G826" s="3"/>
      <c r="H826" s="2" t="s">
        <v>814</v>
      </c>
      <c r="I826" s="2" t="s">
        <v>924</v>
      </c>
      <c r="J826" s="28" t="s">
        <v>73</v>
      </c>
      <c r="K826" s="28" t="s">
        <v>1765</v>
      </c>
      <c r="L826" s="43" t="s">
        <v>184</v>
      </c>
      <c r="M826" s="4" t="s">
        <v>3</v>
      </c>
      <c r="N826" s="15">
        <v>34265208</v>
      </c>
      <c r="O826" s="88" t="s">
        <v>1466</v>
      </c>
      <c r="P826" s="38">
        <v>32548</v>
      </c>
      <c r="Q826" s="38"/>
      <c r="R826" s="38"/>
      <c r="S826" s="38"/>
      <c r="T826" s="38"/>
      <c r="U826" s="17" t="s">
        <v>215</v>
      </c>
      <c r="V826" s="17" t="s">
        <v>915</v>
      </c>
      <c r="W826" s="12">
        <v>42217</v>
      </c>
      <c r="X826" s="37"/>
      <c r="Y826" s="12">
        <v>42735</v>
      </c>
      <c r="Z826" s="2"/>
      <c r="AA826" s="2" t="s">
        <v>479</v>
      </c>
      <c r="AB826" s="7" t="s">
        <v>784</v>
      </c>
      <c r="AC826" s="5">
        <v>1000</v>
      </c>
      <c r="AD826" s="5">
        <f>+AC826*1.07</f>
        <v>1070</v>
      </c>
      <c r="AE826" s="5">
        <v>1170</v>
      </c>
      <c r="AF826" s="5">
        <f t="shared" si="889"/>
        <v>1310</v>
      </c>
      <c r="AG826" s="5">
        <f t="shared" si="881"/>
        <v>1310</v>
      </c>
      <c r="AH826" s="5">
        <f t="shared" si="881"/>
        <v>1310</v>
      </c>
      <c r="AI826" s="5">
        <f t="shared" ref="AI826:AJ826" si="891">+AH826</f>
        <v>1310</v>
      </c>
      <c r="AJ826" s="5">
        <f t="shared" si="891"/>
        <v>1310</v>
      </c>
      <c r="AK826" s="29" t="s">
        <v>42</v>
      </c>
      <c r="AL826" s="105" t="str">
        <f>+AK826</f>
        <v>C0</v>
      </c>
    </row>
    <row r="827" spans="1:38" ht="15" customHeight="1" x14ac:dyDescent="0.2">
      <c r="A827" s="29" t="s">
        <v>824</v>
      </c>
      <c r="B827" s="29" t="s">
        <v>822</v>
      </c>
      <c r="C827" s="29" t="s">
        <v>823</v>
      </c>
      <c r="D827" s="2" t="s">
        <v>808</v>
      </c>
      <c r="E827" s="2" t="s">
        <v>20</v>
      </c>
      <c r="F827" s="2"/>
      <c r="G827" s="2"/>
      <c r="H827" s="2"/>
      <c r="I827" s="2" t="s">
        <v>235</v>
      </c>
      <c r="J827" s="28"/>
      <c r="K827" s="28" t="s">
        <v>1765</v>
      </c>
      <c r="L827" s="41" t="s">
        <v>954</v>
      </c>
      <c r="M827" s="4" t="s">
        <v>3</v>
      </c>
      <c r="N827" s="15">
        <v>21618345</v>
      </c>
      <c r="O827" s="88" t="s">
        <v>1202</v>
      </c>
      <c r="P827" s="38">
        <v>25718</v>
      </c>
      <c r="Q827" s="38"/>
      <c r="R827" s="38"/>
      <c r="S827" s="38"/>
      <c r="T827" s="38"/>
      <c r="U827" s="17" t="s">
        <v>215</v>
      </c>
      <c r="V827" s="17" t="s">
        <v>915</v>
      </c>
      <c r="W827" s="12">
        <v>42461</v>
      </c>
      <c r="X827" s="12"/>
      <c r="Y827" s="12">
        <v>42735</v>
      </c>
      <c r="Z827" s="2"/>
      <c r="AA827" s="2" t="s">
        <v>479</v>
      </c>
      <c r="AB827" s="3"/>
      <c r="AC827" s="5">
        <v>1000</v>
      </c>
      <c r="AD827" s="5">
        <f>+AC827*1.07</f>
        <v>1070</v>
      </c>
      <c r="AE827" s="5">
        <v>1170</v>
      </c>
      <c r="AF827" s="5">
        <f t="shared" si="889"/>
        <v>1310</v>
      </c>
      <c r="AG827" s="5">
        <f t="shared" si="881"/>
        <v>1310</v>
      </c>
      <c r="AH827" s="5">
        <f t="shared" si="881"/>
        <v>1310</v>
      </c>
      <c r="AI827" s="5">
        <f t="shared" ref="AI827:AJ827" si="892">+AH827</f>
        <v>1310</v>
      </c>
      <c r="AJ827" s="5">
        <f t="shared" si="892"/>
        <v>1310</v>
      </c>
      <c r="AK827" s="2" t="s">
        <v>53</v>
      </c>
      <c r="AL827" s="105" t="str">
        <f>+AK827</f>
        <v>B0</v>
      </c>
    </row>
    <row r="828" spans="1:38" ht="15" customHeight="1" x14ac:dyDescent="0.2">
      <c r="A828" s="29" t="s">
        <v>824</v>
      </c>
      <c r="B828" s="29" t="s">
        <v>822</v>
      </c>
      <c r="C828" s="14"/>
      <c r="D828" s="2" t="s">
        <v>1833</v>
      </c>
      <c r="E828" s="2"/>
      <c r="F828" s="3"/>
      <c r="G828" s="3"/>
      <c r="H828" s="2" t="s">
        <v>884</v>
      </c>
      <c r="I828" s="2" t="s">
        <v>1707</v>
      </c>
      <c r="J828" s="28"/>
      <c r="K828" s="28" t="s">
        <v>1765</v>
      </c>
      <c r="L828" s="41" t="s">
        <v>954</v>
      </c>
      <c r="M828" s="7" t="s">
        <v>3</v>
      </c>
      <c r="N828" s="15">
        <v>11222820</v>
      </c>
      <c r="O828" s="88">
        <v>23112228209</v>
      </c>
      <c r="P828" s="38">
        <v>19753</v>
      </c>
      <c r="Q828" s="38"/>
      <c r="R828" s="38"/>
      <c r="S828" s="38"/>
      <c r="T828" s="38"/>
      <c r="U828" s="17" t="s">
        <v>215</v>
      </c>
      <c r="V828" s="17" t="s">
        <v>915</v>
      </c>
      <c r="W828" s="12"/>
      <c r="X828" s="48"/>
      <c r="Y828" s="12">
        <v>42735</v>
      </c>
      <c r="Z828" s="2"/>
      <c r="AA828" s="2" t="s">
        <v>479</v>
      </c>
      <c r="AB828" s="3"/>
      <c r="AC828" s="5"/>
      <c r="AD828" s="5">
        <v>1070</v>
      </c>
      <c r="AE828" s="5">
        <v>1170</v>
      </c>
      <c r="AF828" s="5">
        <f t="shared" si="889"/>
        <v>0</v>
      </c>
      <c r="AG828" s="5">
        <f t="shared" si="881"/>
        <v>0</v>
      </c>
      <c r="AH828" s="5">
        <f t="shared" si="881"/>
        <v>0</v>
      </c>
      <c r="AI828" s="5">
        <f t="shared" ref="AI828:AJ828" si="893">+AH828</f>
        <v>0</v>
      </c>
      <c r="AJ828" s="5">
        <f t="shared" si="893"/>
        <v>0</v>
      </c>
      <c r="AK828" s="2" t="s">
        <v>43</v>
      </c>
      <c r="AL828" s="105" t="str">
        <f>+AK828</f>
        <v>A0</v>
      </c>
    </row>
    <row r="829" spans="1:38" ht="15" customHeight="1" x14ac:dyDescent="0.2">
      <c r="A829" s="29" t="s">
        <v>824</v>
      </c>
      <c r="B829" s="2" t="s">
        <v>822</v>
      </c>
      <c r="C829" s="3"/>
      <c r="D829" s="2" t="s">
        <v>825</v>
      </c>
      <c r="E829" s="3" t="s">
        <v>18</v>
      </c>
      <c r="F829" s="2" t="s">
        <v>19</v>
      </c>
      <c r="G829" s="2"/>
      <c r="H829" s="2" t="s">
        <v>36</v>
      </c>
      <c r="I829" s="2" t="s">
        <v>1707</v>
      </c>
      <c r="J829" s="28" t="s">
        <v>548</v>
      </c>
      <c r="K829" s="28" t="s">
        <v>548</v>
      </c>
      <c r="L829" s="44" t="s">
        <v>736</v>
      </c>
      <c r="M829" s="4" t="s">
        <v>3</v>
      </c>
      <c r="N829" s="15">
        <v>18383611</v>
      </c>
      <c r="O829" s="88" t="s">
        <v>1184</v>
      </c>
      <c r="P829" s="38">
        <v>24680</v>
      </c>
      <c r="Q829" s="38"/>
      <c r="R829" s="38"/>
      <c r="S829" s="38"/>
      <c r="T829" s="38"/>
      <c r="U829" s="17" t="s">
        <v>215</v>
      </c>
      <c r="V829" s="17" t="s">
        <v>915</v>
      </c>
      <c r="W829" s="12">
        <v>41770</v>
      </c>
      <c r="X829" s="12"/>
      <c r="Y829" s="12">
        <v>42735</v>
      </c>
      <c r="Z829" s="2"/>
      <c r="AA829" s="2" t="s">
        <v>479</v>
      </c>
      <c r="AB829" s="7" t="s">
        <v>787</v>
      </c>
      <c r="AC829" s="5">
        <v>1000</v>
      </c>
      <c r="AD829" s="5">
        <f>+AC829</f>
        <v>1000</v>
      </c>
      <c r="AE829" s="5">
        <v>1170</v>
      </c>
      <c r="AF829" s="5">
        <f t="shared" si="889"/>
        <v>1310</v>
      </c>
      <c r="AG829" s="5">
        <f t="shared" si="881"/>
        <v>1310</v>
      </c>
      <c r="AH829" s="5">
        <f t="shared" si="881"/>
        <v>1310</v>
      </c>
      <c r="AI829" s="5">
        <f t="shared" ref="AI829:AJ829" si="894">+AH829</f>
        <v>1310</v>
      </c>
      <c r="AJ829" s="5">
        <f t="shared" si="894"/>
        <v>1310</v>
      </c>
      <c r="AK829" s="2"/>
      <c r="AL829" s="106"/>
    </row>
    <row r="830" spans="1:38" ht="15" customHeight="1" x14ac:dyDescent="0.2">
      <c r="A830" s="29" t="s">
        <v>824</v>
      </c>
      <c r="B830" s="29" t="s">
        <v>822</v>
      </c>
      <c r="C830" s="29" t="s">
        <v>823</v>
      </c>
      <c r="D830" s="2" t="s">
        <v>808</v>
      </c>
      <c r="E830" s="2" t="s">
        <v>909</v>
      </c>
      <c r="F830" s="2" t="s">
        <v>813</v>
      </c>
      <c r="G830" s="3"/>
      <c r="H830" s="2" t="s">
        <v>247</v>
      </c>
      <c r="I830" s="2" t="s">
        <v>247</v>
      </c>
      <c r="J830" s="28" t="s">
        <v>73</v>
      </c>
      <c r="K830" s="28" t="s">
        <v>1765</v>
      </c>
      <c r="L830" s="43" t="s">
        <v>185</v>
      </c>
      <c r="M830" s="4" t="s">
        <v>3</v>
      </c>
      <c r="N830" s="15">
        <v>20640391</v>
      </c>
      <c r="O830" s="88" t="s">
        <v>1197</v>
      </c>
      <c r="P830" s="38">
        <v>25199</v>
      </c>
      <c r="Q830" s="38"/>
      <c r="R830" s="38"/>
      <c r="S830" s="38"/>
      <c r="T830" s="38"/>
      <c r="U830" s="17" t="s">
        <v>215</v>
      </c>
      <c r="V830" s="17" t="s">
        <v>915</v>
      </c>
      <c r="W830" s="12">
        <v>42186</v>
      </c>
      <c r="X830" s="37"/>
      <c r="Y830" s="12">
        <v>42735</v>
      </c>
      <c r="Z830" s="2"/>
      <c r="AA830" s="2" t="s">
        <v>479</v>
      </c>
      <c r="AB830" s="7" t="s">
        <v>61</v>
      </c>
      <c r="AC830" s="5">
        <v>1000</v>
      </c>
      <c r="AD830" s="5">
        <f>+AC830*1.07</f>
        <v>1070</v>
      </c>
      <c r="AE830" s="5">
        <v>1170</v>
      </c>
      <c r="AF830" s="5">
        <f t="shared" si="889"/>
        <v>1310</v>
      </c>
      <c r="AG830" s="5">
        <f t="shared" si="881"/>
        <v>1310</v>
      </c>
      <c r="AH830" s="5">
        <f t="shared" si="881"/>
        <v>1310</v>
      </c>
      <c r="AI830" s="5">
        <f t="shared" ref="AI830:AJ830" si="895">+AH830</f>
        <v>1310</v>
      </c>
      <c r="AJ830" s="5">
        <f t="shared" si="895"/>
        <v>1310</v>
      </c>
      <c r="AK830" s="29" t="s">
        <v>42</v>
      </c>
      <c r="AL830" s="105" t="str">
        <f>+AK830</f>
        <v>C0</v>
      </c>
    </row>
    <row r="831" spans="1:38" ht="15" customHeight="1" x14ac:dyDescent="0.2">
      <c r="A831" s="29" t="s">
        <v>824</v>
      </c>
      <c r="B831" s="29"/>
      <c r="C831" s="14"/>
      <c r="D831" s="2" t="s">
        <v>820</v>
      </c>
      <c r="E831" s="2" t="s">
        <v>818</v>
      </c>
      <c r="F831" s="3"/>
      <c r="G831" s="3"/>
      <c r="H831" s="2" t="s">
        <v>221</v>
      </c>
      <c r="I831" s="2" t="s">
        <v>221</v>
      </c>
      <c r="J831" s="28" t="s">
        <v>73</v>
      </c>
      <c r="K831" s="28" t="s">
        <v>1765</v>
      </c>
      <c r="L831" s="43" t="s">
        <v>186</v>
      </c>
      <c r="M831" s="4" t="s">
        <v>3</v>
      </c>
      <c r="N831" s="15">
        <v>38522594</v>
      </c>
      <c r="O831" s="88" t="s">
        <v>1550</v>
      </c>
      <c r="P831" s="38">
        <v>34601</v>
      </c>
      <c r="Q831" s="38"/>
      <c r="R831" s="38"/>
      <c r="S831" s="38"/>
      <c r="T831" s="38"/>
      <c r="U831" s="17" t="s">
        <v>215</v>
      </c>
      <c r="V831" s="17" t="s">
        <v>915</v>
      </c>
      <c r="W831" s="12">
        <v>42030</v>
      </c>
      <c r="X831" s="37"/>
      <c r="Y831" s="12">
        <v>42735</v>
      </c>
      <c r="Z831" s="2"/>
      <c r="AA831" s="2" t="s">
        <v>479</v>
      </c>
      <c r="AB831" s="2" t="s">
        <v>782</v>
      </c>
      <c r="AC831" s="5">
        <v>1000</v>
      </c>
      <c r="AD831" s="5">
        <f>+AC831*1.07</f>
        <v>1070</v>
      </c>
      <c r="AE831" s="5">
        <v>1170</v>
      </c>
      <c r="AF831" s="5">
        <f t="shared" si="889"/>
        <v>1310</v>
      </c>
      <c r="AG831" s="5">
        <f t="shared" si="881"/>
        <v>1310</v>
      </c>
      <c r="AH831" s="5">
        <f t="shared" si="881"/>
        <v>1310</v>
      </c>
      <c r="AI831" s="5">
        <f t="shared" ref="AI831:AJ831" si="896">+AH831</f>
        <v>1310</v>
      </c>
      <c r="AJ831" s="5">
        <f t="shared" si="896"/>
        <v>1310</v>
      </c>
      <c r="AK831" s="29" t="s">
        <v>42</v>
      </c>
      <c r="AL831" s="105" t="str">
        <f>+AK831</f>
        <v>C0</v>
      </c>
    </row>
    <row r="832" spans="1:38" ht="15" customHeight="1" x14ac:dyDescent="0.2">
      <c r="A832" s="29" t="s">
        <v>824</v>
      </c>
      <c r="B832" s="29" t="s">
        <v>822</v>
      </c>
      <c r="C832" s="29" t="s">
        <v>823</v>
      </c>
      <c r="D832" s="2" t="s">
        <v>800</v>
      </c>
      <c r="E832" s="2" t="s">
        <v>481</v>
      </c>
      <c r="F832" s="2"/>
      <c r="G832" s="2"/>
      <c r="H832" s="2" t="s">
        <v>229</v>
      </c>
      <c r="I832" s="2"/>
      <c r="J832" s="28" t="s">
        <v>254</v>
      </c>
      <c r="K832" s="28"/>
      <c r="L832" s="42" t="s">
        <v>261</v>
      </c>
      <c r="M832" s="4" t="s">
        <v>3</v>
      </c>
      <c r="N832" s="15">
        <v>22645586</v>
      </c>
      <c r="O832" s="88">
        <v>27226455863</v>
      </c>
      <c r="P832" s="38"/>
      <c r="Q832" s="38"/>
      <c r="R832" s="38"/>
      <c r="S832" s="38"/>
      <c r="T832" s="38"/>
      <c r="U832" s="16" t="s">
        <v>796</v>
      </c>
      <c r="V832" s="16" t="s">
        <v>916</v>
      </c>
      <c r="W832" s="12">
        <v>40664</v>
      </c>
      <c r="X832" s="48">
        <v>42735</v>
      </c>
      <c r="Y832" s="12">
        <v>42735</v>
      </c>
      <c r="Z832" s="2" t="s">
        <v>53</v>
      </c>
      <c r="AA832" s="2"/>
      <c r="AB832" s="23"/>
      <c r="AC832" s="5">
        <v>1000</v>
      </c>
      <c r="AD832" s="5"/>
      <c r="AE832" s="5">
        <v>1170</v>
      </c>
      <c r="AF832" s="5">
        <f t="shared" si="889"/>
        <v>1310</v>
      </c>
      <c r="AG832" s="5">
        <f t="shared" si="881"/>
        <v>1310</v>
      </c>
      <c r="AH832" s="5">
        <f t="shared" si="881"/>
        <v>1310</v>
      </c>
      <c r="AI832" s="5">
        <f t="shared" ref="AI832:AJ832" si="897">+AH832</f>
        <v>1310</v>
      </c>
      <c r="AJ832" s="5">
        <f t="shared" si="897"/>
        <v>1310</v>
      </c>
      <c r="AK832" s="29"/>
      <c r="AL832" s="105" t="str">
        <f>+Z832</f>
        <v>B0</v>
      </c>
    </row>
    <row r="833" spans="1:38" ht="15" customHeight="1" x14ac:dyDescent="0.2">
      <c r="A833" s="29" t="s">
        <v>824</v>
      </c>
      <c r="B833" s="29" t="s">
        <v>822</v>
      </c>
      <c r="C833" s="29" t="s">
        <v>823</v>
      </c>
      <c r="D833" s="2" t="s">
        <v>808</v>
      </c>
      <c r="E833" s="2" t="s">
        <v>219</v>
      </c>
      <c r="F833" s="3"/>
      <c r="G833" s="3"/>
      <c r="H833" s="2" t="s">
        <v>924</v>
      </c>
      <c r="I833" s="3"/>
      <c r="J833" s="28" t="s">
        <v>73</v>
      </c>
      <c r="K833" s="28"/>
      <c r="L833" s="45" t="s">
        <v>187</v>
      </c>
      <c r="M833" s="4" t="s">
        <v>3</v>
      </c>
      <c r="N833" s="15">
        <v>35216524</v>
      </c>
      <c r="O833" s="88">
        <v>27352165242</v>
      </c>
      <c r="P833" s="38"/>
      <c r="Q833" s="38"/>
      <c r="R833" s="38"/>
      <c r="S833" s="38"/>
      <c r="T833" s="38"/>
      <c r="U833" s="16" t="s">
        <v>796</v>
      </c>
      <c r="V833" s="16" t="s">
        <v>916</v>
      </c>
      <c r="W833" s="12">
        <v>39904</v>
      </c>
      <c r="X833" s="48">
        <v>42735</v>
      </c>
      <c r="Y833" s="12">
        <v>42735</v>
      </c>
      <c r="Z833" s="2" t="s">
        <v>30</v>
      </c>
      <c r="AA833" s="2"/>
      <c r="AB833" s="14"/>
      <c r="AC833" s="5">
        <v>1000</v>
      </c>
      <c r="AD833" s="5"/>
      <c r="AE833" s="5">
        <v>1170</v>
      </c>
      <c r="AF833" s="5">
        <f t="shared" si="889"/>
        <v>1310</v>
      </c>
      <c r="AG833" s="5">
        <f t="shared" si="881"/>
        <v>1310</v>
      </c>
      <c r="AH833" s="5">
        <f t="shared" si="881"/>
        <v>1310</v>
      </c>
      <c r="AI833" s="5">
        <f t="shared" ref="AI833:AJ833" si="898">+AH833</f>
        <v>1310</v>
      </c>
      <c r="AJ833" s="5">
        <f t="shared" si="898"/>
        <v>1310</v>
      </c>
      <c r="AK833" s="29"/>
      <c r="AL833" s="105" t="str">
        <f>+Z833</f>
        <v>B1</v>
      </c>
    </row>
    <row r="834" spans="1:38" ht="15" customHeight="1" x14ac:dyDescent="0.2">
      <c r="A834" s="29" t="s">
        <v>824</v>
      </c>
      <c r="B834" s="29" t="s">
        <v>822</v>
      </c>
      <c r="C834" s="29" t="s">
        <v>823</v>
      </c>
      <c r="D834" s="2" t="s">
        <v>800</v>
      </c>
      <c r="E834" s="7" t="s">
        <v>497</v>
      </c>
      <c r="F834" s="7"/>
      <c r="G834" s="7"/>
      <c r="H834" s="8"/>
      <c r="I834" s="3" t="s">
        <v>1714</v>
      </c>
      <c r="J834" s="28" t="s">
        <v>254</v>
      </c>
      <c r="K834" s="28" t="s">
        <v>1767</v>
      </c>
      <c r="L834" s="42" t="s">
        <v>395</v>
      </c>
      <c r="M834" s="4" t="s">
        <v>3</v>
      </c>
      <c r="N834" s="15">
        <v>30276696</v>
      </c>
      <c r="O834" s="88" t="s">
        <v>1364</v>
      </c>
      <c r="P834" s="38">
        <v>30436</v>
      </c>
      <c r="Q834" s="38"/>
      <c r="R834" s="38"/>
      <c r="S834" s="38"/>
      <c r="T834" s="38"/>
      <c r="U834" s="17" t="s">
        <v>215</v>
      </c>
      <c r="V834" s="17" t="s">
        <v>915</v>
      </c>
      <c r="W834" s="12">
        <v>41456</v>
      </c>
      <c r="X834" s="20"/>
      <c r="Y834" s="12">
        <v>42735</v>
      </c>
      <c r="Z834" s="2"/>
      <c r="AA834" s="2" t="s">
        <v>479</v>
      </c>
      <c r="AB834" s="24" t="s">
        <v>479</v>
      </c>
      <c r="AC834" s="5">
        <v>1000</v>
      </c>
      <c r="AD834" s="5">
        <v>1070</v>
      </c>
      <c r="AE834" s="5">
        <v>1170</v>
      </c>
      <c r="AF834" s="5">
        <f t="shared" si="889"/>
        <v>1310</v>
      </c>
      <c r="AG834" s="5">
        <f t="shared" si="881"/>
        <v>1310</v>
      </c>
      <c r="AH834" s="5">
        <f t="shared" si="881"/>
        <v>1310</v>
      </c>
      <c r="AI834" s="5">
        <f t="shared" ref="AI834:AJ834" si="899">+AH834</f>
        <v>1310</v>
      </c>
      <c r="AJ834" s="5">
        <f t="shared" si="899"/>
        <v>1310</v>
      </c>
      <c r="AK834" s="29" t="s">
        <v>42</v>
      </c>
      <c r="AL834" s="105" t="str">
        <f>+AK834</f>
        <v>C0</v>
      </c>
    </row>
    <row r="835" spans="1:38" ht="15" customHeight="1" x14ac:dyDescent="0.2">
      <c r="A835" s="29" t="s">
        <v>824</v>
      </c>
      <c r="B835" s="29"/>
      <c r="C835" s="14"/>
      <c r="D835" s="2" t="s">
        <v>819</v>
      </c>
      <c r="E835" s="2"/>
      <c r="F835" s="3"/>
      <c r="G835" s="3"/>
      <c r="H835" s="2" t="s">
        <v>884</v>
      </c>
      <c r="I835" s="2" t="s">
        <v>1707</v>
      </c>
      <c r="J835" s="28"/>
      <c r="K835" s="28" t="s">
        <v>1765</v>
      </c>
      <c r="L835" s="41" t="s">
        <v>1054</v>
      </c>
      <c r="M835" s="4" t="s">
        <v>3</v>
      </c>
      <c r="N835" s="15">
        <v>36526530</v>
      </c>
      <c r="O835" s="88" t="s">
        <v>1599</v>
      </c>
      <c r="P835" s="38">
        <v>33349</v>
      </c>
      <c r="Q835" s="38"/>
      <c r="R835" s="38"/>
      <c r="S835" s="38"/>
      <c r="T835" s="38"/>
      <c r="U835" s="17" t="s">
        <v>215</v>
      </c>
      <c r="V835" s="17" t="s">
        <v>915</v>
      </c>
      <c r="W835" s="12">
        <v>42370</v>
      </c>
      <c r="X835" s="48"/>
      <c r="Y835" s="12">
        <v>42735</v>
      </c>
      <c r="Z835" s="2"/>
      <c r="AA835" s="2" t="s">
        <v>479</v>
      </c>
      <c r="AB835" s="3"/>
      <c r="AC835" s="5">
        <v>1000</v>
      </c>
      <c r="AD835" s="5">
        <f>+AC835*1.07</f>
        <v>1070</v>
      </c>
      <c r="AE835" s="5">
        <v>1170</v>
      </c>
      <c r="AF835" s="5">
        <f t="shared" si="889"/>
        <v>1310</v>
      </c>
      <c r="AG835" s="5">
        <f t="shared" si="881"/>
        <v>1310</v>
      </c>
      <c r="AH835" s="5">
        <f t="shared" si="881"/>
        <v>1310</v>
      </c>
      <c r="AI835" s="5">
        <f t="shared" ref="AI835:AJ835" si="900">+AH835</f>
        <v>1310</v>
      </c>
      <c r="AJ835" s="5">
        <f t="shared" si="900"/>
        <v>1310</v>
      </c>
      <c r="AK835" s="2" t="s">
        <v>53</v>
      </c>
      <c r="AL835" s="105" t="str">
        <f>+AK835</f>
        <v>B0</v>
      </c>
    </row>
    <row r="836" spans="1:38" ht="15" customHeight="1" x14ac:dyDescent="0.2">
      <c r="A836" s="29" t="s">
        <v>824</v>
      </c>
      <c r="B836" s="2" t="s">
        <v>822</v>
      </c>
      <c r="C836" s="3"/>
      <c r="D836" s="2" t="s">
        <v>825</v>
      </c>
      <c r="E836" s="3" t="s">
        <v>18</v>
      </c>
      <c r="F836" s="2" t="s">
        <v>1012</v>
      </c>
      <c r="G836" s="2"/>
      <c r="H836" s="2" t="s">
        <v>20</v>
      </c>
      <c r="I836" s="2" t="s">
        <v>1760</v>
      </c>
      <c r="J836" s="28" t="s">
        <v>548</v>
      </c>
      <c r="K836" s="28" t="s">
        <v>548</v>
      </c>
      <c r="L836" s="44" t="s">
        <v>1009</v>
      </c>
      <c r="M836" s="7" t="s">
        <v>3</v>
      </c>
      <c r="N836" s="47">
        <v>22048883</v>
      </c>
      <c r="O836" s="88" t="s">
        <v>1205</v>
      </c>
      <c r="P836" s="38">
        <v>25968</v>
      </c>
      <c r="Q836" s="38"/>
      <c r="R836" s="38"/>
      <c r="S836" s="38"/>
      <c r="T836" s="38"/>
      <c r="U836" s="17" t="s">
        <v>215</v>
      </c>
      <c r="V836" s="17" t="s">
        <v>915</v>
      </c>
      <c r="W836" s="12">
        <v>41122</v>
      </c>
      <c r="X836" s="12"/>
      <c r="Y836" s="12">
        <v>42735</v>
      </c>
      <c r="Z836" s="2"/>
      <c r="AA836" s="2" t="s">
        <v>479</v>
      </c>
      <c r="AB836" s="7"/>
      <c r="AC836" s="5">
        <v>1000</v>
      </c>
      <c r="AD836" s="5">
        <f>+AC836</f>
        <v>1000</v>
      </c>
      <c r="AE836" s="5">
        <v>1170</v>
      </c>
      <c r="AF836" s="5">
        <f t="shared" si="889"/>
        <v>1310</v>
      </c>
      <c r="AG836" s="5">
        <f t="shared" si="881"/>
        <v>1310</v>
      </c>
      <c r="AH836" s="5">
        <f t="shared" si="881"/>
        <v>1310</v>
      </c>
      <c r="AI836" s="5">
        <f t="shared" ref="AI836:AJ836" si="901">+AH836</f>
        <v>1310</v>
      </c>
      <c r="AJ836" s="5">
        <f t="shared" si="901"/>
        <v>1310</v>
      </c>
      <c r="AK836" s="2"/>
      <c r="AL836" s="106"/>
    </row>
    <row r="837" spans="1:38" ht="15" customHeight="1" x14ac:dyDescent="0.2">
      <c r="A837" s="29" t="s">
        <v>824</v>
      </c>
      <c r="B837" s="29" t="s">
        <v>822</v>
      </c>
      <c r="C837" s="29" t="s">
        <v>823</v>
      </c>
      <c r="D837" s="2" t="s">
        <v>800</v>
      </c>
      <c r="E837" s="2" t="s">
        <v>489</v>
      </c>
      <c r="F837" s="2"/>
      <c r="G837" s="2"/>
      <c r="H837" s="2"/>
      <c r="I837" s="3" t="s">
        <v>1731</v>
      </c>
      <c r="J837" s="28" t="s">
        <v>254</v>
      </c>
      <c r="K837" s="28" t="s">
        <v>1767</v>
      </c>
      <c r="L837" s="42" t="s">
        <v>369</v>
      </c>
      <c r="M837" s="4" t="s">
        <v>3</v>
      </c>
      <c r="N837" s="15">
        <v>16639040</v>
      </c>
      <c r="O837" s="88" t="s">
        <v>1167</v>
      </c>
      <c r="P837" s="38">
        <v>23356</v>
      </c>
      <c r="Q837" s="38"/>
      <c r="R837" s="38"/>
      <c r="S837" s="38"/>
      <c r="T837" s="38"/>
      <c r="U837" s="17" t="s">
        <v>215</v>
      </c>
      <c r="V837" s="17" t="s">
        <v>915</v>
      </c>
      <c r="W837" s="12">
        <v>41821</v>
      </c>
      <c r="X837" s="20"/>
      <c r="Y837" s="12">
        <v>42735</v>
      </c>
      <c r="Z837" s="2"/>
      <c r="AA837" s="2" t="s">
        <v>479</v>
      </c>
      <c r="AB837" s="24" t="s">
        <v>479</v>
      </c>
      <c r="AC837" s="5">
        <v>1000</v>
      </c>
      <c r="AD837" s="5">
        <v>1070</v>
      </c>
      <c r="AE837" s="5">
        <v>1170</v>
      </c>
      <c r="AF837" s="5">
        <f t="shared" si="889"/>
        <v>1310</v>
      </c>
      <c r="AG837" s="5">
        <f t="shared" si="881"/>
        <v>1310</v>
      </c>
      <c r="AH837" s="5">
        <f t="shared" si="881"/>
        <v>1310</v>
      </c>
      <c r="AI837" s="5">
        <f t="shared" ref="AI837:AJ837" si="902">+AH837</f>
        <v>1310</v>
      </c>
      <c r="AJ837" s="5">
        <f t="shared" si="902"/>
        <v>1310</v>
      </c>
      <c r="AK837" s="29" t="s">
        <v>42</v>
      </c>
      <c r="AL837" s="105" t="str">
        <f>+AK837</f>
        <v>C0</v>
      </c>
    </row>
    <row r="838" spans="1:38" ht="15" customHeight="1" x14ac:dyDescent="0.2">
      <c r="A838" s="29" t="s">
        <v>824</v>
      </c>
      <c r="B838" s="29" t="s">
        <v>822</v>
      </c>
      <c r="C838" s="29" t="s">
        <v>823</v>
      </c>
      <c r="D838" s="2" t="s">
        <v>800</v>
      </c>
      <c r="E838" s="2" t="s">
        <v>489</v>
      </c>
      <c r="F838" s="2"/>
      <c r="G838" s="2"/>
      <c r="H838" s="2"/>
      <c r="I838" s="3" t="s">
        <v>1731</v>
      </c>
      <c r="J838" s="28" t="s">
        <v>254</v>
      </c>
      <c r="K838" s="28" t="s">
        <v>1767</v>
      </c>
      <c r="L838" s="42" t="s">
        <v>368</v>
      </c>
      <c r="M838" s="4" t="s">
        <v>3</v>
      </c>
      <c r="N838" s="15">
        <v>37350780</v>
      </c>
      <c r="O838" s="88" t="s">
        <v>1529</v>
      </c>
      <c r="P838" s="38">
        <v>34240</v>
      </c>
      <c r="Q838" s="38"/>
      <c r="R838" s="38"/>
      <c r="S838" s="38"/>
      <c r="T838" s="38"/>
      <c r="U838" s="17" t="s">
        <v>215</v>
      </c>
      <c r="V838" s="17" t="s">
        <v>915</v>
      </c>
      <c r="W838" s="12">
        <v>41730</v>
      </c>
      <c r="X838" s="20"/>
      <c r="Y838" s="12">
        <v>42735</v>
      </c>
      <c r="Z838" s="2"/>
      <c r="AA838" s="2" t="s">
        <v>479</v>
      </c>
      <c r="AB838" s="24" t="s">
        <v>479</v>
      </c>
      <c r="AC838" s="5">
        <v>1000</v>
      </c>
      <c r="AD838" s="5">
        <v>1070</v>
      </c>
      <c r="AE838" s="5">
        <v>1170</v>
      </c>
      <c r="AF838" s="5">
        <f t="shared" si="889"/>
        <v>1310</v>
      </c>
      <c r="AG838" s="5">
        <f t="shared" si="881"/>
        <v>1310</v>
      </c>
      <c r="AH838" s="5">
        <f t="shared" si="881"/>
        <v>1310</v>
      </c>
      <c r="AI838" s="5">
        <f t="shared" ref="AI838:AJ838" si="903">+AH838</f>
        <v>1310</v>
      </c>
      <c r="AJ838" s="5">
        <f t="shared" si="903"/>
        <v>1310</v>
      </c>
      <c r="AK838" s="29" t="s">
        <v>42</v>
      </c>
      <c r="AL838" s="105" t="str">
        <f>+AK838</f>
        <v>C0</v>
      </c>
    </row>
    <row r="839" spans="1:38" ht="15" customHeight="1" x14ac:dyDescent="0.2">
      <c r="A839" s="29" t="s">
        <v>824</v>
      </c>
      <c r="B839" s="29" t="s">
        <v>822</v>
      </c>
      <c r="C839" s="3"/>
      <c r="D839" s="2" t="s">
        <v>956</v>
      </c>
      <c r="E839" s="2" t="s">
        <v>956</v>
      </c>
      <c r="F839" s="3"/>
      <c r="G839" s="3"/>
      <c r="H839" s="2"/>
      <c r="I839" s="2" t="s">
        <v>1707</v>
      </c>
      <c r="J839" s="28"/>
      <c r="K839" s="28" t="s">
        <v>1765</v>
      </c>
      <c r="L839" s="43" t="s">
        <v>1673</v>
      </c>
      <c r="M839" s="7" t="s">
        <v>3</v>
      </c>
      <c r="N839" s="15">
        <v>34602138</v>
      </c>
      <c r="O839" s="88"/>
      <c r="P839" s="38">
        <v>32691</v>
      </c>
      <c r="Q839" s="38"/>
      <c r="R839" s="38"/>
      <c r="S839" s="38"/>
      <c r="T839" s="38"/>
      <c r="U839" s="17" t="s">
        <v>215</v>
      </c>
      <c r="V839" s="16" t="s">
        <v>915</v>
      </c>
      <c r="W839" s="12">
        <v>42552</v>
      </c>
      <c r="X839" s="48"/>
      <c r="Y839" s="12">
        <v>42735</v>
      </c>
      <c r="Z839" s="2"/>
      <c r="AA839" s="2" t="s">
        <v>479</v>
      </c>
      <c r="AB839" s="14"/>
      <c r="AC839" s="5"/>
      <c r="AD839" s="5"/>
      <c r="AE839" s="5">
        <v>1170</v>
      </c>
      <c r="AF839" s="5">
        <f t="shared" si="889"/>
        <v>0</v>
      </c>
      <c r="AG839" s="5">
        <v>1310</v>
      </c>
      <c r="AH839" s="5">
        <v>16000</v>
      </c>
      <c r="AI839" s="5">
        <f t="shared" ref="AI839:AJ839" si="904">+AH839</f>
        <v>16000</v>
      </c>
      <c r="AJ839" s="5">
        <f t="shared" si="904"/>
        <v>16000</v>
      </c>
      <c r="AK839" s="2" t="s">
        <v>53</v>
      </c>
      <c r="AL839" s="105" t="str">
        <f>+AK839</f>
        <v>B0</v>
      </c>
    </row>
    <row r="840" spans="1:38" ht="15" customHeight="1" x14ac:dyDescent="0.2">
      <c r="A840" s="29" t="s">
        <v>824</v>
      </c>
      <c r="B840" s="29"/>
      <c r="C840" s="14"/>
      <c r="D840" s="2" t="s">
        <v>819</v>
      </c>
      <c r="E840" s="2"/>
      <c r="F840" s="3"/>
      <c r="G840" s="3"/>
      <c r="H840" s="2" t="s">
        <v>884</v>
      </c>
      <c r="I840" s="2" t="s">
        <v>1707</v>
      </c>
      <c r="J840" s="28"/>
      <c r="K840" s="28" t="s">
        <v>1765</v>
      </c>
      <c r="L840" s="41" t="s">
        <v>1036</v>
      </c>
      <c r="M840" s="4" t="s">
        <v>3</v>
      </c>
      <c r="N840" s="15">
        <v>6715531</v>
      </c>
      <c r="O840" s="88" t="s">
        <v>1600</v>
      </c>
      <c r="P840" s="38">
        <v>17292</v>
      </c>
      <c r="Q840" s="38"/>
      <c r="R840" s="38"/>
      <c r="S840" s="38"/>
      <c r="T840" s="38"/>
      <c r="U840" s="17" t="s">
        <v>215</v>
      </c>
      <c r="V840" s="17" t="s">
        <v>915</v>
      </c>
      <c r="W840" s="12">
        <v>42370</v>
      </c>
      <c r="X840" s="48"/>
      <c r="Y840" s="12">
        <v>42735</v>
      </c>
      <c r="Z840" s="2"/>
      <c r="AA840" s="2" t="s">
        <v>479</v>
      </c>
      <c r="AB840" s="3" t="s">
        <v>10</v>
      </c>
      <c r="AC840" s="5">
        <v>1000</v>
      </c>
      <c r="AD840" s="5">
        <f>+AC840*1.07</f>
        <v>1070</v>
      </c>
      <c r="AE840" s="5">
        <v>1170</v>
      </c>
      <c r="AF840" s="5">
        <f t="shared" si="889"/>
        <v>1310</v>
      </c>
      <c r="AG840" s="5">
        <f>+AF840</f>
        <v>1310</v>
      </c>
      <c r="AH840" s="5">
        <f>+AG840</f>
        <v>1310</v>
      </c>
      <c r="AI840" s="5">
        <f t="shared" ref="AI840:AJ840" si="905">+AH840</f>
        <v>1310</v>
      </c>
      <c r="AJ840" s="5">
        <f t="shared" si="905"/>
        <v>1310</v>
      </c>
      <c r="AK840" s="2" t="s">
        <v>43</v>
      </c>
      <c r="AL840" s="105" t="str">
        <f>+AK840</f>
        <v>A0</v>
      </c>
    </row>
    <row r="841" spans="1:38" ht="15" customHeight="1" x14ac:dyDescent="0.2">
      <c r="A841" s="29" t="s">
        <v>824</v>
      </c>
      <c r="B841" s="29" t="s">
        <v>1098</v>
      </c>
      <c r="C841" s="14"/>
      <c r="D841" s="2" t="s">
        <v>1833</v>
      </c>
      <c r="E841" s="2"/>
      <c r="F841" s="3"/>
      <c r="G841" s="3"/>
      <c r="H841" s="2"/>
      <c r="I841" s="2" t="s">
        <v>1707</v>
      </c>
      <c r="J841" s="28"/>
      <c r="K841" s="28" t="s">
        <v>1765</v>
      </c>
      <c r="L841" s="45" t="s">
        <v>1630</v>
      </c>
      <c r="M841" s="7" t="s">
        <v>3</v>
      </c>
      <c r="N841" s="15">
        <v>27203478</v>
      </c>
      <c r="O841" s="88"/>
      <c r="P841" s="38">
        <v>28903</v>
      </c>
      <c r="Q841" s="38"/>
      <c r="R841" s="38"/>
      <c r="S841" s="38"/>
      <c r="T841" s="38"/>
      <c r="U841" s="16" t="s">
        <v>215</v>
      </c>
      <c r="V841" s="16" t="s">
        <v>915</v>
      </c>
      <c r="W841" s="12">
        <v>42552</v>
      </c>
      <c r="X841" s="48"/>
      <c r="Y841" s="48">
        <v>42613</v>
      </c>
      <c r="Z841" s="2"/>
      <c r="AA841" s="2" t="s">
        <v>479</v>
      </c>
      <c r="AB841" s="14"/>
      <c r="AC841" s="5"/>
      <c r="AD841" s="5"/>
      <c r="AE841" s="5">
        <v>1170</v>
      </c>
      <c r="AF841" s="5">
        <f t="shared" si="889"/>
        <v>0</v>
      </c>
      <c r="AG841" s="5"/>
      <c r="AH841" s="5"/>
      <c r="AI841" s="5">
        <f t="shared" ref="AI841:AJ841" si="906">+AH841</f>
        <v>0</v>
      </c>
      <c r="AJ841" s="5">
        <f t="shared" si="906"/>
        <v>0</v>
      </c>
      <c r="AK841" s="2"/>
      <c r="AL841" s="106"/>
    </row>
    <row r="842" spans="1:38" ht="15" customHeight="1" x14ac:dyDescent="0.2">
      <c r="A842" s="29" t="s">
        <v>824</v>
      </c>
      <c r="B842" s="2" t="s">
        <v>822</v>
      </c>
      <c r="C842" s="3"/>
      <c r="D842" s="2" t="s">
        <v>825</v>
      </c>
      <c r="E842" s="3" t="s">
        <v>18</v>
      </c>
      <c r="F842" s="2" t="s">
        <v>19</v>
      </c>
      <c r="G842" s="2"/>
      <c r="H842" s="2" t="s">
        <v>20</v>
      </c>
      <c r="I842" s="2" t="s">
        <v>1760</v>
      </c>
      <c r="J842" s="28" t="s">
        <v>548</v>
      </c>
      <c r="K842" s="28" t="s">
        <v>548</v>
      </c>
      <c r="L842" s="44" t="s">
        <v>989</v>
      </c>
      <c r="M842" s="2" t="s">
        <v>3</v>
      </c>
      <c r="N842" s="47">
        <v>16305311</v>
      </c>
      <c r="O842" s="88" t="s">
        <v>1165</v>
      </c>
      <c r="P842" s="38">
        <v>23087</v>
      </c>
      <c r="Q842" s="38"/>
      <c r="R842" s="38"/>
      <c r="S842" s="38"/>
      <c r="T842" s="38"/>
      <c r="U842" s="17" t="s">
        <v>215</v>
      </c>
      <c r="V842" s="17" t="s">
        <v>915</v>
      </c>
      <c r="W842" s="12">
        <v>42065</v>
      </c>
      <c r="X842" s="12"/>
      <c r="Y842" s="12">
        <v>42735</v>
      </c>
      <c r="Z842" s="2"/>
      <c r="AA842" s="2" t="s">
        <v>479</v>
      </c>
      <c r="AB842" s="7"/>
      <c r="AC842" s="5">
        <v>1000</v>
      </c>
      <c r="AD842" s="5">
        <f>+AC842</f>
        <v>1000</v>
      </c>
      <c r="AE842" s="5">
        <v>1170</v>
      </c>
      <c r="AF842" s="5">
        <f t="shared" si="889"/>
        <v>1310</v>
      </c>
      <c r="AG842" s="5">
        <f t="shared" ref="AG842:AH843" si="907">+AF842</f>
        <v>1310</v>
      </c>
      <c r="AH842" s="5">
        <f t="shared" si="907"/>
        <v>1310</v>
      </c>
      <c r="AI842" s="5">
        <f t="shared" ref="AI842:AJ842" si="908">+AH842</f>
        <v>1310</v>
      </c>
      <c r="AJ842" s="5">
        <f t="shared" si="908"/>
        <v>1310</v>
      </c>
      <c r="AK842" s="2"/>
      <c r="AL842" s="106"/>
    </row>
    <row r="843" spans="1:38" ht="15" customHeight="1" x14ac:dyDescent="0.2">
      <c r="A843" s="29" t="s">
        <v>824</v>
      </c>
      <c r="B843" s="2" t="s">
        <v>822</v>
      </c>
      <c r="C843" s="3"/>
      <c r="D843" s="2" t="s">
        <v>825</v>
      </c>
      <c r="E843" s="3" t="s">
        <v>18</v>
      </c>
      <c r="F843" s="2" t="s">
        <v>19</v>
      </c>
      <c r="G843" s="2"/>
      <c r="H843" s="2" t="s">
        <v>20</v>
      </c>
      <c r="I843" s="2" t="s">
        <v>1760</v>
      </c>
      <c r="J843" s="28" t="s">
        <v>548</v>
      </c>
      <c r="K843" s="28" t="s">
        <v>548</v>
      </c>
      <c r="L843" s="44" t="s">
        <v>737</v>
      </c>
      <c r="M843" s="4" t="s">
        <v>3</v>
      </c>
      <c r="N843" s="15">
        <v>28863215</v>
      </c>
      <c r="O843" s="88" t="s">
        <v>1338</v>
      </c>
      <c r="P843" s="38">
        <v>29700</v>
      </c>
      <c r="Q843" s="38"/>
      <c r="R843" s="38"/>
      <c r="S843" s="38"/>
      <c r="T843" s="38"/>
      <c r="U843" s="17" t="s">
        <v>215</v>
      </c>
      <c r="V843" s="17" t="s">
        <v>915</v>
      </c>
      <c r="W843" s="12">
        <v>42095</v>
      </c>
      <c r="X843" s="12"/>
      <c r="Y843" s="12">
        <v>42735</v>
      </c>
      <c r="Z843" s="2"/>
      <c r="AA843" s="2" t="s">
        <v>479</v>
      </c>
      <c r="AB843" s="7" t="s">
        <v>787</v>
      </c>
      <c r="AC843" s="5">
        <v>1000</v>
      </c>
      <c r="AD843" s="5">
        <f>+AC843</f>
        <v>1000</v>
      </c>
      <c r="AE843" s="5">
        <v>1170</v>
      </c>
      <c r="AF843" s="5">
        <f t="shared" si="889"/>
        <v>1310</v>
      </c>
      <c r="AG843" s="5">
        <f t="shared" si="907"/>
        <v>1310</v>
      </c>
      <c r="AH843" s="5">
        <f t="shared" si="907"/>
        <v>1310</v>
      </c>
      <c r="AI843" s="5">
        <f t="shared" ref="AI843:AJ843" si="909">+AH843</f>
        <v>1310</v>
      </c>
      <c r="AJ843" s="5">
        <f t="shared" si="909"/>
        <v>1310</v>
      </c>
      <c r="AK843" s="2"/>
      <c r="AL843" s="106"/>
    </row>
    <row r="844" spans="1:38" ht="15" customHeight="1" x14ac:dyDescent="0.2">
      <c r="A844" s="29" t="s">
        <v>824</v>
      </c>
      <c r="B844" s="29" t="s">
        <v>822</v>
      </c>
      <c r="C844" s="29" t="s">
        <v>823</v>
      </c>
      <c r="D844" s="2" t="s">
        <v>808</v>
      </c>
      <c r="E844" s="2" t="s">
        <v>20</v>
      </c>
      <c r="F844" s="3"/>
      <c r="G844" s="3"/>
      <c r="H844" s="2" t="s">
        <v>236</v>
      </c>
      <c r="I844" s="2" t="s">
        <v>235</v>
      </c>
      <c r="J844" s="28" t="s">
        <v>73</v>
      </c>
      <c r="K844" s="28" t="s">
        <v>1765</v>
      </c>
      <c r="L844" s="31" t="s">
        <v>738</v>
      </c>
      <c r="M844" s="4" t="s">
        <v>3</v>
      </c>
      <c r="N844" s="15">
        <v>25330208</v>
      </c>
      <c r="O844" s="88" t="s">
        <v>1265</v>
      </c>
      <c r="P844" s="38">
        <v>27890</v>
      </c>
      <c r="Q844" s="38"/>
      <c r="R844" s="38"/>
      <c r="S844" s="38"/>
      <c r="T844" s="38"/>
      <c r="U844" s="17" t="s">
        <v>215</v>
      </c>
      <c r="V844" s="17" t="s">
        <v>915</v>
      </c>
      <c r="W844" s="12">
        <v>41680</v>
      </c>
      <c r="X844" s="19"/>
      <c r="Y844" s="12">
        <v>42735</v>
      </c>
      <c r="Z844" s="2"/>
      <c r="AA844" s="2" t="s">
        <v>479</v>
      </c>
      <c r="AB844" s="2" t="s">
        <v>10</v>
      </c>
      <c r="AC844" s="5">
        <v>1000</v>
      </c>
      <c r="AD844" s="5">
        <f>+AC844*1.07</f>
        <v>1070</v>
      </c>
      <c r="AE844" s="5">
        <v>1170</v>
      </c>
      <c r="AF844" s="5">
        <f t="shared" si="889"/>
        <v>1310</v>
      </c>
      <c r="AG844" s="5">
        <f>+AF844</f>
        <v>1310</v>
      </c>
      <c r="AH844" s="5">
        <f>+AG844</f>
        <v>1310</v>
      </c>
      <c r="AI844" s="5">
        <f t="shared" ref="AI844:AJ844" si="910">+AH844</f>
        <v>1310</v>
      </c>
      <c r="AJ844" s="5">
        <f t="shared" si="910"/>
        <v>1310</v>
      </c>
      <c r="AK844" s="2" t="s">
        <v>53</v>
      </c>
      <c r="AL844" s="105" t="str">
        <f>+AK844</f>
        <v>B0</v>
      </c>
    </row>
    <row r="845" spans="1:38" ht="15" customHeight="1" x14ac:dyDescent="0.2">
      <c r="A845" s="29" t="s">
        <v>824</v>
      </c>
      <c r="B845" s="29" t="s">
        <v>822</v>
      </c>
      <c r="C845" s="29" t="s">
        <v>823</v>
      </c>
      <c r="D845" s="2" t="s">
        <v>800</v>
      </c>
      <c r="E845" s="7" t="s">
        <v>501</v>
      </c>
      <c r="F845" s="7"/>
      <c r="G845" s="7"/>
      <c r="H845" s="8"/>
      <c r="I845" s="3"/>
      <c r="J845" s="28" t="s">
        <v>254</v>
      </c>
      <c r="K845" s="28"/>
      <c r="L845" s="42" t="s">
        <v>450</v>
      </c>
      <c r="M845" s="4" t="s">
        <v>3</v>
      </c>
      <c r="N845" s="15">
        <v>27217962</v>
      </c>
      <c r="O845" s="88">
        <v>20272179620</v>
      </c>
      <c r="P845" s="38"/>
      <c r="Q845" s="38"/>
      <c r="R845" s="38"/>
      <c r="S845" s="38"/>
      <c r="T845" s="38"/>
      <c r="U845" s="16" t="s">
        <v>796</v>
      </c>
      <c r="V845" s="16" t="s">
        <v>916</v>
      </c>
      <c r="W845" s="12">
        <v>40725</v>
      </c>
      <c r="X845" s="48">
        <v>42735</v>
      </c>
      <c r="Y845" s="12">
        <v>42735</v>
      </c>
      <c r="Z845" s="2" t="s">
        <v>42</v>
      </c>
      <c r="AA845" s="2"/>
      <c r="AB845" s="18"/>
      <c r="AC845" s="5">
        <v>1000</v>
      </c>
      <c r="AD845" s="5"/>
      <c r="AE845" s="5">
        <v>1170</v>
      </c>
      <c r="AF845" s="5">
        <f t="shared" si="889"/>
        <v>1310</v>
      </c>
      <c r="AG845" s="5">
        <f>+AF845</f>
        <v>1310</v>
      </c>
      <c r="AH845" s="5">
        <f>+AG845</f>
        <v>1310</v>
      </c>
      <c r="AI845" s="5">
        <f t="shared" ref="AI845:AJ845" si="911">+AH845</f>
        <v>1310</v>
      </c>
      <c r="AJ845" s="5">
        <f t="shared" si="911"/>
        <v>1310</v>
      </c>
      <c r="AK845" s="29"/>
      <c r="AL845" s="105" t="str">
        <f>+Z845</f>
        <v>C0</v>
      </c>
    </row>
    <row r="846" spans="1:38" ht="15" customHeight="1" x14ac:dyDescent="0.2">
      <c r="A846" s="29" t="s">
        <v>824</v>
      </c>
      <c r="B846" s="29" t="s">
        <v>822</v>
      </c>
      <c r="C846" s="29"/>
      <c r="D846" s="2" t="s">
        <v>956</v>
      </c>
      <c r="E846" s="2" t="s">
        <v>956</v>
      </c>
      <c r="F846" s="3"/>
      <c r="G846" s="3"/>
      <c r="H846" s="2"/>
      <c r="I846" s="2"/>
      <c r="J846" s="28"/>
      <c r="K846" s="28"/>
      <c r="L846" s="41" t="s">
        <v>1807</v>
      </c>
      <c r="M846" s="4" t="s">
        <v>3</v>
      </c>
      <c r="N846" s="15">
        <v>24206132</v>
      </c>
      <c r="O846" s="88">
        <v>20242061323</v>
      </c>
      <c r="P846" s="38"/>
      <c r="Q846" s="38"/>
      <c r="R846" s="38"/>
      <c r="S846" s="38"/>
      <c r="T846" s="38"/>
      <c r="U846" s="17"/>
      <c r="V846" s="17" t="s">
        <v>915</v>
      </c>
      <c r="W846" s="12">
        <v>42583</v>
      </c>
      <c r="X846" s="48"/>
      <c r="Y846" s="48">
        <v>42673</v>
      </c>
      <c r="Z846" s="2"/>
      <c r="AA846" s="2" t="s">
        <v>479</v>
      </c>
      <c r="AB846" s="3"/>
      <c r="AC846" s="5"/>
      <c r="AD846" s="5"/>
      <c r="AE846" s="5"/>
      <c r="AF846" s="5">
        <f t="shared" si="889"/>
        <v>0</v>
      </c>
      <c r="AG846" s="5">
        <v>1310</v>
      </c>
      <c r="AH846" s="5">
        <v>16000</v>
      </c>
      <c r="AI846" s="5">
        <f t="shared" ref="AI846:AJ846" si="912">+AH846</f>
        <v>16000</v>
      </c>
      <c r="AJ846" s="5">
        <f t="shared" si="912"/>
        <v>16000</v>
      </c>
      <c r="AK846" s="29" t="s">
        <v>42</v>
      </c>
      <c r="AL846" s="105" t="str">
        <f>+AK846</f>
        <v>C0</v>
      </c>
    </row>
    <row r="847" spans="1:38" ht="15" customHeight="1" x14ac:dyDescent="0.2">
      <c r="A847" s="29" t="s">
        <v>824</v>
      </c>
      <c r="B847" s="2"/>
      <c r="C847" s="29"/>
      <c r="D847" s="2" t="s">
        <v>820</v>
      </c>
      <c r="E847" s="2"/>
      <c r="F847" s="2"/>
      <c r="G847" s="2"/>
      <c r="H847" s="2"/>
      <c r="I847" s="2" t="s">
        <v>1707</v>
      </c>
      <c r="J847" s="28"/>
      <c r="K847" s="28" t="s">
        <v>1765</v>
      </c>
      <c r="L847" s="44" t="s">
        <v>1015</v>
      </c>
      <c r="M847" s="4" t="s">
        <v>3</v>
      </c>
      <c r="N847" s="47">
        <v>37753501</v>
      </c>
      <c r="O847" s="88" t="s">
        <v>1533</v>
      </c>
      <c r="P847" s="38">
        <v>34142</v>
      </c>
      <c r="Q847" s="38"/>
      <c r="R847" s="38"/>
      <c r="S847" s="38"/>
      <c r="T847" s="38"/>
      <c r="U847" s="17" t="s">
        <v>215</v>
      </c>
      <c r="V847" s="17" t="s">
        <v>915</v>
      </c>
      <c r="W847" s="12">
        <v>41944</v>
      </c>
      <c r="X847" s="13"/>
      <c r="Y847" s="12">
        <v>42735</v>
      </c>
      <c r="Z847" s="2"/>
      <c r="AA847" s="2" t="s">
        <v>479</v>
      </c>
      <c r="AB847" s="9"/>
      <c r="AC847" s="5">
        <v>1000</v>
      </c>
      <c r="AD847" s="5">
        <f>+AC847*1.07</f>
        <v>1070</v>
      </c>
      <c r="AE847" s="5">
        <v>1170</v>
      </c>
      <c r="AF847" s="5">
        <f t="shared" si="889"/>
        <v>1310</v>
      </c>
      <c r="AG847" s="5">
        <f t="shared" ref="AG847:AH866" si="913">+AF847</f>
        <v>1310</v>
      </c>
      <c r="AH847" s="5">
        <f t="shared" si="913"/>
        <v>1310</v>
      </c>
      <c r="AI847" s="5">
        <f t="shared" ref="AI847:AJ847" si="914">+AH847</f>
        <v>1310</v>
      </c>
      <c r="AJ847" s="5">
        <f t="shared" si="914"/>
        <v>1310</v>
      </c>
      <c r="AK847" s="2" t="s">
        <v>42</v>
      </c>
      <c r="AL847" s="105" t="str">
        <f>+AK847</f>
        <v>C0</v>
      </c>
    </row>
    <row r="848" spans="1:38" ht="15" customHeight="1" x14ac:dyDescent="0.2">
      <c r="A848" s="29" t="s">
        <v>824</v>
      </c>
      <c r="B848" s="29" t="s">
        <v>822</v>
      </c>
      <c r="C848" s="29" t="s">
        <v>823</v>
      </c>
      <c r="D848" s="2" t="s">
        <v>800</v>
      </c>
      <c r="E848" s="7" t="s">
        <v>497</v>
      </c>
      <c r="F848" s="7"/>
      <c r="G848" s="7"/>
      <c r="H848" s="8"/>
      <c r="I848" s="3" t="s">
        <v>1714</v>
      </c>
      <c r="J848" s="28" t="s">
        <v>254</v>
      </c>
      <c r="K848" s="28" t="s">
        <v>1767</v>
      </c>
      <c r="L848" s="42" t="s">
        <v>396</v>
      </c>
      <c r="M848" s="4" t="s">
        <v>3</v>
      </c>
      <c r="N848" s="15">
        <v>36761265</v>
      </c>
      <c r="O848" s="88" t="s">
        <v>1518</v>
      </c>
      <c r="P848" s="38">
        <v>33757</v>
      </c>
      <c r="Q848" s="38"/>
      <c r="R848" s="38"/>
      <c r="S848" s="38"/>
      <c r="T848" s="38"/>
      <c r="U848" s="17" t="s">
        <v>215</v>
      </c>
      <c r="V848" s="17" t="s">
        <v>915</v>
      </c>
      <c r="W848" s="12">
        <v>40725</v>
      </c>
      <c r="X848" s="20"/>
      <c r="Y848" s="12">
        <v>42735</v>
      </c>
      <c r="Z848" s="2"/>
      <c r="AA848" s="2" t="s">
        <v>479</v>
      </c>
      <c r="AB848" s="24" t="s">
        <v>479</v>
      </c>
      <c r="AC848" s="5">
        <v>1000</v>
      </c>
      <c r="AD848" s="5">
        <v>1070</v>
      </c>
      <c r="AE848" s="5">
        <v>1170</v>
      </c>
      <c r="AF848" s="5">
        <f t="shared" si="889"/>
        <v>1310</v>
      </c>
      <c r="AG848" s="5">
        <f t="shared" si="913"/>
        <v>1310</v>
      </c>
      <c r="AH848" s="5">
        <f t="shared" si="913"/>
        <v>1310</v>
      </c>
      <c r="AI848" s="5">
        <f t="shared" ref="AI848:AJ848" si="915">+AH848</f>
        <v>1310</v>
      </c>
      <c r="AJ848" s="5">
        <f t="shared" si="915"/>
        <v>1310</v>
      </c>
      <c r="AK848" s="29" t="s">
        <v>42</v>
      </c>
      <c r="AL848" s="105" t="str">
        <f>+AK848</f>
        <v>C0</v>
      </c>
    </row>
    <row r="849" spans="1:38" ht="15" customHeight="1" x14ac:dyDescent="0.2">
      <c r="A849" s="29" t="s">
        <v>824</v>
      </c>
      <c r="B849" s="2" t="s">
        <v>822</v>
      </c>
      <c r="C849" s="29"/>
      <c r="D849" s="2" t="s">
        <v>825</v>
      </c>
      <c r="E849" s="3" t="s">
        <v>8</v>
      </c>
      <c r="F849" s="2" t="s">
        <v>913</v>
      </c>
      <c r="G849" s="2"/>
      <c r="H849" s="2" t="s">
        <v>57</v>
      </c>
      <c r="I849" s="2" t="s">
        <v>13</v>
      </c>
      <c r="J849" s="28" t="s">
        <v>549</v>
      </c>
      <c r="K849" s="28" t="s">
        <v>549</v>
      </c>
      <c r="L849" s="41" t="s">
        <v>739</v>
      </c>
      <c r="M849" s="4" t="s">
        <v>3</v>
      </c>
      <c r="N849" s="15">
        <v>32877206</v>
      </c>
      <c r="O849" s="88">
        <v>20328772060</v>
      </c>
      <c r="P849" s="38">
        <v>32030</v>
      </c>
      <c r="Q849" s="38"/>
      <c r="R849" s="38"/>
      <c r="S849" s="38"/>
      <c r="T849" s="38"/>
      <c r="U849" s="17" t="s">
        <v>215</v>
      </c>
      <c r="V849" s="17" t="s">
        <v>915</v>
      </c>
      <c r="W849" s="12">
        <v>42248</v>
      </c>
      <c r="X849" s="12"/>
      <c r="Y849" s="12">
        <v>42735</v>
      </c>
      <c r="Z849" s="2"/>
      <c r="AA849" s="2" t="s">
        <v>479</v>
      </c>
      <c r="AB849" s="3" t="s">
        <v>10</v>
      </c>
      <c r="AC849" s="5">
        <v>1000</v>
      </c>
      <c r="AD849" s="5">
        <f>+AC849*1.07</f>
        <v>1070</v>
      </c>
      <c r="AE849" s="5">
        <v>1170</v>
      </c>
      <c r="AF849" s="5">
        <f t="shared" si="889"/>
        <v>1310</v>
      </c>
      <c r="AG849" s="5">
        <f t="shared" si="913"/>
        <v>1310</v>
      </c>
      <c r="AH849" s="5">
        <f t="shared" si="913"/>
        <v>1310</v>
      </c>
      <c r="AI849" s="5">
        <f t="shared" ref="AI849:AJ849" si="916">+AH849</f>
        <v>1310</v>
      </c>
      <c r="AJ849" s="5">
        <f t="shared" si="916"/>
        <v>1310</v>
      </c>
      <c r="AK849" s="2" t="s">
        <v>1815</v>
      </c>
      <c r="AL849" s="106"/>
    </row>
    <row r="850" spans="1:38" ht="15" customHeight="1" x14ac:dyDescent="0.2">
      <c r="A850" s="29" t="s">
        <v>824</v>
      </c>
      <c r="B850" s="2" t="s">
        <v>822</v>
      </c>
      <c r="C850" s="29" t="s">
        <v>823</v>
      </c>
      <c r="D850" s="2" t="s">
        <v>808</v>
      </c>
      <c r="E850" s="2" t="s">
        <v>20</v>
      </c>
      <c r="F850" s="2"/>
      <c r="G850" s="2"/>
      <c r="H850" s="2"/>
      <c r="I850" s="2" t="s">
        <v>235</v>
      </c>
      <c r="J850" s="28"/>
      <c r="K850" s="28" t="s">
        <v>1765</v>
      </c>
      <c r="L850" s="44" t="s">
        <v>940</v>
      </c>
      <c r="M850" s="7" t="s">
        <v>3</v>
      </c>
      <c r="N850" s="15">
        <v>26047568</v>
      </c>
      <c r="O850" s="88" t="s">
        <v>1279</v>
      </c>
      <c r="P850" s="38">
        <v>28282</v>
      </c>
      <c r="Q850" s="38"/>
      <c r="R850" s="38"/>
      <c r="S850" s="38"/>
      <c r="T850" s="38"/>
      <c r="U850" s="17" t="s">
        <v>215</v>
      </c>
      <c r="V850" s="17" t="s">
        <v>915</v>
      </c>
      <c r="W850" s="12">
        <v>42491</v>
      </c>
      <c r="X850" s="13"/>
      <c r="Y850" s="12">
        <v>42735</v>
      </c>
      <c r="Z850" s="2"/>
      <c r="AA850" s="2" t="s">
        <v>479</v>
      </c>
      <c r="AB850" s="7"/>
      <c r="AC850" s="5">
        <v>1000</v>
      </c>
      <c r="AD850" s="5">
        <f>+AC850*1.07</f>
        <v>1070</v>
      </c>
      <c r="AE850" s="5">
        <v>1170</v>
      </c>
      <c r="AF850" s="5">
        <f t="shared" si="889"/>
        <v>1310</v>
      </c>
      <c r="AG850" s="5">
        <f t="shared" si="913"/>
        <v>1310</v>
      </c>
      <c r="AH850" s="5">
        <f t="shared" si="913"/>
        <v>1310</v>
      </c>
      <c r="AI850" s="5">
        <f t="shared" ref="AI850:AJ850" si="917">+AH850</f>
        <v>1310</v>
      </c>
      <c r="AJ850" s="5">
        <f t="shared" si="917"/>
        <v>1310</v>
      </c>
      <c r="AK850" s="2" t="s">
        <v>53</v>
      </c>
      <c r="AL850" s="105" t="str">
        <f>+AK850</f>
        <v>B0</v>
      </c>
    </row>
    <row r="851" spans="1:38" ht="15" customHeight="1" x14ac:dyDescent="0.2">
      <c r="A851" s="29" t="s">
        <v>824</v>
      </c>
      <c r="B851" s="29" t="s">
        <v>822</v>
      </c>
      <c r="C851" s="29" t="s">
        <v>823</v>
      </c>
      <c r="D851" s="2" t="s">
        <v>808</v>
      </c>
      <c r="E851" s="2" t="s">
        <v>59</v>
      </c>
      <c r="F851" s="3"/>
      <c r="G851" s="3"/>
      <c r="H851" s="2"/>
      <c r="I851" s="2" t="s">
        <v>1708</v>
      </c>
      <c r="J851" s="28" t="s">
        <v>73</v>
      </c>
      <c r="K851" s="28" t="s">
        <v>1765</v>
      </c>
      <c r="L851" s="43" t="s">
        <v>540</v>
      </c>
      <c r="M851" s="4" t="s">
        <v>3</v>
      </c>
      <c r="N851" s="15">
        <v>26246918</v>
      </c>
      <c r="O851" s="88" t="s">
        <v>1283</v>
      </c>
      <c r="P851" s="38">
        <v>28524</v>
      </c>
      <c r="Q851" s="38"/>
      <c r="R851" s="38"/>
      <c r="S851" s="38"/>
      <c r="T851" s="38"/>
      <c r="U851" s="17" t="s">
        <v>215</v>
      </c>
      <c r="V851" s="17" t="s">
        <v>915</v>
      </c>
      <c r="W851" s="12">
        <v>42066</v>
      </c>
      <c r="X851" s="37"/>
      <c r="Y851" s="12">
        <v>42735</v>
      </c>
      <c r="Z851" s="2"/>
      <c r="AA851" s="2" t="s">
        <v>479</v>
      </c>
      <c r="AB851" s="2" t="s">
        <v>546</v>
      </c>
      <c r="AC851" s="5">
        <v>1000</v>
      </c>
      <c r="AD851" s="5">
        <f>+AC851*1.07</f>
        <v>1070</v>
      </c>
      <c r="AE851" s="5">
        <v>1170</v>
      </c>
      <c r="AF851" s="5">
        <f t="shared" si="889"/>
        <v>1310</v>
      </c>
      <c r="AG851" s="5">
        <f t="shared" si="913"/>
        <v>1310</v>
      </c>
      <c r="AH851" s="5">
        <f t="shared" si="913"/>
        <v>1310</v>
      </c>
      <c r="AI851" s="5">
        <f t="shared" ref="AI851:AJ851" si="918">+AH851</f>
        <v>1310</v>
      </c>
      <c r="AJ851" s="5">
        <f t="shared" si="918"/>
        <v>1310</v>
      </c>
      <c r="AK851" s="29" t="s">
        <v>42</v>
      </c>
      <c r="AL851" s="105" t="str">
        <f>+AK851</f>
        <v>C0</v>
      </c>
    </row>
    <row r="852" spans="1:38" ht="15" customHeight="1" x14ac:dyDescent="0.2">
      <c r="A852" s="29" t="s">
        <v>824</v>
      </c>
      <c r="B852" s="2" t="s">
        <v>822</v>
      </c>
      <c r="C852" s="3"/>
      <c r="D852" s="2" t="s">
        <v>825</v>
      </c>
      <c r="E852" s="3" t="s">
        <v>18</v>
      </c>
      <c r="F852" s="2" t="s">
        <v>19</v>
      </c>
      <c r="G852" s="2"/>
      <c r="H852" s="2" t="s">
        <v>36</v>
      </c>
      <c r="I852" s="2" t="s">
        <v>1707</v>
      </c>
      <c r="J852" s="28" t="s">
        <v>548</v>
      </c>
      <c r="K852" s="28" t="s">
        <v>548</v>
      </c>
      <c r="L852" s="44" t="s">
        <v>740</v>
      </c>
      <c r="M852" s="4" t="s">
        <v>3</v>
      </c>
      <c r="N852" s="15">
        <v>12425437</v>
      </c>
      <c r="O852" s="88" t="s">
        <v>1153</v>
      </c>
      <c r="P852" s="38">
        <v>21337</v>
      </c>
      <c r="Q852" s="38"/>
      <c r="R852" s="38"/>
      <c r="S852" s="38"/>
      <c r="T852" s="38"/>
      <c r="U852" s="17" t="s">
        <v>215</v>
      </c>
      <c r="V852" s="17" t="s">
        <v>915</v>
      </c>
      <c r="W852" s="12">
        <v>41275</v>
      </c>
      <c r="X852" s="12"/>
      <c r="Y852" s="12">
        <v>42735</v>
      </c>
      <c r="Z852" s="2"/>
      <c r="AA852" s="2" t="s">
        <v>479</v>
      </c>
      <c r="AB852" s="7" t="s">
        <v>787</v>
      </c>
      <c r="AC852" s="5">
        <v>1000</v>
      </c>
      <c r="AD852" s="5">
        <f>+AC852</f>
        <v>1000</v>
      </c>
      <c r="AE852" s="5">
        <v>1170</v>
      </c>
      <c r="AF852" s="5">
        <f t="shared" si="889"/>
        <v>1310</v>
      </c>
      <c r="AG852" s="5">
        <f t="shared" si="913"/>
        <v>1310</v>
      </c>
      <c r="AH852" s="5">
        <f t="shared" si="913"/>
        <v>1310</v>
      </c>
      <c r="AI852" s="5">
        <f t="shared" ref="AI852:AJ852" si="919">+AH852</f>
        <v>1310</v>
      </c>
      <c r="AJ852" s="5">
        <f t="shared" si="919"/>
        <v>1310</v>
      </c>
      <c r="AK852" s="29"/>
      <c r="AL852" s="8"/>
    </row>
    <row r="853" spans="1:38" ht="15" customHeight="1" x14ac:dyDescent="0.2">
      <c r="A853" s="29" t="s">
        <v>824</v>
      </c>
      <c r="B853" s="29" t="s">
        <v>822</v>
      </c>
      <c r="C853" s="29" t="s">
        <v>823</v>
      </c>
      <c r="D853" s="2" t="s">
        <v>800</v>
      </c>
      <c r="E853" s="7" t="s">
        <v>503</v>
      </c>
      <c r="F853" s="7"/>
      <c r="G853" s="7"/>
      <c r="H853" s="8"/>
      <c r="I853" s="3" t="s">
        <v>1726</v>
      </c>
      <c r="J853" s="28" t="s">
        <v>254</v>
      </c>
      <c r="K853" s="28" t="s">
        <v>1767</v>
      </c>
      <c r="L853" s="42" t="s">
        <v>478</v>
      </c>
      <c r="M853" s="4" t="s">
        <v>3</v>
      </c>
      <c r="N853" s="15">
        <v>34114414</v>
      </c>
      <c r="O853" s="88" t="s">
        <v>1462</v>
      </c>
      <c r="P853" s="38">
        <v>32454</v>
      </c>
      <c r="Q853" s="38"/>
      <c r="R853" s="38"/>
      <c r="S853" s="38"/>
      <c r="T853" s="38"/>
      <c r="U853" s="17" t="s">
        <v>215</v>
      </c>
      <c r="V853" s="17" t="s">
        <v>915</v>
      </c>
      <c r="W853" s="12">
        <v>41365</v>
      </c>
      <c r="X853" s="20"/>
      <c r="Y853" s="12">
        <v>42735</v>
      </c>
      <c r="Z853" s="2"/>
      <c r="AA853" s="2" t="s">
        <v>479</v>
      </c>
      <c r="AB853" s="24" t="s">
        <v>479</v>
      </c>
      <c r="AC853" s="5">
        <v>1000</v>
      </c>
      <c r="AD853" s="5">
        <v>1070</v>
      </c>
      <c r="AE853" s="5">
        <v>1170</v>
      </c>
      <c r="AF853" s="5">
        <f t="shared" si="889"/>
        <v>1310</v>
      </c>
      <c r="AG853" s="5">
        <f t="shared" si="913"/>
        <v>1310</v>
      </c>
      <c r="AH853" s="5">
        <f t="shared" si="913"/>
        <v>1310</v>
      </c>
      <c r="AI853" s="5">
        <f t="shared" ref="AI853:AJ853" si="920">+AH853</f>
        <v>1310</v>
      </c>
      <c r="AJ853" s="5">
        <f t="shared" si="920"/>
        <v>1310</v>
      </c>
      <c r="AK853" s="2" t="s">
        <v>53</v>
      </c>
      <c r="AL853" s="105" t="str">
        <f>+AK853</f>
        <v>B0</v>
      </c>
    </row>
    <row r="854" spans="1:38" ht="15" customHeight="1" x14ac:dyDescent="0.2">
      <c r="A854" s="29" t="s">
        <v>824</v>
      </c>
      <c r="B854" s="2" t="s">
        <v>822</v>
      </c>
      <c r="C854" s="29" t="s">
        <v>823</v>
      </c>
      <c r="D854" s="2" t="s">
        <v>808</v>
      </c>
      <c r="E854" s="2" t="s">
        <v>216</v>
      </c>
      <c r="F854" s="2" t="s">
        <v>1066</v>
      </c>
      <c r="G854" s="2"/>
      <c r="H854" s="3"/>
      <c r="I854" s="2" t="s">
        <v>1066</v>
      </c>
      <c r="J854" s="28"/>
      <c r="K854" s="28" t="s">
        <v>1765</v>
      </c>
      <c r="L854" s="42" t="s">
        <v>1085</v>
      </c>
      <c r="M854" s="7" t="s">
        <v>3</v>
      </c>
      <c r="N854" s="15">
        <v>34511518</v>
      </c>
      <c r="O854" s="88">
        <v>27345115183</v>
      </c>
      <c r="P854" s="38">
        <v>32657</v>
      </c>
      <c r="Q854" s="38"/>
      <c r="R854" s="38"/>
      <c r="S854" s="38"/>
      <c r="T854" s="38"/>
      <c r="U854" s="17" t="s">
        <v>215</v>
      </c>
      <c r="V854" s="17" t="s">
        <v>915</v>
      </c>
      <c r="W854" s="12">
        <v>42491</v>
      </c>
      <c r="X854" s="19"/>
      <c r="Y854" s="12">
        <v>42735</v>
      </c>
      <c r="Z854" s="2"/>
      <c r="AA854" s="2" t="s">
        <v>479</v>
      </c>
      <c r="AB854" s="2"/>
      <c r="AC854" s="5">
        <v>1000</v>
      </c>
      <c r="AD854" s="5">
        <v>1070</v>
      </c>
      <c r="AE854" s="5">
        <v>1170</v>
      </c>
      <c r="AF854" s="5">
        <f t="shared" si="889"/>
        <v>1310</v>
      </c>
      <c r="AG854" s="5">
        <f t="shared" si="913"/>
        <v>1310</v>
      </c>
      <c r="AH854" s="5">
        <f t="shared" si="913"/>
        <v>1310</v>
      </c>
      <c r="AI854" s="5">
        <f t="shared" ref="AI854:AJ854" si="921">+AH854</f>
        <v>1310</v>
      </c>
      <c r="AJ854" s="5">
        <f t="shared" si="921"/>
        <v>1310</v>
      </c>
      <c r="AK854" s="2" t="s">
        <v>42</v>
      </c>
      <c r="AL854" s="105" t="str">
        <f>+AK854</f>
        <v>C0</v>
      </c>
    </row>
    <row r="855" spans="1:38" ht="15" customHeight="1" x14ac:dyDescent="0.2">
      <c r="A855" s="29" t="s">
        <v>824</v>
      </c>
      <c r="B855" s="2" t="s">
        <v>822</v>
      </c>
      <c r="C855" s="3"/>
      <c r="D855" s="2" t="s">
        <v>825</v>
      </c>
      <c r="E855" s="3" t="s">
        <v>18</v>
      </c>
      <c r="F855" s="2" t="s">
        <v>1012</v>
      </c>
      <c r="G855" s="2"/>
      <c r="H855" s="2" t="s">
        <v>20</v>
      </c>
      <c r="I855" s="2" t="s">
        <v>1760</v>
      </c>
      <c r="J855" s="28" t="s">
        <v>548</v>
      </c>
      <c r="K855" s="28" t="s">
        <v>548</v>
      </c>
      <c r="L855" s="44" t="s">
        <v>1010</v>
      </c>
      <c r="M855" s="7" t="s">
        <v>3</v>
      </c>
      <c r="N855" s="47">
        <v>38842536</v>
      </c>
      <c r="O855" s="88" t="s">
        <v>1554</v>
      </c>
      <c r="P855" s="38">
        <v>34002</v>
      </c>
      <c r="Q855" s="38"/>
      <c r="R855" s="38"/>
      <c r="S855" s="38"/>
      <c r="T855" s="38"/>
      <c r="U855" s="17" t="s">
        <v>215</v>
      </c>
      <c r="V855" s="17" t="s">
        <v>915</v>
      </c>
      <c r="W855" s="12">
        <v>42233</v>
      </c>
      <c r="X855" s="12"/>
      <c r="Y855" s="12">
        <v>42735</v>
      </c>
      <c r="Z855" s="2"/>
      <c r="AA855" s="2" t="s">
        <v>479</v>
      </c>
      <c r="AB855" s="7"/>
      <c r="AC855" s="5">
        <v>1000</v>
      </c>
      <c r="AD855" s="5">
        <f>+AC855</f>
        <v>1000</v>
      </c>
      <c r="AE855" s="5">
        <v>1170</v>
      </c>
      <c r="AF855" s="5">
        <f t="shared" si="889"/>
        <v>1310</v>
      </c>
      <c r="AG855" s="5">
        <f t="shared" si="913"/>
        <v>1310</v>
      </c>
      <c r="AH855" s="5">
        <f t="shared" si="913"/>
        <v>1310</v>
      </c>
      <c r="AI855" s="5">
        <f t="shared" ref="AI855:AJ855" si="922">+AH855</f>
        <v>1310</v>
      </c>
      <c r="AJ855" s="5">
        <f t="shared" si="922"/>
        <v>1310</v>
      </c>
      <c r="AK855" s="2"/>
      <c r="AL855" s="106"/>
    </row>
    <row r="856" spans="1:38" ht="15" customHeight="1" x14ac:dyDescent="0.2">
      <c r="A856" s="29" t="s">
        <v>824</v>
      </c>
      <c r="B856" s="2" t="s">
        <v>822</v>
      </c>
      <c r="C856" s="3"/>
      <c r="D856" s="2" t="s">
        <v>825</v>
      </c>
      <c r="E856" s="3" t="s">
        <v>18</v>
      </c>
      <c r="F856" s="2" t="s">
        <v>19</v>
      </c>
      <c r="G856" s="2"/>
      <c r="H856" s="2" t="s">
        <v>36</v>
      </c>
      <c r="I856" s="2" t="s">
        <v>1707</v>
      </c>
      <c r="J856" s="28" t="s">
        <v>548</v>
      </c>
      <c r="K856" s="28" t="s">
        <v>548</v>
      </c>
      <c r="L856" s="44" t="s">
        <v>741</v>
      </c>
      <c r="M856" s="4" t="s">
        <v>3</v>
      </c>
      <c r="N856" s="15">
        <v>27263724</v>
      </c>
      <c r="O856" s="88" t="s">
        <v>1311</v>
      </c>
      <c r="P856" s="38">
        <v>29005</v>
      </c>
      <c r="Q856" s="38"/>
      <c r="R856" s="38"/>
      <c r="S856" s="38"/>
      <c r="T856" s="38"/>
      <c r="U856" s="17" t="s">
        <v>215</v>
      </c>
      <c r="V856" s="17" t="s">
        <v>915</v>
      </c>
      <c r="W856" s="12">
        <v>42278</v>
      </c>
      <c r="X856" s="12"/>
      <c r="Y856" s="12">
        <v>42735</v>
      </c>
      <c r="Z856" s="2"/>
      <c r="AA856" s="2" t="s">
        <v>479</v>
      </c>
      <c r="AB856" s="7" t="s">
        <v>787</v>
      </c>
      <c r="AC856" s="5">
        <v>1000</v>
      </c>
      <c r="AD856" s="5">
        <f>+AC856</f>
        <v>1000</v>
      </c>
      <c r="AE856" s="5">
        <v>1170</v>
      </c>
      <c r="AF856" s="5">
        <f t="shared" si="889"/>
        <v>1310</v>
      </c>
      <c r="AG856" s="5">
        <f t="shared" si="913"/>
        <v>1310</v>
      </c>
      <c r="AH856" s="5">
        <f t="shared" si="913"/>
        <v>1310</v>
      </c>
      <c r="AI856" s="5">
        <f t="shared" ref="AI856:AJ856" si="923">+AH856</f>
        <v>1310</v>
      </c>
      <c r="AJ856" s="5">
        <f t="shared" si="923"/>
        <v>1310</v>
      </c>
      <c r="AK856" s="2"/>
      <c r="AL856" s="106"/>
    </row>
    <row r="857" spans="1:38" ht="15" customHeight="1" x14ac:dyDescent="0.2">
      <c r="A857" s="29" t="s">
        <v>824</v>
      </c>
      <c r="B857" s="29" t="s">
        <v>822</v>
      </c>
      <c r="C857" s="29" t="s">
        <v>823</v>
      </c>
      <c r="D857" s="2" t="s">
        <v>800</v>
      </c>
      <c r="E857" s="2" t="s">
        <v>487</v>
      </c>
      <c r="F857" s="2"/>
      <c r="G857" s="2"/>
      <c r="H857" s="2" t="s">
        <v>1711</v>
      </c>
      <c r="I857" s="3"/>
      <c r="J857" s="28" t="s">
        <v>254</v>
      </c>
      <c r="K857" s="28"/>
      <c r="L857" s="42" t="s">
        <v>319</v>
      </c>
      <c r="M857" s="4" t="s">
        <v>3</v>
      </c>
      <c r="N857" s="15">
        <v>37200106</v>
      </c>
      <c r="O857" s="88">
        <v>27372001068</v>
      </c>
      <c r="P857" s="38"/>
      <c r="Q857" s="38"/>
      <c r="R857" s="38"/>
      <c r="S857" s="38"/>
      <c r="T857" s="38"/>
      <c r="U857" s="16" t="s">
        <v>796</v>
      </c>
      <c r="V857" s="16" t="s">
        <v>916</v>
      </c>
      <c r="W857" s="12">
        <v>41456</v>
      </c>
      <c r="X857" s="12">
        <v>42460</v>
      </c>
      <c r="Y857" s="12">
        <v>42735</v>
      </c>
      <c r="Z857" s="2" t="s">
        <v>42</v>
      </c>
      <c r="AA857" s="2"/>
      <c r="AB857" s="18"/>
      <c r="AC857" s="5">
        <v>1000</v>
      </c>
      <c r="AD857" s="5"/>
      <c r="AE857" s="5">
        <v>1170</v>
      </c>
      <c r="AF857" s="5">
        <f t="shared" si="889"/>
        <v>1310</v>
      </c>
      <c r="AG857" s="5">
        <f t="shared" si="913"/>
        <v>1310</v>
      </c>
      <c r="AH857" s="5">
        <f t="shared" si="913"/>
        <v>1310</v>
      </c>
      <c r="AI857" s="5">
        <f t="shared" ref="AI857:AJ857" si="924">+AH857</f>
        <v>1310</v>
      </c>
      <c r="AJ857" s="5">
        <f t="shared" si="924"/>
        <v>1310</v>
      </c>
      <c r="AK857" s="29"/>
      <c r="AL857" s="105" t="str">
        <f>+Z857</f>
        <v>C0</v>
      </c>
    </row>
    <row r="858" spans="1:38" ht="15" customHeight="1" x14ac:dyDescent="0.2">
      <c r="A858" s="29" t="s">
        <v>824</v>
      </c>
      <c r="B858" s="29" t="s">
        <v>822</v>
      </c>
      <c r="C858" s="29" t="s">
        <v>823</v>
      </c>
      <c r="D858" s="2" t="s">
        <v>808</v>
      </c>
      <c r="E858" s="2" t="s">
        <v>909</v>
      </c>
      <c r="F858" s="2" t="s">
        <v>500</v>
      </c>
      <c r="G858" s="3"/>
      <c r="H858" s="2" t="s">
        <v>14</v>
      </c>
      <c r="I858" s="2" t="s">
        <v>233</v>
      </c>
      <c r="J858" s="28" t="s">
        <v>73</v>
      </c>
      <c r="K858" s="28" t="s">
        <v>1765</v>
      </c>
      <c r="L858" s="41" t="s">
        <v>71</v>
      </c>
      <c r="M858" s="4" t="s">
        <v>3</v>
      </c>
      <c r="N858" s="15">
        <v>23426675</v>
      </c>
      <c r="O858" s="88" t="s">
        <v>1229</v>
      </c>
      <c r="P858" s="38">
        <v>26898</v>
      </c>
      <c r="Q858" s="38"/>
      <c r="R858" s="38"/>
      <c r="S858" s="38"/>
      <c r="T858" s="38"/>
      <c r="U858" s="17" t="s">
        <v>215</v>
      </c>
      <c r="V858" s="17" t="s">
        <v>915</v>
      </c>
      <c r="W858" s="12">
        <v>42139</v>
      </c>
      <c r="X858" s="38"/>
      <c r="Y858" s="12">
        <v>42735</v>
      </c>
      <c r="Z858" s="2"/>
      <c r="AA858" s="2" t="s">
        <v>479</v>
      </c>
      <c r="AB858" s="3" t="s">
        <v>10</v>
      </c>
      <c r="AC858" s="5">
        <v>1000</v>
      </c>
      <c r="AD858" s="5">
        <f>+AC858*1.07</f>
        <v>1070</v>
      </c>
      <c r="AE858" s="5">
        <v>1170</v>
      </c>
      <c r="AF858" s="5">
        <f t="shared" si="889"/>
        <v>1310</v>
      </c>
      <c r="AG858" s="5">
        <f t="shared" si="913"/>
        <v>1310</v>
      </c>
      <c r="AH858" s="5">
        <f t="shared" si="913"/>
        <v>1310</v>
      </c>
      <c r="AI858" s="5">
        <f t="shared" ref="AI858:AJ858" si="925">+AH858</f>
        <v>1310</v>
      </c>
      <c r="AJ858" s="5">
        <f t="shared" si="925"/>
        <v>1310</v>
      </c>
      <c r="AK858" s="2" t="s">
        <v>43</v>
      </c>
      <c r="AL858" s="105" t="str">
        <f>+AK858</f>
        <v>A0</v>
      </c>
    </row>
    <row r="859" spans="1:38" ht="15" customHeight="1" x14ac:dyDescent="0.2">
      <c r="A859" s="29" t="s">
        <v>824</v>
      </c>
      <c r="B859" s="29" t="s">
        <v>822</v>
      </c>
      <c r="C859" s="29" t="s">
        <v>823</v>
      </c>
      <c r="D859" s="2" t="s">
        <v>800</v>
      </c>
      <c r="E859" s="7" t="s">
        <v>507</v>
      </c>
      <c r="F859" s="7"/>
      <c r="G859" s="7"/>
      <c r="H859" s="2" t="s">
        <v>884</v>
      </c>
      <c r="I859" s="2" t="s">
        <v>48</v>
      </c>
      <c r="J859" s="28"/>
      <c r="K859" s="28" t="s">
        <v>1767</v>
      </c>
      <c r="L859" s="42" t="s">
        <v>1123</v>
      </c>
      <c r="M859" s="7" t="s">
        <v>3</v>
      </c>
      <c r="N859" s="15">
        <v>29303530</v>
      </c>
      <c r="O859" s="88">
        <v>20293035300</v>
      </c>
      <c r="P859" s="38">
        <v>30040</v>
      </c>
      <c r="Q859" s="38"/>
      <c r="R859" s="38"/>
      <c r="S859" s="38"/>
      <c r="T859" s="38"/>
      <c r="U859" s="17" t="s">
        <v>215</v>
      </c>
      <c r="V859" s="17" t="s">
        <v>915</v>
      </c>
      <c r="W859" s="12">
        <v>42501</v>
      </c>
      <c r="X859" s="20"/>
      <c r="Y859" s="12">
        <v>42735</v>
      </c>
      <c r="Z859" s="2"/>
      <c r="AA859" s="2" t="s">
        <v>479</v>
      </c>
      <c r="AB859" s="24"/>
      <c r="AC859" s="5">
        <v>1000</v>
      </c>
      <c r="AD859" s="5">
        <f>+AC859*1.07</f>
        <v>1070</v>
      </c>
      <c r="AE859" s="5">
        <v>1170</v>
      </c>
      <c r="AF859" s="5">
        <f t="shared" si="889"/>
        <v>1310</v>
      </c>
      <c r="AG859" s="5">
        <f t="shared" si="913"/>
        <v>1310</v>
      </c>
      <c r="AH859" s="5">
        <f t="shared" si="913"/>
        <v>1310</v>
      </c>
      <c r="AI859" s="5">
        <f t="shared" ref="AI859:AJ859" si="926">+AH859</f>
        <v>1310</v>
      </c>
      <c r="AJ859" s="5">
        <f t="shared" si="926"/>
        <v>1310</v>
      </c>
      <c r="AK859" s="2" t="s">
        <v>53</v>
      </c>
      <c r="AL859" s="105" t="str">
        <f>+AK859</f>
        <v>B0</v>
      </c>
    </row>
    <row r="860" spans="1:38" ht="15" customHeight="1" x14ac:dyDescent="0.2">
      <c r="A860" s="29" t="s">
        <v>824</v>
      </c>
      <c r="B860" s="2" t="s">
        <v>822</v>
      </c>
      <c r="C860" s="3"/>
      <c r="D860" s="2" t="s">
        <v>825</v>
      </c>
      <c r="E860" s="3" t="s">
        <v>18</v>
      </c>
      <c r="F860" s="2" t="s">
        <v>19</v>
      </c>
      <c r="G860" s="2"/>
      <c r="H860" s="2" t="s">
        <v>20</v>
      </c>
      <c r="I860" s="2" t="s">
        <v>1760</v>
      </c>
      <c r="J860" s="28" t="s">
        <v>548</v>
      </c>
      <c r="K860" s="28" t="s">
        <v>548</v>
      </c>
      <c r="L860" s="44" t="s">
        <v>742</v>
      </c>
      <c r="M860" s="4" t="s">
        <v>3</v>
      </c>
      <c r="N860" s="15">
        <v>38682779</v>
      </c>
      <c r="O860" s="88" t="s">
        <v>1553</v>
      </c>
      <c r="P860" s="38">
        <v>31010</v>
      </c>
      <c r="Q860" s="38"/>
      <c r="R860" s="38"/>
      <c r="S860" s="38"/>
      <c r="T860" s="38"/>
      <c r="U860" s="17" t="s">
        <v>215</v>
      </c>
      <c r="V860" s="17" t="s">
        <v>915</v>
      </c>
      <c r="W860" s="12">
        <v>42278</v>
      </c>
      <c r="X860" s="12"/>
      <c r="Y860" s="12">
        <v>42735</v>
      </c>
      <c r="Z860" s="2"/>
      <c r="AA860" s="2" t="s">
        <v>479</v>
      </c>
      <c r="AB860" s="7" t="s">
        <v>787</v>
      </c>
      <c r="AC860" s="5">
        <v>1000</v>
      </c>
      <c r="AD860" s="5">
        <f>+AC860</f>
        <v>1000</v>
      </c>
      <c r="AE860" s="5">
        <v>1170</v>
      </c>
      <c r="AF860" s="5">
        <f t="shared" si="889"/>
        <v>1310</v>
      </c>
      <c r="AG860" s="5">
        <f t="shared" si="913"/>
        <v>1310</v>
      </c>
      <c r="AH860" s="5">
        <f t="shared" si="913"/>
        <v>1310</v>
      </c>
      <c r="AI860" s="5">
        <f t="shared" ref="AI860:AJ860" si="927">+AH860</f>
        <v>1310</v>
      </c>
      <c r="AJ860" s="5">
        <f t="shared" si="927"/>
        <v>1310</v>
      </c>
      <c r="AK860" s="2"/>
      <c r="AL860" s="106"/>
    </row>
    <row r="861" spans="1:38" ht="15" customHeight="1" x14ac:dyDescent="0.2">
      <c r="A861" s="29" t="s">
        <v>824</v>
      </c>
      <c r="B861" s="29" t="s">
        <v>822</v>
      </c>
      <c r="C861" s="29" t="s">
        <v>823</v>
      </c>
      <c r="D861" s="2" t="s">
        <v>808</v>
      </c>
      <c r="E861" s="2" t="s">
        <v>11</v>
      </c>
      <c r="F861" s="2" t="s">
        <v>218</v>
      </c>
      <c r="G861" s="3"/>
      <c r="H861" s="2" t="s">
        <v>248</v>
      </c>
      <c r="I861" s="3"/>
      <c r="J861" s="28" t="s">
        <v>73</v>
      </c>
      <c r="K861" s="28"/>
      <c r="L861" s="42" t="s">
        <v>188</v>
      </c>
      <c r="M861" s="4" t="s">
        <v>3</v>
      </c>
      <c r="N861" s="15">
        <v>21471551</v>
      </c>
      <c r="O861" s="88">
        <v>27214715517</v>
      </c>
      <c r="P861" s="38"/>
      <c r="Q861" s="38"/>
      <c r="R861" s="38"/>
      <c r="S861" s="38"/>
      <c r="T861" s="38"/>
      <c r="U861" s="16" t="s">
        <v>796</v>
      </c>
      <c r="V861" s="16" t="s">
        <v>916</v>
      </c>
      <c r="W861" s="12">
        <v>40665</v>
      </c>
      <c r="X861" s="48">
        <v>42735</v>
      </c>
      <c r="Y861" s="12">
        <v>42735</v>
      </c>
      <c r="Z861" s="2" t="s">
        <v>30</v>
      </c>
      <c r="AA861" s="2"/>
      <c r="AB861" s="14"/>
      <c r="AC861" s="5">
        <v>1000</v>
      </c>
      <c r="AD861" s="5">
        <f>+AC861*1.07</f>
        <v>1070</v>
      </c>
      <c r="AE861" s="5">
        <v>1170</v>
      </c>
      <c r="AF861" s="5">
        <f t="shared" si="889"/>
        <v>1310</v>
      </c>
      <c r="AG861" s="5">
        <f t="shared" si="913"/>
        <v>1310</v>
      </c>
      <c r="AH861" s="5">
        <f t="shared" si="913"/>
        <v>1310</v>
      </c>
      <c r="AI861" s="5">
        <f t="shared" ref="AI861:AJ861" si="928">+AH861</f>
        <v>1310</v>
      </c>
      <c r="AJ861" s="5">
        <f t="shared" si="928"/>
        <v>1310</v>
      </c>
      <c r="AK861" s="29"/>
      <c r="AL861" s="105" t="str">
        <f>+Z861</f>
        <v>B1</v>
      </c>
    </row>
    <row r="862" spans="1:38" ht="15" customHeight="1" x14ac:dyDescent="0.2">
      <c r="A862" s="29" t="s">
        <v>824</v>
      </c>
      <c r="B862" s="2"/>
      <c r="C862" s="3"/>
      <c r="D862" s="2" t="s">
        <v>820</v>
      </c>
      <c r="E862" s="2" t="s">
        <v>921</v>
      </c>
      <c r="F862" s="2" t="s">
        <v>31</v>
      </c>
      <c r="G862" s="2"/>
      <c r="H862" s="2" t="s">
        <v>31</v>
      </c>
      <c r="I862" s="3"/>
      <c r="J862" s="28" t="s">
        <v>548</v>
      </c>
      <c r="K862" s="28"/>
      <c r="L862" s="41" t="s">
        <v>743</v>
      </c>
      <c r="M862" s="4" t="s">
        <v>3</v>
      </c>
      <c r="N862" s="15">
        <v>26522544</v>
      </c>
      <c r="O862" s="88">
        <v>27265225441</v>
      </c>
      <c r="P862" s="61"/>
      <c r="Q862" s="61"/>
      <c r="R862" s="61"/>
      <c r="S862" s="61"/>
      <c r="T862" s="61"/>
      <c r="U862" s="16" t="s">
        <v>796</v>
      </c>
      <c r="V862" s="16" t="s">
        <v>916</v>
      </c>
      <c r="W862" s="12">
        <v>41244</v>
      </c>
      <c r="X862" s="48">
        <v>42735</v>
      </c>
      <c r="Y862" s="12">
        <v>42735</v>
      </c>
      <c r="Z862" s="2" t="s">
        <v>53</v>
      </c>
      <c r="AA862" s="2"/>
      <c r="AB862" s="3"/>
      <c r="AC862" s="5">
        <v>1000</v>
      </c>
      <c r="AD862" s="5"/>
      <c r="AE862" s="5">
        <v>1170</v>
      </c>
      <c r="AF862" s="5">
        <f t="shared" si="889"/>
        <v>1310</v>
      </c>
      <c r="AG862" s="5">
        <f t="shared" si="913"/>
        <v>1310</v>
      </c>
      <c r="AH862" s="5">
        <f t="shared" si="913"/>
        <v>1310</v>
      </c>
      <c r="AI862" s="5">
        <f t="shared" ref="AI862:AJ862" si="929">+AH862</f>
        <v>1310</v>
      </c>
      <c r="AJ862" s="5">
        <f t="shared" si="929"/>
        <v>1310</v>
      </c>
      <c r="AK862" s="29"/>
      <c r="AL862" s="105" t="str">
        <f>+Z862</f>
        <v>B0</v>
      </c>
    </row>
    <row r="863" spans="1:38" ht="15" customHeight="1" x14ac:dyDescent="0.2">
      <c r="A863" s="29" t="s">
        <v>824</v>
      </c>
      <c r="B863" s="2" t="s">
        <v>822</v>
      </c>
      <c r="C863" s="3"/>
      <c r="D863" s="2" t="s">
        <v>825</v>
      </c>
      <c r="E863" s="3" t="s">
        <v>18</v>
      </c>
      <c r="F863" s="2" t="s">
        <v>19</v>
      </c>
      <c r="G863" s="2"/>
      <c r="H863" s="2" t="s">
        <v>37</v>
      </c>
      <c r="I863" s="2" t="s">
        <v>1761</v>
      </c>
      <c r="J863" s="28" t="s">
        <v>548</v>
      </c>
      <c r="K863" s="28" t="s">
        <v>548</v>
      </c>
      <c r="L863" s="44" t="s">
        <v>990</v>
      </c>
      <c r="M863" s="7" t="s">
        <v>3</v>
      </c>
      <c r="N863" s="47">
        <v>30448923</v>
      </c>
      <c r="O863" s="88" t="s">
        <v>1371</v>
      </c>
      <c r="P863" s="38">
        <v>30536</v>
      </c>
      <c r="Q863" s="38"/>
      <c r="R863" s="38"/>
      <c r="S863" s="38"/>
      <c r="T863" s="38"/>
      <c r="U863" s="17" t="s">
        <v>215</v>
      </c>
      <c r="V863" s="17" t="s">
        <v>915</v>
      </c>
      <c r="W863" s="12">
        <v>40756</v>
      </c>
      <c r="X863" s="12"/>
      <c r="Y863" s="12">
        <v>42735</v>
      </c>
      <c r="Z863" s="2"/>
      <c r="AA863" s="2" t="s">
        <v>479</v>
      </c>
      <c r="AB863" s="7"/>
      <c r="AC863" s="5">
        <v>1000</v>
      </c>
      <c r="AD863" s="5">
        <f>+AC863</f>
        <v>1000</v>
      </c>
      <c r="AE863" s="5">
        <v>1170</v>
      </c>
      <c r="AF863" s="5">
        <f t="shared" si="889"/>
        <v>1310</v>
      </c>
      <c r="AG863" s="5">
        <f t="shared" si="913"/>
        <v>1310</v>
      </c>
      <c r="AH863" s="5">
        <f t="shared" si="913"/>
        <v>1310</v>
      </c>
      <c r="AI863" s="5">
        <f t="shared" ref="AI863:AJ863" si="930">+AH863</f>
        <v>1310</v>
      </c>
      <c r="AJ863" s="5">
        <f t="shared" si="930"/>
        <v>1310</v>
      </c>
      <c r="AK863" s="2"/>
      <c r="AL863" s="106"/>
    </row>
    <row r="864" spans="1:38" ht="15" customHeight="1" x14ac:dyDescent="0.2">
      <c r="A864" s="29" t="s">
        <v>824</v>
      </c>
      <c r="B864" s="29" t="s">
        <v>1098</v>
      </c>
      <c r="C864" s="14"/>
      <c r="D864" s="2" t="s">
        <v>1833</v>
      </c>
      <c r="E864" s="2"/>
      <c r="F864" s="3"/>
      <c r="G864" s="3"/>
      <c r="H864" s="2"/>
      <c r="I864" s="2" t="s">
        <v>1707</v>
      </c>
      <c r="J864" s="28"/>
      <c r="K864" s="28" t="s">
        <v>1765</v>
      </c>
      <c r="L864" s="45" t="s">
        <v>1628</v>
      </c>
      <c r="M864" s="7" t="s">
        <v>3</v>
      </c>
      <c r="N864" s="15">
        <v>11045200</v>
      </c>
      <c r="O864" s="88"/>
      <c r="P864" s="38">
        <v>19813</v>
      </c>
      <c r="Q864" s="38"/>
      <c r="R864" s="38"/>
      <c r="S864" s="38"/>
      <c r="T864" s="38"/>
      <c r="U864" s="16" t="s">
        <v>215</v>
      </c>
      <c r="V864" s="16" t="s">
        <v>915</v>
      </c>
      <c r="W864" s="12">
        <v>42552</v>
      </c>
      <c r="X864" s="48"/>
      <c r="Y864" s="48">
        <v>42735</v>
      </c>
      <c r="Z864" s="2"/>
      <c r="AA864" s="2" t="s">
        <v>479</v>
      </c>
      <c r="AB864" s="14"/>
      <c r="AC864" s="5"/>
      <c r="AD864" s="5"/>
      <c r="AE864" s="5">
        <v>1170</v>
      </c>
      <c r="AF864" s="5">
        <f t="shared" si="889"/>
        <v>0</v>
      </c>
      <c r="AG864" s="5">
        <f t="shared" si="913"/>
        <v>0</v>
      </c>
      <c r="AH864" s="5">
        <f t="shared" si="913"/>
        <v>0</v>
      </c>
      <c r="AI864" s="5">
        <f t="shared" ref="AI864:AJ864" si="931">+AH864</f>
        <v>0</v>
      </c>
      <c r="AJ864" s="5">
        <f t="shared" si="931"/>
        <v>0</v>
      </c>
      <c r="AK864" s="2"/>
      <c r="AL864" s="106"/>
    </row>
    <row r="865" spans="1:38" ht="15" customHeight="1" x14ac:dyDescent="0.2">
      <c r="A865" s="29" t="s">
        <v>824</v>
      </c>
      <c r="B865" s="29"/>
      <c r="C865" s="14"/>
      <c r="D865" s="2" t="s">
        <v>819</v>
      </c>
      <c r="E865" s="2"/>
      <c r="F865" s="3"/>
      <c r="G865" s="3"/>
      <c r="H865" s="2" t="s">
        <v>884</v>
      </c>
      <c r="I865" s="2" t="s">
        <v>1707</v>
      </c>
      <c r="J865" s="28"/>
      <c r="K865" s="28" t="s">
        <v>1765</v>
      </c>
      <c r="L865" s="41" t="s">
        <v>857</v>
      </c>
      <c r="M865" s="4" t="s">
        <v>3</v>
      </c>
      <c r="N865" s="15">
        <v>26397949</v>
      </c>
      <c r="O865" s="88" t="s">
        <v>1288</v>
      </c>
      <c r="P865" s="38">
        <v>28471</v>
      </c>
      <c r="Q865" s="38"/>
      <c r="R865" s="38"/>
      <c r="S865" s="38"/>
      <c r="T865" s="38"/>
      <c r="U865" s="17" t="s">
        <v>215</v>
      </c>
      <c r="V865" s="17" t="s">
        <v>915</v>
      </c>
      <c r="W865" s="12">
        <v>42370</v>
      </c>
      <c r="X865" s="48"/>
      <c r="Y865" s="12">
        <v>42735</v>
      </c>
      <c r="Z865" s="2"/>
      <c r="AA865" s="2" t="s">
        <v>479</v>
      </c>
      <c r="AB865" s="3" t="s">
        <v>10</v>
      </c>
      <c r="AC865" s="5">
        <v>1000</v>
      </c>
      <c r="AD865" s="5">
        <f>+AC865*1.07</f>
        <v>1070</v>
      </c>
      <c r="AE865" s="5">
        <v>1170</v>
      </c>
      <c r="AF865" s="5">
        <f t="shared" si="889"/>
        <v>1310</v>
      </c>
      <c r="AG865" s="5">
        <f t="shared" si="913"/>
        <v>1310</v>
      </c>
      <c r="AH865" s="5">
        <f t="shared" si="913"/>
        <v>1310</v>
      </c>
      <c r="AI865" s="5">
        <f t="shared" ref="AI865:AJ865" si="932">+AH865</f>
        <v>1310</v>
      </c>
      <c r="AJ865" s="5">
        <f t="shared" si="932"/>
        <v>1310</v>
      </c>
      <c r="AK865" s="29" t="s">
        <v>42</v>
      </c>
      <c r="AL865" s="105" t="str">
        <f>+AK865</f>
        <v>C0</v>
      </c>
    </row>
    <row r="866" spans="1:38" ht="15" customHeight="1" x14ac:dyDescent="0.2">
      <c r="A866" s="29" t="s">
        <v>824</v>
      </c>
      <c r="B866" s="29"/>
      <c r="C866" s="14"/>
      <c r="D866" s="2" t="s">
        <v>820</v>
      </c>
      <c r="E866" s="2" t="s">
        <v>809</v>
      </c>
      <c r="F866" s="2"/>
      <c r="G866" s="2"/>
      <c r="H866" s="2"/>
      <c r="I866" s="2" t="s">
        <v>229</v>
      </c>
      <c r="J866" s="28"/>
      <c r="K866" s="28" t="s">
        <v>1765</v>
      </c>
      <c r="L866" s="41" t="s">
        <v>1040</v>
      </c>
      <c r="M866" s="2" t="s">
        <v>3</v>
      </c>
      <c r="N866" s="47">
        <v>18889124</v>
      </c>
      <c r="O866" s="88">
        <v>20188891242</v>
      </c>
      <c r="P866" s="38">
        <v>34070</v>
      </c>
      <c r="Q866" s="38"/>
      <c r="R866" s="38"/>
      <c r="S866" s="38"/>
      <c r="T866" s="38"/>
      <c r="U866" s="17" t="s">
        <v>215</v>
      </c>
      <c r="V866" s="17" t="s">
        <v>915</v>
      </c>
      <c r="W866" s="12"/>
      <c r="X866" s="12"/>
      <c r="Y866" s="12">
        <v>42735</v>
      </c>
      <c r="Z866" s="2"/>
      <c r="AA866" s="2" t="s">
        <v>479</v>
      </c>
      <c r="AB866" s="18"/>
      <c r="AC866" s="5"/>
      <c r="AD866" s="5">
        <v>1070</v>
      </c>
      <c r="AE866" s="5">
        <v>1170</v>
      </c>
      <c r="AF866" s="5">
        <f t="shared" si="889"/>
        <v>0</v>
      </c>
      <c r="AG866" s="5">
        <f t="shared" si="913"/>
        <v>0</v>
      </c>
      <c r="AH866" s="5">
        <f t="shared" si="913"/>
        <v>0</v>
      </c>
      <c r="AI866" s="5">
        <f t="shared" ref="AI866:AJ866" si="933">+AH866</f>
        <v>0</v>
      </c>
      <c r="AJ866" s="5">
        <f t="shared" si="933"/>
        <v>0</v>
      </c>
      <c r="AK866" s="29" t="s">
        <v>42</v>
      </c>
      <c r="AL866" s="105" t="str">
        <f>+AK866</f>
        <v>C0</v>
      </c>
    </row>
    <row r="867" spans="1:38" ht="15" customHeight="1" x14ac:dyDescent="0.2">
      <c r="A867" s="29" t="s">
        <v>824</v>
      </c>
      <c r="B867" s="2" t="s">
        <v>822</v>
      </c>
      <c r="C867" s="29" t="s">
        <v>823</v>
      </c>
      <c r="D867" s="2" t="s">
        <v>1820</v>
      </c>
      <c r="E867" s="2"/>
      <c r="F867" s="3"/>
      <c r="G867" s="3"/>
      <c r="H867" s="2" t="s">
        <v>884</v>
      </c>
      <c r="I867" s="2" t="s">
        <v>1707</v>
      </c>
      <c r="J867" s="28"/>
      <c r="K867" s="28" t="s">
        <v>1765</v>
      </c>
      <c r="L867" s="41" t="s">
        <v>844</v>
      </c>
      <c r="M867" s="4" t="s">
        <v>3</v>
      </c>
      <c r="N867" s="15">
        <v>11231408</v>
      </c>
      <c r="O867" s="88">
        <v>27112314089</v>
      </c>
      <c r="P867" s="38">
        <v>19839</v>
      </c>
      <c r="Q867" s="38"/>
      <c r="R867" s="38"/>
      <c r="S867" s="38"/>
      <c r="T867" s="38"/>
      <c r="U867" s="17" t="s">
        <v>215</v>
      </c>
      <c r="V867" s="17" t="s">
        <v>915</v>
      </c>
      <c r="W867" s="12">
        <v>42370</v>
      </c>
      <c r="X867" s="48"/>
      <c r="Y867" s="12">
        <v>42735</v>
      </c>
      <c r="Z867" s="2"/>
      <c r="AA867" s="2" t="s">
        <v>479</v>
      </c>
      <c r="AB867" s="3" t="s">
        <v>10</v>
      </c>
      <c r="AC867" s="5">
        <v>1000</v>
      </c>
      <c r="AD867" s="5">
        <f>+AC867*1.07</f>
        <v>1070</v>
      </c>
      <c r="AE867" s="5">
        <v>1170</v>
      </c>
      <c r="AF867" s="5">
        <f t="shared" si="889"/>
        <v>1310</v>
      </c>
      <c r="AG867" s="5">
        <f t="shared" ref="AG867:AH886" si="934">+AF867</f>
        <v>1310</v>
      </c>
      <c r="AH867" s="5">
        <f t="shared" si="934"/>
        <v>1310</v>
      </c>
      <c r="AI867" s="5">
        <f t="shared" ref="AI867:AJ867" si="935">+AH867</f>
        <v>1310</v>
      </c>
      <c r="AJ867" s="5">
        <f t="shared" si="935"/>
        <v>1310</v>
      </c>
      <c r="AK867" s="29" t="s">
        <v>42</v>
      </c>
      <c r="AL867" s="105" t="str">
        <f>+AK867</f>
        <v>C0</v>
      </c>
    </row>
    <row r="868" spans="1:38" ht="15" customHeight="1" x14ac:dyDescent="0.2">
      <c r="A868" s="29" t="s">
        <v>824</v>
      </c>
      <c r="B868" s="29" t="s">
        <v>822</v>
      </c>
      <c r="C868" s="29" t="s">
        <v>823</v>
      </c>
      <c r="D868" s="2" t="s">
        <v>808</v>
      </c>
      <c r="E868" s="2" t="s">
        <v>909</v>
      </c>
      <c r="F868" s="2" t="s">
        <v>812</v>
      </c>
      <c r="G868" s="2"/>
      <c r="H868" s="2"/>
      <c r="I868" s="2" t="s">
        <v>1707</v>
      </c>
      <c r="J868" s="28" t="s">
        <v>73</v>
      </c>
      <c r="K868" s="28" t="s">
        <v>1765</v>
      </c>
      <c r="L868" s="43" t="s">
        <v>826</v>
      </c>
      <c r="M868" s="4" t="s">
        <v>3</v>
      </c>
      <c r="N868" s="15">
        <v>22278247</v>
      </c>
      <c r="O868" s="88" t="s">
        <v>1206</v>
      </c>
      <c r="P868" s="38">
        <v>26161</v>
      </c>
      <c r="Q868" s="38"/>
      <c r="R868" s="38"/>
      <c r="S868" s="38"/>
      <c r="T868" s="38"/>
      <c r="U868" s="17" t="s">
        <v>215</v>
      </c>
      <c r="V868" s="17" t="s">
        <v>915</v>
      </c>
      <c r="W868" s="12"/>
      <c r="X868" s="13"/>
      <c r="Y868" s="12">
        <v>42735</v>
      </c>
      <c r="Z868" s="2"/>
      <c r="AA868" s="2" t="s">
        <v>479</v>
      </c>
      <c r="AB868" s="3" t="s">
        <v>10</v>
      </c>
      <c r="AC868" s="5">
        <v>1000</v>
      </c>
      <c r="AD868" s="5">
        <v>1070</v>
      </c>
      <c r="AE868" s="5">
        <v>1170</v>
      </c>
      <c r="AF868" s="5">
        <f t="shared" si="889"/>
        <v>1310</v>
      </c>
      <c r="AG868" s="5">
        <f t="shared" si="934"/>
        <v>1310</v>
      </c>
      <c r="AH868" s="5">
        <f t="shared" si="934"/>
        <v>1310</v>
      </c>
      <c r="AI868" s="5">
        <f t="shared" ref="AI868:AJ868" si="936">+AH868</f>
        <v>1310</v>
      </c>
      <c r="AJ868" s="5">
        <f t="shared" si="936"/>
        <v>1310</v>
      </c>
      <c r="AK868" s="2" t="s">
        <v>43</v>
      </c>
      <c r="AL868" s="105" t="str">
        <f>+AK868</f>
        <v>A0</v>
      </c>
    </row>
    <row r="869" spans="1:38" ht="15" customHeight="1" x14ac:dyDescent="0.2">
      <c r="A869" s="29" t="s">
        <v>824</v>
      </c>
      <c r="B869" s="2" t="s">
        <v>822</v>
      </c>
      <c r="C869" s="3"/>
      <c r="D869" s="2" t="s">
        <v>825</v>
      </c>
      <c r="E869" s="3" t="s">
        <v>18</v>
      </c>
      <c r="F869" s="2" t="s">
        <v>19</v>
      </c>
      <c r="G869" s="2"/>
      <c r="H869" s="2" t="s">
        <v>27</v>
      </c>
      <c r="I869" s="2" t="s">
        <v>1707</v>
      </c>
      <c r="J869" s="28" t="s">
        <v>548</v>
      </c>
      <c r="K869" s="28" t="s">
        <v>548</v>
      </c>
      <c r="L869" s="41" t="s">
        <v>744</v>
      </c>
      <c r="M869" s="4" t="s">
        <v>3</v>
      </c>
      <c r="N869" s="15">
        <v>33154729</v>
      </c>
      <c r="O869" s="88" t="s">
        <v>1437</v>
      </c>
      <c r="P869" s="38">
        <v>31734</v>
      </c>
      <c r="Q869" s="38"/>
      <c r="R869" s="38"/>
      <c r="S869" s="38"/>
      <c r="T869" s="38"/>
      <c r="U869" s="17" t="s">
        <v>215</v>
      </c>
      <c r="V869" s="17" t="s">
        <v>915</v>
      </c>
      <c r="W869" s="12">
        <v>41791</v>
      </c>
      <c r="X869" s="12"/>
      <c r="Y869" s="12">
        <v>42735</v>
      </c>
      <c r="Z869" s="2"/>
      <c r="AA869" s="2" t="s">
        <v>479</v>
      </c>
      <c r="AB869" s="7" t="s">
        <v>787</v>
      </c>
      <c r="AC869" s="5">
        <v>1000</v>
      </c>
      <c r="AD869" s="5">
        <f>+AC869*1.07</f>
        <v>1070</v>
      </c>
      <c r="AE869" s="5">
        <v>1170</v>
      </c>
      <c r="AF869" s="5">
        <f t="shared" si="889"/>
        <v>1310</v>
      </c>
      <c r="AG869" s="5">
        <f t="shared" si="934"/>
        <v>1310</v>
      </c>
      <c r="AH869" s="5">
        <f t="shared" si="934"/>
        <v>1310</v>
      </c>
      <c r="AI869" s="5">
        <f t="shared" ref="AI869:AJ869" si="937">+AH869</f>
        <v>1310</v>
      </c>
      <c r="AJ869" s="5">
        <f t="shared" si="937"/>
        <v>1310</v>
      </c>
      <c r="AK869" s="2"/>
      <c r="AL869" s="106"/>
    </row>
    <row r="870" spans="1:38" ht="15" customHeight="1" x14ac:dyDescent="0.2">
      <c r="A870" s="29" t="s">
        <v>824</v>
      </c>
      <c r="B870" s="29" t="s">
        <v>822</v>
      </c>
      <c r="C870" s="14"/>
      <c r="D870" s="2" t="s">
        <v>1833</v>
      </c>
      <c r="E870" s="2"/>
      <c r="F870" s="3"/>
      <c r="G870" s="3" t="s">
        <v>534</v>
      </c>
      <c r="H870" s="2" t="s">
        <v>221</v>
      </c>
      <c r="I870" s="3"/>
      <c r="J870" s="28" t="s">
        <v>73</v>
      </c>
      <c r="K870" s="28"/>
      <c r="L870" s="45" t="s">
        <v>189</v>
      </c>
      <c r="M870" s="4" t="s">
        <v>3</v>
      </c>
      <c r="N870" s="15">
        <v>36403671</v>
      </c>
      <c r="O870" s="88">
        <v>20364036710</v>
      </c>
      <c r="P870" s="61"/>
      <c r="Q870" s="61"/>
      <c r="R870" s="61"/>
      <c r="S870" s="61"/>
      <c r="T870" s="61"/>
      <c r="U870" s="16" t="s">
        <v>796</v>
      </c>
      <c r="V870" s="16" t="s">
        <v>916</v>
      </c>
      <c r="W870" s="12">
        <v>41030</v>
      </c>
      <c r="X870" s="48">
        <v>42735</v>
      </c>
      <c r="Y870" s="12">
        <v>42735</v>
      </c>
      <c r="Z870" s="2" t="s">
        <v>17</v>
      </c>
      <c r="AA870" s="2"/>
      <c r="AB870" s="14"/>
      <c r="AC870" s="5">
        <v>1000</v>
      </c>
      <c r="AD870" s="5"/>
      <c r="AE870" s="5">
        <v>1170</v>
      </c>
      <c r="AF870" s="5">
        <f t="shared" si="889"/>
        <v>1310</v>
      </c>
      <c r="AG870" s="5">
        <f t="shared" si="934"/>
        <v>1310</v>
      </c>
      <c r="AH870" s="5">
        <f t="shared" si="934"/>
        <v>1310</v>
      </c>
      <c r="AI870" s="5">
        <f t="shared" ref="AI870:AJ870" si="938">+AH870</f>
        <v>1310</v>
      </c>
      <c r="AJ870" s="5">
        <f t="shared" si="938"/>
        <v>1310</v>
      </c>
      <c r="AK870" s="29"/>
      <c r="AL870" s="105" t="str">
        <f>+Z870</f>
        <v>C1</v>
      </c>
    </row>
    <row r="871" spans="1:38" ht="15" customHeight="1" x14ac:dyDescent="0.2">
      <c r="A871" s="29" t="s">
        <v>824</v>
      </c>
      <c r="B871" s="29" t="s">
        <v>822</v>
      </c>
      <c r="C871" s="14"/>
      <c r="D871" s="2" t="s">
        <v>1833</v>
      </c>
      <c r="E871" s="2"/>
      <c r="F871" s="3"/>
      <c r="G871" s="3"/>
      <c r="H871" s="2" t="s">
        <v>884</v>
      </c>
      <c r="I871" s="2" t="s">
        <v>1707</v>
      </c>
      <c r="J871" s="28"/>
      <c r="K871" s="28" t="s">
        <v>1765</v>
      </c>
      <c r="L871" s="41" t="s">
        <v>1712</v>
      </c>
      <c r="M871" s="7" t="s">
        <v>3</v>
      </c>
      <c r="N871" s="15">
        <v>29246854</v>
      </c>
      <c r="O871" s="88">
        <v>20292468548</v>
      </c>
      <c r="P871" s="38">
        <v>29921</v>
      </c>
      <c r="Q871" s="38"/>
      <c r="R871" s="38"/>
      <c r="S871" s="38"/>
      <c r="T871" s="38"/>
      <c r="U871" s="17" t="s">
        <v>215</v>
      </c>
      <c r="V871" s="17" t="s">
        <v>915</v>
      </c>
      <c r="W871" s="12">
        <v>42552</v>
      </c>
      <c r="X871" s="48"/>
      <c r="Y871" s="12">
        <v>42735</v>
      </c>
      <c r="Z871" s="2"/>
      <c r="AA871" s="2" t="s">
        <v>479</v>
      </c>
      <c r="AB871" s="3"/>
      <c r="AC871" s="5"/>
      <c r="AD871" s="5"/>
      <c r="AE871" s="5">
        <v>1170</v>
      </c>
      <c r="AF871" s="5">
        <f t="shared" si="889"/>
        <v>0</v>
      </c>
      <c r="AG871" s="5">
        <f t="shared" si="934"/>
        <v>0</v>
      </c>
      <c r="AH871" s="5">
        <f t="shared" si="934"/>
        <v>0</v>
      </c>
      <c r="AI871" s="5">
        <f t="shared" ref="AI871:AJ871" si="939">+AH871</f>
        <v>0</v>
      </c>
      <c r="AJ871" s="5">
        <f t="shared" si="939"/>
        <v>0</v>
      </c>
      <c r="AK871" s="2" t="s">
        <v>42</v>
      </c>
      <c r="AL871" s="105" t="str">
        <f>+AK871</f>
        <v>C0</v>
      </c>
    </row>
    <row r="872" spans="1:38" ht="15" customHeight="1" x14ac:dyDescent="0.2">
      <c r="A872" s="29" t="s">
        <v>824</v>
      </c>
      <c r="B872" s="29"/>
      <c r="C872" s="14"/>
      <c r="D872" s="2" t="s">
        <v>819</v>
      </c>
      <c r="E872" s="2"/>
      <c r="F872" s="3"/>
      <c r="G872" s="3"/>
      <c r="H872" s="2" t="s">
        <v>884</v>
      </c>
      <c r="I872" s="2" t="s">
        <v>1707</v>
      </c>
      <c r="J872" s="28"/>
      <c r="K872" s="28" t="s">
        <v>1765</v>
      </c>
      <c r="L872" s="41" t="s">
        <v>862</v>
      </c>
      <c r="M872" s="4" t="s">
        <v>3</v>
      </c>
      <c r="N872" s="15">
        <v>7823142</v>
      </c>
      <c r="O872" s="88" t="s">
        <v>1144</v>
      </c>
      <c r="P872" s="38">
        <v>18140</v>
      </c>
      <c r="Q872" s="38"/>
      <c r="R872" s="38"/>
      <c r="S872" s="38"/>
      <c r="T872" s="38"/>
      <c r="U872" s="17" t="s">
        <v>215</v>
      </c>
      <c r="V872" s="17" t="s">
        <v>915</v>
      </c>
      <c r="W872" s="12">
        <v>42370</v>
      </c>
      <c r="X872" s="48"/>
      <c r="Y872" s="12">
        <v>42735</v>
      </c>
      <c r="Z872" s="2"/>
      <c r="AA872" s="2" t="s">
        <v>479</v>
      </c>
      <c r="AB872" s="3" t="s">
        <v>10</v>
      </c>
      <c r="AC872" s="5">
        <v>1000</v>
      </c>
      <c r="AD872" s="5">
        <f>+AC872*1.07</f>
        <v>1070</v>
      </c>
      <c r="AE872" s="5">
        <v>1170</v>
      </c>
      <c r="AF872" s="5">
        <f t="shared" si="889"/>
        <v>1310</v>
      </c>
      <c r="AG872" s="5">
        <f t="shared" si="934"/>
        <v>1310</v>
      </c>
      <c r="AH872" s="5">
        <f t="shared" si="934"/>
        <v>1310</v>
      </c>
      <c r="AI872" s="5">
        <f t="shared" ref="AI872:AJ872" si="940">+AH872</f>
        <v>1310</v>
      </c>
      <c r="AJ872" s="5">
        <f t="shared" si="940"/>
        <v>1310</v>
      </c>
      <c r="AK872" s="2" t="s">
        <v>53</v>
      </c>
      <c r="AL872" s="105" t="str">
        <f>+AK872</f>
        <v>B0</v>
      </c>
    </row>
    <row r="873" spans="1:38" ht="15" customHeight="1" x14ac:dyDescent="0.2">
      <c r="A873" s="29" t="s">
        <v>824</v>
      </c>
      <c r="B873" s="29" t="s">
        <v>822</v>
      </c>
      <c r="C873" s="29" t="s">
        <v>823</v>
      </c>
      <c r="D873" s="2" t="s">
        <v>800</v>
      </c>
      <c r="E873" s="7" t="s">
        <v>541</v>
      </c>
      <c r="F873" s="7"/>
      <c r="G873" s="7"/>
      <c r="H873" s="8"/>
      <c r="I873" s="3" t="s">
        <v>1753</v>
      </c>
      <c r="J873" s="28" t="s">
        <v>254</v>
      </c>
      <c r="K873" s="28" t="s">
        <v>1767</v>
      </c>
      <c r="L873" s="42" t="s">
        <v>429</v>
      </c>
      <c r="M873" s="4" t="s">
        <v>3</v>
      </c>
      <c r="N873" s="15">
        <v>25924310</v>
      </c>
      <c r="O873" s="88" t="s">
        <v>1275</v>
      </c>
      <c r="P873" s="38">
        <v>28340</v>
      </c>
      <c r="Q873" s="38"/>
      <c r="R873" s="38"/>
      <c r="S873" s="38"/>
      <c r="T873" s="38"/>
      <c r="U873" s="17" t="s">
        <v>215</v>
      </c>
      <c r="V873" s="17" t="s">
        <v>915</v>
      </c>
      <c r="W873" s="12">
        <v>41426</v>
      </c>
      <c r="X873" s="20"/>
      <c r="Y873" s="12">
        <v>42735</v>
      </c>
      <c r="Z873" s="2"/>
      <c r="AA873" s="2" t="s">
        <v>479</v>
      </c>
      <c r="AB873" s="24" t="s">
        <v>479</v>
      </c>
      <c r="AC873" s="5">
        <v>1000</v>
      </c>
      <c r="AD873" s="5">
        <v>1070</v>
      </c>
      <c r="AE873" s="5">
        <v>1170</v>
      </c>
      <c r="AF873" s="5">
        <f t="shared" si="889"/>
        <v>1310</v>
      </c>
      <c r="AG873" s="5">
        <f t="shared" si="934"/>
        <v>1310</v>
      </c>
      <c r="AH873" s="5">
        <f t="shared" si="934"/>
        <v>1310</v>
      </c>
      <c r="AI873" s="5">
        <f t="shared" ref="AI873:AJ873" si="941">+AH873</f>
        <v>1310</v>
      </c>
      <c r="AJ873" s="5">
        <f t="shared" si="941"/>
        <v>1310</v>
      </c>
      <c r="AK873" s="29" t="s">
        <v>42</v>
      </c>
      <c r="AL873" s="105" t="str">
        <f>+AK873</f>
        <v>C0</v>
      </c>
    </row>
    <row r="874" spans="1:38" ht="15" customHeight="1" x14ac:dyDescent="0.2">
      <c r="A874" s="29" t="s">
        <v>824</v>
      </c>
      <c r="B874" s="29" t="s">
        <v>822</v>
      </c>
      <c r="C874" s="29" t="s">
        <v>823</v>
      </c>
      <c r="D874" s="2" t="s">
        <v>808</v>
      </c>
      <c r="E874" s="2" t="s">
        <v>909</v>
      </c>
      <c r="F874" s="2" t="s">
        <v>507</v>
      </c>
      <c r="G874" s="3"/>
      <c r="H874" s="2" t="s">
        <v>236</v>
      </c>
      <c r="I874" s="2" t="s">
        <v>1707</v>
      </c>
      <c r="J874" s="28" t="s">
        <v>73</v>
      </c>
      <c r="K874" s="28" t="s">
        <v>1765</v>
      </c>
      <c r="L874" s="43" t="s">
        <v>190</v>
      </c>
      <c r="M874" s="4" t="s">
        <v>3</v>
      </c>
      <c r="N874" s="15">
        <v>34492812</v>
      </c>
      <c r="O874" s="88" t="s">
        <v>1475</v>
      </c>
      <c r="P874" s="38">
        <v>32581</v>
      </c>
      <c r="Q874" s="38"/>
      <c r="R874" s="38"/>
      <c r="S874" s="38"/>
      <c r="T874" s="38"/>
      <c r="U874" s="17" t="s">
        <v>215</v>
      </c>
      <c r="V874" s="17" t="s">
        <v>915</v>
      </c>
      <c r="W874" s="12">
        <v>42221</v>
      </c>
      <c r="X874" s="37"/>
      <c r="Y874" s="12">
        <v>42735</v>
      </c>
      <c r="Z874" s="2"/>
      <c r="AA874" s="2" t="s">
        <v>479</v>
      </c>
      <c r="AB874" s="7" t="s">
        <v>61</v>
      </c>
      <c r="AC874" s="5">
        <v>1000</v>
      </c>
      <c r="AD874" s="5">
        <f>+AC874*1.07</f>
        <v>1070</v>
      </c>
      <c r="AE874" s="5">
        <v>1170</v>
      </c>
      <c r="AF874" s="5">
        <f t="shared" si="889"/>
        <v>1310</v>
      </c>
      <c r="AG874" s="5">
        <f t="shared" si="934"/>
        <v>1310</v>
      </c>
      <c r="AH874" s="5">
        <f t="shared" si="934"/>
        <v>1310</v>
      </c>
      <c r="AI874" s="5">
        <f t="shared" ref="AI874:AJ874" si="942">+AH874</f>
        <v>1310</v>
      </c>
      <c r="AJ874" s="5">
        <f t="shared" si="942"/>
        <v>1310</v>
      </c>
      <c r="AK874" s="29" t="s">
        <v>42</v>
      </c>
      <c r="AL874" s="105" t="str">
        <f>+AK874</f>
        <v>C0</v>
      </c>
    </row>
    <row r="875" spans="1:38" ht="15" customHeight="1" x14ac:dyDescent="0.2">
      <c r="A875" s="29" t="s">
        <v>824</v>
      </c>
      <c r="B875" s="29" t="s">
        <v>822</v>
      </c>
      <c r="C875" s="29" t="s">
        <v>823</v>
      </c>
      <c r="D875" s="2" t="s">
        <v>1820</v>
      </c>
      <c r="E875" s="2"/>
      <c r="F875" s="2"/>
      <c r="G875" s="2"/>
      <c r="H875" s="2" t="s">
        <v>55</v>
      </c>
      <c r="I875" s="3"/>
      <c r="J875" s="28" t="s">
        <v>73</v>
      </c>
      <c r="K875" s="28"/>
      <c r="L875" s="41" t="s">
        <v>745</v>
      </c>
      <c r="M875" s="4" t="s">
        <v>3</v>
      </c>
      <c r="N875" s="15">
        <v>27144391</v>
      </c>
      <c r="O875" s="88">
        <v>27271443914</v>
      </c>
      <c r="P875" s="38"/>
      <c r="Q875" s="38"/>
      <c r="R875" s="38"/>
      <c r="S875" s="38"/>
      <c r="T875" s="38"/>
      <c r="U875" s="16" t="s">
        <v>796</v>
      </c>
      <c r="V875" s="16" t="s">
        <v>916</v>
      </c>
      <c r="W875" s="12">
        <v>40544</v>
      </c>
      <c r="X875" s="48">
        <v>42735</v>
      </c>
      <c r="Y875" s="12">
        <v>42735</v>
      </c>
      <c r="Z875" s="2" t="s">
        <v>43</v>
      </c>
      <c r="AA875" s="2"/>
      <c r="AB875" s="7"/>
      <c r="AC875" s="5">
        <v>1000</v>
      </c>
      <c r="AD875" s="5"/>
      <c r="AE875" s="5">
        <v>1170</v>
      </c>
      <c r="AF875" s="5">
        <f t="shared" si="889"/>
        <v>1310</v>
      </c>
      <c r="AG875" s="5">
        <f t="shared" si="934"/>
        <v>1310</v>
      </c>
      <c r="AH875" s="5">
        <f t="shared" si="934"/>
        <v>1310</v>
      </c>
      <c r="AI875" s="5">
        <f t="shared" ref="AI875:AJ875" si="943">+AH875</f>
        <v>1310</v>
      </c>
      <c r="AJ875" s="5">
        <f t="shared" si="943"/>
        <v>1310</v>
      </c>
      <c r="AK875" s="29"/>
      <c r="AL875" s="105" t="str">
        <f>+Z875</f>
        <v>A0</v>
      </c>
    </row>
    <row r="876" spans="1:38" ht="15" customHeight="1" x14ac:dyDescent="0.2">
      <c r="A876" s="29" t="s">
        <v>824</v>
      </c>
      <c r="B876" s="29"/>
      <c r="C876" s="14"/>
      <c r="D876" s="2" t="s">
        <v>820</v>
      </c>
      <c r="E876" s="2" t="s">
        <v>921</v>
      </c>
      <c r="F876" s="2" t="s">
        <v>217</v>
      </c>
      <c r="G876" s="3"/>
      <c r="H876" s="2" t="s">
        <v>230</v>
      </c>
      <c r="I876" s="3"/>
      <c r="J876" s="28" t="s">
        <v>73</v>
      </c>
      <c r="K876" s="28"/>
      <c r="L876" s="43" t="s">
        <v>191</v>
      </c>
      <c r="M876" s="4" t="s">
        <v>3</v>
      </c>
      <c r="N876" s="15">
        <v>14569996</v>
      </c>
      <c r="O876" s="88">
        <v>20145699968</v>
      </c>
      <c r="P876" s="61"/>
      <c r="Q876" s="61"/>
      <c r="R876" s="61"/>
      <c r="S876" s="61"/>
      <c r="T876" s="61"/>
      <c r="U876" s="16" t="s">
        <v>796</v>
      </c>
      <c r="V876" s="16" t="s">
        <v>916</v>
      </c>
      <c r="W876" s="12">
        <v>42217</v>
      </c>
      <c r="X876" s="12">
        <v>42460</v>
      </c>
      <c r="Y876" s="12">
        <v>42735</v>
      </c>
      <c r="Z876" s="2" t="s">
        <v>42</v>
      </c>
      <c r="AA876" s="2"/>
      <c r="AB876" s="14"/>
      <c r="AC876" s="5">
        <v>1000</v>
      </c>
      <c r="AD876" s="5"/>
      <c r="AE876" s="5">
        <v>1170</v>
      </c>
      <c r="AF876" s="5">
        <f t="shared" si="889"/>
        <v>1310</v>
      </c>
      <c r="AG876" s="5">
        <f t="shared" si="934"/>
        <v>1310</v>
      </c>
      <c r="AH876" s="5">
        <f t="shared" si="934"/>
        <v>1310</v>
      </c>
      <c r="AI876" s="5">
        <f t="shared" ref="AI876:AJ876" si="944">+AH876</f>
        <v>1310</v>
      </c>
      <c r="AJ876" s="5">
        <f t="shared" si="944"/>
        <v>1310</v>
      </c>
      <c r="AK876" s="29"/>
      <c r="AL876" s="105" t="str">
        <f>+Z876</f>
        <v>C0</v>
      </c>
    </row>
    <row r="877" spans="1:38" ht="15" customHeight="1" x14ac:dyDescent="0.2">
      <c r="A877" s="29" t="s">
        <v>824</v>
      </c>
      <c r="B877" s="2" t="s">
        <v>822</v>
      </c>
      <c r="C877" s="3"/>
      <c r="D877" s="2" t="s">
        <v>825</v>
      </c>
      <c r="E877" s="3" t="s">
        <v>18</v>
      </c>
      <c r="F877" s="2" t="s">
        <v>19</v>
      </c>
      <c r="G877" s="2" t="s">
        <v>73</v>
      </c>
      <c r="H877" s="2" t="s">
        <v>56</v>
      </c>
      <c r="I877" s="2" t="s">
        <v>1707</v>
      </c>
      <c r="J877" s="28" t="s">
        <v>548</v>
      </c>
      <c r="K877" s="28" t="s">
        <v>548</v>
      </c>
      <c r="L877" s="44" t="s">
        <v>746</v>
      </c>
      <c r="M877" s="4" t="s">
        <v>3</v>
      </c>
      <c r="N877" s="15">
        <v>28325918</v>
      </c>
      <c r="O877" s="88" t="s">
        <v>1327</v>
      </c>
      <c r="P877" s="38">
        <v>29430</v>
      </c>
      <c r="Q877" s="38"/>
      <c r="R877" s="38"/>
      <c r="S877" s="38"/>
      <c r="T877" s="38"/>
      <c r="U877" s="17" t="s">
        <v>215</v>
      </c>
      <c r="V877" s="17" t="s">
        <v>915</v>
      </c>
      <c r="W877" s="12">
        <v>40756</v>
      </c>
      <c r="X877" s="12"/>
      <c r="Y877" s="12">
        <v>42735</v>
      </c>
      <c r="Z877" s="2"/>
      <c r="AA877" s="2" t="s">
        <v>479</v>
      </c>
      <c r="AB877" s="7" t="s">
        <v>787</v>
      </c>
      <c r="AC877" s="5">
        <v>1000</v>
      </c>
      <c r="AD877" s="5">
        <f>+AC877</f>
        <v>1000</v>
      </c>
      <c r="AE877" s="5">
        <v>1170</v>
      </c>
      <c r="AF877" s="5">
        <f t="shared" si="889"/>
        <v>1310</v>
      </c>
      <c r="AG877" s="5">
        <f t="shared" si="934"/>
        <v>1310</v>
      </c>
      <c r="AH877" s="5">
        <f t="shared" si="934"/>
        <v>1310</v>
      </c>
      <c r="AI877" s="5">
        <f t="shared" ref="AI877:AJ877" si="945">+AH877</f>
        <v>1310</v>
      </c>
      <c r="AJ877" s="5">
        <f t="shared" si="945"/>
        <v>1310</v>
      </c>
      <c r="AK877" s="29"/>
      <c r="AL877" s="8"/>
    </row>
    <row r="878" spans="1:38" ht="15" customHeight="1" x14ac:dyDescent="0.2">
      <c r="A878" s="29" t="s">
        <v>824</v>
      </c>
      <c r="B878" s="2" t="s">
        <v>822</v>
      </c>
      <c r="C878" s="3"/>
      <c r="D878" s="2" t="s">
        <v>825</v>
      </c>
      <c r="E878" s="3" t="s">
        <v>18</v>
      </c>
      <c r="F878" s="2" t="s">
        <v>19</v>
      </c>
      <c r="G878" s="2"/>
      <c r="H878" s="2" t="s">
        <v>20</v>
      </c>
      <c r="I878" s="2" t="s">
        <v>1719</v>
      </c>
      <c r="J878" s="28" t="s">
        <v>548</v>
      </c>
      <c r="K878" s="28" t="s">
        <v>548</v>
      </c>
      <c r="L878" s="44" t="s">
        <v>747</v>
      </c>
      <c r="M878" s="4" t="s">
        <v>3</v>
      </c>
      <c r="N878" s="15">
        <v>23477469</v>
      </c>
      <c r="O878" s="88" t="s">
        <v>1231</v>
      </c>
      <c r="P878" s="38">
        <v>27173</v>
      </c>
      <c r="Q878" s="38"/>
      <c r="R878" s="38"/>
      <c r="S878" s="38"/>
      <c r="T878" s="38"/>
      <c r="U878" s="17" t="s">
        <v>215</v>
      </c>
      <c r="V878" s="17" t="s">
        <v>915</v>
      </c>
      <c r="W878" s="12">
        <v>41890</v>
      </c>
      <c r="X878" s="12"/>
      <c r="Y878" s="12">
        <v>42735</v>
      </c>
      <c r="Z878" s="2"/>
      <c r="AA878" s="2" t="s">
        <v>479</v>
      </c>
      <c r="AB878" s="7" t="s">
        <v>787</v>
      </c>
      <c r="AC878" s="5">
        <v>1000</v>
      </c>
      <c r="AD878" s="5">
        <f>+AC878*1.07</f>
        <v>1070</v>
      </c>
      <c r="AE878" s="5">
        <v>1170</v>
      </c>
      <c r="AF878" s="5">
        <f t="shared" si="889"/>
        <v>1310</v>
      </c>
      <c r="AG878" s="5">
        <f t="shared" si="934"/>
        <v>1310</v>
      </c>
      <c r="AH878" s="5">
        <f t="shared" si="934"/>
        <v>1310</v>
      </c>
      <c r="AI878" s="5">
        <f t="shared" ref="AI878:AJ878" si="946">+AH878</f>
        <v>1310</v>
      </c>
      <c r="AJ878" s="5">
        <f t="shared" si="946"/>
        <v>1310</v>
      </c>
      <c r="AK878" s="2"/>
      <c r="AL878" s="106"/>
    </row>
    <row r="879" spans="1:38" ht="15" customHeight="1" x14ac:dyDescent="0.2">
      <c r="A879" s="29" t="s">
        <v>824</v>
      </c>
      <c r="B879" s="29" t="s">
        <v>822</v>
      </c>
      <c r="C879" s="29"/>
      <c r="D879" s="2" t="s">
        <v>825</v>
      </c>
      <c r="E879" s="2"/>
      <c r="F879" s="3"/>
      <c r="G879" s="3"/>
      <c r="H879" s="2" t="s">
        <v>814</v>
      </c>
      <c r="I879" s="2" t="s">
        <v>924</v>
      </c>
      <c r="J879" s="28" t="s">
        <v>73</v>
      </c>
      <c r="K879" s="28" t="s">
        <v>1765</v>
      </c>
      <c r="L879" s="45" t="s">
        <v>192</v>
      </c>
      <c r="M879" s="4" t="s">
        <v>3</v>
      </c>
      <c r="N879" s="15">
        <v>39917444</v>
      </c>
      <c r="O879" s="88" t="s">
        <v>1563</v>
      </c>
      <c r="P879" s="38">
        <v>35390</v>
      </c>
      <c r="Q879" s="38"/>
      <c r="R879" s="38"/>
      <c r="S879" s="38"/>
      <c r="T879" s="38"/>
      <c r="U879" s="17" t="s">
        <v>215</v>
      </c>
      <c r="V879" s="17" t="s">
        <v>915</v>
      </c>
      <c r="W879" s="12">
        <v>42249</v>
      </c>
      <c r="X879" s="37"/>
      <c r="Y879" s="12">
        <v>42735</v>
      </c>
      <c r="Z879" s="2"/>
      <c r="AA879" s="2" t="s">
        <v>479</v>
      </c>
      <c r="AB879" s="7" t="s">
        <v>61</v>
      </c>
      <c r="AC879" s="5">
        <v>1000</v>
      </c>
      <c r="AD879" s="5">
        <f>+AC879*1.07</f>
        <v>1070</v>
      </c>
      <c r="AE879" s="5">
        <v>1170</v>
      </c>
      <c r="AF879" s="5">
        <f t="shared" si="889"/>
        <v>1310</v>
      </c>
      <c r="AG879" s="5">
        <f t="shared" si="934"/>
        <v>1310</v>
      </c>
      <c r="AH879" s="5">
        <f t="shared" si="934"/>
        <v>1310</v>
      </c>
      <c r="AI879" s="5">
        <f t="shared" ref="AI879:AJ879" si="947">+AH879</f>
        <v>1310</v>
      </c>
      <c r="AJ879" s="5">
        <f t="shared" si="947"/>
        <v>1310</v>
      </c>
      <c r="AK879" s="29" t="s">
        <v>42</v>
      </c>
      <c r="AL879" s="105" t="str">
        <f>+AK879</f>
        <v>C0</v>
      </c>
    </row>
    <row r="880" spans="1:38" ht="15" customHeight="1" x14ac:dyDescent="0.2">
      <c r="A880" s="29" t="s">
        <v>824</v>
      </c>
      <c r="B880" s="29" t="s">
        <v>822</v>
      </c>
      <c r="C880" s="29" t="s">
        <v>823</v>
      </c>
      <c r="D880" s="2" t="s">
        <v>800</v>
      </c>
      <c r="E880" s="2" t="s">
        <v>20</v>
      </c>
      <c r="F880" s="7"/>
      <c r="G880" s="7"/>
      <c r="H880" s="8"/>
      <c r="I880" s="3"/>
      <c r="J880" s="28" t="s">
        <v>254</v>
      </c>
      <c r="K880" s="28"/>
      <c r="L880" s="42" t="s">
        <v>462</v>
      </c>
      <c r="M880" s="4" t="s">
        <v>3</v>
      </c>
      <c r="N880" s="15">
        <v>36686000</v>
      </c>
      <c r="O880" s="88">
        <v>27366860008</v>
      </c>
      <c r="P880" s="38"/>
      <c r="Q880" s="38"/>
      <c r="R880" s="38"/>
      <c r="S880" s="38"/>
      <c r="T880" s="38"/>
      <c r="U880" s="16" t="s">
        <v>796</v>
      </c>
      <c r="V880" s="16" t="s">
        <v>916</v>
      </c>
      <c r="W880" s="12">
        <v>40725</v>
      </c>
      <c r="X880" s="48">
        <v>42735</v>
      </c>
      <c r="Y880" s="12">
        <v>42735</v>
      </c>
      <c r="Z880" s="2" t="s">
        <v>42</v>
      </c>
      <c r="AA880" s="2"/>
      <c r="AB880" s="18"/>
      <c r="AC880" s="5">
        <v>1000</v>
      </c>
      <c r="AD880" s="5"/>
      <c r="AE880" s="5">
        <v>1170</v>
      </c>
      <c r="AF880" s="5">
        <f t="shared" si="889"/>
        <v>1310</v>
      </c>
      <c r="AG880" s="5">
        <f t="shared" si="934"/>
        <v>1310</v>
      </c>
      <c r="AH880" s="5">
        <f t="shared" si="934"/>
        <v>1310</v>
      </c>
      <c r="AI880" s="5">
        <f t="shared" ref="AI880:AJ880" si="948">+AH880</f>
        <v>1310</v>
      </c>
      <c r="AJ880" s="5">
        <f t="shared" si="948"/>
        <v>1310</v>
      </c>
      <c r="AK880" s="29"/>
      <c r="AL880" s="105" t="str">
        <f>+Z880</f>
        <v>C0</v>
      </c>
    </row>
    <row r="881" spans="1:38" ht="15" customHeight="1" x14ac:dyDescent="0.2">
      <c r="A881" s="29" t="s">
        <v>824</v>
      </c>
      <c r="B881" s="29" t="s">
        <v>822</v>
      </c>
      <c r="C881" s="29" t="s">
        <v>823</v>
      </c>
      <c r="D881" s="2" t="s">
        <v>808</v>
      </c>
      <c r="E881" s="2" t="s">
        <v>20</v>
      </c>
      <c r="F881" s="2"/>
      <c r="G881" s="2"/>
      <c r="H881" s="2"/>
      <c r="I881" s="2" t="s">
        <v>235</v>
      </c>
      <c r="J881" s="28"/>
      <c r="K881" s="28" t="s">
        <v>1765</v>
      </c>
      <c r="L881" s="41" t="s">
        <v>972</v>
      </c>
      <c r="M881" s="7" t="s">
        <v>3</v>
      </c>
      <c r="N881" s="15">
        <v>18761949</v>
      </c>
      <c r="O881" s="88" t="s">
        <v>1186</v>
      </c>
      <c r="P881" s="38">
        <v>28188</v>
      </c>
      <c r="Q881" s="38"/>
      <c r="R881" s="38"/>
      <c r="S881" s="38"/>
      <c r="T881" s="38"/>
      <c r="U881" s="17" t="s">
        <v>215</v>
      </c>
      <c r="V881" s="16" t="s">
        <v>915</v>
      </c>
      <c r="W881" s="12">
        <v>42522</v>
      </c>
      <c r="X881" s="12"/>
      <c r="Y881" s="12">
        <v>42735</v>
      </c>
      <c r="Z881" s="2"/>
      <c r="AA881" s="2" t="s">
        <v>479</v>
      </c>
      <c r="AB881" s="3"/>
      <c r="AC881" s="5">
        <v>1000</v>
      </c>
      <c r="AD881" s="5">
        <f>+AC881*1.07</f>
        <v>1070</v>
      </c>
      <c r="AE881" s="5">
        <v>1170</v>
      </c>
      <c r="AF881" s="5">
        <f t="shared" si="889"/>
        <v>1310</v>
      </c>
      <c r="AG881" s="5">
        <f t="shared" si="934"/>
        <v>1310</v>
      </c>
      <c r="AH881" s="5">
        <f t="shared" si="934"/>
        <v>1310</v>
      </c>
      <c r="AI881" s="5">
        <f t="shared" ref="AI881:AJ881" si="949">+AH881</f>
        <v>1310</v>
      </c>
      <c r="AJ881" s="5">
        <f t="shared" si="949"/>
        <v>1310</v>
      </c>
      <c r="AK881" s="2" t="s">
        <v>53</v>
      </c>
      <c r="AL881" s="105" t="str">
        <f>+AK881</f>
        <v>B0</v>
      </c>
    </row>
    <row r="882" spans="1:38" ht="15" customHeight="1" x14ac:dyDescent="0.2">
      <c r="A882" s="29" t="s">
        <v>824</v>
      </c>
      <c r="B882" s="29" t="s">
        <v>822</v>
      </c>
      <c r="C882" s="29" t="s">
        <v>823</v>
      </c>
      <c r="D882" s="2" t="s">
        <v>808</v>
      </c>
      <c r="E882" s="2" t="s">
        <v>909</v>
      </c>
      <c r="F882" s="2" t="s">
        <v>52</v>
      </c>
      <c r="G882" s="3" t="s">
        <v>527</v>
      </c>
      <c r="H882" s="2" t="s">
        <v>249</v>
      </c>
      <c r="I882" s="2" t="s">
        <v>1707</v>
      </c>
      <c r="J882" s="28" t="s">
        <v>73</v>
      </c>
      <c r="K882" s="28" t="s">
        <v>1765</v>
      </c>
      <c r="L882" s="59" t="s">
        <v>193</v>
      </c>
      <c r="M882" s="4" t="s">
        <v>3</v>
      </c>
      <c r="N882" s="15">
        <v>28361042</v>
      </c>
      <c r="O882" s="88" t="s">
        <v>1328</v>
      </c>
      <c r="P882" s="38">
        <v>29480</v>
      </c>
      <c r="Q882" s="38"/>
      <c r="R882" s="38"/>
      <c r="S882" s="38"/>
      <c r="T882" s="38"/>
      <c r="U882" s="17" t="s">
        <v>215</v>
      </c>
      <c r="V882" s="17" t="s">
        <v>915</v>
      </c>
      <c r="W882" s="12">
        <v>41852</v>
      </c>
      <c r="X882" s="37"/>
      <c r="Y882" s="12">
        <v>42735</v>
      </c>
      <c r="Z882" s="2"/>
      <c r="AA882" s="2" t="s">
        <v>479</v>
      </c>
      <c r="AB882" s="2" t="s">
        <v>546</v>
      </c>
      <c r="AC882" s="5">
        <v>1000</v>
      </c>
      <c r="AD882" s="5">
        <f>+AC882*1.07</f>
        <v>1070</v>
      </c>
      <c r="AE882" s="5">
        <v>1170</v>
      </c>
      <c r="AF882" s="5">
        <f t="shared" si="889"/>
        <v>1310</v>
      </c>
      <c r="AG882" s="5">
        <f t="shared" si="934"/>
        <v>1310</v>
      </c>
      <c r="AH882" s="5">
        <f t="shared" si="934"/>
        <v>1310</v>
      </c>
      <c r="AI882" s="5">
        <f t="shared" ref="AI882:AJ882" si="950">+AH882</f>
        <v>1310</v>
      </c>
      <c r="AJ882" s="5">
        <f t="shared" si="950"/>
        <v>1310</v>
      </c>
      <c r="AK882" s="2" t="s">
        <v>43</v>
      </c>
      <c r="AL882" s="105" t="str">
        <f>+AK882</f>
        <v>A0</v>
      </c>
    </row>
    <row r="883" spans="1:38" ht="15" customHeight="1" x14ac:dyDescent="0.2">
      <c r="A883" s="29" t="s">
        <v>824</v>
      </c>
      <c r="B883" s="2" t="s">
        <v>822</v>
      </c>
      <c r="C883" s="3"/>
      <c r="D883" s="2" t="s">
        <v>825</v>
      </c>
      <c r="E883" s="3" t="s">
        <v>18</v>
      </c>
      <c r="F883" s="2" t="s">
        <v>19</v>
      </c>
      <c r="G883" s="2"/>
      <c r="H883" s="2" t="s">
        <v>22</v>
      </c>
      <c r="I883" s="2" t="s">
        <v>1707</v>
      </c>
      <c r="J883" s="28" t="s">
        <v>548</v>
      </c>
      <c r="K883" s="28" t="s">
        <v>548</v>
      </c>
      <c r="L883" s="44" t="s">
        <v>748</v>
      </c>
      <c r="M883" s="4" t="s">
        <v>3</v>
      </c>
      <c r="N883" s="15">
        <v>25795303</v>
      </c>
      <c r="O883" s="88" t="s">
        <v>1270</v>
      </c>
      <c r="P883" s="38">
        <v>28168</v>
      </c>
      <c r="Q883" s="38"/>
      <c r="R883" s="38"/>
      <c r="S883" s="38"/>
      <c r="T883" s="38"/>
      <c r="U883" s="17" t="s">
        <v>215</v>
      </c>
      <c r="V883" s="17" t="s">
        <v>915</v>
      </c>
      <c r="W883" s="12">
        <v>40452</v>
      </c>
      <c r="X883" s="12"/>
      <c r="Y883" s="12">
        <v>42735</v>
      </c>
      <c r="Z883" s="2"/>
      <c r="AA883" s="2" t="s">
        <v>479</v>
      </c>
      <c r="AB883" s="7" t="s">
        <v>787</v>
      </c>
      <c r="AC883" s="5">
        <v>1000</v>
      </c>
      <c r="AD883" s="5">
        <f>+AC883</f>
        <v>1000</v>
      </c>
      <c r="AE883" s="5">
        <v>1170</v>
      </c>
      <c r="AF883" s="5">
        <f t="shared" si="889"/>
        <v>1310</v>
      </c>
      <c r="AG883" s="5">
        <f t="shared" si="934"/>
        <v>1310</v>
      </c>
      <c r="AH883" s="5">
        <f t="shared" si="934"/>
        <v>1310</v>
      </c>
      <c r="AI883" s="5">
        <f t="shared" ref="AI883:AJ883" si="951">+AH883</f>
        <v>1310</v>
      </c>
      <c r="AJ883" s="5">
        <f t="shared" si="951"/>
        <v>1310</v>
      </c>
      <c r="AK883" s="2"/>
      <c r="AL883" s="106"/>
    </row>
    <row r="884" spans="1:38" ht="15" customHeight="1" x14ac:dyDescent="0.2">
      <c r="A884" s="29" t="s">
        <v>824</v>
      </c>
      <c r="B884" s="29" t="s">
        <v>822</v>
      </c>
      <c r="C884" s="29" t="s">
        <v>823</v>
      </c>
      <c r="D884" s="2" t="s">
        <v>808</v>
      </c>
      <c r="E884" s="2" t="s">
        <v>59</v>
      </c>
      <c r="F884" s="3"/>
      <c r="G884" s="3"/>
      <c r="H884" s="2" t="s">
        <v>226</v>
      </c>
      <c r="I884" s="2" t="s">
        <v>1707</v>
      </c>
      <c r="J884" s="28" t="s">
        <v>73</v>
      </c>
      <c r="K884" s="28" t="s">
        <v>1765</v>
      </c>
      <c r="L884" s="45" t="s">
        <v>194</v>
      </c>
      <c r="M884" s="4" t="s">
        <v>3</v>
      </c>
      <c r="N884" s="15">
        <v>23126670</v>
      </c>
      <c r="O884" s="88" t="s">
        <v>1221</v>
      </c>
      <c r="P884" s="38">
        <v>26696</v>
      </c>
      <c r="Q884" s="38"/>
      <c r="R884" s="38"/>
      <c r="S884" s="38"/>
      <c r="T884" s="38"/>
      <c r="U884" s="17" t="s">
        <v>215</v>
      </c>
      <c r="V884" s="17" t="s">
        <v>915</v>
      </c>
      <c r="W884" s="12">
        <v>42095</v>
      </c>
      <c r="X884" s="37"/>
      <c r="Y884" s="12">
        <v>42735</v>
      </c>
      <c r="Z884" s="2"/>
      <c r="AA884" s="2" t="s">
        <v>479</v>
      </c>
      <c r="AB884" s="2" t="s">
        <v>546</v>
      </c>
      <c r="AC884" s="5">
        <v>1000</v>
      </c>
      <c r="AD884" s="5">
        <f>+AC884*1.07</f>
        <v>1070</v>
      </c>
      <c r="AE884" s="5">
        <v>1170</v>
      </c>
      <c r="AF884" s="5">
        <f t="shared" si="889"/>
        <v>1310</v>
      </c>
      <c r="AG884" s="5">
        <f t="shared" si="934"/>
        <v>1310</v>
      </c>
      <c r="AH884" s="5">
        <f t="shared" si="934"/>
        <v>1310</v>
      </c>
      <c r="AI884" s="5">
        <f t="shared" ref="AI884:AJ884" si="952">+AH884</f>
        <v>1310</v>
      </c>
      <c r="AJ884" s="5">
        <f t="shared" si="952"/>
        <v>1310</v>
      </c>
      <c r="AK884" s="2" t="s">
        <v>43</v>
      </c>
      <c r="AL884" s="105" t="str">
        <f>+AK884</f>
        <v>A0</v>
      </c>
    </row>
    <row r="885" spans="1:38" ht="15" customHeight="1" x14ac:dyDescent="0.2">
      <c r="A885" s="29" t="s">
        <v>824</v>
      </c>
      <c r="B885" s="2" t="s">
        <v>822</v>
      </c>
      <c r="C885" s="29" t="s">
        <v>823</v>
      </c>
      <c r="D885" s="2" t="s">
        <v>808</v>
      </c>
      <c r="E885" s="2" t="s">
        <v>517</v>
      </c>
      <c r="F885" s="2"/>
      <c r="G885" s="2"/>
      <c r="H885" s="3"/>
      <c r="I885" s="2" t="s">
        <v>1707</v>
      </c>
      <c r="J885" s="28"/>
      <c r="K885" s="28" t="s">
        <v>1765</v>
      </c>
      <c r="L885" s="42" t="s">
        <v>1073</v>
      </c>
      <c r="M885" s="7" t="s">
        <v>3</v>
      </c>
      <c r="N885" s="15">
        <v>33344752</v>
      </c>
      <c r="O885" s="88">
        <v>27333447520</v>
      </c>
      <c r="P885" s="38">
        <v>32027</v>
      </c>
      <c r="Q885" s="38"/>
      <c r="R885" s="38"/>
      <c r="S885" s="38"/>
      <c r="T885" s="38"/>
      <c r="U885" s="17" t="s">
        <v>215</v>
      </c>
      <c r="V885" s="17" t="s">
        <v>915</v>
      </c>
      <c r="W885" s="12">
        <v>42522</v>
      </c>
      <c r="X885" s="19"/>
      <c r="Y885" s="12">
        <v>42735</v>
      </c>
      <c r="Z885" s="2"/>
      <c r="AA885" s="2" t="s">
        <v>479</v>
      </c>
      <c r="AB885" s="2"/>
      <c r="AC885" s="5"/>
      <c r="AD885" s="5">
        <v>1070</v>
      </c>
      <c r="AE885" s="5">
        <v>1170</v>
      </c>
      <c r="AF885" s="5">
        <f t="shared" si="889"/>
        <v>0</v>
      </c>
      <c r="AG885" s="5">
        <f t="shared" si="934"/>
        <v>0</v>
      </c>
      <c r="AH885" s="5">
        <f t="shared" si="934"/>
        <v>0</v>
      </c>
      <c r="AI885" s="5">
        <f t="shared" ref="AI885:AJ885" si="953">+AH885</f>
        <v>0</v>
      </c>
      <c r="AJ885" s="5">
        <f t="shared" si="953"/>
        <v>0</v>
      </c>
      <c r="AK885" s="29" t="s">
        <v>42</v>
      </c>
      <c r="AL885" s="105" t="str">
        <f>+AK885</f>
        <v>C0</v>
      </c>
    </row>
    <row r="886" spans="1:38" ht="15" customHeight="1" x14ac:dyDescent="0.2">
      <c r="A886" s="29" t="s">
        <v>824</v>
      </c>
      <c r="B886" s="2" t="s">
        <v>822</v>
      </c>
      <c r="C886" s="29" t="s">
        <v>823</v>
      </c>
      <c r="D886" s="2" t="s">
        <v>1820</v>
      </c>
      <c r="E886" s="2"/>
      <c r="F886" s="3"/>
      <c r="G886" s="3"/>
      <c r="H886" s="2" t="s">
        <v>884</v>
      </c>
      <c r="I886" s="2" t="s">
        <v>1707</v>
      </c>
      <c r="J886" s="28"/>
      <c r="K886" s="28" t="s">
        <v>1765</v>
      </c>
      <c r="L886" s="45" t="s">
        <v>1053</v>
      </c>
      <c r="M886" s="7" t="s">
        <v>3</v>
      </c>
      <c r="N886" s="15">
        <v>27084585</v>
      </c>
      <c r="O886" s="88">
        <v>27270845857</v>
      </c>
      <c r="P886" s="38">
        <v>28838</v>
      </c>
      <c r="Q886" s="38"/>
      <c r="R886" s="38"/>
      <c r="S886" s="38"/>
      <c r="T886" s="38"/>
      <c r="U886" s="17" t="s">
        <v>215</v>
      </c>
      <c r="V886" s="16" t="s">
        <v>915</v>
      </c>
      <c r="W886" s="12"/>
      <c r="X886" s="12"/>
      <c r="Y886" s="12">
        <v>42735</v>
      </c>
      <c r="Z886" s="2"/>
      <c r="AA886" s="2" t="s">
        <v>479</v>
      </c>
      <c r="AB886" s="14"/>
      <c r="AC886" s="5">
        <v>1000</v>
      </c>
      <c r="AD886" s="5">
        <f>+AC886*1.07</f>
        <v>1070</v>
      </c>
      <c r="AE886" s="5">
        <v>1170</v>
      </c>
      <c r="AF886" s="5">
        <f t="shared" si="889"/>
        <v>1310</v>
      </c>
      <c r="AG886" s="5">
        <f t="shared" si="934"/>
        <v>1310</v>
      </c>
      <c r="AH886" s="5">
        <f t="shared" si="934"/>
        <v>1310</v>
      </c>
      <c r="AI886" s="5">
        <f t="shared" ref="AI886:AJ886" si="954">+AH886</f>
        <v>1310</v>
      </c>
      <c r="AJ886" s="5">
        <f t="shared" si="954"/>
        <v>1310</v>
      </c>
      <c r="AK886" s="2" t="s">
        <v>53</v>
      </c>
      <c r="AL886" s="105" t="str">
        <f>+AK886</f>
        <v>B0</v>
      </c>
    </row>
    <row r="887" spans="1:38" ht="15" customHeight="1" x14ac:dyDescent="0.2">
      <c r="A887" s="29" t="s">
        <v>824</v>
      </c>
      <c r="B887" s="29" t="s">
        <v>822</v>
      </c>
      <c r="C887" s="29" t="s">
        <v>823</v>
      </c>
      <c r="D887" s="2" t="s">
        <v>800</v>
      </c>
      <c r="E887" s="7" t="s">
        <v>503</v>
      </c>
      <c r="F887" s="7"/>
      <c r="G887" s="7"/>
      <c r="H887" s="8"/>
      <c r="I887" s="3"/>
      <c r="J887" s="28" t="s">
        <v>254</v>
      </c>
      <c r="K887" s="28"/>
      <c r="L887" s="42" t="s">
        <v>473</v>
      </c>
      <c r="M887" s="4" t="s">
        <v>3</v>
      </c>
      <c r="N887" s="15">
        <v>21930163</v>
      </c>
      <c r="O887" s="88">
        <v>20219301635</v>
      </c>
      <c r="P887" s="38"/>
      <c r="Q887" s="38"/>
      <c r="R887" s="38"/>
      <c r="S887" s="38"/>
      <c r="T887" s="38"/>
      <c r="U887" s="16" t="s">
        <v>796</v>
      </c>
      <c r="V887" s="16" t="s">
        <v>916</v>
      </c>
      <c r="W887" s="12">
        <v>41395</v>
      </c>
      <c r="X887" s="12">
        <v>42460</v>
      </c>
      <c r="Y887" s="12">
        <v>42735</v>
      </c>
      <c r="Z887" s="2" t="s">
        <v>42</v>
      </c>
      <c r="AA887" s="2"/>
      <c r="AB887" s="18"/>
      <c r="AC887" s="5">
        <v>1000</v>
      </c>
      <c r="AD887" s="5"/>
      <c r="AE887" s="5">
        <v>1170</v>
      </c>
      <c r="AF887" s="5">
        <f t="shared" si="889"/>
        <v>1310</v>
      </c>
      <c r="AG887" s="5">
        <f t="shared" ref="AG887:AH896" si="955">+AF887</f>
        <v>1310</v>
      </c>
      <c r="AH887" s="5">
        <f t="shared" si="955"/>
        <v>1310</v>
      </c>
      <c r="AI887" s="5">
        <f t="shared" ref="AI887:AJ887" si="956">+AH887</f>
        <v>1310</v>
      </c>
      <c r="AJ887" s="5">
        <f t="shared" si="956"/>
        <v>1310</v>
      </c>
      <c r="AK887" s="29"/>
      <c r="AL887" s="105" t="str">
        <f>+Z887</f>
        <v>C0</v>
      </c>
    </row>
    <row r="888" spans="1:38" ht="15" customHeight="1" x14ac:dyDescent="0.2">
      <c r="A888" s="29" t="s">
        <v>824</v>
      </c>
      <c r="B888" s="29"/>
      <c r="C888" s="14"/>
      <c r="D888" s="2" t="s">
        <v>820</v>
      </c>
      <c r="E888" s="2" t="s">
        <v>817</v>
      </c>
      <c r="F888" s="3"/>
      <c r="G888" s="3"/>
      <c r="H888" s="2" t="s">
        <v>236</v>
      </c>
      <c r="I888" s="3"/>
      <c r="J888" s="28" t="s">
        <v>73</v>
      </c>
      <c r="K888" s="28"/>
      <c r="L888" s="45" t="s">
        <v>195</v>
      </c>
      <c r="M888" s="4" t="s">
        <v>3</v>
      </c>
      <c r="N888" s="15">
        <v>22237165</v>
      </c>
      <c r="O888" s="88">
        <v>27222371657</v>
      </c>
      <c r="P888" s="61"/>
      <c r="Q888" s="61"/>
      <c r="R888" s="61"/>
      <c r="S888" s="61"/>
      <c r="T888" s="61"/>
      <c r="U888" s="16" t="s">
        <v>796</v>
      </c>
      <c r="V888" s="16" t="s">
        <v>916</v>
      </c>
      <c r="W888" s="12">
        <v>40695</v>
      </c>
      <c r="X888" s="48">
        <v>42735</v>
      </c>
      <c r="Y888" s="12">
        <v>42735</v>
      </c>
      <c r="Z888" s="2" t="s">
        <v>17</v>
      </c>
      <c r="AA888" s="2"/>
      <c r="AB888" s="14"/>
      <c r="AC888" s="5">
        <v>1000</v>
      </c>
      <c r="AD888" s="5"/>
      <c r="AE888" s="5">
        <v>1170</v>
      </c>
      <c r="AF888" s="5">
        <f t="shared" si="889"/>
        <v>1310</v>
      </c>
      <c r="AG888" s="5">
        <f t="shared" si="955"/>
        <v>1310</v>
      </c>
      <c r="AH888" s="5">
        <f t="shared" si="955"/>
        <v>1310</v>
      </c>
      <c r="AI888" s="5">
        <f t="shared" ref="AI888:AJ888" si="957">+AH888</f>
        <v>1310</v>
      </c>
      <c r="AJ888" s="5">
        <f t="shared" si="957"/>
        <v>1310</v>
      </c>
      <c r="AK888" s="29"/>
      <c r="AL888" s="105" t="str">
        <f>+Z888</f>
        <v>C1</v>
      </c>
    </row>
    <row r="889" spans="1:38" ht="15" customHeight="1" x14ac:dyDescent="0.2">
      <c r="A889" s="29" t="s">
        <v>824</v>
      </c>
      <c r="B889" s="29" t="s">
        <v>822</v>
      </c>
      <c r="C889" s="29" t="s">
        <v>823</v>
      </c>
      <c r="D889" s="2" t="s">
        <v>800</v>
      </c>
      <c r="E889" s="2"/>
      <c r="F889" s="3"/>
      <c r="G889" s="3"/>
      <c r="H889" s="2" t="s">
        <v>884</v>
      </c>
      <c r="I889" s="2" t="s">
        <v>1707</v>
      </c>
      <c r="J889" s="28" t="s">
        <v>254</v>
      </c>
      <c r="K889" s="28" t="s">
        <v>1767</v>
      </c>
      <c r="L889" s="41" t="s">
        <v>1676</v>
      </c>
      <c r="M889" s="4" t="s">
        <v>3</v>
      </c>
      <c r="N889" s="15">
        <v>31213986</v>
      </c>
      <c r="O889" s="88" t="s">
        <v>1601</v>
      </c>
      <c r="P889" s="38">
        <v>30925</v>
      </c>
      <c r="Q889" s="38"/>
      <c r="R889" s="38"/>
      <c r="S889" s="38"/>
      <c r="T889" s="38"/>
      <c r="U889" s="17" t="s">
        <v>215</v>
      </c>
      <c r="V889" s="17" t="s">
        <v>915</v>
      </c>
      <c r="W889" s="12">
        <v>42370</v>
      </c>
      <c r="X889" s="48"/>
      <c r="Y889" s="12">
        <v>42735</v>
      </c>
      <c r="Z889" s="2"/>
      <c r="AA889" s="2" t="s">
        <v>479</v>
      </c>
      <c r="AB889" s="3" t="s">
        <v>10</v>
      </c>
      <c r="AC889" s="5">
        <v>1000</v>
      </c>
      <c r="AD889" s="5">
        <f>+AC889*1.07</f>
        <v>1070</v>
      </c>
      <c r="AE889" s="5">
        <v>1170</v>
      </c>
      <c r="AF889" s="5">
        <f t="shared" ref="AF889:AF952" si="958">+AC889*1.31</f>
        <v>1310</v>
      </c>
      <c r="AG889" s="5">
        <f t="shared" si="955"/>
        <v>1310</v>
      </c>
      <c r="AH889" s="5">
        <f t="shared" si="955"/>
        <v>1310</v>
      </c>
      <c r="AI889" s="5">
        <f t="shared" ref="AI889:AJ889" si="959">+AH889</f>
        <v>1310</v>
      </c>
      <c r="AJ889" s="5">
        <f t="shared" si="959"/>
        <v>1310</v>
      </c>
      <c r="AK889" s="2" t="s">
        <v>42</v>
      </c>
      <c r="AL889" s="105" t="str">
        <f t="shared" ref="AL889:AL894" si="960">+AK889</f>
        <v>C0</v>
      </c>
    </row>
    <row r="890" spans="1:38" ht="15" customHeight="1" x14ac:dyDescent="0.2">
      <c r="A890" s="29" t="s">
        <v>824</v>
      </c>
      <c r="B890" s="29"/>
      <c r="C890" s="14"/>
      <c r="D890" s="2" t="s">
        <v>819</v>
      </c>
      <c r="E890" s="2"/>
      <c r="F890" s="3"/>
      <c r="G890" s="3"/>
      <c r="H890" s="2" t="s">
        <v>884</v>
      </c>
      <c r="I890" s="2" t="s">
        <v>1707</v>
      </c>
      <c r="J890" s="28"/>
      <c r="K890" s="28" t="s">
        <v>1765</v>
      </c>
      <c r="L890" s="41" t="s">
        <v>858</v>
      </c>
      <c r="M890" s="4" t="s">
        <v>3</v>
      </c>
      <c r="N890" s="15">
        <v>28231814</v>
      </c>
      <c r="O890" s="88">
        <v>27282318143</v>
      </c>
      <c r="P890" s="38">
        <v>29385</v>
      </c>
      <c r="Q890" s="38"/>
      <c r="R890" s="38"/>
      <c r="S890" s="38"/>
      <c r="T890" s="38"/>
      <c r="U890" s="17" t="s">
        <v>215</v>
      </c>
      <c r="V890" s="17" t="s">
        <v>915</v>
      </c>
      <c r="W890" s="12">
        <v>42370</v>
      </c>
      <c r="X890" s="48"/>
      <c r="Y890" s="12">
        <v>42735</v>
      </c>
      <c r="Z890" s="2"/>
      <c r="AA890" s="2" t="s">
        <v>479</v>
      </c>
      <c r="AB890" s="3" t="s">
        <v>10</v>
      </c>
      <c r="AC890" s="5">
        <v>1000</v>
      </c>
      <c r="AD890" s="5">
        <f>+AC890*1.07</f>
        <v>1070</v>
      </c>
      <c r="AE890" s="5">
        <v>1170</v>
      </c>
      <c r="AF890" s="5">
        <f t="shared" si="958"/>
        <v>1310</v>
      </c>
      <c r="AG890" s="5">
        <f t="shared" si="955"/>
        <v>1310</v>
      </c>
      <c r="AH890" s="5">
        <f t="shared" si="955"/>
        <v>1310</v>
      </c>
      <c r="AI890" s="5">
        <f t="shared" ref="AI890:AJ890" si="961">+AH890</f>
        <v>1310</v>
      </c>
      <c r="AJ890" s="5">
        <f t="shared" si="961"/>
        <v>1310</v>
      </c>
      <c r="AK890" s="2" t="s">
        <v>43</v>
      </c>
      <c r="AL890" s="105" t="str">
        <f t="shared" si="960"/>
        <v>A0</v>
      </c>
    </row>
    <row r="891" spans="1:38" ht="15" customHeight="1" x14ac:dyDescent="0.2">
      <c r="A891" s="29" t="s">
        <v>824</v>
      </c>
      <c r="B891" s="29" t="s">
        <v>822</v>
      </c>
      <c r="C891" s="29" t="s">
        <v>823</v>
      </c>
      <c r="D891" s="2" t="s">
        <v>800</v>
      </c>
      <c r="E891" s="2" t="s">
        <v>489</v>
      </c>
      <c r="F891" s="2"/>
      <c r="G891" s="2"/>
      <c r="H891" s="2"/>
      <c r="I891" s="3" t="s">
        <v>1721</v>
      </c>
      <c r="J891" s="28" t="s">
        <v>254</v>
      </c>
      <c r="K891" s="28" t="s">
        <v>1767</v>
      </c>
      <c r="L891" s="42" t="s">
        <v>370</v>
      </c>
      <c r="M891" s="4" t="s">
        <v>3</v>
      </c>
      <c r="N891" s="15">
        <v>34616953</v>
      </c>
      <c r="O891" s="88" t="s">
        <v>1478</v>
      </c>
      <c r="P891" s="38">
        <v>32653</v>
      </c>
      <c r="Q891" s="38"/>
      <c r="R891" s="38"/>
      <c r="S891" s="38"/>
      <c r="T891" s="38"/>
      <c r="U891" s="17" t="s">
        <v>215</v>
      </c>
      <c r="V891" s="17" t="s">
        <v>915</v>
      </c>
      <c r="W891" s="12">
        <v>41365</v>
      </c>
      <c r="X891" s="20"/>
      <c r="Y891" s="12">
        <v>42735</v>
      </c>
      <c r="Z891" s="2"/>
      <c r="AA891" s="2" t="s">
        <v>479</v>
      </c>
      <c r="AB891" s="24" t="s">
        <v>479</v>
      </c>
      <c r="AC891" s="5">
        <v>1000</v>
      </c>
      <c r="AD891" s="5">
        <v>1070</v>
      </c>
      <c r="AE891" s="5">
        <v>1170</v>
      </c>
      <c r="AF891" s="5">
        <f t="shared" si="958"/>
        <v>1310</v>
      </c>
      <c r="AG891" s="5">
        <f t="shared" si="955"/>
        <v>1310</v>
      </c>
      <c r="AH891" s="5">
        <f t="shared" si="955"/>
        <v>1310</v>
      </c>
      <c r="AI891" s="5">
        <f t="shared" ref="AI891:AJ891" si="962">+AH891</f>
        <v>1310</v>
      </c>
      <c r="AJ891" s="5">
        <f t="shared" si="962"/>
        <v>1310</v>
      </c>
      <c r="AK891" s="29" t="s">
        <v>42</v>
      </c>
      <c r="AL891" s="105" t="str">
        <f t="shared" si="960"/>
        <v>C0</v>
      </c>
    </row>
    <row r="892" spans="1:38" ht="15" customHeight="1" x14ac:dyDescent="0.2">
      <c r="A892" s="29" t="s">
        <v>824</v>
      </c>
      <c r="B892" s="29" t="s">
        <v>822</v>
      </c>
      <c r="C892" s="29" t="s">
        <v>823</v>
      </c>
      <c r="D892" s="2" t="s">
        <v>800</v>
      </c>
      <c r="E892" s="7" t="s">
        <v>497</v>
      </c>
      <c r="F892" s="7"/>
      <c r="G892" s="7"/>
      <c r="H892" s="8"/>
      <c r="I892" s="3" t="s">
        <v>1714</v>
      </c>
      <c r="J892" s="28" t="s">
        <v>254</v>
      </c>
      <c r="K892" s="28" t="s">
        <v>1767</v>
      </c>
      <c r="L892" s="42" t="s">
        <v>397</v>
      </c>
      <c r="M892" s="4" t="s">
        <v>3</v>
      </c>
      <c r="N892" s="15">
        <v>40516549</v>
      </c>
      <c r="O892" s="88" t="s">
        <v>1565</v>
      </c>
      <c r="P892" s="38">
        <v>32888</v>
      </c>
      <c r="Q892" s="38"/>
      <c r="R892" s="38"/>
      <c r="S892" s="38"/>
      <c r="T892" s="38"/>
      <c r="U892" s="17" t="s">
        <v>215</v>
      </c>
      <c r="V892" s="17" t="s">
        <v>915</v>
      </c>
      <c r="W892" s="12">
        <v>41730</v>
      </c>
      <c r="X892" s="20"/>
      <c r="Y892" s="12">
        <v>42735</v>
      </c>
      <c r="Z892" s="2"/>
      <c r="AA892" s="2" t="s">
        <v>479</v>
      </c>
      <c r="AB892" s="24" t="s">
        <v>479</v>
      </c>
      <c r="AC892" s="5">
        <v>1000</v>
      </c>
      <c r="AD892" s="5">
        <v>1070</v>
      </c>
      <c r="AE892" s="5">
        <v>1170</v>
      </c>
      <c r="AF892" s="5">
        <f t="shared" si="958"/>
        <v>1310</v>
      </c>
      <c r="AG892" s="5">
        <f t="shared" si="955"/>
        <v>1310</v>
      </c>
      <c r="AH892" s="5">
        <f t="shared" si="955"/>
        <v>1310</v>
      </c>
      <c r="AI892" s="5">
        <f t="shared" ref="AI892:AJ892" si="963">+AH892</f>
        <v>1310</v>
      </c>
      <c r="AJ892" s="5">
        <f t="shared" si="963"/>
        <v>1310</v>
      </c>
      <c r="AK892" s="29" t="s">
        <v>42</v>
      </c>
      <c r="AL892" s="105" t="str">
        <f t="shared" si="960"/>
        <v>C0</v>
      </c>
    </row>
    <row r="893" spans="1:38" ht="15" customHeight="1" x14ac:dyDescent="0.2">
      <c r="A893" s="29" t="s">
        <v>824</v>
      </c>
      <c r="B893" s="29" t="s">
        <v>822</v>
      </c>
      <c r="C893" s="29" t="s">
        <v>823</v>
      </c>
      <c r="D893" s="2" t="s">
        <v>800</v>
      </c>
      <c r="E893" s="7" t="s">
        <v>499</v>
      </c>
      <c r="F893" s="7"/>
      <c r="G893" s="7"/>
      <c r="H893" s="8"/>
      <c r="I893" s="3" t="s">
        <v>1718</v>
      </c>
      <c r="J893" s="28" t="s">
        <v>254</v>
      </c>
      <c r="K893" s="28" t="s">
        <v>1767</v>
      </c>
      <c r="L893" s="42" t="s">
        <v>407</v>
      </c>
      <c r="M893" s="4" t="s">
        <v>3</v>
      </c>
      <c r="N893" s="15">
        <v>24534584</v>
      </c>
      <c r="O893" s="88" t="s">
        <v>1247</v>
      </c>
      <c r="P893" s="38">
        <v>27575</v>
      </c>
      <c r="Q893" s="38"/>
      <c r="R893" s="38"/>
      <c r="S893" s="38"/>
      <c r="T893" s="38"/>
      <c r="U893" s="17" t="s">
        <v>215</v>
      </c>
      <c r="V893" s="17" t="s">
        <v>915</v>
      </c>
      <c r="W893" s="12">
        <v>41456</v>
      </c>
      <c r="X893" s="20"/>
      <c r="Y893" s="12">
        <v>42735</v>
      </c>
      <c r="Z893" s="2"/>
      <c r="AA893" s="2" t="s">
        <v>479</v>
      </c>
      <c r="AB893" s="24" t="s">
        <v>479</v>
      </c>
      <c r="AC893" s="5">
        <v>1000</v>
      </c>
      <c r="AD893" s="5">
        <v>1070</v>
      </c>
      <c r="AE893" s="5">
        <v>1170</v>
      </c>
      <c r="AF893" s="5">
        <f t="shared" si="958"/>
        <v>1310</v>
      </c>
      <c r="AG893" s="5">
        <f t="shared" si="955"/>
        <v>1310</v>
      </c>
      <c r="AH893" s="5">
        <f t="shared" si="955"/>
        <v>1310</v>
      </c>
      <c r="AI893" s="5">
        <f t="shared" ref="AI893:AJ893" si="964">+AH893</f>
        <v>1310</v>
      </c>
      <c r="AJ893" s="5">
        <f t="shared" si="964"/>
        <v>1310</v>
      </c>
      <c r="AK893" s="29" t="s">
        <v>42</v>
      </c>
      <c r="AL893" s="105" t="str">
        <f t="shared" si="960"/>
        <v>C0</v>
      </c>
    </row>
    <row r="894" spans="1:38" ht="15" customHeight="1" x14ac:dyDescent="0.2">
      <c r="A894" s="29" t="s">
        <v>824</v>
      </c>
      <c r="B894" s="29" t="s">
        <v>822</v>
      </c>
      <c r="C894" s="29" t="s">
        <v>823</v>
      </c>
      <c r="D894" s="2" t="s">
        <v>800</v>
      </c>
      <c r="E894" s="2"/>
      <c r="F894" s="2"/>
      <c r="G894" s="2"/>
      <c r="H894" s="2"/>
      <c r="I894" s="3" t="s">
        <v>1718</v>
      </c>
      <c r="J894" s="28"/>
      <c r="K894" s="28" t="s">
        <v>1767</v>
      </c>
      <c r="L894" s="41" t="s">
        <v>1062</v>
      </c>
      <c r="M894" s="7" t="s">
        <v>3</v>
      </c>
      <c r="N894" s="15">
        <v>40166060</v>
      </c>
      <c r="O894" s="88" t="s">
        <v>1564</v>
      </c>
      <c r="P894" s="38">
        <v>35523</v>
      </c>
      <c r="Q894" s="38"/>
      <c r="R894" s="38"/>
      <c r="S894" s="38"/>
      <c r="T894" s="38"/>
      <c r="U894" s="17" t="s">
        <v>215</v>
      </c>
      <c r="V894" s="16" t="s">
        <v>915</v>
      </c>
      <c r="W894" s="12"/>
      <c r="X894" s="12"/>
      <c r="Y894" s="12">
        <v>42735</v>
      </c>
      <c r="Z894" s="2"/>
      <c r="AA894" s="2" t="s">
        <v>479</v>
      </c>
      <c r="AB894" s="3"/>
      <c r="AC894" s="5"/>
      <c r="AD894" s="5">
        <v>1070</v>
      </c>
      <c r="AE894" s="5">
        <v>1170</v>
      </c>
      <c r="AF894" s="5">
        <f t="shared" si="958"/>
        <v>0</v>
      </c>
      <c r="AG894" s="5">
        <f t="shared" si="955"/>
        <v>0</v>
      </c>
      <c r="AH894" s="5">
        <f t="shared" si="955"/>
        <v>0</v>
      </c>
      <c r="AI894" s="5">
        <f t="shared" ref="AI894:AJ894" si="965">+AH894</f>
        <v>0</v>
      </c>
      <c r="AJ894" s="5">
        <f t="shared" si="965"/>
        <v>0</v>
      </c>
      <c r="AK894" s="29" t="s">
        <v>42</v>
      </c>
      <c r="AL894" s="105" t="str">
        <f t="shared" si="960"/>
        <v>C0</v>
      </c>
    </row>
    <row r="895" spans="1:38" ht="15" customHeight="1" x14ac:dyDescent="0.2">
      <c r="A895" s="29" t="s">
        <v>824</v>
      </c>
      <c r="B895" s="2" t="s">
        <v>822</v>
      </c>
      <c r="C895" s="3"/>
      <c r="D895" s="2" t="s">
        <v>825</v>
      </c>
      <c r="E895" s="3" t="s">
        <v>18</v>
      </c>
      <c r="F895" s="2" t="s">
        <v>19</v>
      </c>
      <c r="G895" s="2"/>
      <c r="H895" s="2" t="s">
        <v>35</v>
      </c>
      <c r="I895" s="2" t="s">
        <v>1707</v>
      </c>
      <c r="J895" s="28" t="s">
        <v>548</v>
      </c>
      <c r="K895" s="28" t="s">
        <v>548</v>
      </c>
      <c r="L895" s="44" t="s">
        <v>749</v>
      </c>
      <c r="M895" s="4" t="s">
        <v>3</v>
      </c>
      <c r="N895" s="15">
        <v>95147687</v>
      </c>
      <c r="O895" s="88" t="s">
        <v>1578</v>
      </c>
      <c r="P895" s="38">
        <v>31426</v>
      </c>
      <c r="Q895" s="38"/>
      <c r="R895" s="38"/>
      <c r="S895" s="38"/>
      <c r="T895" s="38"/>
      <c r="U895" s="17" t="s">
        <v>215</v>
      </c>
      <c r="V895" s="17" t="s">
        <v>915</v>
      </c>
      <c r="W895" s="12">
        <v>41685</v>
      </c>
      <c r="X895" s="12"/>
      <c r="Y895" s="12">
        <v>42735</v>
      </c>
      <c r="Z895" s="2"/>
      <c r="AA895" s="2" t="s">
        <v>479</v>
      </c>
      <c r="AB895" s="7" t="s">
        <v>787</v>
      </c>
      <c r="AC895" s="5">
        <v>1000</v>
      </c>
      <c r="AD895" s="5">
        <f>+AC895</f>
        <v>1000</v>
      </c>
      <c r="AE895" s="5">
        <v>1170</v>
      </c>
      <c r="AF895" s="5">
        <f t="shared" si="958"/>
        <v>1310</v>
      </c>
      <c r="AG895" s="5">
        <f t="shared" si="955"/>
        <v>1310</v>
      </c>
      <c r="AH895" s="5">
        <f t="shared" si="955"/>
        <v>1310</v>
      </c>
      <c r="AI895" s="5">
        <f t="shared" ref="AI895:AJ895" si="966">+AH895</f>
        <v>1310</v>
      </c>
      <c r="AJ895" s="5">
        <f t="shared" si="966"/>
        <v>1310</v>
      </c>
      <c r="AK895" s="2"/>
      <c r="AL895" s="106"/>
    </row>
    <row r="896" spans="1:38" ht="15" customHeight="1" x14ac:dyDescent="0.2">
      <c r="A896" s="29" t="s">
        <v>824</v>
      </c>
      <c r="B896" s="2" t="s">
        <v>822</v>
      </c>
      <c r="C896" s="29" t="s">
        <v>823</v>
      </c>
      <c r="D896" s="2" t="s">
        <v>808</v>
      </c>
      <c r="E896" s="2" t="s">
        <v>216</v>
      </c>
      <c r="F896" s="2" t="s">
        <v>1066</v>
      </c>
      <c r="G896" s="2"/>
      <c r="H896" s="3"/>
      <c r="I896" s="2" t="s">
        <v>1066</v>
      </c>
      <c r="J896" s="28"/>
      <c r="K896" s="28" t="s">
        <v>1765</v>
      </c>
      <c r="L896" s="42" t="s">
        <v>1078</v>
      </c>
      <c r="M896" s="7" t="s">
        <v>3</v>
      </c>
      <c r="N896" s="15">
        <v>34247889</v>
      </c>
      <c r="O896" s="88">
        <v>20342578897</v>
      </c>
      <c r="P896" s="38">
        <v>32498</v>
      </c>
      <c r="Q896" s="38"/>
      <c r="R896" s="38"/>
      <c r="S896" s="38"/>
      <c r="T896" s="38"/>
      <c r="U896" s="17" t="s">
        <v>215</v>
      </c>
      <c r="V896" s="17" t="s">
        <v>915</v>
      </c>
      <c r="W896" s="12">
        <v>42491</v>
      </c>
      <c r="X896" s="19"/>
      <c r="Y896" s="12">
        <v>42735</v>
      </c>
      <c r="Z896" s="2"/>
      <c r="AA896" s="2" t="s">
        <v>479</v>
      </c>
      <c r="AB896" s="2"/>
      <c r="AC896" s="5">
        <v>1000</v>
      </c>
      <c r="AD896" s="5">
        <v>1070</v>
      </c>
      <c r="AE896" s="5">
        <v>1170</v>
      </c>
      <c r="AF896" s="5">
        <f t="shared" si="958"/>
        <v>1310</v>
      </c>
      <c r="AG896" s="5">
        <f t="shared" si="955"/>
        <v>1310</v>
      </c>
      <c r="AH896" s="5">
        <f t="shared" si="955"/>
        <v>1310</v>
      </c>
      <c r="AI896" s="5">
        <f t="shared" ref="AI896:AJ896" si="967">+AH896</f>
        <v>1310</v>
      </c>
      <c r="AJ896" s="5">
        <f t="shared" si="967"/>
        <v>1310</v>
      </c>
      <c r="AK896" s="2" t="s">
        <v>42</v>
      </c>
      <c r="AL896" s="105" t="str">
        <f>+AK896</f>
        <v>C0</v>
      </c>
    </row>
    <row r="897" spans="1:38" ht="15" customHeight="1" x14ac:dyDescent="0.2">
      <c r="A897" s="29" t="s">
        <v>824</v>
      </c>
      <c r="B897" s="2" t="s">
        <v>822</v>
      </c>
      <c r="C897" s="29" t="s">
        <v>823</v>
      </c>
      <c r="D897" s="2" t="s">
        <v>1820</v>
      </c>
      <c r="E897" s="2"/>
      <c r="F897" s="2"/>
      <c r="G897" s="2"/>
      <c r="H897" s="2" t="s">
        <v>884</v>
      </c>
      <c r="I897" s="2" t="s">
        <v>1707</v>
      </c>
      <c r="J897" s="28"/>
      <c r="K897" s="28" t="s">
        <v>1765</v>
      </c>
      <c r="L897" s="42" t="s">
        <v>1110</v>
      </c>
      <c r="M897" s="7" t="s">
        <v>3</v>
      </c>
      <c r="N897" s="15">
        <v>32064205</v>
      </c>
      <c r="O897" s="88">
        <v>20320642052</v>
      </c>
      <c r="P897" s="38">
        <v>31398</v>
      </c>
      <c r="Q897" s="38"/>
      <c r="R897" s="38"/>
      <c r="S897" s="38"/>
      <c r="T897" s="38"/>
      <c r="U897" s="17" t="s">
        <v>215</v>
      </c>
      <c r="V897" s="17" t="s">
        <v>915</v>
      </c>
      <c r="W897" s="12">
        <v>42522</v>
      </c>
      <c r="X897" s="19"/>
      <c r="Y897" s="19">
        <v>42613</v>
      </c>
      <c r="Z897" s="2"/>
      <c r="AA897" s="2" t="s">
        <v>479</v>
      </c>
      <c r="AB897" s="2"/>
      <c r="AC897" s="5"/>
      <c r="AD897" s="5">
        <v>1070</v>
      </c>
      <c r="AE897" s="5">
        <v>1170</v>
      </c>
      <c r="AF897" s="5">
        <f t="shared" si="958"/>
        <v>0</v>
      </c>
      <c r="AG897" s="5"/>
      <c r="AH897" s="5"/>
      <c r="AI897" s="5">
        <f t="shared" ref="AI897:AJ897" si="968">+AH897</f>
        <v>0</v>
      </c>
      <c r="AJ897" s="5">
        <f t="shared" si="968"/>
        <v>0</v>
      </c>
      <c r="AK897" s="2"/>
      <c r="AL897" s="105"/>
    </row>
    <row r="898" spans="1:38" ht="15" customHeight="1" x14ac:dyDescent="0.2">
      <c r="A898" s="29" t="s">
        <v>824</v>
      </c>
      <c r="B898" s="29" t="s">
        <v>822</v>
      </c>
      <c r="C898" s="29" t="s">
        <v>823</v>
      </c>
      <c r="D898" s="2" t="s">
        <v>808</v>
      </c>
      <c r="E898" s="2"/>
      <c r="F898" s="3"/>
      <c r="G898" s="3"/>
      <c r="H898" s="2" t="s">
        <v>1640</v>
      </c>
      <c r="I898" s="2" t="s">
        <v>1707</v>
      </c>
      <c r="J898" s="28"/>
      <c r="K898" s="28" t="s">
        <v>1765</v>
      </c>
      <c r="L898" s="41" t="s">
        <v>1633</v>
      </c>
      <c r="M898" s="7" t="s">
        <v>3</v>
      </c>
      <c r="N898" s="15">
        <v>12315305</v>
      </c>
      <c r="O898" s="88">
        <v>20123153058</v>
      </c>
      <c r="P898" s="38">
        <v>21321</v>
      </c>
      <c r="Q898" s="38"/>
      <c r="R898" s="38"/>
      <c r="S898" s="38"/>
      <c r="T898" s="38"/>
      <c r="U898" s="17" t="s">
        <v>215</v>
      </c>
      <c r="V898" s="17" t="s">
        <v>915</v>
      </c>
      <c r="W898" s="12">
        <v>42522</v>
      </c>
      <c r="X898" s="48"/>
      <c r="Y898" s="48">
        <v>42735</v>
      </c>
      <c r="Z898" s="2"/>
      <c r="AA898" s="2" t="s">
        <v>479</v>
      </c>
      <c r="AB898" s="3"/>
      <c r="AC898" s="2"/>
      <c r="AD898" s="5">
        <v>1070</v>
      </c>
      <c r="AE898" s="5">
        <v>1170</v>
      </c>
      <c r="AF898" s="5">
        <f t="shared" si="958"/>
        <v>0</v>
      </c>
      <c r="AG898" s="5">
        <f t="shared" ref="AG898:AH915" si="969">+AF898</f>
        <v>0</v>
      </c>
      <c r="AH898" s="5">
        <f t="shared" si="969"/>
        <v>0</v>
      </c>
      <c r="AI898" s="5">
        <f t="shared" ref="AI898:AJ898" si="970">+AH898</f>
        <v>0</v>
      </c>
      <c r="AJ898" s="5">
        <f t="shared" si="970"/>
        <v>0</v>
      </c>
      <c r="AK898" s="2" t="s">
        <v>53</v>
      </c>
      <c r="AL898" s="105" t="str">
        <f>+AK898</f>
        <v>B0</v>
      </c>
    </row>
    <row r="899" spans="1:38" ht="15" customHeight="1" x14ac:dyDescent="0.2">
      <c r="A899" s="29" t="s">
        <v>824</v>
      </c>
      <c r="B899" s="29"/>
      <c r="C899" s="2"/>
      <c r="D899" s="2" t="s">
        <v>820</v>
      </c>
      <c r="E899" s="2" t="s">
        <v>818</v>
      </c>
      <c r="F899" s="3"/>
      <c r="G899" s="3"/>
      <c r="H899" s="2" t="s">
        <v>221</v>
      </c>
      <c r="I899" s="3"/>
      <c r="J899" s="28" t="s">
        <v>73</v>
      </c>
      <c r="K899" s="28"/>
      <c r="L899" s="42" t="s">
        <v>750</v>
      </c>
      <c r="M899" s="4" t="s">
        <v>3</v>
      </c>
      <c r="N899" s="15">
        <v>29064222</v>
      </c>
      <c r="O899" s="88">
        <v>27290642227</v>
      </c>
      <c r="P899" s="61"/>
      <c r="Q899" s="61"/>
      <c r="R899" s="61"/>
      <c r="S899" s="61"/>
      <c r="T899" s="61"/>
      <c r="U899" s="16" t="s">
        <v>796</v>
      </c>
      <c r="V899" s="16" t="s">
        <v>916</v>
      </c>
      <c r="W899" s="12">
        <v>41244</v>
      </c>
      <c r="X899" s="48">
        <v>42735</v>
      </c>
      <c r="Y899" s="12">
        <v>42735</v>
      </c>
      <c r="Z899" s="2" t="s">
        <v>30</v>
      </c>
      <c r="AA899" s="2"/>
      <c r="AB899" s="14"/>
      <c r="AC899" s="5">
        <v>1000</v>
      </c>
      <c r="AD899" s="5"/>
      <c r="AE899" s="5">
        <v>1170</v>
      </c>
      <c r="AF899" s="5">
        <f t="shared" si="958"/>
        <v>1310</v>
      </c>
      <c r="AG899" s="5">
        <f t="shared" si="969"/>
        <v>1310</v>
      </c>
      <c r="AH899" s="5">
        <f t="shared" si="969"/>
        <v>1310</v>
      </c>
      <c r="AI899" s="5">
        <f t="shared" ref="AI899:AJ899" si="971">+AH899</f>
        <v>1310</v>
      </c>
      <c r="AJ899" s="5">
        <f t="shared" si="971"/>
        <v>1310</v>
      </c>
      <c r="AK899" s="29"/>
      <c r="AL899" s="105" t="str">
        <f>+Z899</f>
        <v>B1</v>
      </c>
    </row>
    <row r="900" spans="1:38" ht="15" customHeight="1" x14ac:dyDescent="0.2">
      <c r="A900" s="29" t="s">
        <v>824</v>
      </c>
      <c r="B900" s="2" t="s">
        <v>822</v>
      </c>
      <c r="C900" s="3"/>
      <c r="D900" s="2" t="s">
        <v>825</v>
      </c>
      <c r="E900" s="3" t="s">
        <v>18</v>
      </c>
      <c r="F900" s="2" t="s">
        <v>19</v>
      </c>
      <c r="G900" s="2"/>
      <c r="H900" s="2" t="s">
        <v>36</v>
      </c>
      <c r="I900" s="2" t="s">
        <v>1707</v>
      </c>
      <c r="J900" s="28" t="s">
        <v>548</v>
      </c>
      <c r="K900" s="28" t="s">
        <v>548</v>
      </c>
      <c r="L900" s="44" t="s">
        <v>72</v>
      </c>
      <c r="M900" s="4" t="s">
        <v>3</v>
      </c>
      <c r="N900" s="15">
        <v>11721717</v>
      </c>
      <c r="O900" s="88" t="s">
        <v>1150</v>
      </c>
      <c r="P900" s="38">
        <v>20401</v>
      </c>
      <c r="Q900" s="38"/>
      <c r="R900" s="38"/>
      <c r="S900" s="38"/>
      <c r="T900" s="38"/>
      <c r="U900" s="17" t="s">
        <v>215</v>
      </c>
      <c r="V900" s="17" t="s">
        <v>915</v>
      </c>
      <c r="W900" s="12">
        <v>41334</v>
      </c>
      <c r="X900" s="12"/>
      <c r="Y900" s="12">
        <v>42735</v>
      </c>
      <c r="Z900" s="2"/>
      <c r="AA900" s="2" t="s">
        <v>479</v>
      </c>
      <c r="AB900" s="7" t="s">
        <v>787</v>
      </c>
      <c r="AC900" s="5">
        <v>1000</v>
      </c>
      <c r="AD900" s="5">
        <f>+AC900</f>
        <v>1000</v>
      </c>
      <c r="AE900" s="5">
        <v>1170</v>
      </c>
      <c r="AF900" s="5">
        <f t="shared" si="958"/>
        <v>1310</v>
      </c>
      <c r="AG900" s="5">
        <f t="shared" si="969"/>
        <v>1310</v>
      </c>
      <c r="AH900" s="5">
        <f t="shared" si="969"/>
        <v>1310</v>
      </c>
      <c r="AI900" s="5">
        <f t="shared" ref="AI900:AJ900" si="972">+AH900</f>
        <v>1310</v>
      </c>
      <c r="AJ900" s="5">
        <f t="shared" si="972"/>
        <v>1310</v>
      </c>
      <c r="AK900" s="2"/>
      <c r="AL900" s="106"/>
    </row>
    <row r="901" spans="1:38" ht="15" customHeight="1" x14ac:dyDescent="0.2">
      <c r="A901" s="29" t="s">
        <v>824</v>
      </c>
      <c r="B901" s="2" t="s">
        <v>822</v>
      </c>
      <c r="C901" s="3"/>
      <c r="D901" s="2" t="s">
        <v>825</v>
      </c>
      <c r="E901" s="3" t="s">
        <v>18</v>
      </c>
      <c r="F901" s="2" t="s">
        <v>19</v>
      </c>
      <c r="G901" s="2"/>
      <c r="H901" s="2" t="s">
        <v>35</v>
      </c>
      <c r="I901" s="2" t="s">
        <v>1707</v>
      </c>
      <c r="J901" s="28" t="s">
        <v>548</v>
      </c>
      <c r="K901" s="28" t="s">
        <v>548</v>
      </c>
      <c r="L901" s="44" t="s">
        <v>751</v>
      </c>
      <c r="M901" s="4" t="s">
        <v>3</v>
      </c>
      <c r="N901" s="15">
        <v>37992277</v>
      </c>
      <c r="O901" s="88" t="s">
        <v>1539</v>
      </c>
      <c r="P901" s="38">
        <v>34338</v>
      </c>
      <c r="Q901" s="38"/>
      <c r="R901" s="38"/>
      <c r="S901" s="38"/>
      <c r="T901" s="38"/>
      <c r="U901" s="17" t="s">
        <v>215</v>
      </c>
      <c r="V901" s="17" t="s">
        <v>915</v>
      </c>
      <c r="W901" s="12">
        <v>42139</v>
      </c>
      <c r="X901" s="12"/>
      <c r="Y901" s="12">
        <v>42735</v>
      </c>
      <c r="Z901" s="2"/>
      <c r="AA901" s="2" t="s">
        <v>479</v>
      </c>
      <c r="AB901" s="7" t="s">
        <v>787</v>
      </c>
      <c r="AC901" s="5">
        <v>1000</v>
      </c>
      <c r="AD901" s="5">
        <f>+AC901</f>
        <v>1000</v>
      </c>
      <c r="AE901" s="5">
        <v>1170</v>
      </c>
      <c r="AF901" s="5">
        <f t="shared" si="958"/>
        <v>1310</v>
      </c>
      <c r="AG901" s="5">
        <f t="shared" si="969"/>
        <v>1310</v>
      </c>
      <c r="AH901" s="5">
        <f t="shared" si="969"/>
        <v>1310</v>
      </c>
      <c r="AI901" s="5">
        <f t="shared" ref="AI901:AJ901" si="973">+AH901</f>
        <v>1310</v>
      </c>
      <c r="AJ901" s="5">
        <f t="shared" si="973"/>
        <v>1310</v>
      </c>
      <c r="AK901" s="2"/>
      <c r="AL901" s="106"/>
    </row>
    <row r="902" spans="1:38" ht="15" customHeight="1" x14ac:dyDescent="0.2">
      <c r="A902" s="29" t="s">
        <v>824</v>
      </c>
      <c r="B902" s="2" t="s">
        <v>822</v>
      </c>
      <c r="C902" s="29" t="s">
        <v>823</v>
      </c>
      <c r="D902" s="2" t="s">
        <v>808</v>
      </c>
      <c r="E902" s="2" t="s">
        <v>11</v>
      </c>
      <c r="F902" s="2" t="s">
        <v>218</v>
      </c>
      <c r="G902" s="3"/>
      <c r="H902" s="2"/>
      <c r="I902" s="2" t="s">
        <v>1707</v>
      </c>
      <c r="J902" s="28" t="s">
        <v>73</v>
      </c>
      <c r="K902" s="28" t="s">
        <v>1765</v>
      </c>
      <c r="L902" s="41" t="s">
        <v>848</v>
      </c>
      <c r="M902" s="4" t="s">
        <v>3</v>
      </c>
      <c r="N902" s="15">
        <v>23123972</v>
      </c>
      <c r="O902" s="88" t="s">
        <v>1219</v>
      </c>
      <c r="P902" s="38">
        <v>26656</v>
      </c>
      <c r="Q902" s="38"/>
      <c r="R902" s="38"/>
      <c r="S902" s="38"/>
      <c r="T902" s="38"/>
      <c r="U902" s="17" t="s">
        <v>215</v>
      </c>
      <c r="V902" s="17" t="s">
        <v>915</v>
      </c>
      <c r="W902" s="12">
        <v>42370</v>
      </c>
      <c r="X902" s="48"/>
      <c r="Y902" s="12">
        <v>42735</v>
      </c>
      <c r="Z902" s="2"/>
      <c r="AA902" s="2" t="s">
        <v>479</v>
      </c>
      <c r="AB902" s="3" t="s">
        <v>10</v>
      </c>
      <c r="AC902" s="5">
        <v>1000</v>
      </c>
      <c r="AD902" s="5">
        <f>+AC902*1.07</f>
        <v>1070</v>
      </c>
      <c r="AE902" s="5">
        <v>1170</v>
      </c>
      <c r="AF902" s="5">
        <f t="shared" si="958"/>
        <v>1310</v>
      </c>
      <c r="AG902" s="5">
        <f t="shared" si="969"/>
        <v>1310</v>
      </c>
      <c r="AH902" s="5">
        <f t="shared" si="969"/>
        <v>1310</v>
      </c>
      <c r="AI902" s="5">
        <f t="shared" ref="AI902:AJ902" si="974">+AH902</f>
        <v>1310</v>
      </c>
      <c r="AJ902" s="5">
        <f t="shared" si="974"/>
        <v>1310</v>
      </c>
      <c r="AK902" s="2" t="s">
        <v>43</v>
      </c>
      <c r="AL902" s="105" t="str">
        <f>+AK902</f>
        <v>A0</v>
      </c>
    </row>
    <row r="903" spans="1:38" ht="15" customHeight="1" x14ac:dyDescent="0.2">
      <c r="A903" s="29" t="s">
        <v>824</v>
      </c>
      <c r="B903" s="2" t="s">
        <v>822</v>
      </c>
      <c r="C903" s="3"/>
      <c r="D903" s="2" t="s">
        <v>825</v>
      </c>
      <c r="E903" s="3" t="s">
        <v>18</v>
      </c>
      <c r="F903" s="2" t="s">
        <v>19</v>
      </c>
      <c r="G903" s="2"/>
      <c r="H903" s="2" t="s">
        <v>37</v>
      </c>
      <c r="I903" s="2" t="s">
        <v>1761</v>
      </c>
      <c r="J903" s="28" t="s">
        <v>548</v>
      </c>
      <c r="K903" s="28" t="s">
        <v>548</v>
      </c>
      <c r="L903" s="44" t="s">
        <v>752</v>
      </c>
      <c r="M903" s="4" t="s">
        <v>3</v>
      </c>
      <c r="N903" s="15">
        <v>22809362</v>
      </c>
      <c r="O903" s="88">
        <v>23228093629</v>
      </c>
      <c r="P903" s="38">
        <v>26602</v>
      </c>
      <c r="Q903" s="38"/>
      <c r="R903" s="38"/>
      <c r="S903" s="38"/>
      <c r="T903" s="38"/>
      <c r="U903" s="17" t="s">
        <v>215</v>
      </c>
      <c r="V903" s="17" t="s">
        <v>915</v>
      </c>
      <c r="W903" s="12">
        <v>40787</v>
      </c>
      <c r="X903" s="12"/>
      <c r="Y903" s="12">
        <v>42735</v>
      </c>
      <c r="Z903" s="2"/>
      <c r="AA903" s="2" t="s">
        <v>479</v>
      </c>
      <c r="AB903" s="7" t="s">
        <v>787</v>
      </c>
      <c r="AC903" s="5">
        <v>1000</v>
      </c>
      <c r="AD903" s="5">
        <f>+AC903</f>
        <v>1000</v>
      </c>
      <c r="AE903" s="5">
        <v>1170</v>
      </c>
      <c r="AF903" s="5">
        <f t="shared" si="958"/>
        <v>1310</v>
      </c>
      <c r="AG903" s="5">
        <f t="shared" si="969"/>
        <v>1310</v>
      </c>
      <c r="AH903" s="5">
        <f t="shared" si="969"/>
        <v>1310</v>
      </c>
      <c r="AI903" s="5">
        <f t="shared" ref="AI903:AJ903" si="975">+AH903</f>
        <v>1310</v>
      </c>
      <c r="AJ903" s="5">
        <f t="shared" si="975"/>
        <v>1310</v>
      </c>
      <c r="AK903" s="29"/>
      <c r="AL903" s="8"/>
    </row>
    <row r="904" spans="1:38" ht="15" customHeight="1" x14ac:dyDescent="0.2">
      <c r="A904" s="29" t="s">
        <v>824</v>
      </c>
      <c r="B904" s="29" t="s">
        <v>822</v>
      </c>
      <c r="C904" s="29" t="s">
        <v>823</v>
      </c>
      <c r="D904" s="2" t="s">
        <v>800</v>
      </c>
      <c r="E904" s="2" t="s">
        <v>487</v>
      </c>
      <c r="F904" s="2"/>
      <c r="G904" s="2"/>
      <c r="H904" s="2" t="s">
        <v>1711</v>
      </c>
      <c r="I904" s="3" t="s">
        <v>1731</v>
      </c>
      <c r="J904" s="28" t="s">
        <v>254</v>
      </c>
      <c r="K904" s="28" t="s">
        <v>1767</v>
      </c>
      <c r="L904" s="42" t="s">
        <v>327</v>
      </c>
      <c r="M904" s="4" t="s">
        <v>3</v>
      </c>
      <c r="N904" s="15">
        <v>38353774</v>
      </c>
      <c r="O904" s="88" t="s">
        <v>1542</v>
      </c>
      <c r="P904" s="38">
        <v>34639</v>
      </c>
      <c r="Q904" s="38"/>
      <c r="R904" s="38"/>
      <c r="S904" s="38"/>
      <c r="T904" s="38"/>
      <c r="U904" s="17" t="s">
        <v>215</v>
      </c>
      <c r="V904" s="17" t="s">
        <v>915</v>
      </c>
      <c r="W904" s="12">
        <v>41730</v>
      </c>
      <c r="X904" s="20"/>
      <c r="Y904" s="12">
        <v>42735</v>
      </c>
      <c r="Z904" s="2"/>
      <c r="AA904" s="2" t="s">
        <v>479</v>
      </c>
      <c r="AB904" s="24" t="s">
        <v>479</v>
      </c>
      <c r="AC904" s="5">
        <v>1000</v>
      </c>
      <c r="AD904" s="5">
        <v>1070</v>
      </c>
      <c r="AE904" s="5">
        <v>1170</v>
      </c>
      <c r="AF904" s="5">
        <f t="shared" si="958"/>
        <v>1310</v>
      </c>
      <c r="AG904" s="5">
        <f t="shared" si="969"/>
        <v>1310</v>
      </c>
      <c r="AH904" s="5">
        <f t="shared" si="969"/>
        <v>1310</v>
      </c>
      <c r="AI904" s="5">
        <f t="shared" ref="AI904:AJ904" si="976">+AH904</f>
        <v>1310</v>
      </c>
      <c r="AJ904" s="5">
        <f t="shared" si="976"/>
        <v>1310</v>
      </c>
      <c r="AK904" s="29" t="s">
        <v>42</v>
      </c>
      <c r="AL904" s="105" t="str">
        <f>+AK904</f>
        <v>C0</v>
      </c>
    </row>
    <row r="905" spans="1:38" ht="15" customHeight="1" x14ac:dyDescent="0.2">
      <c r="A905" s="29" t="s">
        <v>824</v>
      </c>
      <c r="B905" s="29" t="s">
        <v>822</v>
      </c>
      <c r="C905" s="29" t="s">
        <v>823</v>
      </c>
      <c r="D905" s="2" t="s">
        <v>800</v>
      </c>
      <c r="E905" s="2" t="s">
        <v>489</v>
      </c>
      <c r="F905" s="2"/>
      <c r="G905" s="2"/>
      <c r="H905" s="2"/>
      <c r="I905" s="3"/>
      <c r="J905" s="28" t="s">
        <v>254</v>
      </c>
      <c r="K905" s="28"/>
      <c r="L905" s="42" t="s">
        <v>349</v>
      </c>
      <c r="M905" s="4" t="s">
        <v>3</v>
      </c>
      <c r="N905" s="15">
        <v>34263994</v>
      </c>
      <c r="O905" s="88">
        <v>27342639947</v>
      </c>
      <c r="P905" s="38"/>
      <c r="Q905" s="38"/>
      <c r="R905" s="38"/>
      <c r="S905" s="38"/>
      <c r="T905" s="38"/>
      <c r="U905" s="16" t="s">
        <v>796</v>
      </c>
      <c r="V905" s="16" t="s">
        <v>916</v>
      </c>
      <c r="W905" s="12">
        <v>40878</v>
      </c>
      <c r="X905" s="48">
        <v>42735</v>
      </c>
      <c r="Y905" s="12">
        <v>42735</v>
      </c>
      <c r="Z905" s="2" t="s">
        <v>49</v>
      </c>
      <c r="AA905" s="2"/>
      <c r="AB905" s="18"/>
      <c r="AC905" s="5">
        <v>1000</v>
      </c>
      <c r="AD905" s="5"/>
      <c r="AE905" s="5">
        <v>1170</v>
      </c>
      <c r="AF905" s="5">
        <f t="shared" si="958"/>
        <v>1310</v>
      </c>
      <c r="AG905" s="5">
        <f t="shared" si="969"/>
        <v>1310</v>
      </c>
      <c r="AH905" s="5">
        <f t="shared" si="969"/>
        <v>1310</v>
      </c>
      <c r="AI905" s="5">
        <f t="shared" ref="AI905:AJ905" si="977">+AH905</f>
        <v>1310</v>
      </c>
      <c r="AJ905" s="5">
        <f t="shared" si="977"/>
        <v>1310</v>
      </c>
      <c r="AK905" s="29"/>
      <c r="AL905" s="105" t="str">
        <f>+Z905</f>
        <v>D1</v>
      </c>
    </row>
    <row r="906" spans="1:38" ht="15" customHeight="1" x14ac:dyDescent="0.2">
      <c r="A906" s="29" t="s">
        <v>824</v>
      </c>
      <c r="B906" s="29"/>
      <c r="C906" s="29"/>
      <c r="D906" s="2" t="s">
        <v>820</v>
      </c>
      <c r="E906" s="2" t="s">
        <v>817</v>
      </c>
      <c r="F906" s="3"/>
      <c r="G906" s="3"/>
      <c r="H906" s="2" t="s">
        <v>221</v>
      </c>
      <c r="I906" s="2" t="s">
        <v>1707</v>
      </c>
      <c r="J906" s="28" t="s">
        <v>73</v>
      </c>
      <c r="K906" s="28" t="s">
        <v>1765</v>
      </c>
      <c r="L906" s="45" t="s">
        <v>1844</v>
      </c>
      <c r="M906" s="4" t="s">
        <v>3</v>
      </c>
      <c r="N906" s="15">
        <v>34888306</v>
      </c>
      <c r="O906" s="88">
        <v>27348883068</v>
      </c>
      <c r="P906" s="38">
        <v>32824</v>
      </c>
      <c r="Q906" s="38"/>
      <c r="R906" s="38"/>
      <c r="S906" s="38"/>
      <c r="T906" s="38"/>
      <c r="U906" s="17" t="s">
        <v>215</v>
      </c>
      <c r="V906" s="16" t="s">
        <v>915</v>
      </c>
      <c r="W906" s="12">
        <v>42583</v>
      </c>
      <c r="X906" s="48"/>
      <c r="Y906" s="12">
        <v>42735</v>
      </c>
      <c r="Z906" s="2"/>
      <c r="AA906" s="2" t="s">
        <v>479</v>
      </c>
      <c r="AB906" s="14"/>
      <c r="AC906" s="5"/>
      <c r="AD906" s="5"/>
      <c r="AE906" s="5"/>
      <c r="AF906" s="5">
        <f t="shared" si="958"/>
        <v>0</v>
      </c>
      <c r="AG906" s="5">
        <f t="shared" si="969"/>
        <v>0</v>
      </c>
      <c r="AH906" s="5">
        <f t="shared" si="969"/>
        <v>0</v>
      </c>
      <c r="AI906" s="5">
        <f t="shared" ref="AI906:AJ906" si="978">+AH906</f>
        <v>0</v>
      </c>
      <c r="AJ906" s="5">
        <f t="shared" si="978"/>
        <v>0</v>
      </c>
      <c r="AK906" s="2" t="s">
        <v>53</v>
      </c>
      <c r="AL906" s="105" t="str">
        <f>+AK906</f>
        <v>B0</v>
      </c>
    </row>
    <row r="907" spans="1:38" ht="15" customHeight="1" x14ac:dyDescent="0.2">
      <c r="A907" s="29" t="s">
        <v>824</v>
      </c>
      <c r="B907" s="29" t="s">
        <v>822</v>
      </c>
      <c r="C907" s="29"/>
      <c r="D907" s="2" t="s">
        <v>928</v>
      </c>
      <c r="E907" s="2" t="s">
        <v>11</v>
      </c>
      <c r="F907" s="2"/>
      <c r="G907" s="2"/>
      <c r="H907" s="2"/>
      <c r="I907" s="3"/>
      <c r="J907" s="28" t="s">
        <v>73</v>
      </c>
      <c r="K907" s="28" t="s">
        <v>1765</v>
      </c>
      <c r="L907" s="42" t="s">
        <v>300</v>
      </c>
      <c r="M907" s="4" t="s">
        <v>3</v>
      </c>
      <c r="N907" s="15">
        <v>31722364</v>
      </c>
      <c r="O907" s="88">
        <v>20317223642</v>
      </c>
      <c r="P907" s="61"/>
      <c r="Q907" s="61"/>
      <c r="R907" s="61"/>
      <c r="S907" s="61"/>
      <c r="T907" s="61"/>
      <c r="U907" s="16" t="s">
        <v>796</v>
      </c>
      <c r="V907" s="16" t="s">
        <v>916</v>
      </c>
      <c r="W907" s="12">
        <v>41091</v>
      </c>
      <c r="X907" s="48">
        <v>42735</v>
      </c>
      <c r="Y907" s="12">
        <v>42735</v>
      </c>
      <c r="Z907" s="2" t="s">
        <v>42</v>
      </c>
      <c r="AA907" s="2"/>
      <c r="AB907" s="18"/>
      <c r="AC907" s="5">
        <v>1000</v>
      </c>
      <c r="AD907" s="5"/>
      <c r="AE907" s="5">
        <v>1170</v>
      </c>
      <c r="AF907" s="5">
        <f t="shared" si="958"/>
        <v>1310</v>
      </c>
      <c r="AG907" s="5">
        <f t="shared" si="969"/>
        <v>1310</v>
      </c>
      <c r="AH907" s="5">
        <f t="shared" si="969"/>
        <v>1310</v>
      </c>
      <c r="AI907" s="5">
        <f t="shared" ref="AI907:AJ907" si="979">+AH907</f>
        <v>1310</v>
      </c>
      <c r="AJ907" s="5">
        <f t="shared" si="979"/>
        <v>1310</v>
      </c>
      <c r="AK907" s="29"/>
      <c r="AL907" s="105" t="str">
        <f>+Z907</f>
        <v>C0</v>
      </c>
    </row>
    <row r="908" spans="1:38" ht="15" customHeight="1" x14ac:dyDescent="0.2">
      <c r="A908" s="29" t="s">
        <v>824</v>
      </c>
      <c r="B908" s="29" t="s">
        <v>822</v>
      </c>
      <c r="C908" s="29" t="s">
        <v>823</v>
      </c>
      <c r="D908" s="2" t="s">
        <v>800</v>
      </c>
      <c r="E908" s="7" t="s">
        <v>497</v>
      </c>
      <c r="F908" s="7"/>
      <c r="G908" s="7"/>
      <c r="H908" s="8"/>
      <c r="I908" s="3" t="s">
        <v>1714</v>
      </c>
      <c r="J908" s="28" t="s">
        <v>254</v>
      </c>
      <c r="K908" s="28" t="s">
        <v>1767</v>
      </c>
      <c r="L908" s="42" t="s">
        <v>398</v>
      </c>
      <c r="M908" s="4" t="s">
        <v>3</v>
      </c>
      <c r="N908" s="15">
        <v>30160785</v>
      </c>
      <c r="O908" s="88" t="s">
        <v>1362</v>
      </c>
      <c r="P908" s="38">
        <v>30455</v>
      </c>
      <c r="Q908" s="38"/>
      <c r="R908" s="38"/>
      <c r="S908" s="38"/>
      <c r="T908" s="38"/>
      <c r="U908" s="17" t="s">
        <v>215</v>
      </c>
      <c r="V908" s="17" t="s">
        <v>915</v>
      </c>
      <c r="W908" s="12">
        <v>40725</v>
      </c>
      <c r="X908" s="20"/>
      <c r="Y908" s="12">
        <v>42735</v>
      </c>
      <c r="Z908" s="2"/>
      <c r="AA908" s="2" t="s">
        <v>479</v>
      </c>
      <c r="AB908" s="24" t="s">
        <v>479</v>
      </c>
      <c r="AC908" s="5">
        <v>1000</v>
      </c>
      <c r="AD908" s="5">
        <v>1070</v>
      </c>
      <c r="AE908" s="5">
        <v>1170</v>
      </c>
      <c r="AF908" s="5">
        <f t="shared" si="958"/>
        <v>1310</v>
      </c>
      <c r="AG908" s="5">
        <f t="shared" si="969"/>
        <v>1310</v>
      </c>
      <c r="AH908" s="5">
        <f t="shared" si="969"/>
        <v>1310</v>
      </c>
      <c r="AI908" s="5">
        <f t="shared" ref="AI908:AJ908" si="980">+AH908</f>
        <v>1310</v>
      </c>
      <c r="AJ908" s="5">
        <f t="shared" si="980"/>
        <v>1310</v>
      </c>
      <c r="AK908" s="29" t="s">
        <v>42</v>
      </c>
      <c r="AL908" s="105" t="str">
        <f>+AK908</f>
        <v>C0</v>
      </c>
    </row>
    <row r="909" spans="1:38" ht="15" customHeight="1" x14ac:dyDescent="0.2">
      <c r="A909" s="29" t="s">
        <v>824</v>
      </c>
      <c r="B909" s="29" t="s">
        <v>822</v>
      </c>
      <c r="C909" s="29" t="s">
        <v>823</v>
      </c>
      <c r="D909" s="2" t="s">
        <v>800</v>
      </c>
      <c r="E909" s="2" t="s">
        <v>490</v>
      </c>
      <c r="F909" s="2"/>
      <c r="G909" s="2"/>
      <c r="H909" s="2"/>
      <c r="I909" s="3"/>
      <c r="J909" s="28" t="s">
        <v>254</v>
      </c>
      <c r="K909" s="28"/>
      <c r="L909" s="42" t="s">
        <v>338</v>
      </c>
      <c r="M909" s="4" t="s">
        <v>3</v>
      </c>
      <c r="N909" s="15">
        <v>20979830</v>
      </c>
      <c r="O909" s="88">
        <v>20209798302</v>
      </c>
      <c r="P909" s="38"/>
      <c r="Q909" s="38"/>
      <c r="R909" s="38"/>
      <c r="S909" s="38"/>
      <c r="T909" s="38"/>
      <c r="U909" s="16" t="s">
        <v>796</v>
      </c>
      <c r="V909" s="16" t="s">
        <v>916</v>
      </c>
      <c r="W909" s="12">
        <v>40756</v>
      </c>
      <c r="X909" s="48">
        <v>42735</v>
      </c>
      <c r="Y909" s="12">
        <v>42735</v>
      </c>
      <c r="Z909" s="2" t="s">
        <v>42</v>
      </c>
      <c r="AA909" s="2"/>
      <c r="AB909" s="18"/>
      <c r="AC909" s="5">
        <v>1000</v>
      </c>
      <c r="AD909" s="5"/>
      <c r="AE909" s="5">
        <v>1170</v>
      </c>
      <c r="AF909" s="5">
        <f t="shared" si="958"/>
        <v>1310</v>
      </c>
      <c r="AG909" s="5">
        <f t="shared" si="969"/>
        <v>1310</v>
      </c>
      <c r="AH909" s="5">
        <f t="shared" si="969"/>
        <v>1310</v>
      </c>
      <c r="AI909" s="5">
        <f t="shared" ref="AI909:AJ909" si="981">+AH909</f>
        <v>1310</v>
      </c>
      <c r="AJ909" s="5">
        <f t="shared" si="981"/>
        <v>1310</v>
      </c>
      <c r="AK909" s="29"/>
      <c r="AL909" s="105" t="str">
        <f>+Z909</f>
        <v>C0</v>
      </c>
    </row>
    <row r="910" spans="1:38" ht="15" customHeight="1" x14ac:dyDescent="0.2">
      <c r="A910" s="29" t="s">
        <v>824</v>
      </c>
      <c r="B910" s="29" t="s">
        <v>822</v>
      </c>
      <c r="C910" s="29" t="s">
        <v>823</v>
      </c>
      <c r="D910" s="2" t="s">
        <v>800</v>
      </c>
      <c r="E910" s="7" t="s">
        <v>497</v>
      </c>
      <c r="F910" s="7"/>
      <c r="G910" s="7"/>
      <c r="H910" s="8"/>
      <c r="I910" s="3" t="s">
        <v>1714</v>
      </c>
      <c r="J910" s="28" t="s">
        <v>254</v>
      </c>
      <c r="K910" s="28" t="s">
        <v>1767</v>
      </c>
      <c r="L910" s="42" t="s">
        <v>399</v>
      </c>
      <c r="M910" s="4" t="s">
        <v>3</v>
      </c>
      <c r="N910" s="15">
        <v>36179996</v>
      </c>
      <c r="O910" s="88" t="s">
        <v>1509</v>
      </c>
      <c r="P910" s="38">
        <v>34099</v>
      </c>
      <c r="Q910" s="38"/>
      <c r="R910" s="38"/>
      <c r="S910" s="38"/>
      <c r="T910" s="38"/>
      <c r="U910" s="17" t="s">
        <v>215</v>
      </c>
      <c r="V910" s="17" t="s">
        <v>915</v>
      </c>
      <c r="W910" s="12">
        <v>41730</v>
      </c>
      <c r="X910" s="20"/>
      <c r="Y910" s="12">
        <v>42735</v>
      </c>
      <c r="Z910" s="2"/>
      <c r="AA910" s="2" t="s">
        <v>479</v>
      </c>
      <c r="AB910" s="24" t="s">
        <v>479</v>
      </c>
      <c r="AC910" s="5">
        <v>1000</v>
      </c>
      <c r="AD910" s="5">
        <v>1070</v>
      </c>
      <c r="AE910" s="5">
        <v>1170</v>
      </c>
      <c r="AF910" s="5">
        <f t="shared" si="958"/>
        <v>1310</v>
      </c>
      <c r="AG910" s="5">
        <f t="shared" si="969"/>
        <v>1310</v>
      </c>
      <c r="AH910" s="5">
        <f t="shared" si="969"/>
        <v>1310</v>
      </c>
      <c r="AI910" s="5">
        <f t="shared" ref="AI910:AJ910" si="982">+AH910</f>
        <v>1310</v>
      </c>
      <c r="AJ910" s="5">
        <f t="shared" si="982"/>
        <v>1310</v>
      </c>
      <c r="AK910" s="29" t="s">
        <v>42</v>
      </c>
      <c r="AL910" s="105" t="str">
        <f>+AK910</f>
        <v>C0</v>
      </c>
    </row>
    <row r="911" spans="1:38" ht="15" customHeight="1" x14ac:dyDescent="0.2">
      <c r="A911" s="29" t="s">
        <v>824</v>
      </c>
      <c r="B911" s="29" t="s">
        <v>822</v>
      </c>
      <c r="C911" s="29" t="s">
        <v>823</v>
      </c>
      <c r="D911" s="2" t="s">
        <v>808</v>
      </c>
      <c r="E911" s="2" t="s">
        <v>909</v>
      </c>
      <c r="F911" s="2" t="s">
        <v>811</v>
      </c>
      <c r="G911" s="3" t="s">
        <v>519</v>
      </c>
      <c r="H911" s="2" t="s">
        <v>226</v>
      </c>
      <c r="I911" s="2" t="s">
        <v>811</v>
      </c>
      <c r="J911" s="28" t="s">
        <v>73</v>
      </c>
      <c r="K911" s="28" t="s">
        <v>1765</v>
      </c>
      <c r="L911" s="43" t="s">
        <v>196</v>
      </c>
      <c r="M911" s="4" t="s">
        <v>3</v>
      </c>
      <c r="N911" s="15">
        <v>32604554</v>
      </c>
      <c r="O911" s="88" t="s">
        <v>1426</v>
      </c>
      <c r="P911" s="38">
        <v>31643</v>
      </c>
      <c r="Q911" s="38"/>
      <c r="R911" s="38"/>
      <c r="S911" s="38"/>
      <c r="T911" s="38"/>
      <c r="U911" s="17" t="s">
        <v>215</v>
      </c>
      <c r="V911" s="17" t="s">
        <v>915</v>
      </c>
      <c r="W911" s="12">
        <v>42112</v>
      </c>
      <c r="X911" s="37"/>
      <c r="Y911" s="12">
        <v>42735</v>
      </c>
      <c r="Z911" s="2"/>
      <c r="AA911" s="2" t="s">
        <v>479</v>
      </c>
      <c r="AB911" s="7" t="s">
        <v>784</v>
      </c>
      <c r="AC911" s="5">
        <v>1000</v>
      </c>
      <c r="AD911" s="5">
        <f>+AC911*1.07</f>
        <v>1070</v>
      </c>
      <c r="AE911" s="5">
        <v>1170</v>
      </c>
      <c r="AF911" s="5">
        <f t="shared" si="958"/>
        <v>1310</v>
      </c>
      <c r="AG911" s="5">
        <f t="shared" si="969"/>
        <v>1310</v>
      </c>
      <c r="AH911" s="5">
        <f t="shared" si="969"/>
        <v>1310</v>
      </c>
      <c r="AI911" s="5">
        <f t="shared" ref="AI911:AJ911" si="983">+AH911</f>
        <v>1310</v>
      </c>
      <c r="AJ911" s="5">
        <f t="shared" si="983"/>
        <v>1310</v>
      </c>
      <c r="AK911" s="2" t="s">
        <v>53</v>
      </c>
      <c r="AL911" s="105" t="str">
        <f>+AK911</f>
        <v>B0</v>
      </c>
    </row>
    <row r="912" spans="1:38" ht="15" customHeight="1" x14ac:dyDescent="0.2">
      <c r="A912" s="29" t="s">
        <v>824</v>
      </c>
      <c r="B912" s="2" t="s">
        <v>822</v>
      </c>
      <c r="C912" s="3"/>
      <c r="D912" s="2" t="s">
        <v>825</v>
      </c>
      <c r="E912" s="3" t="s">
        <v>18</v>
      </c>
      <c r="F912" s="2" t="s">
        <v>19</v>
      </c>
      <c r="G912" s="2"/>
      <c r="H912" s="2" t="s">
        <v>20</v>
      </c>
      <c r="I912" s="2" t="s">
        <v>1760</v>
      </c>
      <c r="J912" s="28" t="s">
        <v>548</v>
      </c>
      <c r="K912" s="28" t="s">
        <v>548</v>
      </c>
      <c r="L912" s="44" t="s">
        <v>753</v>
      </c>
      <c r="M912" s="4" t="s">
        <v>3</v>
      </c>
      <c r="N912" s="15">
        <v>28969270</v>
      </c>
      <c r="O912" s="88" t="s">
        <v>1342</v>
      </c>
      <c r="P912" s="38">
        <v>29933</v>
      </c>
      <c r="Q912" s="38"/>
      <c r="R912" s="38"/>
      <c r="S912" s="38"/>
      <c r="T912" s="38"/>
      <c r="U912" s="17" t="s">
        <v>215</v>
      </c>
      <c r="V912" s="17" t="s">
        <v>915</v>
      </c>
      <c r="W912" s="12">
        <v>42065</v>
      </c>
      <c r="X912" s="12"/>
      <c r="Y912" s="12">
        <v>42735</v>
      </c>
      <c r="Z912" s="2"/>
      <c r="AA912" s="2" t="s">
        <v>479</v>
      </c>
      <c r="AB912" s="7" t="s">
        <v>787</v>
      </c>
      <c r="AC912" s="5">
        <v>1000</v>
      </c>
      <c r="AD912" s="5">
        <f>+AC912</f>
        <v>1000</v>
      </c>
      <c r="AE912" s="5">
        <v>1170</v>
      </c>
      <c r="AF912" s="5">
        <f t="shared" si="958"/>
        <v>1310</v>
      </c>
      <c r="AG912" s="5">
        <f t="shared" si="969"/>
        <v>1310</v>
      </c>
      <c r="AH912" s="5">
        <f t="shared" si="969"/>
        <v>1310</v>
      </c>
      <c r="AI912" s="5">
        <f t="shared" ref="AI912:AJ912" si="984">+AH912</f>
        <v>1310</v>
      </c>
      <c r="AJ912" s="5">
        <f t="shared" si="984"/>
        <v>1310</v>
      </c>
      <c r="AK912" s="2"/>
      <c r="AL912" s="106"/>
    </row>
    <row r="913" spans="1:38" ht="15" customHeight="1" x14ac:dyDescent="0.2">
      <c r="A913" s="29" t="s">
        <v>824</v>
      </c>
      <c r="B913" s="29" t="s">
        <v>822</v>
      </c>
      <c r="C913" s="29" t="s">
        <v>823</v>
      </c>
      <c r="D913" s="2" t="s">
        <v>808</v>
      </c>
      <c r="E913" s="2" t="s">
        <v>909</v>
      </c>
      <c r="F913" s="2" t="s">
        <v>52</v>
      </c>
      <c r="G913" s="3"/>
      <c r="H913" s="2" t="s">
        <v>250</v>
      </c>
      <c r="I913" s="2" t="s">
        <v>1707</v>
      </c>
      <c r="J913" s="28" t="s">
        <v>73</v>
      </c>
      <c r="K913" s="28" t="s">
        <v>1765</v>
      </c>
      <c r="L913" s="43" t="s">
        <v>197</v>
      </c>
      <c r="M913" s="4" t="s">
        <v>3</v>
      </c>
      <c r="N913" s="15">
        <v>35897637</v>
      </c>
      <c r="O913" s="88">
        <v>23358976379</v>
      </c>
      <c r="P913" s="38">
        <v>33723</v>
      </c>
      <c r="Q913" s="38"/>
      <c r="R913" s="38"/>
      <c r="S913" s="38"/>
      <c r="T913" s="38"/>
      <c r="U913" s="17" t="s">
        <v>215</v>
      </c>
      <c r="V913" s="17" t="s">
        <v>915</v>
      </c>
      <c r="W913" s="12"/>
      <c r="X913" s="37"/>
      <c r="Y913" s="12">
        <v>42735</v>
      </c>
      <c r="Z913" s="2"/>
      <c r="AA913" s="2" t="s">
        <v>479</v>
      </c>
      <c r="AB913" s="7" t="s">
        <v>784</v>
      </c>
      <c r="AC913" s="5">
        <v>1000</v>
      </c>
      <c r="AD913" s="5">
        <f>+AC913*1.07</f>
        <v>1070</v>
      </c>
      <c r="AE913" s="5">
        <v>1170</v>
      </c>
      <c r="AF913" s="5">
        <f t="shared" si="958"/>
        <v>1310</v>
      </c>
      <c r="AG913" s="5">
        <f t="shared" si="969"/>
        <v>1310</v>
      </c>
      <c r="AH913" s="5">
        <f t="shared" si="969"/>
        <v>1310</v>
      </c>
      <c r="AI913" s="5">
        <f t="shared" ref="AI913:AJ913" si="985">+AH913</f>
        <v>1310</v>
      </c>
      <c r="AJ913" s="5">
        <f t="shared" si="985"/>
        <v>1310</v>
      </c>
      <c r="AK913" s="29" t="s">
        <v>42</v>
      </c>
      <c r="AL913" s="105" t="str">
        <f>+AK913</f>
        <v>C0</v>
      </c>
    </row>
    <row r="914" spans="1:38" ht="15" customHeight="1" x14ac:dyDescent="0.2">
      <c r="A914" s="29" t="s">
        <v>824</v>
      </c>
      <c r="B914" s="29"/>
      <c r="C914" s="14"/>
      <c r="D914" s="2" t="s">
        <v>819</v>
      </c>
      <c r="E914" s="2"/>
      <c r="F914" s="3"/>
      <c r="G914" s="3"/>
      <c r="H914" s="2" t="s">
        <v>884</v>
      </c>
      <c r="I914" s="2" t="s">
        <v>1707</v>
      </c>
      <c r="J914" s="28"/>
      <c r="K914" s="28" t="s">
        <v>1765</v>
      </c>
      <c r="L914" s="41" t="s">
        <v>963</v>
      </c>
      <c r="M914" s="4" t="s">
        <v>3</v>
      </c>
      <c r="N914" s="15">
        <v>35161090</v>
      </c>
      <c r="O914" s="88" t="s">
        <v>1487</v>
      </c>
      <c r="P914" s="38">
        <v>32955</v>
      </c>
      <c r="Q914" s="38"/>
      <c r="R914" s="38"/>
      <c r="S914" s="38"/>
      <c r="T914" s="38"/>
      <c r="U914" s="17" t="s">
        <v>215</v>
      </c>
      <c r="V914" s="17" t="s">
        <v>915</v>
      </c>
      <c r="W914" s="12">
        <v>42370</v>
      </c>
      <c r="X914" s="48"/>
      <c r="Y914" s="12">
        <v>42735</v>
      </c>
      <c r="Z914" s="2"/>
      <c r="AA914" s="2" t="s">
        <v>479</v>
      </c>
      <c r="AB914" s="3" t="s">
        <v>10</v>
      </c>
      <c r="AC914" s="5">
        <v>1000</v>
      </c>
      <c r="AD914" s="5">
        <f>+AC914*1.07</f>
        <v>1070</v>
      </c>
      <c r="AE914" s="5">
        <v>1170</v>
      </c>
      <c r="AF914" s="5">
        <f t="shared" si="958"/>
        <v>1310</v>
      </c>
      <c r="AG914" s="5">
        <f t="shared" si="969"/>
        <v>1310</v>
      </c>
      <c r="AH914" s="5">
        <f t="shared" si="969"/>
        <v>1310</v>
      </c>
      <c r="AI914" s="5">
        <f t="shared" ref="AI914:AJ914" si="986">+AH914</f>
        <v>1310</v>
      </c>
      <c r="AJ914" s="5">
        <f t="shared" si="986"/>
        <v>1310</v>
      </c>
      <c r="AK914" s="2" t="s">
        <v>53</v>
      </c>
      <c r="AL914" s="105" t="str">
        <f>+AK914</f>
        <v>B0</v>
      </c>
    </row>
    <row r="915" spans="1:38" ht="15" customHeight="1" x14ac:dyDescent="0.2">
      <c r="A915" s="29" t="s">
        <v>824</v>
      </c>
      <c r="B915" s="29" t="s">
        <v>822</v>
      </c>
      <c r="C915" s="29" t="s">
        <v>823</v>
      </c>
      <c r="D915" s="2" t="s">
        <v>800</v>
      </c>
      <c r="E915" s="2" t="s">
        <v>486</v>
      </c>
      <c r="F915" s="2"/>
      <c r="G915" s="2"/>
      <c r="H915" s="2" t="s">
        <v>1710</v>
      </c>
      <c r="I915" s="3" t="s">
        <v>1754</v>
      </c>
      <c r="J915" s="28" t="s">
        <v>254</v>
      </c>
      <c r="K915" s="28"/>
      <c r="L915" s="42" t="s">
        <v>317</v>
      </c>
      <c r="M915" s="4" t="s">
        <v>3</v>
      </c>
      <c r="N915" s="15">
        <v>34154916</v>
      </c>
      <c r="O915" s="88">
        <v>27341549162</v>
      </c>
      <c r="P915" s="38">
        <v>32224</v>
      </c>
      <c r="Q915" s="38"/>
      <c r="R915" s="38"/>
      <c r="S915" s="38"/>
      <c r="T915" s="38"/>
      <c r="U915" s="17" t="s">
        <v>215</v>
      </c>
      <c r="V915" s="17" t="s">
        <v>1698</v>
      </c>
      <c r="W915" s="12"/>
      <c r="X915" s="20"/>
      <c r="Y915" s="12">
        <v>42735</v>
      </c>
      <c r="Z915" s="2"/>
      <c r="AA915" s="2" t="s">
        <v>479</v>
      </c>
      <c r="AB915" s="25" t="s">
        <v>479</v>
      </c>
      <c r="AC915" s="5">
        <v>1000</v>
      </c>
      <c r="AD915" s="5">
        <f>+AC915*1.07</f>
        <v>1070</v>
      </c>
      <c r="AE915" s="5">
        <v>1170</v>
      </c>
      <c r="AF915" s="5">
        <f t="shared" si="958"/>
        <v>1310</v>
      </c>
      <c r="AG915" s="5">
        <f t="shared" si="969"/>
        <v>1310</v>
      </c>
      <c r="AH915" s="5">
        <f t="shared" si="969"/>
        <v>1310</v>
      </c>
      <c r="AI915" s="5">
        <f t="shared" ref="AI915:AJ915" si="987">+AH915</f>
        <v>1310</v>
      </c>
      <c r="AJ915" s="5">
        <f t="shared" si="987"/>
        <v>1310</v>
      </c>
      <c r="AK915" s="29"/>
      <c r="AL915" s="107" t="s">
        <v>1818</v>
      </c>
    </row>
    <row r="916" spans="1:38" ht="15" customHeight="1" x14ac:dyDescent="0.2">
      <c r="A916" s="29" t="s">
        <v>824</v>
      </c>
      <c r="B916" s="29" t="s">
        <v>822</v>
      </c>
      <c r="C916" s="29" t="s">
        <v>823</v>
      </c>
      <c r="D916" s="2" t="s">
        <v>808</v>
      </c>
      <c r="E916" s="2" t="s">
        <v>219</v>
      </c>
      <c r="F916" s="2"/>
      <c r="G916" s="2"/>
      <c r="H916" s="2" t="s">
        <v>223</v>
      </c>
      <c r="I916" s="2" t="s">
        <v>223</v>
      </c>
      <c r="J916" s="28"/>
      <c r="K916" s="28" t="s">
        <v>1765</v>
      </c>
      <c r="L916" s="44" t="s">
        <v>894</v>
      </c>
      <c r="M916" s="7" t="s">
        <v>3</v>
      </c>
      <c r="N916" s="15">
        <v>24270144</v>
      </c>
      <c r="O916" s="88" t="s">
        <v>1241</v>
      </c>
      <c r="P916" s="38">
        <v>27326</v>
      </c>
      <c r="Q916" s="38"/>
      <c r="R916" s="38"/>
      <c r="S916" s="38"/>
      <c r="T916" s="38"/>
      <c r="U916" s="17" t="s">
        <v>215</v>
      </c>
      <c r="V916" s="17" t="s">
        <v>915</v>
      </c>
      <c r="W916" s="12">
        <v>42461</v>
      </c>
      <c r="X916" s="12"/>
      <c r="Y916" s="12">
        <v>42735</v>
      </c>
      <c r="Z916" s="2"/>
      <c r="AA916" s="2" t="s">
        <v>479</v>
      </c>
      <c r="AB916" s="7"/>
      <c r="AC916" s="5">
        <v>1000</v>
      </c>
      <c r="AD916" s="5">
        <f>+AC916*1.07</f>
        <v>1070</v>
      </c>
      <c r="AE916" s="5">
        <v>1170</v>
      </c>
      <c r="AF916" s="5">
        <f t="shared" si="958"/>
        <v>1310</v>
      </c>
      <c r="AG916" s="5">
        <f t="shared" ref="AG916:AH934" si="988">+AF916</f>
        <v>1310</v>
      </c>
      <c r="AH916" s="5">
        <f t="shared" si="988"/>
        <v>1310</v>
      </c>
      <c r="AI916" s="5">
        <f t="shared" ref="AI916:AJ916" si="989">+AH916</f>
        <v>1310</v>
      </c>
      <c r="AJ916" s="5">
        <f t="shared" si="989"/>
        <v>1310</v>
      </c>
      <c r="AK916" s="2" t="s">
        <v>53</v>
      </c>
      <c r="AL916" s="105" t="str">
        <f>+AK916</f>
        <v>B0</v>
      </c>
    </row>
    <row r="917" spans="1:38" ht="15" customHeight="1" x14ac:dyDescent="0.2">
      <c r="A917" s="29" t="s">
        <v>824</v>
      </c>
      <c r="B917" s="29"/>
      <c r="C917" s="29"/>
      <c r="D917" s="2" t="s">
        <v>820</v>
      </c>
      <c r="E917" s="2" t="s">
        <v>921</v>
      </c>
      <c r="F917" s="3" t="s">
        <v>525</v>
      </c>
      <c r="G917" s="3" t="s">
        <v>520</v>
      </c>
      <c r="H917" s="2" t="s">
        <v>234</v>
      </c>
      <c r="I917" s="3"/>
      <c r="J917" s="28" t="s">
        <v>73</v>
      </c>
      <c r="K917" s="28"/>
      <c r="L917" s="45" t="s">
        <v>792</v>
      </c>
      <c r="M917" s="4" t="s">
        <v>3</v>
      </c>
      <c r="N917" s="15">
        <v>26688463</v>
      </c>
      <c r="O917" s="88">
        <v>20266884630</v>
      </c>
      <c r="P917" s="61"/>
      <c r="Q917" s="61"/>
      <c r="R917" s="61"/>
      <c r="S917" s="61"/>
      <c r="T917" s="61"/>
      <c r="U917" s="16" t="s">
        <v>796</v>
      </c>
      <c r="V917" s="16" t="s">
        <v>916</v>
      </c>
      <c r="W917" s="12">
        <v>41974</v>
      </c>
      <c r="X917" s="12">
        <v>42460</v>
      </c>
      <c r="Y917" s="12">
        <v>42735</v>
      </c>
      <c r="Z917" s="2" t="s">
        <v>24</v>
      </c>
      <c r="AA917" s="2"/>
      <c r="AB917" s="7"/>
      <c r="AC917" s="5">
        <v>1000</v>
      </c>
      <c r="AD917" s="5"/>
      <c r="AE917" s="5">
        <v>1170</v>
      </c>
      <c r="AF917" s="5">
        <f t="shared" si="958"/>
        <v>1310</v>
      </c>
      <c r="AG917" s="5">
        <f t="shared" si="988"/>
        <v>1310</v>
      </c>
      <c r="AH917" s="5">
        <f t="shared" si="988"/>
        <v>1310</v>
      </c>
      <c r="AI917" s="5">
        <f t="shared" ref="AI917:AJ917" si="990">+AH917</f>
        <v>1310</v>
      </c>
      <c r="AJ917" s="5">
        <f t="shared" si="990"/>
        <v>1310</v>
      </c>
      <c r="AK917" s="29"/>
      <c r="AL917" s="105" t="str">
        <f>+Z917</f>
        <v>D0</v>
      </c>
    </row>
    <row r="918" spans="1:38" ht="15" customHeight="1" x14ac:dyDescent="0.2">
      <c r="A918" s="29" t="s">
        <v>824</v>
      </c>
      <c r="B918" s="29" t="s">
        <v>822</v>
      </c>
      <c r="C918" s="29" t="s">
        <v>823</v>
      </c>
      <c r="D918" s="2" t="s">
        <v>800</v>
      </c>
      <c r="E918" s="2" t="s">
        <v>489</v>
      </c>
      <c r="F918" s="2"/>
      <c r="G918" s="2"/>
      <c r="H918" s="2"/>
      <c r="I918" s="3"/>
      <c r="J918" s="28" t="s">
        <v>254</v>
      </c>
      <c r="K918" s="28"/>
      <c r="L918" s="42" t="s">
        <v>350</v>
      </c>
      <c r="M918" s="4" t="s">
        <v>3</v>
      </c>
      <c r="N918" s="15">
        <v>20715776</v>
      </c>
      <c r="O918" s="88">
        <v>27207157762</v>
      </c>
      <c r="P918" s="38"/>
      <c r="Q918" s="38"/>
      <c r="R918" s="38"/>
      <c r="S918" s="38"/>
      <c r="T918" s="38"/>
      <c r="U918" s="16" t="s">
        <v>796</v>
      </c>
      <c r="V918" s="16" t="s">
        <v>916</v>
      </c>
      <c r="W918" s="12">
        <v>41213</v>
      </c>
      <c r="X918" s="48">
        <v>42735</v>
      </c>
      <c r="Y918" s="12">
        <v>42735</v>
      </c>
      <c r="Z918" s="2" t="s">
        <v>42</v>
      </c>
      <c r="AA918" s="2"/>
      <c r="AB918" s="18"/>
      <c r="AC918" s="5">
        <v>1000</v>
      </c>
      <c r="AD918" s="5"/>
      <c r="AE918" s="5">
        <v>1170</v>
      </c>
      <c r="AF918" s="5">
        <f t="shared" si="958"/>
        <v>1310</v>
      </c>
      <c r="AG918" s="5">
        <f t="shared" si="988"/>
        <v>1310</v>
      </c>
      <c r="AH918" s="5">
        <f t="shared" si="988"/>
        <v>1310</v>
      </c>
      <c r="AI918" s="5">
        <f t="shared" ref="AI918:AJ918" si="991">+AH918</f>
        <v>1310</v>
      </c>
      <c r="AJ918" s="5">
        <f t="shared" si="991"/>
        <v>1310</v>
      </c>
      <c r="AK918" s="29"/>
      <c r="AL918" s="105" t="str">
        <f>+Z918</f>
        <v>C0</v>
      </c>
    </row>
    <row r="919" spans="1:38" ht="15" customHeight="1" x14ac:dyDescent="0.2">
      <c r="A919" s="29" t="s">
        <v>824</v>
      </c>
      <c r="B919" s="29" t="s">
        <v>822</v>
      </c>
      <c r="C919" s="29" t="s">
        <v>823</v>
      </c>
      <c r="D919" s="2" t="s">
        <v>800</v>
      </c>
      <c r="E919" s="2" t="s">
        <v>489</v>
      </c>
      <c r="F919" s="2"/>
      <c r="G919" s="2"/>
      <c r="H919" s="2"/>
      <c r="I919" s="3" t="s">
        <v>1731</v>
      </c>
      <c r="J919" s="28" t="s">
        <v>254</v>
      </c>
      <c r="K919" s="28" t="s">
        <v>1767</v>
      </c>
      <c r="L919" s="42" t="s">
        <v>371</v>
      </c>
      <c r="M919" s="4" t="s">
        <v>3</v>
      </c>
      <c r="N919" s="15">
        <v>38354730</v>
      </c>
      <c r="O919" s="88" t="s">
        <v>1543</v>
      </c>
      <c r="P919" s="38">
        <v>34536</v>
      </c>
      <c r="Q919" s="38"/>
      <c r="R919" s="38"/>
      <c r="S919" s="38"/>
      <c r="T919" s="38"/>
      <c r="U919" s="17" t="s">
        <v>215</v>
      </c>
      <c r="V919" s="17" t="s">
        <v>915</v>
      </c>
      <c r="W919" s="12">
        <v>41821</v>
      </c>
      <c r="X919" s="20"/>
      <c r="Y919" s="12">
        <v>42735</v>
      </c>
      <c r="Z919" s="2"/>
      <c r="AA919" s="2" t="s">
        <v>479</v>
      </c>
      <c r="AB919" s="24" t="s">
        <v>479</v>
      </c>
      <c r="AC919" s="5">
        <v>1000</v>
      </c>
      <c r="AD919" s="5">
        <v>1070</v>
      </c>
      <c r="AE919" s="5">
        <v>1170</v>
      </c>
      <c r="AF919" s="5">
        <f t="shared" si="958"/>
        <v>1310</v>
      </c>
      <c r="AG919" s="5">
        <f t="shared" si="988"/>
        <v>1310</v>
      </c>
      <c r="AH919" s="5">
        <f t="shared" si="988"/>
        <v>1310</v>
      </c>
      <c r="AI919" s="5">
        <f t="shared" ref="AI919:AJ919" si="992">+AH919</f>
        <v>1310</v>
      </c>
      <c r="AJ919" s="5">
        <f t="shared" si="992"/>
        <v>1310</v>
      </c>
      <c r="AK919" s="29" t="s">
        <v>42</v>
      </c>
      <c r="AL919" s="105" t="str">
        <f>+AK919</f>
        <v>C0</v>
      </c>
    </row>
    <row r="920" spans="1:38" ht="15" customHeight="1" x14ac:dyDescent="0.2">
      <c r="A920" s="29" t="s">
        <v>824</v>
      </c>
      <c r="B920" s="29" t="s">
        <v>822</v>
      </c>
      <c r="C920" s="29" t="s">
        <v>823</v>
      </c>
      <c r="D920" s="2" t="s">
        <v>808</v>
      </c>
      <c r="E920" s="2" t="s">
        <v>503</v>
      </c>
      <c r="F920" s="2" t="s">
        <v>1130</v>
      </c>
      <c r="G920" s="3"/>
      <c r="H920" s="2"/>
      <c r="I920" s="2" t="s">
        <v>1707</v>
      </c>
      <c r="J920" s="28"/>
      <c r="K920" s="28" t="s">
        <v>1765</v>
      </c>
      <c r="L920" s="43" t="s">
        <v>1102</v>
      </c>
      <c r="M920" s="7" t="s">
        <v>3</v>
      </c>
      <c r="N920" s="15">
        <v>12908061</v>
      </c>
      <c r="O920" s="88">
        <v>20129080613</v>
      </c>
      <c r="P920" s="38">
        <v>21430</v>
      </c>
      <c r="Q920" s="38"/>
      <c r="R920" s="38"/>
      <c r="S920" s="38"/>
      <c r="T920" s="38"/>
      <c r="U920" s="17" t="s">
        <v>215</v>
      </c>
      <c r="V920" s="17" t="s">
        <v>915</v>
      </c>
      <c r="W920" s="12">
        <v>42522</v>
      </c>
      <c r="X920" s="37"/>
      <c r="Y920" s="12">
        <v>42735</v>
      </c>
      <c r="Z920" s="2"/>
      <c r="AA920" s="2" t="s">
        <v>479</v>
      </c>
      <c r="AB920" s="14"/>
      <c r="AC920" s="5"/>
      <c r="AD920" s="5">
        <v>1070</v>
      </c>
      <c r="AE920" s="5">
        <v>1170</v>
      </c>
      <c r="AF920" s="5">
        <f t="shared" si="958"/>
        <v>0</v>
      </c>
      <c r="AG920" s="5">
        <f t="shared" si="988"/>
        <v>0</v>
      </c>
      <c r="AH920" s="5">
        <f t="shared" si="988"/>
        <v>0</v>
      </c>
      <c r="AI920" s="5">
        <f t="shared" ref="AI920:AJ920" si="993">+AH920</f>
        <v>0</v>
      </c>
      <c r="AJ920" s="5">
        <f t="shared" si="993"/>
        <v>0</v>
      </c>
      <c r="AK920" s="2" t="s">
        <v>53</v>
      </c>
      <c r="AL920" s="105" t="str">
        <f>+AK920</f>
        <v>B0</v>
      </c>
    </row>
    <row r="921" spans="1:38" ht="15" customHeight="1" x14ac:dyDescent="0.2">
      <c r="A921" s="29" t="s">
        <v>824</v>
      </c>
      <c r="B921" s="2" t="s">
        <v>822</v>
      </c>
      <c r="C921" s="3"/>
      <c r="D921" s="2" t="s">
        <v>825</v>
      </c>
      <c r="E921" s="3" t="s">
        <v>18</v>
      </c>
      <c r="F921" s="2" t="s">
        <v>19</v>
      </c>
      <c r="G921" s="2"/>
      <c r="H921" s="2" t="s">
        <v>37</v>
      </c>
      <c r="I921" s="2" t="s">
        <v>1761</v>
      </c>
      <c r="J921" s="28" t="s">
        <v>548</v>
      </c>
      <c r="K921" s="28" t="s">
        <v>548</v>
      </c>
      <c r="L921" s="44" t="s">
        <v>991</v>
      </c>
      <c r="M921" s="7" t="s">
        <v>3</v>
      </c>
      <c r="N921" s="47">
        <v>31270453</v>
      </c>
      <c r="O921" s="88" t="s">
        <v>1390</v>
      </c>
      <c r="P921" s="38">
        <v>30984</v>
      </c>
      <c r="Q921" s="38"/>
      <c r="R921" s="38"/>
      <c r="S921" s="38"/>
      <c r="T921" s="38"/>
      <c r="U921" s="17" t="s">
        <v>215</v>
      </c>
      <c r="V921" s="17" t="s">
        <v>915</v>
      </c>
      <c r="W921" s="12">
        <v>42095</v>
      </c>
      <c r="X921" s="12"/>
      <c r="Y921" s="12">
        <v>42735</v>
      </c>
      <c r="Z921" s="2"/>
      <c r="AA921" s="2" t="s">
        <v>479</v>
      </c>
      <c r="AB921" s="7"/>
      <c r="AC921" s="5">
        <v>1000</v>
      </c>
      <c r="AD921" s="5">
        <f>+AC921</f>
        <v>1000</v>
      </c>
      <c r="AE921" s="5">
        <v>1170</v>
      </c>
      <c r="AF921" s="5">
        <f t="shared" si="958"/>
        <v>1310</v>
      </c>
      <c r="AG921" s="5">
        <f t="shared" si="988"/>
        <v>1310</v>
      </c>
      <c r="AH921" s="5">
        <f t="shared" si="988"/>
        <v>1310</v>
      </c>
      <c r="AI921" s="5">
        <f t="shared" ref="AI921:AJ921" si="994">+AH921</f>
        <v>1310</v>
      </c>
      <c r="AJ921" s="5">
        <f t="shared" si="994"/>
        <v>1310</v>
      </c>
      <c r="AK921" s="2"/>
      <c r="AL921" s="106"/>
    </row>
    <row r="922" spans="1:38" ht="15" customHeight="1" x14ac:dyDescent="0.2">
      <c r="A922" s="29" t="s">
        <v>824</v>
      </c>
      <c r="B922" s="29" t="s">
        <v>822</v>
      </c>
      <c r="C922" s="29" t="s">
        <v>823</v>
      </c>
      <c r="D922" s="2" t="s">
        <v>808</v>
      </c>
      <c r="E922" s="2" t="s">
        <v>216</v>
      </c>
      <c r="F922" s="3"/>
      <c r="G922" s="3"/>
      <c r="H922" s="2" t="s">
        <v>221</v>
      </c>
      <c r="I922" s="3"/>
      <c r="J922" s="28" t="s">
        <v>73</v>
      </c>
      <c r="K922" s="28"/>
      <c r="L922" s="42" t="s">
        <v>198</v>
      </c>
      <c r="M922" s="4" t="s">
        <v>3</v>
      </c>
      <c r="N922" s="15">
        <v>28013886</v>
      </c>
      <c r="O922" s="88">
        <v>27280138865</v>
      </c>
      <c r="P922" s="38"/>
      <c r="Q922" s="38"/>
      <c r="R922" s="38"/>
      <c r="S922" s="38"/>
      <c r="T922" s="38"/>
      <c r="U922" s="16" t="s">
        <v>796</v>
      </c>
      <c r="V922" s="16" t="s">
        <v>916</v>
      </c>
      <c r="W922" s="12">
        <v>39873</v>
      </c>
      <c r="X922" s="48">
        <v>42735</v>
      </c>
      <c r="Y922" s="12">
        <v>42735</v>
      </c>
      <c r="Z922" s="2" t="s">
        <v>53</v>
      </c>
      <c r="AA922" s="2"/>
      <c r="AB922" s="14"/>
      <c r="AC922" s="5">
        <v>1000</v>
      </c>
      <c r="AD922" s="5"/>
      <c r="AE922" s="5">
        <v>1170</v>
      </c>
      <c r="AF922" s="5">
        <f t="shared" si="958"/>
        <v>1310</v>
      </c>
      <c r="AG922" s="5">
        <f t="shared" si="988"/>
        <v>1310</v>
      </c>
      <c r="AH922" s="5">
        <f t="shared" si="988"/>
        <v>1310</v>
      </c>
      <c r="AI922" s="5">
        <f t="shared" ref="AI922:AJ922" si="995">+AH922</f>
        <v>1310</v>
      </c>
      <c r="AJ922" s="5">
        <f t="shared" si="995"/>
        <v>1310</v>
      </c>
      <c r="AK922" s="29"/>
      <c r="AL922" s="105" t="str">
        <f>+Z922</f>
        <v>B0</v>
      </c>
    </row>
    <row r="923" spans="1:38" ht="15" customHeight="1" x14ac:dyDescent="0.2">
      <c r="A923" s="29" t="s">
        <v>824</v>
      </c>
      <c r="B923" s="29" t="s">
        <v>822</v>
      </c>
      <c r="C923" s="29" t="s">
        <v>823</v>
      </c>
      <c r="D923" s="2" t="s">
        <v>1820</v>
      </c>
      <c r="E923" s="2"/>
      <c r="F923" s="3"/>
      <c r="G923" s="3"/>
      <c r="H923" s="2" t="s">
        <v>884</v>
      </c>
      <c r="I923" s="2" t="s">
        <v>1707</v>
      </c>
      <c r="J923" s="28"/>
      <c r="K923" s="28" t="s">
        <v>1765</v>
      </c>
      <c r="L923" s="42" t="s">
        <v>1113</v>
      </c>
      <c r="M923" s="7" t="s">
        <v>3</v>
      </c>
      <c r="N923" s="15">
        <v>25989420</v>
      </c>
      <c r="O923" s="88">
        <v>20259894205</v>
      </c>
      <c r="P923" s="38">
        <v>28339</v>
      </c>
      <c r="Q923" s="38"/>
      <c r="R923" s="38"/>
      <c r="S923" s="38"/>
      <c r="T923" s="38"/>
      <c r="U923" s="17" t="s">
        <v>215</v>
      </c>
      <c r="V923" s="16" t="s">
        <v>915</v>
      </c>
      <c r="W923" s="12"/>
      <c r="X923" s="48"/>
      <c r="Y923" s="12">
        <v>42735</v>
      </c>
      <c r="Z923" s="2"/>
      <c r="AA923" s="2" t="s">
        <v>479</v>
      </c>
      <c r="AB923" s="14"/>
      <c r="AC923" s="5"/>
      <c r="AD923" s="5"/>
      <c r="AE923" s="5">
        <v>1170</v>
      </c>
      <c r="AF923" s="5">
        <f t="shared" si="958"/>
        <v>0</v>
      </c>
      <c r="AG923" s="5">
        <f t="shared" si="988"/>
        <v>0</v>
      </c>
      <c r="AH923" s="5">
        <f t="shared" si="988"/>
        <v>0</v>
      </c>
      <c r="AI923" s="5">
        <f t="shared" ref="AI923:AJ923" si="996">+AH923</f>
        <v>0</v>
      </c>
      <c r="AJ923" s="5">
        <f t="shared" si="996"/>
        <v>0</v>
      </c>
      <c r="AK923" s="29" t="s">
        <v>42</v>
      </c>
      <c r="AL923" s="105" t="str">
        <f>+AK923</f>
        <v>C0</v>
      </c>
    </row>
    <row r="924" spans="1:38" ht="15" customHeight="1" x14ac:dyDescent="0.2">
      <c r="A924" s="29" t="s">
        <v>824</v>
      </c>
      <c r="B924" s="29" t="s">
        <v>822</v>
      </c>
      <c r="C924" s="29" t="s">
        <v>823</v>
      </c>
      <c r="D924" s="2" t="s">
        <v>808</v>
      </c>
      <c r="E924" s="2" t="s">
        <v>517</v>
      </c>
      <c r="F924" s="2"/>
      <c r="G924" s="2"/>
      <c r="H924" s="2"/>
      <c r="I924" s="3"/>
      <c r="J924" s="28" t="s">
        <v>73</v>
      </c>
      <c r="K924" s="28" t="s">
        <v>1765</v>
      </c>
      <c r="L924" s="42" t="s">
        <v>301</v>
      </c>
      <c r="M924" s="4" t="s">
        <v>3</v>
      </c>
      <c r="N924" s="15">
        <v>28076813</v>
      </c>
      <c r="O924" s="88">
        <v>27280768133</v>
      </c>
      <c r="P924" s="38"/>
      <c r="Q924" s="38"/>
      <c r="R924" s="38"/>
      <c r="S924" s="38"/>
      <c r="T924" s="38"/>
      <c r="U924" s="16" t="s">
        <v>796</v>
      </c>
      <c r="V924" s="16" t="s">
        <v>916</v>
      </c>
      <c r="W924" s="12">
        <v>40725</v>
      </c>
      <c r="X924" s="48">
        <v>42735</v>
      </c>
      <c r="Y924" s="12">
        <v>42735</v>
      </c>
      <c r="Z924" s="2" t="s">
        <v>42</v>
      </c>
      <c r="AA924" s="2"/>
      <c r="AB924" s="18"/>
      <c r="AC924" s="5">
        <v>1000</v>
      </c>
      <c r="AD924" s="5"/>
      <c r="AE924" s="5">
        <v>1170</v>
      </c>
      <c r="AF924" s="5">
        <f t="shared" si="958"/>
        <v>1310</v>
      </c>
      <c r="AG924" s="5">
        <f t="shared" si="988"/>
        <v>1310</v>
      </c>
      <c r="AH924" s="5">
        <f t="shared" si="988"/>
        <v>1310</v>
      </c>
      <c r="AI924" s="5">
        <f t="shared" ref="AI924:AJ924" si="997">+AH924</f>
        <v>1310</v>
      </c>
      <c r="AJ924" s="5">
        <f t="shared" si="997"/>
        <v>1310</v>
      </c>
      <c r="AK924" s="29"/>
      <c r="AL924" s="105" t="str">
        <f>+Z924</f>
        <v>C0</v>
      </c>
    </row>
    <row r="925" spans="1:38" ht="15" customHeight="1" x14ac:dyDescent="0.2">
      <c r="A925" s="29" t="s">
        <v>824</v>
      </c>
      <c r="B925" s="29" t="s">
        <v>822</v>
      </c>
      <c r="C925" s="29" t="s">
        <v>823</v>
      </c>
      <c r="D925" s="2" t="s">
        <v>808</v>
      </c>
      <c r="E925" s="2" t="s">
        <v>909</v>
      </c>
      <c r="F925" s="2" t="s">
        <v>812</v>
      </c>
      <c r="G925" s="2"/>
      <c r="H925" s="2"/>
      <c r="I925" s="3"/>
      <c r="J925" s="28"/>
      <c r="K925" s="28"/>
      <c r="L925" s="41" t="s">
        <v>1615</v>
      </c>
      <c r="M925" s="7" t="s">
        <v>3</v>
      </c>
      <c r="N925" s="47">
        <v>26352654</v>
      </c>
      <c r="O925" s="88">
        <v>20263526547</v>
      </c>
      <c r="P925" s="38"/>
      <c r="Q925" s="38"/>
      <c r="R925" s="38"/>
      <c r="S925" s="38"/>
      <c r="T925" s="38"/>
      <c r="U925" s="17" t="s">
        <v>796</v>
      </c>
      <c r="V925" s="17" t="s">
        <v>916</v>
      </c>
      <c r="W925" s="62">
        <v>39479</v>
      </c>
      <c r="X925" s="48">
        <v>42735</v>
      </c>
      <c r="Y925" s="12">
        <v>42735</v>
      </c>
      <c r="Z925" s="2" t="s">
        <v>60</v>
      </c>
      <c r="AA925" s="48"/>
      <c r="AB925" s="2" t="s">
        <v>60</v>
      </c>
      <c r="AC925" s="5"/>
      <c r="AD925" s="5"/>
      <c r="AE925" s="5">
        <v>1170</v>
      </c>
      <c r="AF925" s="5">
        <f t="shared" si="958"/>
        <v>0</v>
      </c>
      <c r="AG925" s="5">
        <f t="shared" si="988"/>
        <v>0</v>
      </c>
      <c r="AH925" s="5">
        <f t="shared" si="988"/>
        <v>0</v>
      </c>
      <c r="AI925" s="5">
        <f t="shared" ref="AI925:AJ925" si="998">+AH925</f>
        <v>0</v>
      </c>
      <c r="AJ925" s="5">
        <f t="shared" si="998"/>
        <v>0</v>
      </c>
      <c r="AK925" s="29"/>
      <c r="AL925" s="105" t="str">
        <f>+Z925</f>
        <v>B2</v>
      </c>
    </row>
    <row r="926" spans="1:38" ht="15" customHeight="1" x14ac:dyDescent="0.2">
      <c r="A926" s="29" t="s">
        <v>824</v>
      </c>
      <c r="B926" s="2" t="s">
        <v>822</v>
      </c>
      <c r="C926" s="3"/>
      <c r="D926" s="2" t="s">
        <v>825</v>
      </c>
      <c r="E926" s="3" t="s">
        <v>18</v>
      </c>
      <c r="F926" s="2" t="s">
        <v>19</v>
      </c>
      <c r="G926" s="2"/>
      <c r="H926" s="2" t="s">
        <v>20</v>
      </c>
      <c r="I926" s="2" t="s">
        <v>1760</v>
      </c>
      <c r="J926" s="28" t="s">
        <v>548</v>
      </c>
      <c r="K926" s="28" t="s">
        <v>548</v>
      </c>
      <c r="L926" s="44" t="s">
        <v>992</v>
      </c>
      <c r="M926" s="7" t="s">
        <v>3</v>
      </c>
      <c r="N926" s="47">
        <v>27419365</v>
      </c>
      <c r="O926" s="88" t="s">
        <v>1314</v>
      </c>
      <c r="P926" s="38">
        <v>29059</v>
      </c>
      <c r="Q926" s="38"/>
      <c r="R926" s="38"/>
      <c r="S926" s="38"/>
      <c r="T926" s="38"/>
      <c r="U926" s="17" t="s">
        <v>215</v>
      </c>
      <c r="V926" s="17" t="s">
        <v>915</v>
      </c>
      <c r="W926" s="12">
        <v>41030</v>
      </c>
      <c r="X926" s="12"/>
      <c r="Y926" s="12">
        <v>42735</v>
      </c>
      <c r="Z926" s="2"/>
      <c r="AA926" s="2" t="s">
        <v>479</v>
      </c>
      <c r="AB926" s="7"/>
      <c r="AC926" s="5">
        <v>1000</v>
      </c>
      <c r="AD926" s="5">
        <f>+AC926</f>
        <v>1000</v>
      </c>
      <c r="AE926" s="5">
        <v>1170</v>
      </c>
      <c r="AF926" s="5">
        <f t="shared" si="958"/>
        <v>1310</v>
      </c>
      <c r="AG926" s="5">
        <f t="shared" si="988"/>
        <v>1310</v>
      </c>
      <c r="AH926" s="5">
        <f t="shared" si="988"/>
        <v>1310</v>
      </c>
      <c r="AI926" s="5">
        <f t="shared" ref="AI926:AJ926" si="999">+AH926</f>
        <v>1310</v>
      </c>
      <c r="AJ926" s="5">
        <f t="shared" si="999"/>
        <v>1310</v>
      </c>
      <c r="AK926" s="2"/>
      <c r="AL926" s="8"/>
    </row>
    <row r="927" spans="1:38" ht="15" customHeight="1" x14ac:dyDescent="0.2">
      <c r="A927" s="29" t="s">
        <v>824</v>
      </c>
      <c r="B927" s="2"/>
      <c r="C927" s="3"/>
      <c r="D927" s="2" t="s">
        <v>820</v>
      </c>
      <c r="E927" s="2" t="s">
        <v>921</v>
      </c>
      <c r="F927" s="2" t="s">
        <v>795</v>
      </c>
      <c r="G927" s="2"/>
      <c r="H927" s="2" t="s">
        <v>31</v>
      </c>
      <c r="I927" s="3"/>
      <c r="J927" s="28" t="s">
        <v>548</v>
      </c>
      <c r="K927" s="28"/>
      <c r="L927" s="41" t="s">
        <v>911</v>
      </c>
      <c r="M927" s="4" t="s">
        <v>3</v>
      </c>
      <c r="N927" s="15">
        <v>22110046</v>
      </c>
      <c r="O927" s="88">
        <v>27221100463</v>
      </c>
      <c r="P927" s="61"/>
      <c r="Q927" s="61"/>
      <c r="R927" s="61"/>
      <c r="S927" s="61"/>
      <c r="T927" s="61"/>
      <c r="U927" s="16" t="s">
        <v>796</v>
      </c>
      <c r="V927" s="16" t="s">
        <v>916</v>
      </c>
      <c r="W927" s="12">
        <v>41609</v>
      </c>
      <c r="X927" s="12">
        <v>42460</v>
      </c>
      <c r="Y927" s="12">
        <v>42735</v>
      </c>
      <c r="Z927" s="2" t="s">
        <v>53</v>
      </c>
      <c r="AA927" s="2"/>
      <c r="AB927" s="3"/>
      <c r="AC927" s="5">
        <v>1000</v>
      </c>
      <c r="AD927" s="5"/>
      <c r="AE927" s="5">
        <v>1170</v>
      </c>
      <c r="AF927" s="5">
        <f t="shared" si="958"/>
        <v>1310</v>
      </c>
      <c r="AG927" s="5">
        <f t="shared" si="988"/>
        <v>1310</v>
      </c>
      <c r="AH927" s="5">
        <f t="shared" si="988"/>
        <v>1310</v>
      </c>
      <c r="AI927" s="5">
        <f t="shared" ref="AI927:AJ927" si="1000">+AH927</f>
        <v>1310</v>
      </c>
      <c r="AJ927" s="5">
        <f t="shared" si="1000"/>
        <v>1310</v>
      </c>
      <c r="AK927" s="29"/>
      <c r="AL927" s="105" t="str">
        <f>+Z927</f>
        <v>B0</v>
      </c>
    </row>
    <row r="928" spans="1:38" ht="15" customHeight="1" x14ac:dyDescent="0.2">
      <c r="A928" s="29" t="s">
        <v>824</v>
      </c>
      <c r="B928" s="29"/>
      <c r="C928" s="14"/>
      <c r="D928" s="2" t="s">
        <v>819</v>
      </c>
      <c r="E928" s="2"/>
      <c r="F928" s="3"/>
      <c r="G928" s="3"/>
      <c r="H928" s="2" t="s">
        <v>884</v>
      </c>
      <c r="I928" s="2" t="s">
        <v>1707</v>
      </c>
      <c r="J928" s="28"/>
      <c r="K928" s="28" t="s">
        <v>1765</v>
      </c>
      <c r="L928" s="41" t="s">
        <v>868</v>
      </c>
      <c r="M928" s="4" t="s">
        <v>3</v>
      </c>
      <c r="N928" s="15">
        <v>6560219</v>
      </c>
      <c r="O928" s="88" t="s">
        <v>1143</v>
      </c>
      <c r="P928" s="38">
        <v>17355</v>
      </c>
      <c r="Q928" s="38"/>
      <c r="R928" s="38"/>
      <c r="S928" s="38"/>
      <c r="T928" s="38"/>
      <c r="U928" s="17" t="s">
        <v>215</v>
      </c>
      <c r="V928" s="17" t="s">
        <v>915</v>
      </c>
      <c r="W928" s="12">
        <v>42370</v>
      </c>
      <c r="X928" s="48"/>
      <c r="Y928" s="12">
        <v>42735</v>
      </c>
      <c r="Z928" s="2"/>
      <c r="AA928" s="2" t="s">
        <v>479</v>
      </c>
      <c r="AB928" s="3" t="s">
        <v>10</v>
      </c>
      <c r="AC928" s="5">
        <v>1000</v>
      </c>
      <c r="AD928" s="5">
        <f>+AC928*1.07</f>
        <v>1070</v>
      </c>
      <c r="AE928" s="5">
        <v>1170</v>
      </c>
      <c r="AF928" s="5">
        <f t="shared" si="958"/>
        <v>1310</v>
      </c>
      <c r="AG928" s="5">
        <f t="shared" si="988"/>
        <v>1310</v>
      </c>
      <c r="AH928" s="5">
        <f t="shared" si="988"/>
        <v>1310</v>
      </c>
      <c r="AI928" s="5">
        <f t="shared" ref="AI928:AJ928" si="1001">+AH928</f>
        <v>1310</v>
      </c>
      <c r="AJ928" s="5">
        <f t="shared" si="1001"/>
        <v>1310</v>
      </c>
      <c r="AK928" s="2" t="s">
        <v>43</v>
      </c>
      <c r="AL928" s="105" t="str">
        <f>+AK928</f>
        <v>A0</v>
      </c>
    </row>
    <row r="929" spans="1:38" ht="15" customHeight="1" x14ac:dyDescent="0.2">
      <c r="A929" s="29" t="s">
        <v>824</v>
      </c>
      <c r="B929" s="29"/>
      <c r="C929" s="14"/>
      <c r="D929" s="2" t="s">
        <v>820</v>
      </c>
      <c r="E929" s="2" t="s">
        <v>921</v>
      </c>
      <c r="F929" s="2" t="s">
        <v>31</v>
      </c>
      <c r="G929" s="3"/>
      <c r="H929" s="2" t="s">
        <v>231</v>
      </c>
      <c r="I929" s="2" t="s">
        <v>1707</v>
      </c>
      <c r="J929" s="28" t="s">
        <v>73</v>
      </c>
      <c r="K929" s="28" t="s">
        <v>1765</v>
      </c>
      <c r="L929" s="45" t="s">
        <v>754</v>
      </c>
      <c r="M929" s="4" t="s">
        <v>3</v>
      </c>
      <c r="N929" s="15">
        <v>36637604</v>
      </c>
      <c r="O929" s="88" t="s">
        <v>1515</v>
      </c>
      <c r="P929" s="38">
        <v>33555</v>
      </c>
      <c r="Q929" s="38"/>
      <c r="R929" s="38"/>
      <c r="S929" s="38"/>
      <c r="T929" s="38"/>
      <c r="U929" s="17" t="s">
        <v>215</v>
      </c>
      <c r="V929" s="17" t="s">
        <v>915</v>
      </c>
      <c r="W929" s="12">
        <v>41944</v>
      </c>
      <c r="X929" s="39"/>
      <c r="Y929" s="12">
        <v>42735</v>
      </c>
      <c r="Z929" s="2"/>
      <c r="AA929" s="2" t="s">
        <v>479</v>
      </c>
      <c r="AB929" s="7" t="s">
        <v>784</v>
      </c>
      <c r="AC929" s="5">
        <v>1000</v>
      </c>
      <c r="AD929" s="5">
        <f>+AC929*1.07</f>
        <v>1070</v>
      </c>
      <c r="AE929" s="5">
        <v>1170</v>
      </c>
      <c r="AF929" s="5">
        <f t="shared" si="958"/>
        <v>1310</v>
      </c>
      <c r="AG929" s="5">
        <f t="shared" si="988"/>
        <v>1310</v>
      </c>
      <c r="AH929" s="5">
        <f t="shared" si="988"/>
        <v>1310</v>
      </c>
      <c r="AI929" s="5">
        <f t="shared" ref="AI929:AJ929" si="1002">+AH929</f>
        <v>1310</v>
      </c>
      <c r="AJ929" s="5">
        <f t="shared" si="1002"/>
        <v>1310</v>
      </c>
      <c r="AK929" s="29" t="s">
        <v>42</v>
      </c>
      <c r="AL929" s="105" t="str">
        <f>+AK929</f>
        <v>C0</v>
      </c>
    </row>
    <row r="930" spans="1:38" ht="15" customHeight="1" x14ac:dyDescent="0.2">
      <c r="A930" s="29" t="s">
        <v>824</v>
      </c>
      <c r="B930" s="2" t="s">
        <v>822</v>
      </c>
      <c r="C930" s="3"/>
      <c r="D930" s="2" t="s">
        <v>825</v>
      </c>
      <c r="E930" s="3" t="s">
        <v>18</v>
      </c>
      <c r="F930" s="2" t="s">
        <v>19</v>
      </c>
      <c r="G930" s="2"/>
      <c r="H930" s="2" t="s">
        <v>35</v>
      </c>
      <c r="I930" s="2" t="s">
        <v>1707</v>
      </c>
      <c r="J930" s="28" t="s">
        <v>548</v>
      </c>
      <c r="K930" s="28" t="s">
        <v>548</v>
      </c>
      <c r="L930" s="44" t="s">
        <v>755</v>
      </c>
      <c r="M930" s="4" t="s">
        <v>3</v>
      </c>
      <c r="N930" s="15">
        <v>24007592</v>
      </c>
      <c r="O930" s="88" t="s">
        <v>1239</v>
      </c>
      <c r="P930" s="38">
        <v>27232</v>
      </c>
      <c r="Q930" s="38"/>
      <c r="R930" s="38"/>
      <c r="S930" s="38"/>
      <c r="T930" s="38"/>
      <c r="U930" s="17" t="s">
        <v>215</v>
      </c>
      <c r="V930" s="17" t="s">
        <v>915</v>
      </c>
      <c r="W930" s="12">
        <v>41061</v>
      </c>
      <c r="X930" s="12"/>
      <c r="Y930" s="12">
        <v>42735</v>
      </c>
      <c r="Z930" s="2"/>
      <c r="AA930" s="2" t="s">
        <v>479</v>
      </c>
      <c r="AB930" s="7" t="s">
        <v>787</v>
      </c>
      <c r="AC930" s="5">
        <v>1000</v>
      </c>
      <c r="AD930" s="5">
        <f>+AC930</f>
        <v>1000</v>
      </c>
      <c r="AE930" s="5">
        <v>1170</v>
      </c>
      <c r="AF930" s="5">
        <f t="shared" si="958"/>
        <v>1310</v>
      </c>
      <c r="AG930" s="5">
        <f t="shared" si="988"/>
        <v>1310</v>
      </c>
      <c r="AH930" s="5">
        <f t="shared" si="988"/>
        <v>1310</v>
      </c>
      <c r="AI930" s="5">
        <f t="shared" ref="AI930:AJ930" si="1003">+AH930</f>
        <v>1310</v>
      </c>
      <c r="AJ930" s="5">
        <f t="shared" si="1003"/>
        <v>1310</v>
      </c>
      <c r="AK930" s="2"/>
      <c r="AL930" s="106"/>
    </row>
    <row r="931" spans="1:38" ht="15" customHeight="1" x14ac:dyDescent="0.2">
      <c r="A931" s="29" t="s">
        <v>824</v>
      </c>
      <c r="B931" s="2"/>
      <c r="C931" s="3"/>
      <c r="D931" s="2" t="s">
        <v>820</v>
      </c>
      <c r="E931" s="2" t="s">
        <v>817</v>
      </c>
      <c r="F931" s="2"/>
      <c r="G931" s="2"/>
      <c r="H931" s="2" t="s">
        <v>27</v>
      </c>
      <c r="I931" s="2" t="s">
        <v>1707</v>
      </c>
      <c r="J931" s="28" t="s">
        <v>73</v>
      </c>
      <c r="K931" s="28" t="s">
        <v>1765</v>
      </c>
      <c r="L931" s="44" t="s">
        <v>756</v>
      </c>
      <c r="M931" s="3" t="s">
        <v>3</v>
      </c>
      <c r="N931" s="15">
        <v>32690517</v>
      </c>
      <c r="O931" s="88" t="s">
        <v>1429</v>
      </c>
      <c r="P931" s="38">
        <v>31685</v>
      </c>
      <c r="Q931" s="38"/>
      <c r="R931" s="38"/>
      <c r="S931" s="38"/>
      <c r="T931" s="38"/>
      <c r="U931" s="17" t="s">
        <v>215</v>
      </c>
      <c r="V931" s="17" t="s">
        <v>915</v>
      </c>
      <c r="W931" s="12">
        <v>41334</v>
      </c>
      <c r="X931" s="13"/>
      <c r="Y931" s="12">
        <v>42735</v>
      </c>
      <c r="Z931" s="2"/>
      <c r="AA931" s="2" t="s">
        <v>479</v>
      </c>
      <c r="AB931" s="7" t="s">
        <v>787</v>
      </c>
      <c r="AC931" s="5">
        <v>1000</v>
      </c>
      <c r="AD931" s="5">
        <f>+AC931*1.07</f>
        <v>1070</v>
      </c>
      <c r="AE931" s="5">
        <v>1170</v>
      </c>
      <c r="AF931" s="5">
        <f t="shared" si="958"/>
        <v>1310</v>
      </c>
      <c r="AG931" s="5">
        <f t="shared" si="988"/>
        <v>1310</v>
      </c>
      <c r="AH931" s="5">
        <f t="shared" si="988"/>
        <v>1310</v>
      </c>
      <c r="AI931" s="5">
        <f t="shared" ref="AI931:AJ931" si="1004">+AH931</f>
        <v>1310</v>
      </c>
      <c r="AJ931" s="5">
        <f t="shared" si="1004"/>
        <v>1310</v>
      </c>
      <c r="AK931" s="29" t="s">
        <v>42</v>
      </c>
      <c r="AL931" s="105" t="str">
        <f>+AK931</f>
        <v>C0</v>
      </c>
    </row>
    <row r="932" spans="1:38" ht="15" customHeight="1" x14ac:dyDescent="0.2">
      <c r="A932" s="29" t="s">
        <v>824</v>
      </c>
      <c r="B932" s="2" t="s">
        <v>822</v>
      </c>
      <c r="C932" s="3"/>
      <c r="D932" s="2" t="s">
        <v>825</v>
      </c>
      <c r="E932" s="3" t="s">
        <v>18</v>
      </c>
      <c r="F932" s="2" t="s">
        <v>19</v>
      </c>
      <c r="G932" s="2"/>
      <c r="H932" s="2" t="s">
        <v>20</v>
      </c>
      <c r="I932" s="2" t="s">
        <v>1760</v>
      </c>
      <c r="J932" s="28" t="s">
        <v>548</v>
      </c>
      <c r="K932" s="28" t="s">
        <v>548</v>
      </c>
      <c r="L932" s="44" t="s">
        <v>757</v>
      </c>
      <c r="M932" s="4" t="s">
        <v>3</v>
      </c>
      <c r="N932" s="15">
        <v>32022652</v>
      </c>
      <c r="O932" s="88" t="s">
        <v>1405</v>
      </c>
      <c r="P932" s="38">
        <v>31442</v>
      </c>
      <c r="Q932" s="38"/>
      <c r="R932" s="38"/>
      <c r="S932" s="38"/>
      <c r="T932" s="38"/>
      <c r="U932" s="17" t="s">
        <v>215</v>
      </c>
      <c r="V932" s="17" t="s">
        <v>915</v>
      </c>
      <c r="W932" s="12">
        <v>42095</v>
      </c>
      <c r="X932" s="12"/>
      <c r="Y932" s="12">
        <v>42735</v>
      </c>
      <c r="Z932" s="2"/>
      <c r="AA932" s="2" t="s">
        <v>479</v>
      </c>
      <c r="AB932" s="7" t="s">
        <v>787</v>
      </c>
      <c r="AC932" s="5">
        <v>1000</v>
      </c>
      <c r="AD932" s="5">
        <f>+AC932</f>
        <v>1000</v>
      </c>
      <c r="AE932" s="5">
        <v>1170</v>
      </c>
      <c r="AF932" s="5">
        <f t="shared" si="958"/>
        <v>1310</v>
      </c>
      <c r="AG932" s="5">
        <f t="shared" si="988"/>
        <v>1310</v>
      </c>
      <c r="AH932" s="5">
        <f t="shared" si="988"/>
        <v>1310</v>
      </c>
      <c r="AI932" s="5">
        <f t="shared" ref="AI932:AJ932" si="1005">+AH932</f>
        <v>1310</v>
      </c>
      <c r="AJ932" s="5">
        <f t="shared" si="1005"/>
        <v>1310</v>
      </c>
      <c r="AK932" s="2"/>
      <c r="AL932" s="106"/>
    </row>
    <row r="933" spans="1:38" ht="15" customHeight="1" x14ac:dyDescent="0.2">
      <c r="A933" s="29" t="s">
        <v>824</v>
      </c>
      <c r="B933" s="29"/>
      <c r="C933" s="14"/>
      <c r="D933" s="2" t="s">
        <v>820</v>
      </c>
      <c r="E933" s="2" t="s">
        <v>63</v>
      </c>
      <c r="F933" s="3"/>
      <c r="G933" s="3"/>
      <c r="H933" s="2" t="s">
        <v>13</v>
      </c>
      <c r="I933" s="2" t="s">
        <v>1707</v>
      </c>
      <c r="J933" s="28"/>
      <c r="K933" s="28" t="s">
        <v>1765</v>
      </c>
      <c r="L933" s="42" t="s">
        <v>1051</v>
      </c>
      <c r="M933" s="7" t="s">
        <v>3</v>
      </c>
      <c r="N933" s="15">
        <v>36990736</v>
      </c>
      <c r="O933" s="88">
        <v>27369907366</v>
      </c>
      <c r="P933" s="38">
        <v>33677</v>
      </c>
      <c r="Q933" s="38"/>
      <c r="R933" s="38"/>
      <c r="S933" s="38"/>
      <c r="T933" s="38"/>
      <c r="U933" s="17" t="s">
        <v>215</v>
      </c>
      <c r="V933" s="16" t="s">
        <v>915</v>
      </c>
      <c r="W933" s="12">
        <v>42492</v>
      </c>
      <c r="X933" s="12"/>
      <c r="Y933" s="12">
        <v>42735</v>
      </c>
      <c r="Z933" s="2"/>
      <c r="AA933" s="2" t="s">
        <v>479</v>
      </c>
      <c r="AB933" s="14"/>
      <c r="AC933" s="5">
        <v>1000</v>
      </c>
      <c r="AD933" s="5">
        <f>+AC933*1.07</f>
        <v>1070</v>
      </c>
      <c r="AE933" s="5">
        <v>1170</v>
      </c>
      <c r="AF933" s="5">
        <f t="shared" si="958"/>
        <v>1310</v>
      </c>
      <c r="AG933" s="5">
        <f t="shared" si="988"/>
        <v>1310</v>
      </c>
      <c r="AH933" s="5">
        <f t="shared" si="988"/>
        <v>1310</v>
      </c>
      <c r="AI933" s="5">
        <f t="shared" ref="AI933:AJ933" si="1006">+AH933</f>
        <v>1310</v>
      </c>
      <c r="AJ933" s="5">
        <f t="shared" si="1006"/>
        <v>1310</v>
      </c>
      <c r="AK933" s="29" t="s">
        <v>42</v>
      </c>
      <c r="AL933" s="105" t="str">
        <f>+AK933</f>
        <v>C0</v>
      </c>
    </row>
    <row r="934" spans="1:38" ht="15" customHeight="1" x14ac:dyDescent="0.2">
      <c r="A934" s="29" t="s">
        <v>824</v>
      </c>
      <c r="B934" s="2" t="s">
        <v>822</v>
      </c>
      <c r="C934" s="3"/>
      <c r="D934" s="2" t="s">
        <v>825</v>
      </c>
      <c r="E934" s="3" t="s">
        <v>18</v>
      </c>
      <c r="F934" s="2" t="s">
        <v>19</v>
      </c>
      <c r="G934" s="2"/>
      <c r="H934" s="2" t="s">
        <v>22</v>
      </c>
      <c r="I934" s="2" t="s">
        <v>1707</v>
      </c>
      <c r="J934" s="28" t="s">
        <v>548</v>
      </c>
      <c r="K934" s="28" t="s">
        <v>548</v>
      </c>
      <c r="L934" s="44" t="s">
        <v>758</v>
      </c>
      <c r="M934" s="4" t="s">
        <v>3</v>
      </c>
      <c r="N934" s="15">
        <v>24270526</v>
      </c>
      <c r="O934" s="88" t="s">
        <v>1242</v>
      </c>
      <c r="P934" s="38">
        <v>27320</v>
      </c>
      <c r="Q934" s="38"/>
      <c r="R934" s="38"/>
      <c r="S934" s="38"/>
      <c r="T934" s="38"/>
      <c r="U934" s="17" t="s">
        <v>215</v>
      </c>
      <c r="V934" s="17" t="s">
        <v>915</v>
      </c>
      <c r="W934" s="12">
        <v>40118</v>
      </c>
      <c r="X934" s="12"/>
      <c r="Y934" s="12">
        <v>42735</v>
      </c>
      <c r="Z934" s="2"/>
      <c r="AA934" s="2" t="s">
        <v>479</v>
      </c>
      <c r="AB934" s="7" t="s">
        <v>787</v>
      </c>
      <c r="AC934" s="5">
        <v>1000</v>
      </c>
      <c r="AD934" s="5">
        <f>+AC934</f>
        <v>1000</v>
      </c>
      <c r="AE934" s="5">
        <v>1170</v>
      </c>
      <c r="AF934" s="5">
        <f t="shared" si="958"/>
        <v>1310</v>
      </c>
      <c r="AG934" s="5">
        <f t="shared" si="988"/>
        <v>1310</v>
      </c>
      <c r="AH934" s="5">
        <f t="shared" si="988"/>
        <v>1310</v>
      </c>
      <c r="AI934" s="5">
        <f t="shared" ref="AI934:AJ934" si="1007">+AH934</f>
        <v>1310</v>
      </c>
      <c r="AJ934" s="5">
        <f t="shared" si="1007"/>
        <v>1310</v>
      </c>
      <c r="AK934" s="2"/>
      <c r="AL934" s="8"/>
    </row>
    <row r="935" spans="1:38" ht="15" customHeight="1" x14ac:dyDescent="0.2">
      <c r="A935" s="29" t="s">
        <v>824</v>
      </c>
      <c r="B935" s="29" t="s">
        <v>822</v>
      </c>
      <c r="C935" s="29" t="s">
        <v>823</v>
      </c>
      <c r="D935" s="2" t="s">
        <v>800</v>
      </c>
      <c r="E935" s="7" t="s">
        <v>497</v>
      </c>
      <c r="F935" s="7"/>
      <c r="G935" s="7"/>
      <c r="H935" s="8"/>
      <c r="I935" s="3" t="s">
        <v>1714</v>
      </c>
      <c r="J935" s="28" t="s">
        <v>254</v>
      </c>
      <c r="K935" s="28" t="s">
        <v>1767</v>
      </c>
      <c r="L935" s="42" t="s">
        <v>400</v>
      </c>
      <c r="M935" s="4" t="s">
        <v>3</v>
      </c>
      <c r="N935" s="15">
        <v>38928395</v>
      </c>
      <c r="O935" s="88" t="s">
        <v>1556</v>
      </c>
      <c r="P935" s="38">
        <v>34842</v>
      </c>
      <c r="Q935" s="38"/>
      <c r="R935" s="38"/>
      <c r="S935" s="38"/>
      <c r="T935" s="38"/>
      <c r="U935" s="17" t="s">
        <v>215</v>
      </c>
      <c r="V935" s="17" t="s">
        <v>915</v>
      </c>
      <c r="W935" s="12">
        <v>41730</v>
      </c>
      <c r="X935" s="20"/>
      <c r="Y935" s="12">
        <v>42735</v>
      </c>
      <c r="Z935" s="2"/>
      <c r="AA935" s="2" t="s">
        <v>479</v>
      </c>
      <c r="AB935" s="24" t="s">
        <v>479</v>
      </c>
      <c r="AC935" s="5">
        <v>1000</v>
      </c>
      <c r="AD935" s="5">
        <v>1070</v>
      </c>
      <c r="AE935" s="5">
        <v>1170</v>
      </c>
      <c r="AF935" s="5">
        <f t="shared" si="958"/>
        <v>1310</v>
      </c>
      <c r="AG935" s="5">
        <f t="shared" ref="AG935:AH954" si="1008">+AF935</f>
        <v>1310</v>
      </c>
      <c r="AH935" s="5">
        <f t="shared" si="1008"/>
        <v>1310</v>
      </c>
      <c r="AI935" s="5">
        <f t="shared" ref="AI935:AJ935" si="1009">+AH935</f>
        <v>1310</v>
      </c>
      <c r="AJ935" s="5">
        <f t="shared" si="1009"/>
        <v>1310</v>
      </c>
      <c r="AK935" s="29" t="s">
        <v>42</v>
      </c>
      <c r="AL935" s="105" t="str">
        <f>+AK935</f>
        <v>C0</v>
      </c>
    </row>
    <row r="936" spans="1:38" ht="15" customHeight="1" x14ac:dyDescent="0.2">
      <c r="A936" s="29" t="s">
        <v>824</v>
      </c>
      <c r="B936" s="29" t="s">
        <v>822</v>
      </c>
      <c r="C936" s="29" t="s">
        <v>823</v>
      </c>
      <c r="D936" s="2" t="s">
        <v>808</v>
      </c>
      <c r="E936" s="2" t="s">
        <v>909</v>
      </c>
      <c r="F936" s="2" t="s">
        <v>52</v>
      </c>
      <c r="G936" s="3"/>
      <c r="H936" s="2" t="s">
        <v>251</v>
      </c>
      <c r="I936" s="2" t="s">
        <v>1707</v>
      </c>
      <c r="J936" s="28" t="s">
        <v>73</v>
      </c>
      <c r="K936" s="28" t="s">
        <v>1765</v>
      </c>
      <c r="L936" s="43" t="s">
        <v>199</v>
      </c>
      <c r="M936" s="4" t="s">
        <v>3</v>
      </c>
      <c r="N936" s="15">
        <v>35897693</v>
      </c>
      <c r="O936" s="88" t="s">
        <v>1506</v>
      </c>
      <c r="P936" s="38">
        <v>33950</v>
      </c>
      <c r="Q936" s="38"/>
      <c r="R936" s="38"/>
      <c r="S936" s="38"/>
      <c r="T936" s="38"/>
      <c r="U936" s="17" t="s">
        <v>215</v>
      </c>
      <c r="V936" s="17" t="s">
        <v>915</v>
      </c>
      <c r="W936" s="12">
        <v>42219</v>
      </c>
      <c r="X936" s="37"/>
      <c r="Y936" s="12">
        <v>42735</v>
      </c>
      <c r="Z936" s="2"/>
      <c r="AA936" s="2" t="s">
        <v>479</v>
      </c>
      <c r="AB936" s="7" t="s">
        <v>784</v>
      </c>
      <c r="AC936" s="5">
        <v>1000</v>
      </c>
      <c r="AD936" s="5">
        <f>+AC936*1.07</f>
        <v>1070</v>
      </c>
      <c r="AE936" s="5">
        <v>1170</v>
      </c>
      <c r="AF936" s="5">
        <f t="shared" si="958"/>
        <v>1310</v>
      </c>
      <c r="AG936" s="5">
        <f t="shared" si="1008"/>
        <v>1310</v>
      </c>
      <c r="AH936" s="5">
        <f t="shared" si="1008"/>
        <v>1310</v>
      </c>
      <c r="AI936" s="5">
        <f t="shared" ref="AI936:AJ936" si="1010">+AH936</f>
        <v>1310</v>
      </c>
      <c r="AJ936" s="5">
        <f t="shared" si="1010"/>
        <v>1310</v>
      </c>
      <c r="AK936" s="29" t="s">
        <v>42</v>
      </c>
      <c r="AL936" s="105" t="str">
        <f>+AK936</f>
        <v>C0</v>
      </c>
    </row>
    <row r="937" spans="1:38" ht="15" customHeight="1" x14ac:dyDescent="0.2">
      <c r="A937" s="29" t="s">
        <v>824</v>
      </c>
      <c r="B937" s="2" t="s">
        <v>822</v>
      </c>
      <c r="C937" s="3"/>
      <c r="D937" s="2" t="s">
        <v>825</v>
      </c>
      <c r="E937" s="3" t="s">
        <v>18</v>
      </c>
      <c r="F937" s="2" t="s">
        <v>19</v>
      </c>
      <c r="G937" s="2"/>
      <c r="H937" s="2" t="s">
        <v>20</v>
      </c>
      <c r="I937" s="2" t="s">
        <v>1760</v>
      </c>
      <c r="J937" s="28" t="s">
        <v>548</v>
      </c>
      <c r="K937" s="28" t="s">
        <v>548</v>
      </c>
      <c r="L937" s="44" t="s">
        <v>759</v>
      </c>
      <c r="M937" s="4" t="s">
        <v>3</v>
      </c>
      <c r="N937" s="15">
        <v>29752031</v>
      </c>
      <c r="O937" s="88" t="s">
        <v>1356</v>
      </c>
      <c r="P937" s="38">
        <v>30198</v>
      </c>
      <c r="Q937" s="38"/>
      <c r="R937" s="38"/>
      <c r="S937" s="38"/>
      <c r="T937" s="38"/>
      <c r="U937" s="17" t="s">
        <v>215</v>
      </c>
      <c r="V937" s="17" t="s">
        <v>915</v>
      </c>
      <c r="W937" s="12">
        <v>41122</v>
      </c>
      <c r="X937" s="12"/>
      <c r="Y937" s="12">
        <v>42735</v>
      </c>
      <c r="Z937" s="2"/>
      <c r="AA937" s="2" t="s">
        <v>479</v>
      </c>
      <c r="AB937" s="7" t="s">
        <v>787</v>
      </c>
      <c r="AC937" s="5">
        <v>1000</v>
      </c>
      <c r="AD937" s="5">
        <f>+AC937</f>
        <v>1000</v>
      </c>
      <c r="AE937" s="5">
        <v>1170</v>
      </c>
      <c r="AF937" s="5">
        <f t="shared" si="958"/>
        <v>1310</v>
      </c>
      <c r="AG937" s="5">
        <f t="shared" si="1008"/>
        <v>1310</v>
      </c>
      <c r="AH937" s="5">
        <f t="shared" si="1008"/>
        <v>1310</v>
      </c>
      <c r="AI937" s="5">
        <f t="shared" ref="AI937:AJ937" si="1011">+AH937</f>
        <v>1310</v>
      </c>
      <c r="AJ937" s="5">
        <f t="shared" si="1011"/>
        <v>1310</v>
      </c>
      <c r="AK937" s="2"/>
      <c r="AL937" s="106"/>
    </row>
    <row r="938" spans="1:38" ht="15" customHeight="1" x14ac:dyDescent="0.2">
      <c r="A938" s="29" t="s">
        <v>824</v>
      </c>
      <c r="B938" s="29" t="s">
        <v>822</v>
      </c>
      <c r="C938" s="29" t="s">
        <v>823</v>
      </c>
      <c r="D938" s="2" t="s">
        <v>800</v>
      </c>
      <c r="E938" s="7" t="s">
        <v>501</v>
      </c>
      <c r="F938" s="7"/>
      <c r="G938" s="7"/>
      <c r="H938" s="8"/>
      <c r="I938" s="3" t="s">
        <v>1744</v>
      </c>
      <c r="J938" s="28" t="s">
        <v>254</v>
      </c>
      <c r="K938" s="28" t="s">
        <v>1767</v>
      </c>
      <c r="L938" s="42" t="s">
        <v>454</v>
      </c>
      <c r="M938" s="4" t="s">
        <v>3</v>
      </c>
      <c r="N938" s="15">
        <v>39100326</v>
      </c>
      <c r="O938" s="88" t="s">
        <v>1560</v>
      </c>
      <c r="P938" s="38">
        <v>34861</v>
      </c>
      <c r="Q938" s="38"/>
      <c r="R938" s="38"/>
      <c r="S938" s="38"/>
      <c r="T938" s="38"/>
      <c r="U938" s="17" t="s">
        <v>215</v>
      </c>
      <c r="V938" s="17" t="s">
        <v>915</v>
      </c>
      <c r="W938" s="12">
        <v>41821</v>
      </c>
      <c r="X938" s="20"/>
      <c r="Y938" s="12">
        <v>42735</v>
      </c>
      <c r="Z938" s="2"/>
      <c r="AA938" s="2" t="s">
        <v>479</v>
      </c>
      <c r="AB938" s="24" t="s">
        <v>479</v>
      </c>
      <c r="AC938" s="5">
        <v>1000</v>
      </c>
      <c r="AD938" s="5">
        <v>1070</v>
      </c>
      <c r="AE938" s="5">
        <v>1170</v>
      </c>
      <c r="AF938" s="5">
        <f t="shared" si="958"/>
        <v>1310</v>
      </c>
      <c r="AG938" s="5">
        <f t="shared" si="1008"/>
        <v>1310</v>
      </c>
      <c r="AH938" s="5">
        <f t="shared" si="1008"/>
        <v>1310</v>
      </c>
      <c r="AI938" s="5">
        <f t="shared" ref="AI938:AJ938" si="1012">+AH938</f>
        <v>1310</v>
      </c>
      <c r="AJ938" s="5">
        <f t="shared" si="1012"/>
        <v>1310</v>
      </c>
      <c r="AK938" s="29" t="s">
        <v>42</v>
      </c>
      <c r="AL938" s="105" t="str">
        <f>+AK938</f>
        <v>C0</v>
      </c>
    </row>
    <row r="939" spans="1:38" ht="15" customHeight="1" x14ac:dyDescent="0.2">
      <c r="A939" s="29" t="s">
        <v>824</v>
      </c>
      <c r="B939" s="29" t="s">
        <v>822</v>
      </c>
      <c r="C939" s="29" t="s">
        <v>823</v>
      </c>
      <c r="D939" s="2" t="s">
        <v>800</v>
      </c>
      <c r="E939" s="7" t="s">
        <v>541</v>
      </c>
      <c r="F939" s="7"/>
      <c r="G939" s="7"/>
      <c r="H939" s="8"/>
      <c r="I939" s="3"/>
      <c r="J939" s="28" t="s">
        <v>254</v>
      </c>
      <c r="K939" s="28"/>
      <c r="L939" s="42" t="s">
        <v>416</v>
      </c>
      <c r="M939" s="4" t="s">
        <v>3</v>
      </c>
      <c r="N939" s="15">
        <v>12462086</v>
      </c>
      <c r="O939" s="88">
        <v>20124620865</v>
      </c>
      <c r="P939" s="38"/>
      <c r="Q939" s="38"/>
      <c r="R939" s="38"/>
      <c r="S939" s="38"/>
      <c r="T939" s="38"/>
      <c r="U939" s="16" t="s">
        <v>796</v>
      </c>
      <c r="V939" s="16" t="s">
        <v>916</v>
      </c>
      <c r="W939" s="12">
        <v>41000</v>
      </c>
      <c r="X939" s="48">
        <v>42735</v>
      </c>
      <c r="Y939" s="12">
        <v>42735</v>
      </c>
      <c r="Z939" s="2" t="s">
        <v>42</v>
      </c>
      <c r="AA939" s="2"/>
      <c r="AB939" s="18"/>
      <c r="AC939" s="5">
        <v>1000</v>
      </c>
      <c r="AD939" s="5"/>
      <c r="AE939" s="5">
        <v>1170</v>
      </c>
      <c r="AF939" s="5">
        <f t="shared" si="958"/>
        <v>1310</v>
      </c>
      <c r="AG939" s="5">
        <f t="shared" si="1008"/>
        <v>1310</v>
      </c>
      <c r="AH939" s="5">
        <f t="shared" si="1008"/>
        <v>1310</v>
      </c>
      <c r="AI939" s="5">
        <f t="shared" ref="AI939:AJ939" si="1013">+AH939</f>
        <v>1310</v>
      </c>
      <c r="AJ939" s="5">
        <f t="shared" si="1013"/>
        <v>1310</v>
      </c>
      <c r="AK939" s="29"/>
      <c r="AL939" s="105" t="str">
        <f>+Z939</f>
        <v>C0</v>
      </c>
    </row>
    <row r="940" spans="1:38" ht="15" customHeight="1" x14ac:dyDescent="0.2">
      <c r="A940" s="29" t="s">
        <v>824</v>
      </c>
      <c r="B940" s="29" t="s">
        <v>822</v>
      </c>
      <c r="C940" s="29" t="s">
        <v>823</v>
      </c>
      <c r="D940" s="2" t="s">
        <v>800</v>
      </c>
      <c r="E940" s="2" t="s">
        <v>485</v>
      </c>
      <c r="F940" s="2"/>
      <c r="G940" s="2"/>
      <c r="H940" s="2"/>
      <c r="I940" s="3" t="s">
        <v>500</v>
      </c>
      <c r="J940" s="28" t="s">
        <v>254</v>
      </c>
      <c r="K940" s="28" t="s">
        <v>1767</v>
      </c>
      <c r="L940" s="42" t="s">
        <v>286</v>
      </c>
      <c r="M940" s="4" t="s">
        <v>3</v>
      </c>
      <c r="N940" s="15">
        <v>28635991</v>
      </c>
      <c r="O940" s="88" t="s">
        <v>1331</v>
      </c>
      <c r="P940" s="38">
        <v>29653</v>
      </c>
      <c r="Q940" s="38"/>
      <c r="R940" s="38"/>
      <c r="S940" s="38"/>
      <c r="T940" s="38"/>
      <c r="U940" s="17" t="s">
        <v>215</v>
      </c>
      <c r="V940" s="17" t="s">
        <v>915</v>
      </c>
      <c r="W940" s="12">
        <v>40725</v>
      </c>
      <c r="X940" s="20"/>
      <c r="Y940" s="12">
        <v>42735</v>
      </c>
      <c r="Z940" s="2"/>
      <c r="AA940" s="2" t="s">
        <v>479</v>
      </c>
      <c r="AB940" s="24" t="s">
        <v>479</v>
      </c>
      <c r="AC940" s="5">
        <v>1000</v>
      </c>
      <c r="AD940" s="5">
        <v>1070</v>
      </c>
      <c r="AE940" s="5">
        <v>1170</v>
      </c>
      <c r="AF940" s="5">
        <f t="shared" si="958"/>
        <v>1310</v>
      </c>
      <c r="AG940" s="5">
        <f t="shared" si="1008"/>
        <v>1310</v>
      </c>
      <c r="AH940" s="5">
        <f t="shared" si="1008"/>
        <v>1310</v>
      </c>
      <c r="AI940" s="5">
        <f t="shared" ref="AI940:AJ940" si="1014">+AH940</f>
        <v>1310</v>
      </c>
      <c r="AJ940" s="5">
        <f t="shared" si="1014"/>
        <v>1310</v>
      </c>
      <c r="AK940" s="29" t="s">
        <v>42</v>
      </c>
      <c r="AL940" s="105" t="str">
        <f>+AK940</f>
        <v>C0</v>
      </c>
    </row>
    <row r="941" spans="1:38" ht="15" customHeight="1" x14ac:dyDescent="0.2">
      <c r="A941" s="29" t="s">
        <v>824</v>
      </c>
      <c r="B941" s="2" t="s">
        <v>822</v>
      </c>
      <c r="C941" s="3"/>
      <c r="D941" s="2" t="s">
        <v>825</v>
      </c>
      <c r="E941" s="3" t="s">
        <v>18</v>
      </c>
      <c r="F941" s="2" t="s">
        <v>1012</v>
      </c>
      <c r="G941" s="2"/>
      <c r="H941" s="2" t="s">
        <v>37</v>
      </c>
      <c r="I941" s="2" t="s">
        <v>1707</v>
      </c>
      <c r="J941" s="28" t="s">
        <v>548</v>
      </c>
      <c r="K941" s="28" t="s">
        <v>548</v>
      </c>
      <c r="L941" s="44" t="s">
        <v>760</v>
      </c>
      <c r="M941" s="4" t="s">
        <v>3</v>
      </c>
      <c r="N941" s="15">
        <v>22006983</v>
      </c>
      <c r="O941" s="88" t="s">
        <v>1204</v>
      </c>
      <c r="P941" s="38">
        <v>26006</v>
      </c>
      <c r="Q941" s="38"/>
      <c r="R941" s="38"/>
      <c r="S941" s="38"/>
      <c r="T941" s="38"/>
      <c r="U941" s="17" t="s">
        <v>215</v>
      </c>
      <c r="V941" s="17" t="s">
        <v>915</v>
      </c>
      <c r="W941" s="12">
        <v>41032</v>
      </c>
      <c r="X941" s="12"/>
      <c r="Y941" s="12">
        <v>42735</v>
      </c>
      <c r="Z941" s="2"/>
      <c r="AA941" s="2" t="s">
        <v>479</v>
      </c>
      <c r="AB941" s="7" t="s">
        <v>787</v>
      </c>
      <c r="AC941" s="5">
        <v>1000</v>
      </c>
      <c r="AD941" s="5">
        <f>+AC941</f>
        <v>1000</v>
      </c>
      <c r="AE941" s="5">
        <v>1170</v>
      </c>
      <c r="AF941" s="5">
        <f t="shared" si="958"/>
        <v>1310</v>
      </c>
      <c r="AG941" s="5">
        <f t="shared" si="1008"/>
        <v>1310</v>
      </c>
      <c r="AH941" s="5">
        <f t="shared" si="1008"/>
        <v>1310</v>
      </c>
      <c r="AI941" s="5">
        <f t="shared" ref="AI941:AJ941" si="1015">+AH941</f>
        <v>1310</v>
      </c>
      <c r="AJ941" s="5">
        <f t="shared" si="1015"/>
        <v>1310</v>
      </c>
      <c r="AK941" s="2"/>
      <c r="AL941" s="106"/>
    </row>
    <row r="942" spans="1:38" ht="15" customHeight="1" x14ac:dyDescent="0.2">
      <c r="A942" s="29" t="s">
        <v>824</v>
      </c>
      <c r="B942" s="29" t="s">
        <v>822</v>
      </c>
      <c r="C942" s="29" t="s">
        <v>823</v>
      </c>
      <c r="D942" s="2" t="s">
        <v>800</v>
      </c>
      <c r="E942" s="7" t="s">
        <v>501</v>
      </c>
      <c r="F942" s="7"/>
      <c r="G942" s="7"/>
      <c r="H942" s="8"/>
      <c r="I942" s="3"/>
      <c r="J942" s="28" t="s">
        <v>254</v>
      </c>
      <c r="K942" s="28"/>
      <c r="L942" s="42" t="s">
        <v>451</v>
      </c>
      <c r="M942" s="4" t="s">
        <v>3</v>
      </c>
      <c r="N942" s="15">
        <v>36662611</v>
      </c>
      <c r="O942" s="88">
        <v>20366626116</v>
      </c>
      <c r="P942" s="38"/>
      <c r="Q942" s="38"/>
      <c r="R942" s="38"/>
      <c r="S942" s="38"/>
      <c r="T942" s="38"/>
      <c r="U942" s="16" t="s">
        <v>796</v>
      </c>
      <c r="V942" s="16" t="s">
        <v>916</v>
      </c>
      <c r="W942" s="12">
        <v>41456</v>
      </c>
      <c r="X942" s="12">
        <v>42460</v>
      </c>
      <c r="Y942" s="12">
        <v>42735</v>
      </c>
      <c r="Z942" s="2" t="s">
        <v>42</v>
      </c>
      <c r="AA942" s="2"/>
      <c r="AB942" s="18"/>
      <c r="AC942" s="5">
        <v>1000</v>
      </c>
      <c r="AD942" s="5"/>
      <c r="AE942" s="5">
        <v>1170</v>
      </c>
      <c r="AF942" s="5">
        <f t="shared" si="958"/>
        <v>1310</v>
      </c>
      <c r="AG942" s="5">
        <f t="shared" si="1008"/>
        <v>1310</v>
      </c>
      <c r="AH942" s="5">
        <f t="shared" si="1008"/>
        <v>1310</v>
      </c>
      <c r="AI942" s="5">
        <f t="shared" ref="AI942:AJ942" si="1016">+AH942</f>
        <v>1310</v>
      </c>
      <c r="AJ942" s="5">
        <f t="shared" si="1016"/>
        <v>1310</v>
      </c>
      <c r="AK942" s="29"/>
      <c r="AL942" s="105" t="str">
        <f>+Z942</f>
        <v>C0</v>
      </c>
    </row>
    <row r="943" spans="1:38" ht="15" customHeight="1" x14ac:dyDescent="0.2">
      <c r="A943" s="29" t="s">
        <v>824</v>
      </c>
      <c r="B943" s="29"/>
      <c r="C943" s="14"/>
      <c r="D943" s="2" t="s">
        <v>819</v>
      </c>
      <c r="E943" s="2"/>
      <c r="F943" s="3"/>
      <c r="G943" s="3"/>
      <c r="H943" s="2" t="s">
        <v>884</v>
      </c>
      <c r="I943" s="2" t="s">
        <v>1707</v>
      </c>
      <c r="J943" s="28"/>
      <c r="K943" s="28" t="s">
        <v>1765</v>
      </c>
      <c r="L943" s="41" t="s">
        <v>855</v>
      </c>
      <c r="M943" s="4" t="s">
        <v>3</v>
      </c>
      <c r="N943" s="15">
        <v>24291240</v>
      </c>
      <c r="O943" s="88">
        <v>20242912404</v>
      </c>
      <c r="P943" s="38">
        <v>27505</v>
      </c>
      <c r="Q943" s="38"/>
      <c r="R943" s="38"/>
      <c r="S943" s="38"/>
      <c r="T943" s="38"/>
      <c r="U943" s="17" t="s">
        <v>215</v>
      </c>
      <c r="V943" s="17" t="s">
        <v>915</v>
      </c>
      <c r="W943" s="12">
        <v>42370</v>
      </c>
      <c r="X943" s="48"/>
      <c r="Y943" s="12">
        <v>42735</v>
      </c>
      <c r="Z943" s="2"/>
      <c r="AA943" s="2" t="s">
        <v>479</v>
      </c>
      <c r="AB943" s="3" t="s">
        <v>10</v>
      </c>
      <c r="AC943" s="5">
        <v>1000</v>
      </c>
      <c r="AD943" s="5">
        <f>+AC943*1.07</f>
        <v>1070</v>
      </c>
      <c r="AE943" s="5">
        <v>1170</v>
      </c>
      <c r="AF943" s="5">
        <f t="shared" si="958"/>
        <v>1310</v>
      </c>
      <c r="AG943" s="5">
        <f t="shared" si="1008"/>
        <v>1310</v>
      </c>
      <c r="AH943" s="5">
        <f t="shared" si="1008"/>
        <v>1310</v>
      </c>
      <c r="AI943" s="5">
        <f t="shared" ref="AI943:AJ943" si="1017">+AH943</f>
        <v>1310</v>
      </c>
      <c r="AJ943" s="5">
        <f t="shared" si="1017"/>
        <v>1310</v>
      </c>
      <c r="AK943" s="2" t="s">
        <v>43</v>
      </c>
      <c r="AL943" s="105" t="str">
        <f>+AK943</f>
        <v>A0</v>
      </c>
    </row>
    <row r="944" spans="1:38" ht="15" customHeight="1" x14ac:dyDescent="0.2">
      <c r="A944" s="29" t="s">
        <v>824</v>
      </c>
      <c r="B944" s="29" t="s">
        <v>822</v>
      </c>
      <c r="C944" s="29" t="s">
        <v>823</v>
      </c>
      <c r="D944" s="2" t="s">
        <v>800</v>
      </c>
      <c r="E944" s="7" t="s">
        <v>541</v>
      </c>
      <c r="F944" s="7"/>
      <c r="G944" s="7"/>
      <c r="H944" s="8"/>
      <c r="I944" s="3" t="s">
        <v>1751</v>
      </c>
      <c r="J944" s="28" t="s">
        <v>254</v>
      </c>
      <c r="K944" s="28" t="s">
        <v>1767</v>
      </c>
      <c r="L944" s="42" t="s">
        <v>430</v>
      </c>
      <c r="M944" s="4" t="s">
        <v>3</v>
      </c>
      <c r="N944" s="15">
        <v>37141701</v>
      </c>
      <c r="O944" s="88" t="s">
        <v>1525</v>
      </c>
      <c r="P944" s="38">
        <v>33945</v>
      </c>
      <c r="Q944" s="38"/>
      <c r="R944" s="38"/>
      <c r="S944" s="38"/>
      <c r="T944" s="38"/>
      <c r="U944" s="17" t="s">
        <v>215</v>
      </c>
      <c r="V944" s="17" t="s">
        <v>915</v>
      </c>
      <c r="W944" s="12">
        <v>41821</v>
      </c>
      <c r="X944" s="20"/>
      <c r="Y944" s="12">
        <v>42735</v>
      </c>
      <c r="Z944" s="2"/>
      <c r="AA944" s="2" t="s">
        <v>479</v>
      </c>
      <c r="AB944" s="24" t="s">
        <v>479</v>
      </c>
      <c r="AC944" s="5">
        <v>1000</v>
      </c>
      <c r="AD944" s="5">
        <v>1070</v>
      </c>
      <c r="AE944" s="5">
        <v>1170</v>
      </c>
      <c r="AF944" s="5">
        <f t="shared" si="958"/>
        <v>1310</v>
      </c>
      <c r="AG944" s="5">
        <f t="shared" si="1008"/>
        <v>1310</v>
      </c>
      <c r="AH944" s="5">
        <f t="shared" si="1008"/>
        <v>1310</v>
      </c>
      <c r="AI944" s="5">
        <f t="shared" ref="AI944:AJ944" si="1018">+AH944</f>
        <v>1310</v>
      </c>
      <c r="AJ944" s="5">
        <f t="shared" si="1018"/>
        <v>1310</v>
      </c>
      <c r="AK944" s="29" t="s">
        <v>42</v>
      </c>
      <c r="AL944" s="105" t="str">
        <f>+AK944</f>
        <v>C0</v>
      </c>
    </row>
    <row r="945" spans="1:38" ht="15" customHeight="1" x14ac:dyDescent="0.2">
      <c r="A945" s="29" t="s">
        <v>824</v>
      </c>
      <c r="B945" s="2" t="s">
        <v>822</v>
      </c>
      <c r="C945" s="3"/>
      <c r="D945" s="2" t="s">
        <v>825</v>
      </c>
      <c r="E945" s="3" t="s">
        <v>18</v>
      </c>
      <c r="F945" s="2" t="s">
        <v>19</v>
      </c>
      <c r="G945" s="2"/>
      <c r="H945" s="2" t="s">
        <v>20</v>
      </c>
      <c r="I945" s="3"/>
      <c r="J945" s="28"/>
      <c r="K945" s="28"/>
      <c r="L945" s="41" t="s">
        <v>993</v>
      </c>
      <c r="M945" s="7" t="s">
        <v>3</v>
      </c>
      <c r="N945" s="47">
        <v>31576451</v>
      </c>
      <c r="O945" s="88">
        <v>20315764514</v>
      </c>
      <c r="P945" s="61"/>
      <c r="Q945" s="61"/>
      <c r="R945" s="61"/>
      <c r="S945" s="61"/>
      <c r="T945" s="61"/>
      <c r="U945" s="17"/>
      <c r="V945" s="17" t="s">
        <v>916</v>
      </c>
      <c r="W945" s="12">
        <v>41609</v>
      </c>
      <c r="X945" s="12"/>
      <c r="Y945" s="12">
        <v>42735</v>
      </c>
      <c r="Z945" s="2" t="s">
        <v>53</v>
      </c>
      <c r="AA945" s="2"/>
      <c r="AB945" s="7"/>
      <c r="AC945" s="5"/>
      <c r="AD945" s="5"/>
      <c r="AE945" s="5">
        <v>1170</v>
      </c>
      <c r="AF945" s="5">
        <f t="shared" si="958"/>
        <v>0</v>
      </c>
      <c r="AG945" s="5">
        <f t="shared" si="1008"/>
        <v>0</v>
      </c>
      <c r="AH945" s="5">
        <f t="shared" si="1008"/>
        <v>0</v>
      </c>
      <c r="AI945" s="5">
        <f t="shared" ref="AI945:AJ945" si="1019">+AH945</f>
        <v>0</v>
      </c>
      <c r="AJ945" s="5">
        <f t="shared" si="1019"/>
        <v>0</v>
      </c>
      <c r="AK945" s="29"/>
      <c r="AL945" s="105" t="str">
        <f>+Z945</f>
        <v>B0</v>
      </c>
    </row>
    <row r="946" spans="1:38" ht="15" customHeight="1" x14ac:dyDescent="0.2">
      <c r="A946" s="29" t="s">
        <v>824</v>
      </c>
      <c r="B946" s="29"/>
      <c r="C946" s="29"/>
      <c r="D946" s="2" t="s">
        <v>820</v>
      </c>
      <c r="E946" s="2" t="s">
        <v>921</v>
      </c>
      <c r="F946" s="3" t="s">
        <v>525</v>
      </c>
      <c r="G946" s="3" t="s">
        <v>520</v>
      </c>
      <c r="H946" s="2" t="s">
        <v>234</v>
      </c>
      <c r="I946" s="3"/>
      <c r="J946" s="28" t="s">
        <v>73</v>
      </c>
      <c r="K946" s="28"/>
      <c r="L946" s="45" t="s">
        <v>793</v>
      </c>
      <c r="M946" s="4" t="s">
        <v>3</v>
      </c>
      <c r="N946" s="15">
        <v>26787449</v>
      </c>
      <c r="O946" s="88">
        <v>20267874493</v>
      </c>
      <c r="P946" s="61"/>
      <c r="Q946" s="61"/>
      <c r="R946" s="61"/>
      <c r="S946" s="61"/>
      <c r="T946" s="61"/>
      <c r="U946" s="16" t="s">
        <v>796</v>
      </c>
      <c r="V946" s="16" t="s">
        <v>916</v>
      </c>
      <c r="W946" s="12">
        <v>41974</v>
      </c>
      <c r="X946" s="12">
        <v>42460</v>
      </c>
      <c r="Y946" s="12">
        <v>42735</v>
      </c>
      <c r="Z946" s="2" t="s">
        <v>42</v>
      </c>
      <c r="AA946" s="2"/>
      <c r="AB946" s="14"/>
      <c r="AC946" s="5">
        <v>1000</v>
      </c>
      <c r="AD946" s="5"/>
      <c r="AE946" s="5">
        <v>1170</v>
      </c>
      <c r="AF946" s="5">
        <f t="shared" si="958"/>
        <v>1310</v>
      </c>
      <c r="AG946" s="5">
        <f t="shared" si="1008"/>
        <v>1310</v>
      </c>
      <c r="AH946" s="5">
        <f t="shared" si="1008"/>
        <v>1310</v>
      </c>
      <c r="AI946" s="5">
        <f t="shared" ref="AI946:AJ946" si="1020">+AH946</f>
        <v>1310</v>
      </c>
      <c r="AJ946" s="5">
        <f t="shared" si="1020"/>
        <v>1310</v>
      </c>
      <c r="AK946" s="29"/>
      <c r="AL946" s="105" t="str">
        <f>+Z946</f>
        <v>C0</v>
      </c>
    </row>
    <row r="947" spans="1:38" ht="15" customHeight="1" x14ac:dyDescent="0.2">
      <c r="A947" s="29" t="s">
        <v>824</v>
      </c>
      <c r="B947" s="29" t="s">
        <v>822</v>
      </c>
      <c r="C947" s="29" t="s">
        <v>823</v>
      </c>
      <c r="D947" s="2" t="s">
        <v>808</v>
      </c>
      <c r="E947" s="2" t="s">
        <v>909</v>
      </c>
      <c r="F947" s="2" t="s">
        <v>811</v>
      </c>
      <c r="G947" s="3" t="s">
        <v>516</v>
      </c>
      <c r="H947" s="2" t="s">
        <v>222</v>
      </c>
      <c r="I947" s="2" t="s">
        <v>811</v>
      </c>
      <c r="J947" s="28" t="s">
        <v>73</v>
      </c>
      <c r="K947" s="28" t="s">
        <v>1765</v>
      </c>
      <c r="L947" s="43" t="s">
        <v>200</v>
      </c>
      <c r="M947" s="4" t="s">
        <v>3</v>
      </c>
      <c r="N947" s="15">
        <v>34520527</v>
      </c>
      <c r="O947" s="88" t="s">
        <v>1476</v>
      </c>
      <c r="P947" s="38">
        <v>32533</v>
      </c>
      <c r="Q947" s="38"/>
      <c r="R947" s="38"/>
      <c r="S947" s="38"/>
      <c r="T947" s="38"/>
      <c r="U947" s="17" t="s">
        <v>215</v>
      </c>
      <c r="V947" s="17" t="s">
        <v>915</v>
      </c>
      <c r="W947" s="12">
        <v>42287</v>
      </c>
      <c r="X947" s="37"/>
      <c r="Y947" s="12">
        <v>42735</v>
      </c>
      <c r="Z947" s="2"/>
      <c r="AA947" s="2" t="s">
        <v>479</v>
      </c>
      <c r="AB947" s="2" t="s">
        <v>546</v>
      </c>
      <c r="AC947" s="5">
        <v>1000</v>
      </c>
      <c r="AD947" s="5">
        <f>+AC947*1.07</f>
        <v>1070</v>
      </c>
      <c r="AE947" s="5">
        <v>1170</v>
      </c>
      <c r="AF947" s="5">
        <f t="shared" si="958"/>
        <v>1310</v>
      </c>
      <c r="AG947" s="5">
        <f t="shared" si="1008"/>
        <v>1310</v>
      </c>
      <c r="AH947" s="5">
        <f t="shared" si="1008"/>
        <v>1310</v>
      </c>
      <c r="AI947" s="5">
        <f t="shared" ref="AI947:AJ947" si="1021">+AH947</f>
        <v>1310</v>
      </c>
      <c r="AJ947" s="5">
        <f t="shared" si="1021"/>
        <v>1310</v>
      </c>
      <c r="AK947" s="29" t="s">
        <v>42</v>
      </c>
      <c r="AL947" s="105" t="str">
        <f>+AK947</f>
        <v>C0</v>
      </c>
    </row>
    <row r="948" spans="1:38" ht="15" customHeight="1" x14ac:dyDescent="0.2">
      <c r="A948" s="29" t="s">
        <v>824</v>
      </c>
      <c r="B948" s="2" t="s">
        <v>822</v>
      </c>
      <c r="C948" s="3"/>
      <c r="D948" s="2" t="s">
        <v>825</v>
      </c>
      <c r="E948" s="3" t="s">
        <v>18</v>
      </c>
      <c r="F948" s="2" t="s">
        <v>19</v>
      </c>
      <c r="G948" s="2"/>
      <c r="H948" s="2" t="s">
        <v>21</v>
      </c>
      <c r="I948" s="3"/>
      <c r="J948" s="28" t="s">
        <v>548</v>
      </c>
      <c r="K948" s="28"/>
      <c r="L948" s="41" t="s">
        <v>761</v>
      </c>
      <c r="M948" s="4" t="s">
        <v>3</v>
      </c>
      <c r="N948" s="15">
        <v>17636422</v>
      </c>
      <c r="O948" s="88">
        <v>20176364220</v>
      </c>
      <c r="P948" s="61"/>
      <c r="Q948" s="61"/>
      <c r="R948" s="61"/>
      <c r="S948" s="61"/>
      <c r="T948" s="61"/>
      <c r="U948" s="16" t="s">
        <v>796</v>
      </c>
      <c r="V948" s="16" t="s">
        <v>916</v>
      </c>
      <c r="W948" s="12">
        <v>42036</v>
      </c>
      <c r="X948" s="12">
        <v>42460</v>
      </c>
      <c r="Y948" s="12">
        <v>42735</v>
      </c>
      <c r="Z948" s="2" t="s">
        <v>67</v>
      </c>
      <c r="AA948" s="2"/>
      <c r="AB948" s="3"/>
      <c r="AC948" s="5">
        <v>1000</v>
      </c>
      <c r="AD948" s="5"/>
      <c r="AE948" s="5">
        <v>1170</v>
      </c>
      <c r="AF948" s="5">
        <f t="shared" si="958"/>
        <v>1310</v>
      </c>
      <c r="AG948" s="5">
        <f t="shared" si="1008"/>
        <v>1310</v>
      </c>
      <c r="AH948" s="5">
        <f t="shared" si="1008"/>
        <v>1310</v>
      </c>
      <c r="AI948" s="5">
        <f t="shared" ref="AI948:AJ948" si="1022">+AH948</f>
        <v>1310</v>
      </c>
      <c r="AJ948" s="5">
        <f t="shared" si="1022"/>
        <v>1310</v>
      </c>
      <c r="AK948" s="29"/>
      <c r="AL948" s="105" t="str">
        <f>+Z948</f>
        <v>C2</v>
      </c>
    </row>
    <row r="949" spans="1:38" ht="15" customHeight="1" x14ac:dyDescent="0.2">
      <c r="A949" s="29" t="s">
        <v>824</v>
      </c>
      <c r="B949" s="2" t="s">
        <v>822</v>
      </c>
      <c r="C949" s="3"/>
      <c r="D949" s="2" t="s">
        <v>825</v>
      </c>
      <c r="E949" s="3" t="s">
        <v>18</v>
      </c>
      <c r="F949" s="2" t="s">
        <v>19</v>
      </c>
      <c r="G949" s="2"/>
      <c r="H949" s="2" t="s">
        <v>36</v>
      </c>
      <c r="I949" s="2" t="s">
        <v>1707</v>
      </c>
      <c r="J949" s="28" t="s">
        <v>548</v>
      </c>
      <c r="K949" s="28" t="s">
        <v>548</v>
      </c>
      <c r="L949" s="44" t="s">
        <v>762</v>
      </c>
      <c r="M949" s="4" t="s">
        <v>3</v>
      </c>
      <c r="N949" s="15">
        <v>33220920</v>
      </c>
      <c r="O949" s="88" t="s">
        <v>1440</v>
      </c>
      <c r="P949" s="38">
        <v>32024</v>
      </c>
      <c r="Q949" s="38"/>
      <c r="R949" s="38"/>
      <c r="S949" s="38"/>
      <c r="T949" s="38"/>
      <c r="U949" s="17" t="s">
        <v>215</v>
      </c>
      <c r="V949" s="17" t="s">
        <v>915</v>
      </c>
      <c r="W949" s="12">
        <v>41334</v>
      </c>
      <c r="X949" s="12"/>
      <c r="Y949" s="12">
        <v>42735</v>
      </c>
      <c r="Z949" s="2"/>
      <c r="AA949" s="2" t="s">
        <v>479</v>
      </c>
      <c r="AB949" s="7" t="s">
        <v>787</v>
      </c>
      <c r="AC949" s="5">
        <v>1000</v>
      </c>
      <c r="AD949" s="5">
        <f>+AC949</f>
        <v>1000</v>
      </c>
      <c r="AE949" s="5">
        <v>1170</v>
      </c>
      <c r="AF949" s="5">
        <f t="shared" si="958"/>
        <v>1310</v>
      </c>
      <c r="AG949" s="5">
        <f t="shared" si="1008"/>
        <v>1310</v>
      </c>
      <c r="AH949" s="5">
        <f t="shared" si="1008"/>
        <v>1310</v>
      </c>
      <c r="AI949" s="5">
        <f t="shared" ref="AI949:AJ949" si="1023">+AH949</f>
        <v>1310</v>
      </c>
      <c r="AJ949" s="5">
        <f t="shared" si="1023"/>
        <v>1310</v>
      </c>
      <c r="AK949" s="2"/>
      <c r="AL949" s="106"/>
    </row>
    <row r="950" spans="1:38" ht="15" customHeight="1" x14ac:dyDescent="0.2">
      <c r="A950" s="29" t="s">
        <v>824</v>
      </c>
      <c r="B950" s="29"/>
      <c r="C950" s="14"/>
      <c r="D950" s="2" t="s">
        <v>820</v>
      </c>
      <c r="E950" s="2" t="s">
        <v>818</v>
      </c>
      <c r="F950" s="3"/>
      <c r="G950" s="3"/>
      <c r="H950" s="2" t="s">
        <v>221</v>
      </c>
      <c r="I950" s="3"/>
      <c r="J950" s="28" t="s">
        <v>73</v>
      </c>
      <c r="K950" s="28"/>
      <c r="L950" s="45" t="s">
        <v>201</v>
      </c>
      <c r="M950" s="4" t="s">
        <v>3</v>
      </c>
      <c r="N950" s="15">
        <v>36828254</v>
      </c>
      <c r="O950" s="88">
        <v>20368282546</v>
      </c>
      <c r="P950" s="61"/>
      <c r="Q950" s="61"/>
      <c r="R950" s="61"/>
      <c r="S950" s="61"/>
      <c r="T950" s="61"/>
      <c r="U950" s="16" t="s">
        <v>796</v>
      </c>
      <c r="V950" s="16" t="s">
        <v>916</v>
      </c>
      <c r="W950" s="12">
        <v>40862</v>
      </c>
      <c r="X950" s="48">
        <v>42735</v>
      </c>
      <c r="Y950" s="12">
        <v>42735</v>
      </c>
      <c r="Z950" s="2" t="s">
        <v>17</v>
      </c>
      <c r="AA950" s="2"/>
      <c r="AB950" s="14"/>
      <c r="AC950" s="5">
        <v>1000</v>
      </c>
      <c r="AD950" s="5"/>
      <c r="AE950" s="5">
        <v>1170</v>
      </c>
      <c r="AF950" s="5">
        <f t="shared" si="958"/>
        <v>1310</v>
      </c>
      <c r="AG950" s="5">
        <f t="shared" si="1008"/>
        <v>1310</v>
      </c>
      <c r="AH950" s="5">
        <f t="shared" si="1008"/>
        <v>1310</v>
      </c>
      <c r="AI950" s="5">
        <f t="shared" ref="AI950:AJ950" si="1024">+AH950</f>
        <v>1310</v>
      </c>
      <c r="AJ950" s="5">
        <f t="shared" si="1024"/>
        <v>1310</v>
      </c>
      <c r="AK950" s="29"/>
      <c r="AL950" s="105" t="str">
        <f>+Z950</f>
        <v>C1</v>
      </c>
    </row>
    <row r="951" spans="1:38" ht="15" customHeight="1" x14ac:dyDescent="0.2">
      <c r="A951" s="29" t="s">
        <v>824</v>
      </c>
      <c r="B951" s="29" t="s">
        <v>1098</v>
      </c>
      <c r="C951" s="14"/>
      <c r="D951" s="2" t="s">
        <v>1833</v>
      </c>
      <c r="E951" s="2"/>
      <c r="F951" s="3"/>
      <c r="G951" s="3"/>
      <c r="H951" s="2"/>
      <c r="I951" s="2" t="s">
        <v>1707</v>
      </c>
      <c r="J951" s="28" t="s">
        <v>73</v>
      </c>
      <c r="K951" s="28" t="s">
        <v>1765</v>
      </c>
      <c r="L951" s="41" t="s">
        <v>511</v>
      </c>
      <c r="M951" s="4" t="s">
        <v>3</v>
      </c>
      <c r="N951" s="15">
        <v>23044714</v>
      </c>
      <c r="O951" s="88" t="s">
        <v>1217</v>
      </c>
      <c r="P951" s="38">
        <v>26882</v>
      </c>
      <c r="Q951" s="38"/>
      <c r="R951" s="38"/>
      <c r="S951" s="38"/>
      <c r="T951" s="38"/>
      <c r="U951" s="17" t="s">
        <v>215</v>
      </c>
      <c r="V951" s="17" t="s">
        <v>915</v>
      </c>
      <c r="W951" s="12">
        <v>41977</v>
      </c>
      <c r="X951" s="38"/>
      <c r="Y951" s="12">
        <v>42735</v>
      </c>
      <c r="Z951" s="2"/>
      <c r="AA951" s="2" t="s">
        <v>479</v>
      </c>
      <c r="AB951" s="2" t="s">
        <v>781</v>
      </c>
      <c r="AC951" s="5">
        <v>1000</v>
      </c>
      <c r="AD951" s="5">
        <v>1070</v>
      </c>
      <c r="AE951" s="5">
        <v>1170</v>
      </c>
      <c r="AF951" s="5">
        <f t="shared" si="958"/>
        <v>1310</v>
      </c>
      <c r="AG951" s="5">
        <f t="shared" si="1008"/>
        <v>1310</v>
      </c>
      <c r="AH951" s="5">
        <f t="shared" si="1008"/>
        <v>1310</v>
      </c>
      <c r="AI951" s="5">
        <f t="shared" ref="AI951:AJ951" si="1025">+AH951</f>
        <v>1310</v>
      </c>
      <c r="AJ951" s="5">
        <f t="shared" si="1025"/>
        <v>1310</v>
      </c>
      <c r="AK951" s="2" t="s">
        <v>53</v>
      </c>
      <c r="AL951" s="105" t="str">
        <f>+AK951</f>
        <v>B0</v>
      </c>
    </row>
    <row r="952" spans="1:38" ht="15" customHeight="1" x14ac:dyDescent="0.2">
      <c r="A952" s="29" t="s">
        <v>824</v>
      </c>
      <c r="B952" s="2" t="s">
        <v>822</v>
      </c>
      <c r="C952" s="3"/>
      <c r="D952" s="2" t="s">
        <v>825</v>
      </c>
      <c r="E952" s="3" t="s">
        <v>18</v>
      </c>
      <c r="F952" s="2" t="s">
        <v>19</v>
      </c>
      <c r="G952" s="2"/>
      <c r="H952" s="2" t="s">
        <v>35</v>
      </c>
      <c r="I952" s="2" t="s">
        <v>1707</v>
      </c>
      <c r="J952" s="28" t="s">
        <v>548</v>
      </c>
      <c r="K952" s="28" t="s">
        <v>548</v>
      </c>
      <c r="L952" s="44" t="s">
        <v>763</v>
      </c>
      <c r="M952" s="4" t="s">
        <v>3</v>
      </c>
      <c r="N952" s="15">
        <v>33626355</v>
      </c>
      <c r="O952" s="88" t="s">
        <v>1452</v>
      </c>
      <c r="P952" s="38">
        <v>32203</v>
      </c>
      <c r="Q952" s="38"/>
      <c r="R952" s="38"/>
      <c r="S952" s="38"/>
      <c r="T952" s="38"/>
      <c r="U952" s="17" t="s">
        <v>215</v>
      </c>
      <c r="V952" s="17" t="s">
        <v>915</v>
      </c>
      <c r="W952" s="12">
        <v>41426</v>
      </c>
      <c r="X952" s="12"/>
      <c r="Y952" s="12">
        <v>42735</v>
      </c>
      <c r="Z952" s="2"/>
      <c r="AA952" s="2" t="s">
        <v>479</v>
      </c>
      <c r="AB952" s="7" t="s">
        <v>787</v>
      </c>
      <c r="AC952" s="5">
        <v>1000</v>
      </c>
      <c r="AD952" s="5">
        <f>+AC952</f>
        <v>1000</v>
      </c>
      <c r="AE952" s="5">
        <v>1170</v>
      </c>
      <c r="AF952" s="5">
        <f t="shared" si="958"/>
        <v>1310</v>
      </c>
      <c r="AG952" s="5">
        <f t="shared" si="1008"/>
        <v>1310</v>
      </c>
      <c r="AH952" s="5">
        <f t="shared" si="1008"/>
        <v>1310</v>
      </c>
      <c r="AI952" s="5">
        <f t="shared" ref="AI952:AJ952" si="1026">+AH952</f>
        <v>1310</v>
      </c>
      <c r="AJ952" s="5">
        <f t="shared" si="1026"/>
        <v>1310</v>
      </c>
      <c r="AK952" s="2"/>
      <c r="AL952" s="8"/>
    </row>
    <row r="953" spans="1:38" ht="15" customHeight="1" x14ac:dyDescent="0.2">
      <c r="A953" s="29" t="s">
        <v>824</v>
      </c>
      <c r="B953" s="2" t="s">
        <v>822</v>
      </c>
      <c r="C953" s="29" t="s">
        <v>823</v>
      </c>
      <c r="D953" s="2" t="s">
        <v>808</v>
      </c>
      <c r="E953" s="2" t="s">
        <v>216</v>
      </c>
      <c r="F953" s="2" t="s">
        <v>1066</v>
      </c>
      <c r="G953" s="2"/>
      <c r="H953" s="3"/>
      <c r="I953" s="2" t="s">
        <v>1066</v>
      </c>
      <c r="J953" s="28"/>
      <c r="K953" s="28" t="s">
        <v>1765</v>
      </c>
      <c r="L953" s="42" t="s">
        <v>1083</v>
      </c>
      <c r="M953" s="7" t="s">
        <v>3</v>
      </c>
      <c r="N953" s="15">
        <v>33021998</v>
      </c>
      <c r="O953" s="88">
        <v>27330219985</v>
      </c>
      <c r="P953" s="38">
        <v>31911</v>
      </c>
      <c r="Q953" s="38"/>
      <c r="R953" s="38"/>
      <c r="S953" s="38"/>
      <c r="T953" s="38"/>
      <c r="U953" s="17" t="s">
        <v>215</v>
      </c>
      <c r="V953" s="17" t="s">
        <v>915</v>
      </c>
      <c r="W953" s="12">
        <v>42491</v>
      </c>
      <c r="X953" s="19"/>
      <c r="Y953" s="12">
        <v>42735</v>
      </c>
      <c r="Z953" s="2"/>
      <c r="AA953" s="2" t="s">
        <v>479</v>
      </c>
      <c r="AB953" s="2"/>
      <c r="AC953" s="5">
        <v>1000</v>
      </c>
      <c r="AD953" s="5">
        <v>1070</v>
      </c>
      <c r="AE953" s="5">
        <v>1170</v>
      </c>
      <c r="AF953" s="5">
        <f t="shared" ref="AF953:AF989" si="1027">+AC953*1.31</f>
        <v>1310</v>
      </c>
      <c r="AG953" s="5">
        <f t="shared" si="1008"/>
        <v>1310</v>
      </c>
      <c r="AH953" s="5">
        <f t="shared" si="1008"/>
        <v>1310</v>
      </c>
      <c r="AI953" s="5">
        <f t="shared" ref="AI953:AJ953" si="1028">+AH953</f>
        <v>1310</v>
      </c>
      <c r="AJ953" s="5">
        <f t="shared" si="1028"/>
        <v>1310</v>
      </c>
      <c r="AK953" s="2" t="s">
        <v>42</v>
      </c>
      <c r="AL953" s="105" t="str">
        <f>+AK953</f>
        <v>C0</v>
      </c>
    </row>
    <row r="954" spans="1:38" ht="15" customHeight="1" x14ac:dyDescent="0.2">
      <c r="A954" s="29" t="s">
        <v>824</v>
      </c>
      <c r="B954" s="2" t="s">
        <v>822</v>
      </c>
      <c r="C954" s="3"/>
      <c r="D954" s="2" t="s">
        <v>825</v>
      </c>
      <c r="E954" s="3" t="s">
        <v>18</v>
      </c>
      <c r="F954" s="2" t="s">
        <v>1012</v>
      </c>
      <c r="G954" s="2"/>
      <c r="H954" s="2" t="s">
        <v>20</v>
      </c>
      <c r="I954" s="2" t="s">
        <v>1760</v>
      </c>
      <c r="J954" s="28" t="s">
        <v>548</v>
      </c>
      <c r="K954" s="28" t="s">
        <v>548</v>
      </c>
      <c r="L954" s="44" t="s">
        <v>1011</v>
      </c>
      <c r="M954" s="7" t="s">
        <v>3</v>
      </c>
      <c r="N954" s="47">
        <v>24515306</v>
      </c>
      <c r="O954" s="88" t="s">
        <v>1246</v>
      </c>
      <c r="P954" s="38">
        <v>27459</v>
      </c>
      <c r="Q954" s="38"/>
      <c r="R954" s="38"/>
      <c r="S954" s="38"/>
      <c r="T954" s="38"/>
      <c r="U954" s="17" t="s">
        <v>215</v>
      </c>
      <c r="V954" s="17" t="s">
        <v>915</v>
      </c>
      <c r="W954" s="12">
        <v>41395</v>
      </c>
      <c r="X954" s="12"/>
      <c r="Y954" s="12">
        <v>42735</v>
      </c>
      <c r="Z954" s="2"/>
      <c r="AA954" s="2" t="s">
        <v>479</v>
      </c>
      <c r="AB954" s="7"/>
      <c r="AC954" s="5">
        <v>1000</v>
      </c>
      <c r="AD954" s="5">
        <v>1070</v>
      </c>
      <c r="AE954" s="5">
        <v>1170</v>
      </c>
      <c r="AF954" s="5">
        <f t="shared" si="1027"/>
        <v>1310</v>
      </c>
      <c r="AG954" s="5">
        <f t="shared" si="1008"/>
        <v>1310</v>
      </c>
      <c r="AH954" s="5">
        <f t="shared" si="1008"/>
        <v>1310</v>
      </c>
      <c r="AI954" s="5">
        <f t="shared" ref="AI954:AJ954" si="1029">+AH954</f>
        <v>1310</v>
      </c>
      <c r="AJ954" s="5">
        <f t="shared" si="1029"/>
        <v>1310</v>
      </c>
      <c r="AK954" s="2"/>
      <c r="AL954" s="106"/>
    </row>
    <row r="955" spans="1:38" ht="15" customHeight="1" x14ac:dyDescent="0.2">
      <c r="A955" s="29" t="s">
        <v>824</v>
      </c>
      <c r="B955" s="29" t="s">
        <v>822</v>
      </c>
      <c r="C955" s="29" t="s">
        <v>823</v>
      </c>
      <c r="D955" s="2" t="s">
        <v>808</v>
      </c>
      <c r="E955" s="2" t="s">
        <v>909</v>
      </c>
      <c r="F955" s="2" t="s">
        <v>219</v>
      </c>
      <c r="G955" s="3"/>
      <c r="H955" s="2" t="s">
        <v>245</v>
      </c>
      <c r="I955" s="3"/>
      <c r="J955" s="28" t="s">
        <v>73</v>
      </c>
      <c r="K955" s="28"/>
      <c r="L955" s="43" t="s">
        <v>202</v>
      </c>
      <c r="M955" s="4" t="s">
        <v>3</v>
      </c>
      <c r="N955" s="15">
        <v>92821036</v>
      </c>
      <c r="O955" s="88">
        <v>20928210368</v>
      </c>
      <c r="P955" s="38"/>
      <c r="Q955" s="38"/>
      <c r="R955" s="38"/>
      <c r="S955" s="38"/>
      <c r="T955" s="38"/>
      <c r="U955" s="16" t="s">
        <v>796</v>
      </c>
      <c r="V955" s="16" t="s">
        <v>916</v>
      </c>
      <c r="W955" s="12">
        <v>42156</v>
      </c>
      <c r="X955" s="12">
        <v>42460</v>
      </c>
      <c r="Y955" s="12">
        <v>42735</v>
      </c>
      <c r="Z955" s="2" t="s">
        <v>17</v>
      </c>
      <c r="AA955" s="2"/>
      <c r="AB955" s="14"/>
      <c r="AC955" s="5">
        <v>1000</v>
      </c>
      <c r="AD955" s="5"/>
      <c r="AE955" s="5">
        <v>1170</v>
      </c>
      <c r="AF955" s="5">
        <f t="shared" si="1027"/>
        <v>1310</v>
      </c>
      <c r="AG955" s="5">
        <f t="shared" ref="AG955:AH966" si="1030">+AF955</f>
        <v>1310</v>
      </c>
      <c r="AH955" s="5">
        <f t="shared" si="1030"/>
        <v>1310</v>
      </c>
      <c r="AI955" s="5">
        <f t="shared" ref="AI955:AJ955" si="1031">+AH955</f>
        <v>1310</v>
      </c>
      <c r="AJ955" s="5">
        <f t="shared" si="1031"/>
        <v>1310</v>
      </c>
      <c r="AK955" s="2" t="s">
        <v>43</v>
      </c>
      <c r="AL955" s="105" t="str">
        <f>+AK955</f>
        <v>A0</v>
      </c>
    </row>
    <row r="956" spans="1:38" ht="15" customHeight="1" x14ac:dyDescent="0.2">
      <c r="A956" s="29" t="s">
        <v>824</v>
      </c>
      <c r="B956" s="2" t="s">
        <v>822</v>
      </c>
      <c r="C956" s="3"/>
      <c r="D956" s="2" t="s">
        <v>825</v>
      </c>
      <c r="E956" s="3" t="s">
        <v>18</v>
      </c>
      <c r="F956" s="2" t="s">
        <v>1012</v>
      </c>
      <c r="G956" s="2"/>
      <c r="H956" s="2" t="s">
        <v>37</v>
      </c>
      <c r="I956" s="2" t="s">
        <v>1707</v>
      </c>
      <c r="J956" s="28" t="s">
        <v>548</v>
      </c>
      <c r="K956" s="28" t="s">
        <v>548</v>
      </c>
      <c r="L956" s="44" t="s">
        <v>764</v>
      </c>
      <c r="M956" s="4" t="s">
        <v>3</v>
      </c>
      <c r="N956" s="15">
        <v>25201218</v>
      </c>
      <c r="O956" s="88" t="s">
        <v>1258</v>
      </c>
      <c r="P956" s="38">
        <v>27807</v>
      </c>
      <c r="Q956" s="38"/>
      <c r="R956" s="38"/>
      <c r="S956" s="38"/>
      <c r="T956" s="38"/>
      <c r="U956" s="17" t="s">
        <v>215</v>
      </c>
      <c r="V956" s="17" t="s">
        <v>915</v>
      </c>
      <c r="W956" s="12">
        <v>40725</v>
      </c>
      <c r="X956" s="12"/>
      <c r="Y956" s="12">
        <v>42735</v>
      </c>
      <c r="Z956" s="2"/>
      <c r="AA956" s="2" t="s">
        <v>479</v>
      </c>
      <c r="AB956" s="7" t="s">
        <v>787</v>
      </c>
      <c r="AC956" s="5">
        <v>1000</v>
      </c>
      <c r="AD956" s="5">
        <f>+AC956</f>
        <v>1000</v>
      </c>
      <c r="AE956" s="5">
        <v>1170</v>
      </c>
      <c r="AF956" s="5">
        <f t="shared" si="1027"/>
        <v>1310</v>
      </c>
      <c r="AG956" s="5">
        <f t="shared" si="1030"/>
        <v>1310</v>
      </c>
      <c r="AH956" s="5">
        <f t="shared" si="1030"/>
        <v>1310</v>
      </c>
      <c r="AI956" s="5">
        <f t="shared" ref="AI956:AJ956" si="1032">+AH956</f>
        <v>1310</v>
      </c>
      <c r="AJ956" s="5">
        <f t="shared" si="1032"/>
        <v>1310</v>
      </c>
      <c r="AK956" s="2"/>
      <c r="AL956" s="106"/>
    </row>
    <row r="957" spans="1:38" ht="15" customHeight="1" x14ac:dyDescent="0.2">
      <c r="A957" s="29" t="s">
        <v>824</v>
      </c>
      <c r="B957" s="29" t="s">
        <v>822</v>
      </c>
      <c r="C957" s="14"/>
      <c r="D957" s="2" t="s">
        <v>956</v>
      </c>
      <c r="E957" s="2" t="s">
        <v>956</v>
      </c>
      <c r="F957" s="3"/>
      <c r="G957" s="3"/>
      <c r="H957" s="2" t="s">
        <v>1105</v>
      </c>
      <c r="I957" s="2" t="s">
        <v>1707</v>
      </c>
      <c r="J957" s="28"/>
      <c r="K957" s="28" t="s">
        <v>1765</v>
      </c>
      <c r="L957" s="41" t="s">
        <v>873</v>
      </c>
      <c r="M957" s="4" t="s">
        <v>3</v>
      </c>
      <c r="N957" s="15">
        <v>25452505</v>
      </c>
      <c r="O957" s="88" t="s">
        <v>1602</v>
      </c>
      <c r="P957" s="38">
        <v>27963</v>
      </c>
      <c r="Q957" s="38"/>
      <c r="R957" s="38"/>
      <c r="S957" s="38"/>
      <c r="T957" s="38"/>
      <c r="U957" s="17" t="s">
        <v>215</v>
      </c>
      <c r="V957" s="17" t="s">
        <v>915</v>
      </c>
      <c r="W957" s="12">
        <v>42370</v>
      </c>
      <c r="X957" s="48"/>
      <c r="Y957" s="12">
        <v>42735</v>
      </c>
      <c r="Z957" s="2"/>
      <c r="AA957" s="2" t="s">
        <v>479</v>
      </c>
      <c r="AB957" s="3" t="s">
        <v>10</v>
      </c>
      <c r="AC957" s="5">
        <v>1000</v>
      </c>
      <c r="AD957" s="5">
        <f>+AC957*1.07</f>
        <v>1070</v>
      </c>
      <c r="AE957" s="5">
        <v>1170</v>
      </c>
      <c r="AF957" s="5">
        <f t="shared" si="1027"/>
        <v>1310</v>
      </c>
      <c r="AG957" s="5">
        <f t="shared" si="1030"/>
        <v>1310</v>
      </c>
      <c r="AH957" s="5">
        <f t="shared" si="1030"/>
        <v>1310</v>
      </c>
      <c r="AI957" s="5">
        <f t="shared" ref="AI957:AJ957" si="1033">+AH957</f>
        <v>1310</v>
      </c>
      <c r="AJ957" s="5">
        <f t="shared" si="1033"/>
        <v>1310</v>
      </c>
      <c r="AK957" s="2" t="s">
        <v>43</v>
      </c>
      <c r="AL957" s="105" t="str">
        <f>+AK957</f>
        <v>A0</v>
      </c>
    </row>
    <row r="958" spans="1:38" ht="15" customHeight="1" x14ac:dyDescent="0.2">
      <c r="A958" s="29" t="s">
        <v>824</v>
      </c>
      <c r="B958" s="29" t="s">
        <v>822</v>
      </c>
      <c r="C958" s="29" t="s">
        <v>823</v>
      </c>
      <c r="D958" s="2" t="s">
        <v>800</v>
      </c>
      <c r="E958" s="2" t="s">
        <v>59</v>
      </c>
      <c r="F958" s="2"/>
      <c r="G958" s="2"/>
      <c r="H958" s="2" t="s">
        <v>1707</v>
      </c>
      <c r="I958" s="3"/>
      <c r="J958" s="28" t="s">
        <v>254</v>
      </c>
      <c r="K958" s="28"/>
      <c r="L958" s="42" t="s">
        <v>258</v>
      </c>
      <c r="M958" s="4" t="s">
        <v>3</v>
      </c>
      <c r="N958" s="15">
        <v>36636933</v>
      </c>
      <c r="O958" s="88">
        <v>20366369334</v>
      </c>
      <c r="P958" s="38"/>
      <c r="Q958" s="38"/>
      <c r="R958" s="38"/>
      <c r="S958" s="38"/>
      <c r="T958" s="38"/>
      <c r="U958" s="16" t="s">
        <v>796</v>
      </c>
      <c r="V958" s="16" t="s">
        <v>916</v>
      </c>
      <c r="W958" s="12">
        <v>41030</v>
      </c>
      <c r="X958" s="48">
        <v>42735</v>
      </c>
      <c r="Y958" s="12">
        <v>42735</v>
      </c>
      <c r="Z958" s="2" t="s">
        <v>42</v>
      </c>
      <c r="AA958" s="2"/>
      <c r="AB958" s="18"/>
      <c r="AC958" s="5">
        <v>1000</v>
      </c>
      <c r="AD958" s="5"/>
      <c r="AE958" s="5">
        <v>1170</v>
      </c>
      <c r="AF958" s="5">
        <f t="shared" si="1027"/>
        <v>1310</v>
      </c>
      <c r="AG958" s="5">
        <f t="shared" si="1030"/>
        <v>1310</v>
      </c>
      <c r="AH958" s="5">
        <f t="shared" si="1030"/>
        <v>1310</v>
      </c>
      <c r="AI958" s="5">
        <f t="shared" ref="AI958:AJ958" si="1034">+AH958</f>
        <v>1310</v>
      </c>
      <c r="AJ958" s="5">
        <f t="shared" si="1034"/>
        <v>1310</v>
      </c>
      <c r="AK958" s="29"/>
      <c r="AL958" s="105" t="str">
        <f>+Z958</f>
        <v>C0</v>
      </c>
    </row>
    <row r="959" spans="1:38" ht="15" customHeight="1" x14ac:dyDescent="0.2">
      <c r="A959" s="29" t="s">
        <v>824</v>
      </c>
      <c r="B959" s="29" t="s">
        <v>822</v>
      </c>
      <c r="C959" s="29" t="s">
        <v>823</v>
      </c>
      <c r="D959" s="2" t="s">
        <v>808</v>
      </c>
      <c r="E959" s="2" t="s">
        <v>216</v>
      </c>
      <c r="F959" s="3"/>
      <c r="G959" s="3"/>
      <c r="H959" s="2" t="s">
        <v>221</v>
      </c>
      <c r="I959" s="3"/>
      <c r="J959" s="28" t="s">
        <v>73</v>
      </c>
      <c r="K959" s="28"/>
      <c r="L959" s="45" t="s">
        <v>203</v>
      </c>
      <c r="M959" s="4" t="s">
        <v>3</v>
      </c>
      <c r="N959" s="15">
        <v>23354383</v>
      </c>
      <c r="O959" s="88">
        <v>27233543832</v>
      </c>
      <c r="P959" s="38"/>
      <c r="Q959" s="38"/>
      <c r="R959" s="38"/>
      <c r="S959" s="38"/>
      <c r="T959" s="38"/>
      <c r="U959" s="16" t="s">
        <v>796</v>
      </c>
      <c r="V959" s="16" t="s">
        <v>916</v>
      </c>
      <c r="W959" s="12">
        <v>39479</v>
      </c>
      <c r="X959" s="48">
        <v>42735</v>
      </c>
      <c r="Y959" s="12">
        <v>42735</v>
      </c>
      <c r="Z959" s="2" t="s">
        <v>60</v>
      </c>
      <c r="AA959" s="2"/>
      <c r="AB959" s="14"/>
      <c r="AC959" s="5">
        <v>1000</v>
      </c>
      <c r="AD959" s="5"/>
      <c r="AE959" s="5">
        <v>1170</v>
      </c>
      <c r="AF959" s="5">
        <f t="shared" si="1027"/>
        <v>1310</v>
      </c>
      <c r="AG959" s="5">
        <f t="shared" si="1030"/>
        <v>1310</v>
      </c>
      <c r="AH959" s="5">
        <f t="shared" si="1030"/>
        <v>1310</v>
      </c>
      <c r="AI959" s="5">
        <f t="shared" ref="AI959:AJ959" si="1035">+AH959</f>
        <v>1310</v>
      </c>
      <c r="AJ959" s="5">
        <f t="shared" si="1035"/>
        <v>1310</v>
      </c>
      <c r="AK959" s="29"/>
      <c r="AL959" s="105" t="str">
        <f>+Z959</f>
        <v>B2</v>
      </c>
    </row>
    <row r="960" spans="1:38" ht="15" customHeight="1" x14ac:dyDescent="0.2">
      <c r="A960" s="29" t="s">
        <v>824</v>
      </c>
      <c r="B960" s="29" t="s">
        <v>822</v>
      </c>
      <c r="C960" s="29" t="s">
        <v>823</v>
      </c>
      <c r="D960" s="2" t="s">
        <v>808</v>
      </c>
      <c r="E960" s="2" t="s">
        <v>909</v>
      </c>
      <c r="F960" s="2" t="s">
        <v>507</v>
      </c>
      <c r="G960" s="3"/>
      <c r="H960" s="2" t="s">
        <v>48</v>
      </c>
      <c r="I960" s="2" t="s">
        <v>1707</v>
      </c>
      <c r="J960" s="28" t="s">
        <v>73</v>
      </c>
      <c r="K960" s="28" t="s">
        <v>1765</v>
      </c>
      <c r="L960" s="43" t="s">
        <v>204</v>
      </c>
      <c r="M960" s="4" t="s">
        <v>3</v>
      </c>
      <c r="N960" s="15">
        <v>34000534</v>
      </c>
      <c r="O960" s="88" t="s">
        <v>1458</v>
      </c>
      <c r="P960" s="38">
        <v>32358</v>
      </c>
      <c r="Q960" s="38"/>
      <c r="R960" s="38"/>
      <c r="S960" s="38"/>
      <c r="T960" s="38"/>
      <c r="U960" s="17" t="s">
        <v>215</v>
      </c>
      <c r="V960" s="17" t="s">
        <v>915</v>
      </c>
      <c r="W960" s="12">
        <v>42217</v>
      </c>
      <c r="X960" s="37"/>
      <c r="Y960" s="12">
        <v>42735</v>
      </c>
      <c r="Z960" s="2"/>
      <c r="AA960" s="2" t="s">
        <v>479</v>
      </c>
      <c r="AB960" s="7" t="s">
        <v>61</v>
      </c>
      <c r="AC960" s="5">
        <v>1000</v>
      </c>
      <c r="AD960" s="5">
        <f>+AC960*1.07</f>
        <v>1070</v>
      </c>
      <c r="AE960" s="5">
        <v>1170</v>
      </c>
      <c r="AF960" s="5">
        <f t="shared" si="1027"/>
        <v>1310</v>
      </c>
      <c r="AG960" s="5">
        <f t="shared" si="1030"/>
        <v>1310</v>
      </c>
      <c r="AH960" s="5">
        <f t="shared" si="1030"/>
        <v>1310</v>
      </c>
      <c r="AI960" s="5">
        <f t="shared" ref="AI960:AJ960" si="1036">+AH960</f>
        <v>1310</v>
      </c>
      <c r="AJ960" s="5">
        <f t="shared" si="1036"/>
        <v>1310</v>
      </c>
      <c r="AK960" s="29" t="s">
        <v>42</v>
      </c>
      <c r="AL960" s="105" t="str">
        <f>+AK960</f>
        <v>C0</v>
      </c>
    </row>
    <row r="961" spans="1:38" ht="15" customHeight="1" x14ac:dyDescent="0.2">
      <c r="A961" s="29" t="s">
        <v>824</v>
      </c>
      <c r="B961" s="2"/>
      <c r="C961" s="29"/>
      <c r="D961" s="2" t="s">
        <v>820</v>
      </c>
      <c r="E961" s="2" t="s">
        <v>921</v>
      </c>
      <c r="F961" s="2" t="s">
        <v>31</v>
      </c>
      <c r="G961" s="2"/>
      <c r="H961" s="2"/>
      <c r="I961" s="2" t="s">
        <v>1707</v>
      </c>
      <c r="J961" s="28"/>
      <c r="K961" s="28" t="s">
        <v>1765</v>
      </c>
      <c r="L961" s="44" t="s">
        <v>1016</v>
      </c>
      <c r="M961" s="4" t="s">
        <v>3</v>
      </c>
      <c r="N961" s="47">
        <v>39056311</v>
      </c>
      <c r="O961" s="88" t="s">
        <v>1559</v>
      </c>
      <c r="P961" s="38">
        <v>34833</v>
      </c>
      <c r="Q961" s="38"/>
      <c r="R961" s="38"/>
      <c r="S961" s="38"/>
      <c r="T961" s="38"/>
      <c r="U961" s="17" t="s">
        <v>215</v>
      </c>
      <c r="V961" s="17" t="s">
        <v>915</v>
      </c>
      <c r="W961" s="12">
        <v>41730</v>
      </c>
      <c r="X961" s="13"/>
      <c r="Y961" s="12">
        <v>42735</v>
      </c>
      <c r="Z961" s="2"/>
      <c r="AA961" s="2" t="s">
        <v>479</v>
      </c>
      <c r="AB961" s="9"/>
      <c r="AC961" s="5">
        <v>1000</v>
      </c>
      <c r="AD961" s="5">
        <v>1070</v>
      </c>
      <c r="AE961" s="5">
        <v>1170</v>
      </c>
      <c r="AF961" s="5">
        <f t="shared" si="1027"/>
        <v>1310</v>
      </c>
      <c r="AG961" s="5">
        <f t="shared" si="1030"/>
        <v>1310</v>
      </c>
      <c r="AH961" s="5">
        <f t="shared" si="1030"/>
        <v>1310</v>
      </c>
      <c r="AI961" s="5">
        <f t="shared" ref="AI961:AJ961" si="1037">+AH961</f>
        <v>1310</v>
      </c>
      <c r="AJ961" s="5">
        <f t="shared" si="1037"/>
        <v>1310</v>
      </c>
      <c r="AK961" s="29" t="s">
        <v>42</v>
      </c>
      <c r="AL961" s="105" t="str">
        <f>+AK961</f>
        <v>C0</v>
      </c>
    </row>
    <row r="962" spans="1:38" ht="15" customHeight="1" x14ac:dyDescent="0.2">
      <c r="A962" s="29" t="s">
        <v>824</v>
      </c>
      <c r="B962" s="29" t="s">
        <v>822</v>
      </c>
      <c r="C962" s="29" t="s">
        <v>823</v>
      </c>
      <c r="D962" s="2" t="s">
        <v>800</v>
      </c>
      <c r="E962" s="2" t="s">
        <v>487</v>
      </c>
      <c r="F962" s="2"/>
      <c r="G962" s="2"/>
      <c r="H962" s="2" t="s">
        <v>1711</v>
      </c>
      <c r="I962" s="3"/>
      <c r="J962" s="28" t="s">
        <v>254</v>
      </c>
      <c r="K962" s="28"/>
      <c r="L962" s="42" t="s">
        <v>320</v>
      </c>
      <c r="M962" s="4" t="s">
        <v>3</v>
      </c>
      <c r="N962" s="15">
        <v>27183180</v>
      </c>
      <c r="O962" s="88">
        <v>27271831809</v>
      </c>
      <c r="P962" s="38"/>
      <c r="Q962" s="38"/>
      <c r="R962" s="38"/>
      <c r="S962" s="38"/>
      <c r="T962" s="38"/>
      <c r="U962" s="16" t="s">
        <v>796</v>
      </c>
      <c r="V962" s="16" t="s">
        <v>916</v>
      </c>
      <c r="W962" s="12">
        <v>41609</v>
      </c>
      <c r="X962" s="12">
        <v>42460</v>
      </c>
      <c r="Y962" s="12">
        <v>42735</v>
      </c>
      <c r="Z962" s="2" t="s">
        <v>17</v>
      </c>
      <c r="AA962" s="2"/>
      <c r="AB962" s="18"/>
      <c r="AC962" s="5">
        <v>1000</v>
      </c>
      <c r="AD962" s="5"/>
      <c r="AE962" s="5">
        <v>1170</v>
      </c>
      <c r="AF962" s="5">
        <f t="shared" si="1027"/>
        <v>1310</v>
      </c>
      <c r="AG962" s="5">
        <f t="shared" si="1030"/>
        <v>1310</v>
      </c>
      <c r="AH962" s="5">
        <f t="shared" si="1030"/>
        <v>1310</v>
      </c>
      <c r="AI962" s="5">
        <f t="shared" ref="AI962:AJ962" si="1038">+AH962</f>
        <v>1310</v>
      </c>
      <c r="AJ962" s="5">
        <f t="shared" si="1038"/>
        <v>1310</v>
      </c>
      <c r="AK962" s="29"/>
      <c r="AL962" s="105" t="str">
        <f>+Z962</f>
        <v>C1</v>
      </c>
    </row>
    <row r="963" spans="1:38" ht="15" customHeight="1" x14ac:dyDescent="0.2">
      <c r="A963" s="29" t="s">
        <v>824</v>
      </c>
      <c r="B963" s="2" t="s">
        <v>822</v>
      </c>
      <c r="C963" s="29" t="s">
        <v>823</v>
      </c>
      <c r="D963" s="2" t="s">
        <v>808</v>
      </c>
      <c r="E963" s="2" t="s">
        <v>20</v>
      </c>
      <c r="F963" s="2"/>
      <c r="G963" s="2"/>
      <c r="H963" s="2"/>
      <c r="I963" s="2" t="s">
        <v>235</v>
      </c>
      <c r="J963" s="28"/>
      <c r="K963" s="28" t="s">
        <v>1765</v>
      </c>
      <c r="L963" s="44" t="s">
        <v>942</v>
      </c>
      <c r="M963" s="7" t="s">
        <v>3</v>
      </c>
      <c r="N963" s="15">
        <v>31963237</v>
      </c>
      <c r="O963" s="88" t="s">
        <v>1403</v>
      </c>
      <c r="P963" s="38">
        <v>31379</v>
      </c>
      <c r="Q963" s="38"/>
      <c r="R963" s="38"/>
      <c r="S963" s="38"/>
      <c r="T963" s="38"/>
      <c r="U963" s="17" t="s">
        <v>215</v>
      </c>
      <c r="V963" s="17" t="s">
        <v>915</v>
      </c>
      <c r="W963" s="12">
        <v>42491</v>
      </c>
      <c r="X963" s="13"/>
      <c r="Y963" s="12">
        <v>42735</v>
      </c>
      <c r="Z963" s="2"/>
      <c r="AA963" s="2" t="s">
        <v>479</v>
      </c>
      <c r="AB963" s="7"/>
      <c r="AC963" s="5">
        <v>1000</v>
      </c>
      <c r="AD963" s="5">
        <v>1070</v>
      </c>
      <c r="AE963" s="5">
        <v>1170</v>
      </c>
      <c r="AF963" s="5">
        <f t="shared" si="1027"/>
        <v>1310</v>
      </c>
      <c r="AG963" s="5">
        <f t="shared" si="1030"/>
        <v>1310</v>
      </c>
      <c r="AH963" s="5">
        <f t="shared" si="1030"/>
        <v>1310</v>
      </c>
      <c r="AI963" s="5">
        <f t="shared" ref="AI963:AJ963" si="1039">+AH963</f>
        <v>1310</v>
      </c>
      <c r="AJ963" s="5">
        <f t="shared" si="1039"/>
        <v>1310</v>
      </c>
      <c r="AK963" s="2" t="s">
        <v>53</v>
      </c>
      <c r="AL963" s="105" t="str">
        <f>+AK963</f>
        <v>B0</v>
      </c>
    </row>
    <row r="964" spans="1:38" ht="15" customHeight="1" x14ac:dyDescent="0.2">
      <c r="A964" s="29" t="s">
        <v>824</v>
      </c>
      <c r="B964" s="2" t="s">
        <v>822</v>
      </c>
      <c r="C964" s="3"/>
      <c r="D964" s="2" t="s">
        <v>825</v>
      </c>
      <c r="E964" s="3" t="s">
        <v>18</v>
      </c>
      <c r="F964" s="2" t="s">
        <v>19</v>
      </c>
      <c r="G964" s="2"/>
      <c r="H964" s="2" t="s">
        <v>36</v>
      </c>
      <c r="I964" s="2" t="s">
        <v>1707</v>
      </c>
      <c r="J964" s="28" t="s">
        <v>548</v>
      </c>
      <c r="K964" s="28" t="s">
        <v>548</v>
      </c>
      <c r="L964" s="44" t="s">
        <v>765</v>
      </c>
      <c r="M964" s="4" t="s">
        <v>3</v>
      </c>
      <c r="N964" s="15">
        <v>31982264</v>
      </c>
      <c r="O964" s="88" t="s">
        <v>1404</v>
      </c>
      <c r="P964" s="38">
        <v>31474</v>
      </c>
      <c r="Q964" s="38"/>
      <c r="R964" s="38"/>
      <c r="S964" s="38"/>
      <c r="T964" s="38"/>
      <c r="U964" s="17" t="s">
        <v>215</v>
      </c>
      <c r="V964" s="17" t="s">
        <v>915</v>
      </c>
      <c r="W964" s="12">
        <v>41620</v>
      </c>
      <c r="X964" s="12"/>
      <c r="Y964" s="12">
        <v>42735</v>
      </c>
      <c r="Z964" s="2"/>
      <c r="AA964" s="2" t="s">
        <v>479</v>
      </c>
      <c r="AB964" s="7" t="s">
        <v>787</v>
      </c>
      <c r="AC964" s="5">
        <v>1000</v>
      </c>
      <c r="AD964" s="5">
        <f>+AC964</f>
        <v>1000</v>
      </c>
      <c r="AE964" s="5">
        <v>1170</v>
      </c>
      <c r="AF964" s="5">
        <f t="shared" si="1027"/>
        <v>1310</v>
      </c>
      <c r="AG964" s="5">
        <f t="shared" si="1030"/>
        <v>1310</v>
      </c>
      <c r="AH964" s="5">
        <f t="shared" si="1030"/>
        <v>1310</v>
      </c>
      <c r="AI964" s="5">
        <f t="shared" ref="AI964:AJ964" si="1040">+AH964</f>
        <v>1310</v>
      </c>
      <c r="AJ964" s="5">
        <f t="shared" si="1040"/>
        <v>1310</v>
      </c>
      <c r="AK964" s="2"/>
      <c r="AL964" s="106"/>
    </row>
    <row r="965" spans="1:38" ht="15" customHeight="1" x14ac:dyDescent="0.2">
      <c r="A965" s="29" t="s">
        <v>824</v>
      </c>
      <c r="B965" s="29" t="s">
        <v>822</v>
      </c>
      <c r="C965" s="29" t="s">
        <v>823</v>
      </c>
      <c r="D965" s="2" t="s">
        <v>808</v>
      </c>
      <c r="E965" s="2" t="s">
        <v>909</v>
      </c>
      <c r="F965" s="2" t="s">
        <v>23</v>
      </c>
      <c r="G965" s="3" t="s">
        <v>516</v>
      </c>
      <c r="H965" s="2" t="s">
        <v>48</v>
      </c>
      <c r="I965" s="2" t="s">
        <v>238</v>
      </c>
      <c r="J965" s="28" t="s">
        <v>73</v>
      </c>
      <c r="K965" s="28" t="s">
        <v>1765</v>
      </c>
      <c r="L965" s="43" t="s">
        <v>205</v>
      </c>
      <c r="M965" s="4" t="s">
        <v>3</v>
      </c>
      <c r="N965" s="15">
        <v>34019229</v>
      </c>
      <c r="O965" s="88" t="s">
        <v>1460</v>
      </c>
      <c r="P965" s="38">
        <v>32435</v>
      </c>
      <c r="Q965" s="38"/>
      <c r="R965" s="38"/>
      <c r="S965" s="38"/>
      <c r="T965" s="38"/>
      <c r="U965" s="17" t="s">
        <v>215</v>
      </c>
      <c r="V965" s="17" t="s">
        <v>915</v>
      </c>
      <c r="W965" s="12">
        <v>42165</v>
      </c>
      <c r="X965" s="37"/>
      <c r="Y965" s="12">
        <v>42735</v>
      </c>
      <c r="Z965" s="2"/>
      <c r="AA965" s="2" t="s">
        <v>479</v>
      </c>
      <c r="AB965" s="3" t="s">
        <v>10</v>
      </c>
      <c r="AC965" s="5">
        <v>1000</v>
      </c>
      <c r="AD965" s="5">
        <f>+AC965*1.07</f>
        <v>1070</v>
      </c>
      <c r="AE965" s="5">
        <v>1170</v>
      </c>
      <c r="AF965" s="5">
        <f t="shared" si="1027"/>
        <v>1310</v>
      </c>
      <c r="AG965" s="5">
        <f t="shared" si="1030"/>
        <v>1310</v>
      </c>
      <c r="AH965" s="5">
        <f t="shared" si="1030"/>
        <v>1310</v>
      </c>
      <c r="AI965" s="5">
        <f t="shared" ref="AI965:AJ965" si="1041">+AH965</f>
        <v>1310</v>
      </c>
      <c r="AJ965" s="5">
        <f t="shared" si="1041"/>
        <v>1310</v>
      </c>
      <c r="AK965" s="29" t="s">
        <v>42</v>
      </c>
      <c r="AL965" s="105" t="str">
        <f>+AK965</f>
        <v>C0</v>
      </c>
    </row>
    <row r="966" spans="1:38" ht="15" customHeight="1" x14ac:dyDescent="0.2">
      <c r="A966" s="29" t="s">
        <v>824</v>
      </c>
      <c r="B966" s="2"/>
      <c r="C966" s="3"/>
      <c r="D966" s="2" t="s">
        <v>820</v>
      </c>
      <c r="E966" s="2" t="s">
        <v>921</v>
      </c>
      <c r="F966" s="2" t="s">
        <v>31</v>
      </c>
      <c r="G966" s="2" t="s">
        <v>11</v>
      </c>
      <c r="H966" s="2" t="s">
        <v>38</v>
      </c>
      <c r="I966" s="3"/>
      <c r="J966" s="28" t="s">
        <v>73</v>
      </c>
      <c r="K966" s="28"/>
      <c r="L966" s="41" t="s">
        <v>766</v>
      </c>
      <c r="M966" s="4" t="s">
        <v>3</v>
      </c>
      <c r="N966" s="15">
        <v>28695587</v>
      </c>
      <c r="O966" s="88">
        <v>20286955879</v>
      </c>
      <c r="P966" s="61"/>
      <c r="Q966" s="61"/>
      <c r="R966" s="61"/>
      <c r="S966" s="61"/>
      <c r="T966" s="61"/>
      <c r="U966" s="16" t="s">
        <v>796</v>
      </c>
      <c r="V966" s="16" t="s">
        <v>916</v>
      </c>
      <c r="W966" s="12">
        <v>42036</v>
      </c>
      <c r="X966" s="12">
        <v>42460</v>
      </c>
      <c r="Y966" s="12">
        <v>42735</v>
      </c>
      <c r="Z966" s="2" t="s">
        <v>75</v>
      </c>
      <c r="AA966" s="2"/>
      <c r="AB966" s="3"/>
      <c r="AC966" s="5">
        <v>1000</v>
      </c>
      <c r="AD966" s="5"/>
      <c r="AE966" s="5">
        <v>1170</v>
      </c>
      <c r="AF966" s="5">
        <f t="shared" si="1027"/>
        <v>1310</v>
      </c>
      <c r="AG966" s="5">
        <f t="shared" si="1030"/>
        <v>1310</v>
      </c>
      <c r="AH966" s="5">
        <f t="shared" si="1030"/>
        <v>1310</v>
      </c>
      <c r="AI966" s="5">
        <f t="shared" ref="AI966:AJ966" si="1042">+AH966</f>
        <v>1310</v>
      </c>
      <c r="AJ966" s="5">
        <f t="shared" si="1042"/>
        <v>1310</v>
      </c>
      <c r="AK966" s="29"/>
      <c r="AL966" s="105" t="str">
        <f>+Z966</f>
        <v>C4</v>
      </c>
    </row>
    <row r="967" spans="1:38" ht="15" customHeight="1" x14ac:dyDescent="0.2">
      <c r="A967" s="29" t="s">
        <v>824</v>
      </c>
      <c r="B967" s="29" t="s">
        <v>822</v>
      </c>
      <c r="C967" s="29"/>
      <c r="D967" s="2" t="s">
        <v>956</v>
      </c>
      <c r="E967" s="2" t="s">
        <v>956</v>
      </c>
      <c r="F967" s="3"/>
      <c r="G967" s="3"/>
      <c r="H967" s="2"/>
      <c r="I967" s="2"/>
      <c r="J967" s="28"/>
      <c r="K967" s="28"/>
      <c r="L967" s="41" t="s">
        <v>1808</v>
      </c>
      <c r="M967" s="4" t="s">
        <v>3</v>
      </c>
      <c r="N967" s="15">
        <v>21796620</v>
      </c>
      <c r="O967" s="88">
        <v>27217966200</v>
      </c>
      <c r="P967" s="38"/>
      <c r="Q967" s="38"/>
      <c r="R967" s="38"/>
      <c r="S967" s="38"/>
      <c r="T967" s="38"/>
      <c r="U967" s="17"/>
      <c r="V967" s="17" t="s">
        <v>915</v>
      </c>
      <c r="W967" s="12">
        <v>42583</v>
      </c>
      <c r="X967" s="48"/>
      <c r="Y967" s="48">
        <v>42673</v>
      </c>
      <c r="Z967" s="2"/>
      <c r="AA967" s="2" t="s">
        <v>479</v>
      </c>
      <c r="AB967" s="3"/>
      <c r="AC967" s="5"/>
      <c r="AD967" s="5"/>
      <c r="AE967" s="5"/>
      <c r="AF967" s="5">
        <f t="shared" si="1027"/>
        <v>0</v>
      </c>
      <c r="AG967" s="5">
        <v>1310</v>
      </c>
      <c r="AH967" s="5">
        <v>20000</v>
      </c>
      <c r="AI967" s="5">
        <f t="shared" ref="AI967:AJ967" si="1043">+AH967</f>
        <v>20000</v>
      </c>
      <c r="AJ967" s="5">
        <f t="shared" si="1043"/>
        <v>20000</v>
      </c>
      <c r="AK967" s="2" t="s">
        <v>53</v>
      </c>
      <c r="AL967" s="105" t="str">
        <f>+AK967</f>
        <v>B0</v>
      </c>
    </row>
    <row r="968" spans="1:38" ht="15" customHeight="1" x14ac:dyDescent="0.2">
      <c r="A968" s="29" t="s">
        <v>824</v>
      </c>
      <c r="B968" s="29" t="s">
        <v>822</v>
      </c>
      <c r="C968" s="29" t="s">
        <v>823</v>
      </c>
      <c r="D968" s="2" t="s">
        <v>808</v>
      </c>
      <c r="E968" s="2" t="s">
        <v>909</v>
      </c>
      <c r="F968" s="2" t="s">
        <v>811</v>
      </c>
      <c r="G968" s="3" t="s">
        <v>516</v>
      </c>
      <c r="H968" s="2" t="s">
        <v>222</v>
      </c>
      <c r="I968" s="2" t="s">
        <v>811</v>
      </c>
      <c r="J968" s="28" t="s">
        <v>73</v>
      </c>
      <c r="K968" s="28" t="s">
        <v>1765</v>
      </c>
      <c r="L968" s="43" t="s">
        <v>206</v>
      </c>
      <c r="M968" s="4" t="s">
        <v>3</v>
      </c>
      <c r="N968" s="15">
        <v>37345492</v>
      </c>
      <c r="O968" s="88" t="s">
        <v>1528</v>
      </c>
      <c r="P968" s="38">
        <v>34051</v>
      </c>
      <c r="Q968" s="38"/>
      <c r="R968" s="38"/>
      <c r="S968" s="38"/>
      <c r="T968" s="38"/>
      <c r="U968" s="17" t="s">
        <v>215</v>
      </c>
      <c r="V968" s="17" t="s">
        <v>915</v>
      </c>
      <c r="W968" s="12">
        <v>42165</v>
      </c>
      <c r="X968" s="37"/>
      <c r="Y968" s="12">
        <v>42735</v>
      </c>
      <c r="Z968" s="2"/>
      <c r="AA968" s="2" t="s">
        <v>479</v>
      </c>
      <c r="AB968" s="14" t="s">
        <v>479</v>
      </c>
      <c r="AC968" s="5">
        <v>1000</v>
      </c>
      <c r="AD968" s="5">
        <f>+AC968*1.07</f>
        <v>1070</v>
      </c>
      <c r="AE968" s="5">
        <v>1170</v>
      </c>
      <c r="AF968" s="5">
        <f t="shared" si="1027"/>
        <v>1310</v>
      </c>
      <c r="AG968" s="5">
        <f t="shared" ref="AG968:AH978" si="1044">+AF968</f>
        <v>1310</v>
      </c>
      <c r="AH968" s="5">
        <f t="shared" si="1044"/>
        <v>1310</v>
      </c>
      <c r="AI968" s="5">
        <f t="shared" ref="AI968:AJ968" si="1045">+AH968</f>
        <v>1310</v>
      </c>
      <c r="AJ968" s="5">
        <f t="shared" si="1045"/>
        <v>1310</v>
      </c>
      <c r="AK968" s="29" t="s">
        <v>42</v>
      </c>
      <c r="AL968" s="105" t="str">
        <f>+AK968</f>
        <v>C0</v>
      </c>
    </row>
    <row r="969" spans="1:38" ht="15" customHeight="1" x14ac:dyDescent="0.2">
      <c r="A969" s="29" t="s">
        <v>824</v>
      </c>
      <c r="B969" s="2" t="s">
        <v>822</v>
      </c>
      <c r="C969" s="3"/>
      <c r="D969" s="2" t="s">
        <v>825</v>
      </c>
      <c r="E969" s="3" t="s">
        <v>18</v>
      </c>
      <c r="F969" s="2" t="s">
        <v>19</v>
      </c>
      <c r="G969" s="2"/>
      <c r="H969" s="2" t="s">
        <v>35</v>
      </c>
      <c r="I969" s="2" t="s">
        <v>1707</v>
      </c>
      <c r="J969" s="28" t="s">
        <v>548</v>
      </c>
      <c r="K969" s="28" t="s">
        <v>548</v>
      </c>
      <c r="L969" s="44" t="s">
        <v>767</v>
      </c>
      <c r="M969" s="4" t="s">
        <v>3</v>
      </c>
      <c r="N969" s="15">
        <v>21094516</v>
      </c>
      <c r="O969" s="88" t="s">
        <v>1199</v>
      </c>
      <c r="P969" s="38">
        <v>25490</v>
      </c>
      <c r="Q969" s="38"/>
      <c r="R969" s="38"/>
      <c r="S969" s="38"/>
      <c r="T969" s="38"/>
      <c r="U969" s="17" t="s">
        <v>215</v>
      </c>
      <c r="V969" s="17" t="s">
        <v>915</v>
      </c>
      <c r="W969" s="12">
        <v>40848</v>
      </c>
      <c r="X969" s="12"/>
      <c r="Y969" s="12">
        <v>42735</v>
      </c>
      <c r="Z969" s="2"/>
      <c r="AA969" s="2" t="s">
        <v>479</v>
      </c>
      <c r="AB969" s="7" t="s">
        <v>787</v>
      </c>
      <c r="AC969" s="5">
        <v>1000</v>
      </c>
      <c r="AD969" s="5">
        <f>+AC969</f>
        <v>1000</v>
      </c>
      <c r="AE969" s="5">
        <v>1170</v>
      </c>
      <c r="AF969" s="5">
        <f t="shared" si="1027"/>
        <v>1310</v>
      </c>
      <c r="AG969" s="5">
        <f t="shared" si="1044"/>
        <v>1310</v>
      </c>
      <c r="AH969" s="5">
        <f t="shared" si="1044"/>
        <v>1310</v>
      </c>
      <c r="AI969" s="5">
        <f t="shared" ref="AI969:AJ969" si="1046">+AH969</f>
        <v>1310</v>
      </c>
      <c r="AJ969" s="5">
        <f t="shared" si="1046"/>
        <v>1310</v>
      </c>
      <c r="AK969" s="29"/>
      <c r="AL969" s="8"/>
    </row>
    <row r="970" spans="1:38" ht="15" customHeight="1" x14ac:dyDescent="0.25">
      <c r="A970" s="29" t="s">
        <v>824</v>
      </c>
      <c r="B970" s="2"/>
      <c r="C970" s="3"/>
      <c r="D970" s="2" t="s">
        <v>820</v>
      </c>
      <c r="E970" s="2" t="s">
        <v>921</v>
      </c>
      <c r="F970" s="2" t="s">
        <v>31</v>
      </c>
      <c r="G970" s="2"/>
      <c r="H970" s="2"/>
      <c r="I970" s="3"/>
      <c r="J970" s="28"/>
      <c r="K970" s="28"/>
      <c r="L970" s="42" t="s">
        <v>1044</v>
      </c>
      <c r="M970" s="7" t="s">
        <v>3</v>
      </c>
      <c r="N970" s="15">
        <v>29194068</v>
      </c>
      <c r="O970" s="88">
        <v>20291940685</v>
      </c>
      <c r="P970" s="61"/>
      <c r="Q970" s="61"/>
      <c r="R970" s="61"/>
      <c r="S970" s="61"/>
      <c r="T970" s="61"/>
      <c r="U970" s="16"/>
      <c r="V970" s="16" t="s">
        <v>916</v>
      </c>
      <c r="W970" s="86">
        <v>39692</v>
      </c>
      <c r="X970" s="12"/>
      <c r="Y970" s="12">
        <v>42735</v>
      </c>
      <c r="Z970" s="2" t="s">
        <v>17</v>
      </c>
      <c r="AA970" s="2"/>
      <c r="AB970" s="18"/>
      <c r="AC970" s="5">
        <v>1000</v>
      </c>
      <c r="AD970" s="5"/>
      <c r="AE970" s="5">
        <v>1170</v>
      </c>
      <c r="AF970" s="5">
        <f t="shared" si="1027"/>
        <v>1310</v>
      </c>
      <c r="AG970" s="5">
        <f t="shared" si="1044"/>
        <v>1310</v>
      </c>
      <c r="AH970" s="5">
        <f t="shared" si="1044"/>
        <v>1310</v>
      </c>
      <c r="AI970" s="5">
        <f t="shared" ref="AI970:AJ970" si="1047">+AH970</f>
        <v>1310</v>
      </c>
      <c r="AJ970" s="5">
        <f t="shared" si="1047"/>
        <v>1310</v>
      </c>
      <c r="AK970" s="29"/>
      <c r="AL970" s="105" t="str">
        <f>+Z970</f>
        <v>C1</v>
      </c>
    </row>
    <row r="971" spans="1:38" ht="15" customHeight="1" x14ac:dyDescent="0.2">
      <c r="A971" s="29" t="s">
        <v>824</v>
      </c>
      <c r="B971" s="2" t="s">
        <v>822</v>
      </c>
      <c r="C971" s="29"/>
      <c r="D971" s="2" t="s">
        <v>825</v>
      </c>
      <c r="E971" s="3" t="s">
        <v>8</v>
      </c>
      <c r="F971" s="2" t="s">
        <v>913</v>
      </c>
      <c r="G971" s="2"/>
      <c r="H971" s="2" t="s">
        <v>9</v>
      </c>
      <c r="I971" s="2" t="s">
        <v>13</v>
      </c>
      <c r="J971" s="28" t="s">
        <v>549</v>
      </c>
      <c r="K971" s="28" t="s">
        <v>549</v>
      </c>
      <c r="L971" s="41" t="s">
        <v>768</v>
      </c>
      <c r="M971" s="4" t="s">
        <v>3</v>
      </c>
      <c r="N971" s="15">
        <v>25287172</v>
      </c>
      <c r="O971" s="88">
        <v>20252871722</v>
      </c>
      <c r="P971" s="38">
        <v>27998</v>
      </c>
      <c r="Q971" s="38"/>
      <c r="R971" s="38"/>
      <c r="S971" s="38"/>
      <c r="T971" s="38"/>
      <c r="U971" s="17" t="s">
        <v>215</v>
      </c>
      <c r="V971" s="17" t="s">
        <v>915</v>
      </c>
      <c r="W971" s="12">
        <v>42248</v>
      </c>
      <c r="X971" s="12"/>
      <c r="Y971" s="12">
        <v>42735</v>
      </c>
      <c r="Z971" s="2"/>
      <c r="AA971" s="2" t="s">
        <v>479</v>
      </c>
      <c r="AB971" s="3" t="s">
        <v>10</v>
      </c>
      <c r="AC971" s="5">
        <v>1000</v>
      </c>
      <c r="AD971" s="5">
        <f>+AC971*1.07</f>
        <v>1070</v>
      </c>
      <c r="AE971" s="5">
        <v>1170</v>
      </c>
      <c r="AF971" s="5">
        <f t="shared" si="1027"/>
        <v>1310</v>
      </c>
      <c r="AG971" s="5">
        <f t="shared" si="1044"/>
        <v>1310</v>
      </c>
      <c r="AH971" s="5">
        <f t="shared" si="1044"/>
        <v>1310</v>
      </c>
      <c r="AI971" s="5">
        <f t="shared" ref="AI971:AJ971" si="1048">+AH971</f>
        <v>1310</v>
      </c>
      <c r="AJ971" s="5">
        <f t="shared" si="1048"/>
        <v>1310</v>
      </c>
      <c r="AK971" s="2" t="s">
        <v>1815</v>
      </c>
      <c r="AL971" s="106"/>
    </row>
    <row r="972" spans="1:38" ht="15" customHeight="1" x14ac:dyDescent="0.2">
      <c r="A972" s="29" t="s">
        <v>824</v>
      </c>
      <c r="B972" s="29" t="s">
        <v>822</v>
      </c>
      <c r="C972" s="29" t="s">
        <v>823</v>
      </c>
      <c r="D972" s="2" t="s">
        <v>808</v>
      </c>
      <c r="E972" s="2" t="s">
        <v>909</v>
      </c>
      <c r="F972" s="2" t="s">
        <v>23</v>
      </c>
      <c r="G972" s="3" t="s">
        <v>530</v>
      </c>
      <c r="H972" s="2" t="s">
        <v>250</v>
      </c>
      <c r="I972" s="2" t="s">
        <v>250</v>
      </c>
      <c r="J972" s="28" t="s">
        <v>73</v>
      </c>
      <c r="K972" s="28" t="s">
        <v>1765</v>
      </c>
      <c r="L972" s="43" t="s">
        <v>207</v>
      </c>
      <c r="M972" s="4" t="s">
        <v>3</v>
      </c>
      <c r="N972" s="15">
        <v>33426819</v>
      </c>
      <c r="O972" s="88" t="s">
        <v>1445</v>
      </c>
      <c r="P972" s="38">
        <v>32163</v>
      </c>
      <c r="Q972" s="38"/>
      <c r="R972" s="38"/>
      <c r="S972" s="38"/>
      <c r="T972" s="38"/>
      <c r="U972" s="17" t="s">
        <v>215</v>
      </c>
      <c r="V972" s="17" t="s">
        <v>915</v>
      </c>
      <c r="W972" s="12">
        <v>42156</v>
      </c>
      <c r="X972" s="37"/>
      <c r="Y972" s="12">
        <v>42735</v>
      </c>
      <c r="Z972" s="2"/>
      <c r="AA972" s="2" t="s">
        <v>479</v>
      </c>
      <c r="AB972" s="7" t="s">
        <v>61</v>
      </c>
      <c r="AC972" s="5">
        <v>1000</v>
      </c>
      <c r="AD972" s="5">
        <f>+AC972*1.07</f>
        <v>1070</v>
      </c>
      <c r="AE972" s="5">
        <v>1170</v>
      </c>
      <c r="AF972" s="5">
        <f t="shared" si="1027"/>
        <v>1310</v>
      </c>
      <c r="AG972" s="5">
        <f t="shared" si="1044"/>
        <v>1310</v>
      </c>
      <c r="AH972" s="5">
        <f t="shared" si="1044"/>
        <v>1310</v>
      </c>
      <c r="AI972" s="5">
        <f t="shared" ref="AI972:AJ972" si="1049">+AH972</f>
        <v>1310</v>
      </c>
      <c r="AJ972" s="5">
        <f t="shared" si="1049"/>
        <v>1310</v>
      </c>
      <c r="AK972" s="29" t="s">
        <v>42</v>
      </c>
      <c r="AL972" s="105" t="str">
        <f>+AK972</f>
        <v>C0</v>
      </c>
    </row>
    <row r="973" spans="1:38" ht="15" customHeight="1" x14ac:dyDescent="0.2">
      <c r="A973" s="29" t="s">
        <v>824</v>
      </c>
      <c r="B973" s="29" t="s">
        <v>822</v>
      </c>
      <c r="C973" s="29" t="s">
        <v>823</v>
      </c>
      <c r="D973" s="2" t="s">
        <v>800</v>
      </c>
      <c r="E973" s="2" t="s">
        <v>59</v>
      </c>
      <c r="F973" s="2"/>
      <c r="G973" s="2"/>
      <c r="H973" s="2" t="s">
        <v>1707</v>
      </c>
      <c r="I973" s="3"/>
      <c r="J973" s="28" t="s">
        <v>254</v>
      </c>
      <c r="K973" s="28"/>
      <c r="L973" s="42" t="s">
        <v>259</v>
      </c>
      <c r="M973" s="4" t="s">
        <v>3</v>
      </c>
      <c r="N973" s="15">
        <v>26949557</v>
      </c>
      <c r="O973" s="88">
        <v>27269495575</v>
      </c>
      <c r="P973" s="38"/>
      <c r="Q973" s="38"/>
      <c r="R973" s="38"/>
      <c r="S973" s="38"/>
      <c r="T973" s="38"/>
      <c r="U973" s="16" t="s">
        <v>796</v>
      </c>
      <c r="V973" s="16" t="s">
        <v>916</v>
      </c>
      <c r="W973" s="12">
        <v>41214</v>
      </c>
      <c r="X973" s="48">
        <v>42735</v>
      </c>
      <c r="Y973" s="12">
        <v>42735</v>
      </c>
      <c r="Z973" s="2" t="s">
        <v>42</v>
      </c>
      <c r="AA973" s="2"/>
      <c r="AB973" s="18"/>
      <c r="AC973" s="5">
        <v>1000</v>
      </c>
      <c r="AD973" s="5"/>
      <c r="AE973" s="5">
        <v>1170</v>
      </c>
      <c r="AF973" s="5">
        <f t="shared" si="1027"/>
        <v>1310</v>
      </c>
      <c r="AG973" s="5">
        <f t="shared" si="1044"/>
        <v>1310</v>
      </c>
      <c r="AH973" s="5">
        <f t="shared" si="1044"/>
        <v>1310</v>
      </c>
      <c r="AI973" s="5">
        <f t="shared" ref="AI973:AJ973" si="1050">+AH973</f>
        <v>1310</v>
      </c>
      <c r="AJ973" s="5">
        <f t="shared" si="1050"/>
        <v>1310</v>
      </c>
      <c r="AK973" s="29"/>
      <c r="AL973" s="105" t="str">
        <f>+Z973</f>
        <v>C0</v>
      </c>
    </row>
    <row r="974" spans="1:38" ht="15" customHeight="1" x14ac:dyDescent="0.2">
      <c r="A974" s="29" t="s">
        <v>824</v>
      </c>
      <c r="B974" s="29" t="s">
        <v>822</v>
      </c>
      <c r="C974" s="29" t="s">
        <v>823</v>
      </c>
      <c r="D974" s="2" t="s">
        <v>808</v>
      </c>
      <c r="E974" s="2"/>
      <c r="F974" s="3"/>
      <c r="G974" s="3"/>
      <c r="H974" s="2" t="s">
        <v>1639</v>
      </c>
      <c r="I974" s="2" t="s">
        <v>1707</v>
      </c>
      <c r="J974" s="28"/>
      <c r="K974" s="28" t="s">
        <v>1765</v>
      </c>
      <c r="L974" s="41" t="s">
        <v>1631</v>
      </c>
      <c r="M974" s="7" t="s">
        <v>3</v>
      </c>
      <c r="N974" s="15">
        <v>8537726</v>
      </c>
      <c r="O974" s="88">
        <v>20085377265</v>
      </c>
      <c r="P974" s="38">
        <v>18694</v>
      </c>
      <c r="Q974" s="38"/>
      <c r="R974" s="38"/>
      <c r="S974" s="38"/>
      <c r="T974" s="38"/>
      <c r="U974" s="17" t="s">
        <v>215</v>
      </c>
      <c r="V974" s="17" t="s">
        <v>915</v>
      </c>
      <c r="W974" s="12">
        <v>42522</v>
      </c>
      <c r="X974" s="48"/>
      <c r="Y974" s="48">
        <v>42735</v>
      </c>
      <c r="Z974" s="2"/>
      <c r="AA974" s="2" t="s">
        <v>479</v>
      </c>
      <c r="AB974" s="3"/>
      <c r="AC974" s="5"/>
      <c r="AD974" s="5">
        <v>1070</v>
      </c>
      <c r="AE974" s="5">
        <v>1170</v>
      </c>
      <c r="AF974" s="5">
        <f t="shared" si="1027"/>
        <v>0</v>
      </c>
      <c r="AG974" s="5">
        <f t="shared" si="1044"/>
        <v>0</v>
      </c>
      <c r="AH974" s="5">
        <f t="shared" si="1044"/>
        <v>0</v>
      </c>
      <c r="AI974" s="5">
        <f t="shared" ref="AI974:AJ974" si="1051">+AH974</f>
        <v>0</v>
      </c>
      <c r="AJ974" s="5">
        <f t="shared" si="1051"/>
        <v>0</v>
      </c>
      <c r="AK974" s="2" t="s">
        <v>53</v>
      </c>
      <c r="AL974" s="105" t="str">
        <f>+AK974</f>
        <v>B0</v>
      </c>
    </row>
    <row r="975" spans="1:38" ht="15" customHeight="1" x14ac:dyDescent="0.2">
      <c r="A975" s="29" t="s">
        <v>824</v>
      </c>
      <c r="B975" s="29" t="s">
        <v>822</v>
      </c>
      <c r="C975" s="29" t="s">
        <v>823</v>
      </c>
      <c r="D975" s="2" t="s">
        <v>800</v>
      </c>
      <c r="E975" s="2"/>
      <c r="F975" s="2"/>
      <c r="G975" s="2"/>
      <c r="H975" s="2"/>
      <c r="I975" s="3" t="s">
        <v>1713</v>
      </c>
      <c r="J975" s="28"/>
      <c r="K975" s="28" t="s">
        <v>1767</v>
      </c>
      <c r="L975" s="41" t="s">
        <v>1063</v>
      </c>
      <c r="M975" s="7" t="s">
        <v>3</v>
      </c>
      <c r="N975" s="15">
        <v>35984271</v>
      </c>
      <c r="O975" s="88">
        <v>20359842717</v>
      </c>
      <c r="P975" s="38">
        <v>32422</v>
      </c>
      <c r="Q975" s="38"/>
      <c r="R975" s="38"/>
      <c r="S975" s="38"/>
      <c r="T975" s="38"/>
      <c r="U975" s="17" t="s">
        <v>215</v>
      </c>
      <c r="V975" s="16" t="s">
        <v>915</v>
      </c>
      <c r="W975" s="12"/>
      <c r="X975" s="12"/>
      <c r="Y975" s="12">
        <v>42735</v>
      </c>
      <c r="Z975" s="2"/>
      <c r="AA975" s="2" t="s">
        <v>479</v>
      </c>
      <c r="AB975" s="3"/>
      <c r="AC975" s="5"/>
      <c r="AD975" s="5">
        <v>1070</v>
      </c>
      <c r="AE975" s="5">
        <v>1170</v>
      </c>
      <c r="AF975" s="5">
        <f t="shared" si="1027"/>
        <v>0</v>
      </c>
      <c r="AG975" s="5">
        <f t="shared" si="1044"/>
        <v>0</v>
      </c>
      <c r="AH975" s="5">
        <f t="shared" si="1044"/>
        <v>0</v>
      </c>
      <c r="AI975" s="5">
        <f t="shared" ref="AI975:AJ975" si="1052">+AH975</f>
        <v>0</v>
      </c>
      <c r="AJ975" s="5">
        <f t="shared" si="1052"/>
        <v>0</v>
      </c>
      <c r="AK975" s="29" t="s">
        <v>42</v>
      </c>
      <c r="AL975" s="105" t="str">
        <f>+AK975</f>
        <v>C0</v>
      </c>
    </row>
    <row r="976" spans="1:38" ht="15" customHeight="1" x14ac:dyDescent="0.2">
      <c r="A976" s="29" t="s">
        <v>824</v>
      </c>
      <c r="B976" s="29" t="s">
        <v>822</v>
      </c>
      <c r="C976" s="29" t="s">
        <v>823</v>
      </c>
      <c r="D976" s="2" t="s">
        <v>800</v>
      </c>
      <c r="E976" s="2" t="s">
        <v>487</v>
      </c>
      <c r="F976" s="2"/>
      <c r="G976" s="2"/>
      <c r="H976" s="2" t="s">
        <v>1711</v>
      </c>
      <c r="I976" s="3"/>
      <c r="J976" s="28" t="s">
        <v>254</v>
      </c>
      <c r="K976" s="28"/>
      <c r="L976" s="42" t="s">
        <v>769</v>
      </c>
      <c r="M976" s="4" t="s">
        <v>3</v>
      </c>
      <c r="N976" s="15">
        <v>14231277</v>
      </c>
      <c r="O976" s="88">
        <v>27142312773</v>
      </c>
      <c r="P976" s="38"/>
      <c r="Q976" s="38"/>
      <c r="R976" s="38"/>
      <c r="S976" s="38"/>
      <c r="T976" s="38"/>
      <c r="U976" s="16" t="s">
        <v>796</v>
      </c>
      <c r="V976" s="16" t="s">
        <v>916</v>
      </c>
      <c r="W976" s="12">
        <v>40940</v>
      </c>
      <c r="X976" s="48">
        <v>42735</v>
      </c>
      <c r="Y976" s="12">
        <v>42735</v>
      </c>
      <c r="Z976" s="2" t="s">
        <v>24</v>
      </c>
      <c r="AA976" s="2"/>
      <c r="AB976" s="18"/>
      <c r="AC976" s="5">
        <v>1000</v>
      </c>
      <c r="AD976" s="5"/>
      <c r="AE976" s="5">
        <v>1170</v>
      </c>
      <c r="AF976" s="5">
        <f t="shared" si="1027"/>
        <v>1310</v>
      </c>
      <c r="AG976" s="5">
        <f t="shared" si="1044"/>
        <v>1310</v>
      </c>
      <c r="AH976" s="5">
        <f t="shared" si="1044"/>
        <v>1310</v>
      </c>
      <c r="AI976" s="5">
        <f t="shared" ref="AI976:AJ976" si="1053">+AH976</f>
        <v>1310</v>
      </c>
      <c r="AJ976" s="5">
        <f t="shared" si="1053"/>
        <v>1310</v>
      </c>
      <c r="AK976" s="29"/>
      <c r="AL976" s="105" t="str">
        <f>+Z976</f>
        <v>D0</v>
      </c>
    </row>
    <row r="977" spans="1:38" ht="15" customHeight="1" x14ac:dyDescent="0.2">
      <c r="A977" s="29" t="s">
        <v>824</v>
      </c>
      <c r="B977" s="2" t="s">
        <v>822</v>
      </c>
      <c r="C977" s="3"/>
      <c r="D977" s="2" t="s">
        <v>825</v>
      </c>
      <c r="E977" s="3" t="s">
        <v>18</v>
      </c>
      <c r="F977" s="2" t="s">
        <v>19</v>
      </c>
      <c r="G977" s="2"/>
      <c r="H977" s="2" t="s">
        <v>20</v>
      </c>
      <c r="I977" s="2" t="s">
        <v>1760</v>
      </c>
      <c r="J977" s="28" t="s">
        <v>548</v>
      </c>
      <c r="K977" s="28" t="s">
        <v>548</v>
      </c>
      <c r="L977" s="44" t="s">
        <v>770</v>
      </c>
      <c r="M977" s="4" t="s">
        <v>3</v>
      </c>
      <c r="N977" s="15">
        <v>26348466</v>
      </c>
      <c r="O977" s="88" t="s">
        <v>1285</v>
      </c>
      <c r="P977" s="38">
        <v>35737</v>
      </c>
      <c r="Q977" s="38"/>
      <c r="R977" s="38"/>
      <c r="S977" s="38"/>
      <c r="T977" s="38"/>
      <c r="U977" s="17" t="s">
        <v>215</v>
      </c>
      <c r="V977" s="17" t="s">
        <v>915</v>
      </c>
      <c r="W977" s="12">
        <v>42065</v>
      </c>
      <c r="X977" s="12"/>
      <c r="Y977" s="12">
        <v>42735</v>
      </c>
      <c r="Z977" s="2"/>
      <c r="AA977" s="2" t="s">
        <v>479</v>
      </c>
      <c r="AB977" s="7" t="s">
        <v>787</v>
      </c>
      <c r="AC977" s="5">
        <v>1000</v>
      </c>
      <c r="AD977" s="5">
        <f>+AC977</f>
        <v>1000</v>
      </c>
      <c r="AE977" s="5">
        <v>1170</v>
      </c>
      <c r="AF977" s="5">
        <f t="shared" si="1027"/>
        <v>1310</v>
      </c>
      <c r="AG977" s="5">
        <f t="shared" si="1044"/>
        <v>1310</v>
      </c>
      <c r="AH977" s="5">
        <f t="shared" si="1044"/>
        <v>1310</v>
      </c>
      <c r="AI977" s="5">
        <f t="shared" ref="AI977:AJ977" si="1054">+AH977</f>
        <v>1310</v>
      </c>
      <c r="AJ977" s="5">
        <f t="shared" si="1054"/>
        <v>1310</v>
      </c>
      <c r="AK977" s="2"/>
      <c r="AL977" s="106"/>
    </row>
    <row r="978" spans="1:38" ht="15" customHeight="1" x14ac:dyDescent="0.2">
      <c r="A978" s="29" t="s">
        <v>824</v>
      </c>
      <c r="B978" s="29"/>
      <c r="C978" s="14"/>
      <c r="D978" s="2" t="s">
        <v>819</v>
      </c>
      <c r="E978" s="2"/>
      <c r="F978" s="3"/>
      <c r="G978" s="3"/>
      <c r="H978" s="2" t="s">
        <v>884</v>
      </c>
      <c r="I978" s="2" t="s">
        <v>1707</v>
      </c>
      <c r="J978" s="28"/>
      <c r="K978" s="28" t="s">
        <v>1765</v>
      </c>
      <c r="L978" s="41" t="s">
        <v>867</v>
      </c>
      <c r="M978" s="4" t="s">
        <v>3</v>
      </c>
      <c r="N978" s="15">
        <v>11262651</v>
      </c>
      <c r="O978" s="88" t="s">
        <v>1147</v>
      </c>
      <c r="P978" s="38">
        <v>19850</v>
      </c>
      <c r="Q978" s="38"/>
      <c r="R978" s="38"/>
      <c r="S978" s="38"/>
      <c r="T978" s="38"/>
      <c r="U978" s="17" t="s">
        <v>215</v>
      </c>
      <c r="V978" s="17" t="s">
        <v>915</v>
      </c>
      <c r="W978" s="12">
        <v>42370</v>
      </c>
      <c r="X978" s="48"/>
      <c r="Y978" s="12">
        <v>42735</v>
      </c>
      <c r="Z978" s="2"/>
      <c r="AA978" s="2" t="s">
        <v>479</v>
      </c>
      <c r="AB978" s="3" t="s">
        <v>10</v>
      </c>
      <c r="AC978" s="5">
        <v>1000</v>
      </c>
      <c r="AD978" s="5">
        <f>+AC978*1.07</f>
        <v>1070</v>
      </c>
      <c r="AE978" s="5">
        <v>1170</v>
      </c>
      <c r="AF978" s="5">
        <f t="shared" si="1027"/>
        <v>1310</v>
      </c>
      <c r="AG978" s="5">
        <f t="shared" si="1044"/>
        <v>1310</v>
      </c>
      <c r="AH978" s="5">
        <f t="shared" si="1044"/>
        <v>1310</v>
      </c>
      <c r="AI978" s="5">
        <f t="shared" ref="AI978:AJ978" si="1055">+AH978</f>
        <v>1310</v>
      </c>
      <c r="AJ978" s="5">
        <f t="shared" si="1055"/>
        <v>1310</v>
      </c>
      <c r="AK978" s="2" t="s">
        <v>53</v>
      </c>
      <c r="AL978" s="105" t="str">
        <f>+AK978</f>
        <v>B0</v>
      </c>
    </row>
    <row r="979" spans="1:38" ht="15" customHeight="1" x14ac:dyDescent="0.2">
      <c r="A979" s="29" t="s">
        <v>824</v>
      </c>
      <c r="B979" s="29" t="s">
        <v>822</v>
      </c>
      <c r="C979" s="3"/>
      <c r="D979" s="2" t="s">
        <v>956</v>
      </c>
      <c r="E979" s="2" t="s">
        <v>956</v>
      </c>
      <c r="F979" s="2"/>
      <c r="G979" s="2"/>
      <c r="H979" s="2"/>
      <c r="I979" s="2" t="s">
        <v>1825</v>
      </c>
      <c r="J979" s="28"/>
      <c r="K979" s="28"/>
      <c r="L979" s="44" t="s">
        <v>1828</v>
      </c>
      <c r="M979" s="7" t="s">
        <v>3</v>
      </c>
      <c r="N979" s="47">
        <v>36530606</v>
      </c>
      <c r="O979" s="88">
        <v>27365306066</v>
      </c>
      <c r="P979" s="38"/>
      <c r="Q979" s="38"/>
      <c r="R979" s="38"/>
      <c r="S979" s="38"/>
      <c r="T979" s="38"/>
      <c r="U979" s="17" t="s">
        <v>215</v>
      </c>
      <c r="V979" s="17" t="s">
        <v>915</v>
      </c>
      <c r="W979" s="12">
        <v>42552</v>
      </c>
      <c r="X979" s="12"/>
      <c r="Y979" s="12">
        <v>42735</v>
      </c>
      <c r="Z979" s="2"/>
      <c r="AA979" s="2"/>
      <c r="AB979" s="7"/>
      <c r="AC979" s="5"/>
      <c r="AD979" s="5"/>
      <c r="AE979" s="5">
        <v>1170</v>
      </c>
      <c r="AF979" s="5">
        <f t="shared" si="1027"/>
        <v>0</v>
      </c>
      <c r="AG979" s="5">
        <v>1310</v>
      </c>
      <c r="AH979" s="5">
        <v>14000</v>
      </c>
      <c r="AI979" s="5">
        <f t="shared" ref="AI979:AJ979" si="1056">+AH979</f>
        <v>14000</v>
      </c>
      <c r="AJ979" s="5">
        <f t="shared" si="1056"/>
        <v>14000</v>
      </c>
      <c r="AK979" s="2"/>
      <c r="AL979" s="106"/>
    </row>
    <row r="980" spans="1:38" ht="15" customHeight="1" x14ac:dyDescent="0.2">
      <c r="A980" s="29" t="s">
        <v>824</v>
      </c>
      <c r="B980" s="2" t="s">
        <v>822</v>
      </c>
      <c r="C980" s="3"/>
      <c r="D980" s="2" t="s">
        <v>825</v>
      </c>
      <c r="E980" s="3" t="s">
        <v>18</v>
      </c>
      <c r="F980" s="2" t="s">
        <v>19</v>
      </c>
      <c r="G980" s="2"/>
      <c r="H980" s="2" t="s">
        <v>22</v>
      </c>
      <c r="I980" s="2" t="s">
        <v>1707</v>
      </c>
      <c r="J980" s="28" t="s">
        <v>548</v>
      </c>
      <c r="K980" s="28" t="s">
        <v>548</v>
      </c>
      <c r="L980" s="44" t="s">
        <v>771</v>
      </c>
      <c r="M980" s="4" t="s">
        <v>3</v>
      </c>
      <c r="N980" s="15">
        <v>20005465</v>
      </c>
      <c r="O980" s="88" t="s">
        <v>1190</v>
      </c>
      <c r="P980" s="38">
        <v>22667</v>
      </c>
      <c r="Q980" s="38"/>
      <c r="R980" s="38"/>
      <c r="S980" s="38"/>
      <c r="T980" s="38"/>
      <c r="U980" s="17" t="s">
        <v>215</v>
      </c>
      <c r="V980" s="17" t="s">
        <v>915</v>
      </c>
      <c r="W980" s="12">
        <v>41036</v>
      </c>
      <c r="X980" s="12"/>
      <c r="Y980" s="12">
        <v>42735</v>
      </c>
      <c r="Z980" s="2"/>
      <c r="AA980" s="2" t="s">
        <v>479</v>
      </c>
      <c r="AB980" s="7" t="s">
        <v>787</v>
      </c>
      <c r="AC980" s="5">
        <v>1000</v>
      </c>
      <c r="AD980" s="5">
        <f>+AC980</f>
        <v>1000</v>
      </c>
      <c r="AE980" s="5">
        <v>1170</v>
      </c>
      <c r="AF980" s="5">
        <f t="shared" si="1027"/>
        <v>1310</v>
      </c>
      <c r="AG980" s="5">
        <f t="shared" ref="AG980:AH982" si="1057">+AF980</f>
        <v>1310</v>
      </c>
      <c r="AH980" s="5">
        <f t="shared" si="1057"/>
        <v>1310</v>
      </c>
      <c r="AI980" s="5">
        <f t="shared" ref="AI980:AJ980" si="1058">+AH980</f>
        <v>1310</v>
      </c>
      <c r="AJ980" s="5">
        <f t="shared" si="1058"/>
        <v>1310</v>
      </c>
      <c r="AK980" s="2"/>
      <c r="AL980" s="106"/>
    </row>
    <row r="981" spans="1:38" ht="15" customHeight="1" x14ac:dyDescent="0.2">
      <c r="A981" s="29" t="s">
        <v>824</v>
      </c>
      <c r="B981" s="2" t="s">
        <v>822</v>
      </c>
      <c r="C981" s="3"/>
      <c r="D981" s="2" t="s">
        <v>825</v>
      </c>
      <c r="E981" s="3" t="s">
        <v>18</v>
      </c>
      <c r="F981" s="2" t="s">
        <v>19</v>
      </c>
      <c r="G981" s="2"/>
      <c r="H981" s="2" t="s">
        <v>27</v>
      </c>
      <c r="I981" s="3"/>
      <c r="J981" s="28" t="s">
        <v>548</v>
      </c>
      <c r="K981" s="28"/>
      <c r="L981" s="41" t="s">
        <v>772</v>
      </c>
      <c r="M981" s="4" t="s">
        <v>3</v>
      </c>
      <c r="N981" s="15">
        <v>36696469</v>
      </c>
      <c r="O981" s="88">
        <v>27366964695</v>
      </c>
      <c r="P981" s="61"/>
      <c r="Q981" s="61"/>
      <c r="R981" s="61"/>
      <c r="S981" s="61"/>
      <c r="T981" s="61"/>
      <c r="U981" s="16" t="s">
        <v>796</v>
      </c>
      <c r="V981" s="16" t="s">
        <v>916</v>
      </c>
      <c r="W981" s="12">
        <v>42036</v>
      </c>
      <c r="X981" s="12">
        <v>42460</v>
      </c>
      <c r="Y981" s="12">
        <v>42735</v>
      </c>
      <c r="Z981" s="2" t="s">
        <v>24</v>
      </c>
      <c r="AA981" s="2"/>
      <c r="AB981" s="3"/>
      <c r="AC981" s="5">
        <v>1000</v>
      </c>
      <c r="AD981" s="5"/>
      <c r="AE981" s="5">
        <v>1170</v>
      </c>
      <c r="AF981" s="5">
        <f t="shared" si="1027"/>
        <v>1310</v>
      </c>
      <c r="AG981" s="5">
        <f t="shared" si="1057"/>
        <v>1310</v>
      </c>
      <c r="AH981" s="5">
        <f t="shared" si="1057"/>
        <v>1310</v>
      </c>
      <c r="AI981" s="5">
        <f t="shared" ref="AI981:AJ981" si="1059">+AH981</f>
        <v>1310</v>
      </c>
      <c r="AJ981" s="5">
        <f t="shared" si="1059"/>
        <v>1310</v>
      </c>
      <c r="AK981" s="29"/>
      <c r="AL981" s="105" t="str">
        <f>+Z981</f>
        <v>D0</v>
      </c>
    </row>
    <row r="982" spans="1:38" ht="15" customHeight="1" x14ac:dyDescent="0.2">
      <c r="A982" s="29" t="s">
        <v>824</v>
      </c>
      <c r="B982" s="2" t="s">
        <v>822</v>
      </c>
      <c r="C982" s="3"/>
      <c r="D982" s="2" t="s">
        <v>825</v>
      </c>
      <c r="E982" s="3" t="s">
        <v>18</v>
      </c>
      <c r="F982" s="2" t="s">
        <v>19</v>
      </c>
      <c r="G982" s="2"/>
      <c r="H982" s="2" t="s">
        <v>29</v>
      </c>
      <c r="I982" s="3"/>
      <c r="J982" s="28" t="s">
        <v>548</v>
      </c>
      <c r="K982" s="28"/>
      <c r="L982" s="41" t="s">
        <v>773</v>
      </c>
      <c r="M982" s="4" t="s">
        <v>3</v>
      </c>
      <c r="N982" s="15">
        <v>26881068</v>
      </c>
      <c r="O982" s="88">
        <v>23268810684</v>
      </c>
      <c r="P982" s="61"/>
      <c r="Q982" s="61"/>
      <c r="R982" s="61"/>
      <c r="S982" s="61"/>
      <c r="T982" s="61"/>
      <c r="U982" s="16" t="s">
        <v>796</v>
      </c>
      <c r="V982" s="16" t="s">
        <v>916</v>
      </c>
      <c r="W982" s="12">
        <v>41883</v>
      </c>
      <c r="X982" s="12">
        <v>42460</v>
      </c>
      <c r="Y982" s="12">
        <v>42735</v>
      </c>
      <c r="Z982" s="2" t="s">
        <v>42</v>
      </c>
      <c r="AA982" s="2"/>
      <c r="AB982" s="3"/>
      <c r="AC982" s="5">
        <v>1000</v>
      </c>
      <c r="AD982" s="5"/>
      <c r="AE982" s="5">
        <v>1170</v>
      </c>
      <c r="AF982" s="5">
        <f t="shared" si="1027"/>
        <v>1310</v>
      </c>
      <c r="AG982" s="5">
        <f t="shared" si="1057"/>
        <v>1310</v>
      </c>
      <c r="AH982" s="5">
        <f t="shared" si="1057"/>
        <v>1310</v>
      </c>
      <c r="AI982" s="5">
        <f t="shared" ref="AI982:AJ982" si="1060">+AH982</f>
        <v>1310</v>
      </c>
      <c r="AJ982" s="5">
        <f t="shared" si="1060"/>
        <v>1310</v>
      </c>
      <c r="AK982" s="29"/>
      <c r="AL982" s="105" t="str">
        <f>+Z982</f>
        <v>C0</v>
      </c>
    </row>
    <row r="983" spans="1:38" ht="15" customHeight="1" x14ac:dyDescent="0.2">
      <c r="A983" s="29" t="s">
        <v>824</v>
      </c>
      <c r="B983" s="29" t="s">
        <v>822</v>
      </c>
      <c r="C983" s="3"/>
      <c r="D983" s="2" t="s">
        <v>956</v>
      </c>
      <c r="E983" s="2" t="s">
        <v>956</v>
      </c>
      <c r="F983" s="2"/>
      <c r="G983" s="2"/>
      <c r="H983" s="2"/>
      <c r="I983" s="2" t="s">
        <v>1825</v>
      </c>
      <c r="J983" s="28"/>
      <c r="K983" s="28"/>
      <c r="L983" s="44" t="s">
        <v>1829</v>
      </c>
      <c r="M983" s="7" t="s">
        <v>3</v>
      </c>
      <c r="N983" s="47">
        <v>94763837</v>
      </c>
      <c r="O983" s="88">
        <v>27947638373</v>
      </c>
      <c r="P983" s="38"/>
      <c r="Q983" s="38"/>
      <c r="R983" s="38"/>
      <c r="S983" s="38"/>
      <c r="T983" s="38"/>
      <c r="U983" s="17" t="s">
        <v>215</v>
      </c>
      <c r="V983" s="17" t="s">
        <v>915</v>
      </c>
      <c r="W983" s="12">
        <v>42552</v>
      </c>
      <c r="X983" s="12"/>
      <c r="Y983" s="12">
        <v>42735</v>
      </c>
      <c r="Z983" s="2"/>
      <c r="AA983" s="2"/>
      <c r="AB983" s="7"/>
      <c r="AC983" s="5"/>
      <c r="AD983" s="5"/>
      <c r="AE983" s="5">
        <v>1170</v>
      </c>
      <c r="AF983" s="5">
        <f t="shared" si="1027"/>
        <v>0</v>
      </c>
      <c r="AG983" s="5">
        <v>1310</v>
      </c>
      <c r="AH983" s="5">
        <v>14000</v>
      </c>
      <c r="AI983" s="5">
        <f t="shared" ref="AI983:AJ983" si="1061">+AH983</f>
        <v>14000</v>
      </c>
      <c r="AJ983" s="5">
        <f t="shared" si="1061"/>
        <v>14000</v>
      </c>
      <c r="AK983" s="2"/>
      <c r="AL983" s="106"/>
    </row>
    <row r="984" spans="1:38" ht="15" customHeight="1" x14ac:dyDescent="0.2">
      <c r="A984" s="29" t="s">
        <v>824</v>
      </c>
      <c r="B984" s="29" t="s">
        <v>822</v>
      </c>
      <c r="C984" s="29" t="s">
        <v>823</v>
      </c>
      <c r="D984" s="2" t="s">
        <v>800</v>
      </c>
      <c r="E984" s="2" t="s">
        <v>495</v>
      </c>
      <c r="F984" s="2"/>
      <c r="G984" s="2"/>
      <c r="H984" s="2"/>
      <c r="I984" s="3"/>
      <c r="J984" s="28" t="s">
        <v>254</v>
      </c>
      <c r="K984" s="28"/>
      <c r="L984" s="42" t="s">
        <v>344</v>
      </c>
      <c r="M984" s="4" t="s">
        <v>3</v>
      </c>
      <c r="N984" s="15">
        <v>12012195</v>
      </c>
      <c r="O984" s="88">
        <v>27120121958</v>
      </c>
      <c r="P984" s="38"/>
      <c r="Q984" s="38"/>
      <c r="R984" s="38"/>
      <c r="S984" s="38"/>
      <c r="T984" s="38"/>
      <c r="U984" s="16" t="s">
        <v>796</v>
      </c>
      <c r="V984" s="16" t="s">
        <v>916</v>
      </c>
      <c r="W984" s="12">
        <v>40725</v>
      </c>
      <c r="X984" s="48">
        <v>42735</v>
      </c>
      <c r="Y984" s="12">
        <v>42735</v>
      </c>
      <c r="Z984" s="2" t="s">
        <v>42</v>
      </c>
      <c r="AA984" s="2"/>
      <c r="AB984" s="18"/>
      <c r="AC984" s="5">
        <v>1000</v>
      </c>
      <c r="AD984" s="5"/>
      <c r="AE984" s="5">
        <v>1170</v>
      </c>
      <c r="AF984" s="5">
        <f t="shared" si="1027"/>
        <v>1310</v>
      </c>
      <c r="AG984" s="5">
        <f t="shared" ref="AG984:AH1013" si="1062">+AF984</f>
        <v>1310</v>
      </c>
      <c r="AH984" s="5">
        <f t="shared" si="1062"/>
        <v>1310</v>
      </c>
      <c r="AI984" s="5">
        <f t="shared" ref="AI984:AJ984" si="1063">+AH984</f>
        <v>1310</v>
      </c>
      <c r="AJ984" s="5">
        <f t="shared" si="1063"/>
        <v>1310</v>
      </c>
      <c r="AK984" s="29"/>
      <c r="AL984" s="105" t="str">
        <f>+Z984</f>
        <v>C0</v>
      </c>
    </row>
    <row r="985" spans="1:38" ht="15" customHeight="1" x14ac:dyDescent="0.2">
      <c r="A985" s="29" t="s">
        <v>824</v>
      </c>
      <c r="B985" s="29" t="s">
        <v>822</v>
      </c>
      <c r="C985" s="29" t="s">
        <v>823</v>
      </c>
      <c r="D985" s="2" t="s">
        <v>808</v>
      </c>
      <c r="E985" s="2" t="s">
        <v>909</v>
      </c>
      <c r="F985" s="2" t="s">
        <v>507</v>
      </c>
      <c r="G985" s="2"/>
      <c r="H985" s="2"/>
      <c r="I985" s="2" t="s">
        <v>1707</v>
      </c>
      <c r="J985" s="28"/>
      <c r="K985" s="28" t="s">
        <v>1765</v>
      </c>
      <c r="L985" s="44" t="s">
        <v>1017</v>
      </c>
      <c r="M985" s="4" t="s">
        <v>3</v>
      </c>
      <c r="N985" s="47">
        <v>31504616</v>
      </c>
      <c r="O985" s="88" t="s">
        <v>1603</v>
      </c>
      <c r="P985" s="38">
        <v>31137</v>
      </c>
      <c r="Q985" s="38"/>
      <c r="R985" s="38"/>
      <c r="S985" s="38"/>
      <c r="T985" s="38"/>
      <c r="U985" s="17" t="s">
        <v>215</v>
      </c>
      <c r="V985" s="17" t="s">
        <v>915</v>
      </c>
      <c r="W985" s="12">
        <v>42125</v>
      </c>
      <c r="X985" s="13"/>
      <c r="Y985" s="12">
        <v>42735</v>
      </c>
      <c r="Z985" s="2"/>
      <c r="AA985" s="2" t="s">
        <v>479</v>
      </c>
      <c r="AB985" s="9"/>
      <c r="AC985" s="5">
        <v>1000</v>
      </c>
      <c r="AD985" s="5">
        <v>1070</v>
      </c>
      <c r="AE985" s="5">
        <v>1170</v>
      </c>
      <c r="AF985" s="5">
        <f t="shared" si="1027"/>
        <v>1310</v>
      </c>
      <c r="AG985" s="5">
        <f t="shared" si="1062"/>
        <v>1310</v>
      </c>
      <c r="AH985" s="5">
        <f t="shared" si="1062"/>
        <v>1310</v>
      </c>
      <c r="AI985" s="5">
        <f t="shared" ref="AI985:AJ985" si="1064">+AH985</f>
        <v>1310</v>
      </c>
      <c r="AJ985" s="5">
        <f t="shared" si="1064"/>
        <v>1310</v>
      </c>
      <c r="AK985" s="29" t="s">
        <v>42</v>
      </c>
      <c r="AL985" s="105" t="str">
        <f>+AK985</f>
        <v>C0</v>
      </c>
    </row>
    <row r="986" spans="1:38" ht="15" customHeight="1" x14ac:dyDescent="0.2">
      <c r="A986" s="29" t="s">
        <v>824</v>
      </c>
      <c r="B986" s="2" t="s">
        <v>822</v>
      </c>
      <c r="C986" s="29"/>
      <c r="D986" s="2" t="s">
        <v>825</v>
      </c>
      <c r="E986" s="3" t="s">
        <v>8</v>
      </c>
      <c r="F986" s="2" t="s">
        <v>913</v>
      </c>
      <c r="G986" s="2"/>
      <c r="H986" s="2" t="s">
        <v>9</v>
      </c>
      <c r="I986" s="2" t="s">
        <v>13</v>
      </c>
      <c r="J986" s="28" t="s">
        <v>549</v>
      </c>
      <c r="K986" s="28" t="s">
        <v>549</v>
      </c>
      <c r="L986" s="41" t="s">
        <v>774</v>
      </c>
      <c r="M986" s="4" t="s">
        <v>3</v>
      </c>
      <c r="N986" s="15">
        <v>31961384</v>
      </c>
      <c r="O986" s="88">
        <v>20319613847</v>
      </c>
      <c r="P986" s="38">
        <v>31509</v>
      </c>
      <c r="Q986" s="38"/>
      <c r="R986" s="38"/>
      <c r="S986" s="38"/>
      <c r="T986" s="38"/>
      <c r="U986" s="17" t="s">
        <v>215</v>
      </c>
      <c r="V986" s="17" t="s">
        <v>915</v>
      </c>
      <c r="W986" s="12">
        <v>42248</v>
      </c>
      <c r="X986" s="12"/>
      <c r="Y986" s="12">
        <v>42735</v>
      </c>
      <c r="Z986" s="2"/>
      <c r="AA986" s="2" t="s">
        <v>479</v>
      </c>
      <c r="AB986" s="3" t="s">
        <v>10</v>
      </c>
      <c r="AC986" s="5">
        <v>1000</v>
      </c>
      <c r="AD986" s="5">
        <f>+AC986*1.07</f>
        <v>1070</v>
      </c>
      <c r="AE986" s="5">
        <v>1170</v>
      </c>
      <c r="AF986" s="5">
        <f t="shared" si="1027"/>
        <v>1310</v>
      </c>
      <c r="AG986" s="5">
        <f t="shared" si="1062"/>
        <v>1310</v>
      </c>
      <c r="AH986" s="5">
        <f t="shared" si="1062"/>
        <v>1310</v>
      </c>
      <c r="AI986" s="5">
        <f t="shared" ref="AI986:AJ986" si="1065">+AH986</f>
        <v>1310</v>
      </c>
      <c r="AJ986" s="5">
        <f t="shared" si="1065"/>
        <v>1310</v>
      </c>
      <c r="AK986" s="2" t="s">
        <v>1815</v>
      </c>
      <c r="AL986" s="106"/>
    </row>
    <row r="987" spans="1:38" ht="15" customHeight="1" x14ac:dyDescent="0.2">
      <c r="A987" s="29" t="s">
        <v>824</v>
      </c>
      <c r="B987" s="2" t="s">
        <v>822</v>
      </c>
      <c r="C987" s="29"/>
      <c r="D987" s="2" t="s">
        <v>825</v>
      </c>
      <c r="E987" s="3" t="s">
        <v>8</v>
      </c>
      <c r="F987" s="2" t="s">
        <v>913</v>
      </c>
      <c r="G987" s="2"/>
      <c r="H987" s="2" t="s">
        <v>28</v>
      </c>
      <c r="I987" s="2" t="s">
        <v>13</v>
      </c>
      <c r="J987" s="28" t="s">
        <v>549</v>
      </c>
      <c r="K987" s="28" t="s">
        <v>549</v>
      </c>
      <c r="L987" s="41" t="s">
        <v>775</v>
      </c>
      <c r="M987" s="4" t="s">
        <v>3</v>
      </c>
      <c r="N987" s="15">
        <v>27165852</v>
      </c>
      <c r="O987" s="88">
        <v>20271658525</v>
      </c>
      <c r="P987" s="38">
        <v>28899</v>
      </c>
      <c r="Q987" s="38"/>
      <c r="R987" s="38"/>
      <c r="S987" s="38"/>
      <c r="T987" s="38"/>
      <c r="U987" s="17" t="s">
        <v>215</v>
      </c>
      <c r="V987" s="17" t="s">
        <v>915</v>
      </c>
      <c r="W987" s="12">
        <v>42248</v>
      </c>
      <c r="X987" s="12"/>
      <c r="Y987" s="12">
        <v>42735</v>
      </c>
      <c r="Z987" s="2"/>
      <c r="AA987" s="2" t="s">
        <v>479</v>
      </c>
      <c r="AB987" s="3" t="s">
        <v>10</v>
      </c>
      <c r="AC987" s="5">
        <v>1000</v>
      </c>
      <c r="AD987" s="5">
        <f>+AC987*1.07</f>
        <v>1070</v>
      </c>
      <c r="AE987" s="5">
        <v>1170</v>
      </c>
      <c r="AF987" s="5">
        <f t="shared" si="1027"/>
        <v>1310</v>
      </c>
      <c r="AG987" s="5">
        <f t="shared" si="1062"/>
        <v>1310</v>
      </c>
      <c r="AH987" s="5">
        <f t="shared" si="1062"/>
        <v>1310</v>
      </c>
      <c r="AI987" s="5">
        <f t="shared" ref="AI987:AJ987" si="1066">+AH987</f>
        <v>1310</v>
      </c>
      <c r="AJ987" s="5">
        <f t="shared" si="1066"/>
        <v>1310</v>
      </c>
      <c r="AK987" s="2" t="s">
        <v>1815</v>
      </c>
      <c r="AL987" s="106"/>
    </row>
    <row r="988" spans="1:38" ht="15" customHeight="1" x14ac:dyDescent="0.2">
      <c r="A988" s="29" t="s">
        <v>824</v>
      </c>
      <c r="B988" s="2"/>
      <c r="C988" s="29"/>
      <c r="D988" s="2" t="s">
        <v>820</v>
      </c>
      <c r="E988" s="2" t="s">
        <v>837</v>
      </c>
      <c r="F988" s="2"/>
      <c r="G988" s="2"/>
      <c r="H988" s="2"/>
      <c r="I988" s="2" t="s">
        <v>1758</v>
      </c>
      <c r="J988" s="28"/>
      <c r="K988" s="28" t="s">
        <v>1765</v>
      </c>
      <c r="L988" s="41" t="s">
        <v>1613</v>
      </c>
      <c r="M988" s="7" t="s">
        <v>3</v>
      </c>
      <c r="N988" s="15">
        <v>27375597</v>
      </c>
      <c r="O988" s="88">
        <v>20273755978</v>
      </c>
      <c r="P988" s="38">
        <v>29104</v>
      </c>
      <c r="Q988" s="38"/>
      <c r="R988" s="38"/>
      <c r="S988" s="38"/>
      <c r="T988" s="38"/>
      <c r="U988" s="17" t="s">
        <v>215</v>
      </c>
      <c r="V988" s="17" t="s">
        <v>915</v>
      </c>
      <c r="W988" s="12">
        <v>42552</v>
      </c>
      <c r="X988" s="12"/>
      <c r="Y988" s="12">
        <v>42735</v>
      </c>
      <c r="Z988" s="2"/>
      <c r="AA988" s="2" t="s">
        <v>479</v>
      </c>
      <c r="AB988" s="3"/>
      <c r="AC988" s="5" t="s">
        <v>1611</v>
      </c>
      <c r="AD988" s="5" t="s">
        <v>1611</v>
      </c>
      <c r="AE988" s="5">
        <v>1170</v>
      </c>
      <c r="AF988" s="5">
        <v>1310</v>
      </c>
      <c r="AG988" s="5">
        <f t="shared" si="1062"/>
        <v>1310</v>
      </c>
      <c r="AH988" s="5">
        <f t="shared" si="1062"/>
        <v>1310</v>
      </c>
      <c r="AI988" s="5">
        <f t="shared" ref="AI988:AJ988" si="1067">+AH988</f>
        <v>1310</v>
      </c>
      <c r="AJ988" s="5">
        <f t="shared" si="1067"/>
        <v>1310</v>
      </c>
      <c r="AK988" s="2" t="s">
        <v>53</v>
      </c>
      <c r="AL988" s="105" t="str">
        <f>+AK988</f>
        <v>B0</v>
      </c>
    </row>
    <row r="989" spans="1:38" ht="15" customHeight="1" x14ac:dyDescent="0.2">
      <c r="A989" s="29" t="s">
        <v>824</v>
      </c>
      <c r="B989" s="2" t="s">
        <v>822</v>
      </c>
      <c r="C989" s="29" t="s">
        <v>823</v>
      </c>
      <c r="D989" s="2" t="s">
        <v>1820</v>
      </c>
      <c r="E989" s="2"/>
      <c r="F989" s="3"/>
      <c r="G989" s="3"/>
      <c r="H989" s="2" t="s">
        <v>884</v>
      </c>
      <c r="I989" s="2" t="s">
        <v>1707</v>
      </c>
      <c r="J989" s="28"/>
      <c r="K989" s="28" t="s">
        <v>1765</v>
      </c>
      <c r="L989" s="41" t="s">
        <v>843</v>
      </c>
      <c r="M989" s="4" t="s">
        <v>3</v>
      </c>
      <c r="N989" s="15">
        <v>25570101</v>
      </c>
      <c r="O989" s="88" t="s">
        <v>1604</v>
      </c>
      <c r="P989" s="38">
        <v>27987</v>
      </c>
      <c r="Q989" s="38"/>
      <c r="R989" s="38"/>
      <c r="S989" s="38"/>
      <c r="T989" s="38"/>
      <c r="U989" s="17" t="s">
        <v>215</v>
      </c>
      <c r="V989" s="17" t="s">
        <v>915</v>
      </c>
      <c r="W989" s="12">
        <v>42370</v>
      </c>
      <c r="X989" s="48"/>
      <c r="Y989" s="12">
        <v>42735</v>
      </c>
      <c r="Z989" s="2"/>
      <c r="AA989" s="2" t="s">
        <v>479</v>
      </c>
      <c r="AB989" s="3" t="s">
        <v>10</v>
      </c>
      <c r="AC989" s="5">
        <v>1000</v>
      </c>
      <c r="AD989" s="5">
        <f>+AC989*1.07</f>
        <v>1070</v>
      </c>
      <c r="AE989" s="5">
        <v>1170</v>
      </c>
      <c r="AF989" s="5">
        <f t="shared" si="1027"/>
        <v>1310</v>
      </c>
      <c r="AG989" s="5">
        <f t="shared" si="1062"/>
        <v>1310</v>
      </c>
      <c r="AH989" s="5">
        <f t="shared" si="1062"/>
        <v>1310</v>
      </c>
      <c r="AI989" s="5">
        <f t="shared" ref="AI989:AJ989" si="1068">+AH989</f>
        <v>1310</v>
      </c>
      <c r="AJ989" s="5">
        <f t="shared" si="1068"/>
        <v>1310</v>
      </c>
      <c r="AK989" s="2" t="s">
        <v>53</v>
      </c>
      <c r="AL989" s="105" t="str">
        <f>+AK989</f>
        <v>B0</v>
      </c>
    </row>
    <row r="990" spans="1:38" ht="15" customHeight="1" x14ac:dyDescent="0.2">
      <c r="A990" s="29" t="s">
        <v>824</v>
      </c>
      <c r="B990" s="2"/>
      <c r="C990" s="3"/>
      <c r="D990" s="2" t="s">
        <v>820</v>
      </c>
      <c r="E990" s="3" t="s">
        <v>47</v>
      </c>
      <c r="F990" s="3"/>
      <c r="G990" s="3"/>
      <c r="H990" s="2"/>
      <c r="I990" s="2"/>
      <c r="J990" s="28"/>
      <c r="K990" s="28"/>
      <c r="L990" s="41"/>
      <c r="M990" s="4"/>
      <c r="N990" s="15"/>
      <c r="O990" s="88"/>
      <c r="P990" s="38"/>
      <c r="Q990" s="38"/>
      <c r="R990" s="38"/>
      <c r="S990" s="38"/>
      <c r="T990" s="38"/>
      <c r="U990" s="17"/>
      <c r="V990" s="17"/>
      <c r="W990" s="12"/>
      <c r="X990" s="48"/>
      <c r="Y990" s="12"/>
      <c r="Z990" s="2"/>
      <c r="AA990" s="2"/>
      <c r="AB990" s="3"/>
      <c r="AC990" s="5"/>
      <c r="AD990" s="5"/>
      <c r="AE990" s="5"/>
      <c r="AF990" s="5"/>
      <c r="AG990" s="5"/>
      <c r="AH990" s="5"/>
      <c r="AI990" s="5">
        <f t="shared" ref="AI990:AJ990" si="1069">+AH990</f>
        <v>0</v>
      </c>
      <c r="AJ990" s="5">
        <f t="shared" si="1069"/>
        <v>0</v>
      </c>
      <c r="AK990" s="2"/>
      <c r="AL990" s="105"/>
    </row>
    <row r="991" spans="1:38" ht="15" customHeight="1" x14ac:dyDescent="0.2">
      <c r="A991" s="29" t="s">
        <v>824</v>
      </c>
      <c r="B991" s="2"/>
      <c r="C991" s="3"/>
      <c r="D991" s="2" t="s">
        <v>820</v>
      </c>
      <c r="E991" s="3" t="s">
        <v>47</v>
      </c>
      <c r="F991" s="3"/>
      <c r="G991" s="3"/>
      <c r="H991" s="2"/>
      <c r="I991" s="2"/>
      <c r="J991" s="28"/>
      <c r="K991" s="28"/>
      <c r="L991" s="41"/>
      <c r="M991" s="4"/>
      <c r="N991" s="15"/>
      <c r="O991" s="88"/>
      <c r="P991" s="38"/>
      <c r="Q991" s="38"/>
      <c r="R991" s="38"/>
      <c r="S991" s="38"/>
      <c r="T991" s="38"/>
      <c r="U991" s="17"/>
      <c r="V991" s="17"/>
      <c r="W991" s="12"/>
      <c r="X991" s="48"/>
      <c r="Y991" s="12"/>
      <c r="Z991" s="2"/>
      <c r="AA991" s="2"/>
      <c r="AB991" s="3"/>
      <c r="AC991" s="5"/>
      <c r="AD991" s="5"/>
      <c r="AE991" s="5"/>
      <c r="AF991" s="5"/>
      <c r="AG991" s="5"/>
      <c r="AH991" s="5"/>
      <c r="AI991" s="5">
        <f t="shared" ref="AI991:AJ991" si="1070">+AH991</f>
        <v>0</v>
      </c>
      <c r="AJ991" s="5">
        <f t="shared" si="1070"/>
        <v>0</v>
      </c>
      <c r="AK991" s="2"/>
      <c r="AL991" s="105"/>
    </row>
    <row r="992" spans="1:38" ht="15" customHeight="1" x14ac:dyDescent="0.2">
      <c r="A992" s="29" t="s">
        <v>824</v>
      </c>
      <c r="B992" s="2"/>
      <c r="C992" s="3"/>
      <c r="D992" s="2" t="s">
        <v>820</v>
      </c>
      <c r="E992" s="3" t="s">
        <v>47</v>
      </c>
      <c r="F992" s="3"/>
      <c r="G992" s="3"/>
      <c r="H992" s="2"/>
      <c r="I992" s="2"/>
      <c r="J992" s="28"/>
      <c r="K992" s="28"/>
      <c r="L992" s="41"/>
      <c r="M992" s="4"/>
      <c r="N992" s="15"/>
      <c r="O992" s="88"/>
      <c r="P992" s="38"/>
      <c r="Q992" s="38"/>
      <c r="R992" s="38"/>
      <c r="S992" s="38"/>
      <c r="T992" s="38"/>
      <c r="U992" s="17"/>
      <c r="V992" s="17"/>
      <c r="W992" s="12"/>
      <c r="X992" s="48"/>
      <c r="Y992" s="12"/>
      <c r="Z992" s="2"/>
      <c r="AA992" s="2"/>
      <c r="AB992" s="3"/>
      <c r="AC992" s="5"/>
      <c r="AD992" s="5"/>
      <c r="AE992" s="5"/>
      <c r="AF992" s="5"/>
      <c r="AG992" s="5"/>
      <c r="AH992" s="5"/>
      <c r="AI992" s="5">
        <f t="shared" ref="AI992:AJ992" si="1071">+AH992</f>
        <v>0</v>
      </c>
      <c r="AJ992" s="5">
        <f t="shared" si="1071"/>
        <v>0</v>
      </c>
      <c r="AK992" s="2"/>
      <c r="AL992" s="105"/>
    </row>
    <row r="993" spans="1:38" ht="15" customHeight="1" x14ac:dyDescent="0.2">
      <c r="A993" s="29" t="s">
        <v>824</v>
      </c>
      <c r="B993" s="2"/>
      <c r="C993" s="3"/>
      <c r="D993" s="2" t="s">
        <v>820</v>
      </c>
      <c r="E993" s="3" t="s">
        <v>47</v>
      </c>
      <c r="F993" s="3"/>
      <c r="G993" s="3"/>
      <c r="H993" s="2"/>
      <c r="I993" s="2"/>
      <c r="J993" s="28"/>
      <c r="K993" s="28"/>
      <c r="L993" s="41"/>
      <c r="M993" s="4"/>
      <c r="N993" s="15"/>
      <c r="O993" s="88"/>
      <c r="P993" s="38"/>
      <c r="Q993" s="38"/>
      <c r="R993" s="38"/>
      <c r="S993" s="38"/>
      <c r="T993" s="38"/>
      <c r="U993" s="17"/>
      <c r="V993" s="17"/>
      <c r="W993" s="12"/>
      <c r="X993" s="48"/>
      <c r="Y993" s="12"/>
      <c r="Z993" s="2"/>
      <c r="AA993" s="2"/>
      <c r="AB993" s="3"/>
      <c r="AC993" s="5"/>
      <c r="AD993" s="5"/>
      <c r="AE993" s="5"/>
      <c r="AF993" s="5"/>
      <c r="AG993" s="5"/>
      <c r="AH993" s="5"/>
      <c r="AI993" s="5">
        <f t="shared" ref="AI993:AJ993" si="1072">+AH993</f>
        <v>0</v>
      </c>
      <c r="AJ993" s="5">
        <f t="shared" si="1072"/>
        <v>0</v>
      </c>
      <c r="AK993" s="2"/>
      <c r="AL993" s="105"/>
    </row>
    <row r="994" spans="1:38" ht="15" customHeight="1" x14ac:dyDescent="0.2">
      <c r="A994" s="29" t="s">
        <v>824</v>
      </c>
      <c r="B994" s="2"/>
      <c r="C994" s="3"/>
      <c r="D994" s="2" t="s">
        <v>820</v>
      </c>
      <c r="E994" s="3" t="s">
        <v>47</v>
      </c>
      <c r="F994" s="2"/>
      <c r="G994" s="2"/>
      <c r="H994" s="2" t="s">
        <v>27</v>
      </c>
      <c r="I994" s="3"/>
      <c r="J994" s="28"/>
      <c r="K994" s="28"/>
      <c r="L994" s="53" t="s">
        <v>76</v>
      </c>
      <c r="M994" s="4" t="s">
        <v>3</v>
      </c>
      <c r="N994" s="15">
        <v>38995224</v>
      </c>
      <c r="O994" s="88">
        <v>23389952249</v>
      </c>
      <c r="P994" s="61"/>
      <c r="Q994" s="61"/>
      <c r="R994" s="61"/>
      <c r="S994" s="61"/>
      <c r="T994" s="61"/>
      <c r="U994" s="16" t="s">
        <v>796</v>
      </c>
      <c r="V994" s="16" t="s">
        <v>916</v>
      </c>
      <c r="W994" s="12">
        <v>42125</v>
      </c>
      <c r="X994" s="12">
        <v>42460</v>
      </c>
      <c r="Y994" s="12">
        <v>42735</v>
      </c>
      <c r="Z994" s="2" t="s">
        <v>24</v>
      </c>
      <c r="AA994" s="2"/>
      <c r="AB994" s="3"/>
      <c r="AC994" s="5">
        <v>1000</v>
      </c>
      <c r="AD994" s="5"/>
      <c r="AE994" s="5">
        <v>1170</v>
      </c>
      <c r="AF994" s="5">
        <f t="shared" ref="AF994:AF1020" si="1073">+AC994*1.31</f>
        <v>1310</v>
      </c>
      <c r="AG994" s="5">
        <f t="shared" si="1062"/>
        <v>1310</v>
      </c>
      <c r="AH994" s="5">
        <f t="shared" si="1062"/>
        <v>1310</v>
      </c>
      <c r="AI994" s="5">
        <f t="shared" ref="AI994:AJ994" si="1074">+AH994</f>
        <v>1310</v>
      </c>
      <c r="AJ994" s="5">
        <f t="shared" si="1074"/>
        <v>1310</v>
      </c>
      <c r="AK994" s="29"/>
      <c r="AL994" s="105" t="str">
        <f>+Z994</f>
        <v>D0</v>
      </c>
    </row>
    <row r="995" spans="1:38" ht="15" customHeight="1" x14ac:dyDescent="0.2">
      <c r="A995" s="29" t="s">
        <v>824</v>
      </c>
      <c r="B995" s="29"/>
      <c r="C995" s="14"/>
      <c r="D995" s="2" t="s">
        <v>820</v>
      </c>
      <c r="E995" s="2" t="s">
        <v>818</v>
      </c>
      <c r="F995" s="3"/>
      <c r="G995" s="3" t="s">
        <v>74</v>
      </c>
      <c r="H995" s="2" t="s">
        <v>221</v>
      </c>
      <c r="I995" s="2" t="s">
        <v>221</v>
      </c>
      <c r="J995" s="28" t="s">
        <v>73</v>
      </c>
      <c r="K995" s="28" t="s">
        <v>1765</v>
      </c>
      <c r="L995" s="45" t="s">
        <v>208</v>
      </c>
      <c r="M995" s="4" t="s">
        <v>3</v>
      </c>
      <c r="N995" s="15">
        <v>37113846</v>
      </c>
      <c r="O995" s="88" t="s">
        <v>1524</v>
      </c>
      <c r="P995" s="38">
        <v>33858</v>
      </c>
      <c r="Q995" s="38"/>
      <c r="R995" s="38"/>
      <c r="S995" s="38"/>
      <c r="T995" s="38"/>
      <c r="U995" s="17" t="s">
        <v>215</v>
      </c>
      <c r="V995" s="17" t="s">
        <v>915</v>
      </c>
      <c r="W995" s="12">
        <v>41926</v>
      </c>
      <c r="X995" s="37"/>
      <c r="Y995" s="12">
        <v>42735</v>
      </c>
      <c r="Z995" s="2"/>
      <c r="AA995" s="2" t="s">
        <v>479</v>
      </c>
      <c r="AB995" s="2" t="s">
        <v>782</v>
      </c>
      <c r="AC995" s="5">
        <v>1000</v>
      </c>
      <c r="AD995" s="5">
        <f>+AC995*1.07</f>
        <v>1070</v>
      </c>
      <c r="AE995" s="5">
        <v>1170</v>
      </c>
      <c r="AF995" s="5">
        <f t="shared" si="1073"/>
        <v>1310</v>
      </c>
      <c r="AG995" s="5">
        <f t="shared" si="1062"/>
        <v>1310</v>
      </c>
      <c r="AH995" s="5">
        <f t="shared" si="1062"/>
        <v>1310</v>
      </c>
      <c r="AI995" s="5">
        <f t="shared" ref="AI995:AJ995" si="1075">+AH995</f>
        <v>1310</v>
      </c>
      <c r="AJ995" s="5">
        <f t="shared" si="1075"/>
        <v>1310</v>
      </c>
      <c r="AK995" s="29" t="s">
        <v>42</v>
      </c>
      <c r="AL995" s="105" t="str">
        <f>+AK995</f>
        <v>C0</v>
      </c>
    </row>
    <row r="996" spans="1:38" ht="15" customHeight="1" x14ac:dyDescent="0.2">
      <c r="A996" s="29" t="s">
        <v>824</v>
      </c>
      <c r="B996" s="2" t="s">
        <v>822</v>
      </c>
      <c r="C996" s="3"/>
      <c r="D996" s="2" t="s">
        <v>825</v>
      </c>
      <c r="E996" s="3" t="s">
        <v>18</v>
      </c>
      <c r="F996" s="2" t="s">
        <v>19</v>
      </c>
      <c r="G996" s="2"/>
      <c r="H996" s="2" t="s">
        <v>37</v>
      </c>
      <c r="I996" s="2" t="s">
        <v>1707</v>
      </c>
      <c r="J996" s="28" t="s">
        <v>548</v>
      </c>
      <c r="K996" s="28" t="s">
        <v>548</v>
      </c>
      <c r="L996" s="44" t="s">
        <v>776</v>
      </c>
      <c r="M996" s="4" t="s">
        <v>3</v>
      </c>
      <c r="N996" s="15">
        <v>18359189</v>
      </c>
      <c r="O996" s="88" t="s">
        <v>1183</v>
      </c>
      <c r="P996" s="38">
        <v>24592</v>
      </c>
      <c r="Q996" s="38"/>
      <c r="R996" s="38"/>
      <c r="S996" s="38"/>
      <c r="T996" s="38"/>
      <c r="U996" s="17" t="s">
        <v>215</v>
      </c>
      <c r="V996" s="17" t="s">
        <v>915</v>
      </c>
      <c r="W996" s="12">
        <v>41334</v>
      </c>
      <c r="X996" s="12"/>
      <c r="Y996" s="12">
        <v>42735</v>
      </c>
      <c r="Z996" s="2"/>
      <c r="AA996" s="2" t="s">
        <v>479</v>
      </c>
      <c r="AB996" s="7" t="s">
        <v>787</v>
      </c>
      <c r="AC996" s="5">
        <v>1000</v>
      </c>
      <c r="AD996" s="5">
        <f>+AC996</f>
        <v>1000</v>
      </c>
      <c r="AE996" s="5">
        <v>1170</v>
      </c>
      <c r="AF996" s="5">
        <f t="shared" si="1073"/>
        <v>1310</v>
      </c>
      <c r="AG996" s="5">
        <f t="shared" si="1062"/>
        <v>1310</v>
      </c>
      <c r="AH996" s="5">
        <f t="shared" si="1062"/>
        <v>1310</v>
      </c>
      <c r="AI996" s="5">
        <f t="shared" ref="AI996:AJ996" si="1076">+AH996</f>
        <v>1310</v>
      </c>
      <c r="AJ996" s="5">
        <f t="shared" si="1076"/>
        <v>1310</v>
      </c>
      <c r="AK996" s="2"/>
      <c r="AL996" s="106"/>
    </row>
    <row r="997" spans="1:38" ht="15" customHeight="1" x14ac:dyDescent="0.2">
      <c r="A997" s="29" t="s">
        <v>824</v>
      </c>
      <c r="B997" s="2"/>
      <c r="C997" s="3"/>
      <c r="D997" s="2" t="s">
        <v>820</v>
      </c>
      <c r="E997" s="2" t="s">
        <v>921</v>
      </c>
      <c r="F997" s="2" t="s">
        <v>31</v>
      </c>
      <c r="G997" s="2" t="s">
        <v>11</v>
      </c>
      <c r="H997" s="2"/>
      <c r="I997" s="3"/>
      <c r="J997" s="28"/>
      <c r="K997" s="28"/>
      <c r="L997" s="41" t="s">
        <v>828</v>
      </c>
      <c r="M997" s="4" t="s">
        <v>3</v>
      </c>
      <c r="N997" s="15">
        <v>26312020</v>
      </c>
      <c r="O997" s="88">
        <v>27263120200</v>
      </c>
      <c r="P997" s="61"/>
      <c r="Q997" s="61"/>
      <c r="R997" s="61"/>
      <c r="S997" s="61"/>
      <c r="T997" s="61"/>
      <c r="U997" s="17" t="s">
        <v>796</v>
      </c>
      <c r="V997" s="16" t="s">
        <v>916</v>
      </c>
      <c r="W997" s="12">
        <v>39664</v>
      </c>
      <c r="X997" s="48">
        <v>42735</v>
      </c>
      <c r="Y997" s="12">
        <v>42735</v>
      </c>
      <c r="Z997" s="2" t="s">
        <v>60</v>
      </c>
      <c r="AA997" s="2"/>
      <c r="AB997" s="3"/>
      <c r="AC997" s="5">
        <v>1000</v>
      </c>
      <c r="AD997" s="5"/>
      <c r="AE997" s="5">
        <v>1170</v>
      </c>
      <c r="AF997" s="5">
        <f t="shared" si="1073"/>
        <v>1310</v>
      </c>
      <c r="AG997" s="5">
        <f t="shared" si="1062"/>
        <v>1310</v>
      </c>
      <c r="AH997" s="5">
        <f t="shared" si="1062"/>
        <v>1310</v>
      </c>
      <c r="AI997" s="5">
        <f t="shared" ref="AI997:AJ997" si="1077">+AH997</f>
        <v>1310</v>
      </c>
      <c r="AJ997" s="5">
        <f t="shared" si="1077"/>
        <v>1310</v>
      </c>
      <c r="AK997" s="29"/>
      <c r="AL997" s="105" t="str">
        <f>+Z997</f>
        <v>B2</v>
      </c>
    </row>
    <row r="998" spans="1:38" ht="15" customHeight="1" x14ac:dyDescent="0.2">
      <c r="A998" s="29" t="s">
        <v>824</v>
      </c>
      <c r="B998" s="2" t="s">
        <v>822</v>
      </c>
      <c r="C998" s="3"/>
      <c r="D998" s="2" t="s">
        <v>825</v>
      </c>
      <c r="E998" s="2" t="s">
        <v>908</v>
      </c>
      <c r="F998" s="2" t="s">
        <v>12</v>
      </c>
      <c r="G998" s="2"/>
      <c r="H998" s="2" t="s">
        <v>40</v>
      </c>
      <c r="I998" s="3"/>
      <c r="J998" s="28" t="s">
        <v>550</v>
      </c>
      <c r="K998" s="28"/>
      <c r="L998" s="41" t="s">
        <v>77</v>
      </c>
      <c r="M998" s="4" t="s">
        <v>3</v>
      </c>
      <c r="N998" s="15">
        <v>25983164</v>
      </c>
      <c r="O998" s="88">
        <v>20259831645</v>
      </c>
      <c r="P998" s="61"/>
      <c r="Q998" s="61"/>
      <c r="R998" s="61"/>
      <c r="S998" s="61"/>
      <c r="T998" s="61"/>
      <c r="U998" s="16" t="s">
        <v>796</v>
      </c>
      <c r="V998" s="16" t="s">
        <v>916</v>
      </c>
      <c r="W998" s="12">
        <v>39083</v>
      </c>
      <c r="X998" s="48">
        <v>42735</v>
      </c>
      <c r="Y998" s="12">
        <v>42735</v>
      </c>
      <c r="Z998" s="2" t="s">
        <v>62</v>
      </c>
      <c r="AA998" s="2"/>
      <c r="AB998" s="3"/>
      <c r="AC998" s="5">
        <v>1000</v>
      </c>
      <c r="AD998" s="5"/>
      <c r="AE998" s="5">
        <v>1170</v>
      </c>
      <c r="AF998" s="5">
        <f t="shared" si="1073"/>
        <v>1310</v>
      </c>
      <c r="AG998" s="5">
        <f t="shared" si="1062"/>
        <v>1310</v>
      </c>
      <c r="AH998" s="5">
        <f t="shared" si="1062"/>
        <v>1310</v>
      </c>
      <c r="AI998" s="5">
        <f t="shared" ref="AI998:AJ998" si="1078">+AH998</f>
        <v>1310</v>
      </c>
      <c r="AJ998" s="5">
        <f t="shared" si="1078"/>
        <v>1310</v>
      </c>
      <c r="AK998" s="29"/>
      <c r="AL998" s="105" t="str">
        <f>+Z998</f>
        <v>A2</v>
      </c>
    </row>
    <row r="999" spans="1:38" ht="15" customHeight="1" x14ac:dyDescent="0.2">
      <c r="A999" s="29" t="s">
        <v>824</v>
      </c>
      <c r="B999" s="29" t="s">
        <v>822</v>
      </c>
      <c r="C999" s="29" t="s">
        <v>823</v>
      </c>
      <c r="D999" s="2" t="s">
        <v>808</v>
      </c>
      <c r="E999" s="2" t="s">
        <v>909</v>
      </c>
      <c r="F999" s="2" t="s">
        <v>23</v>
      </c>
      <c r="G999" s="3"/>
      <c r="H999" s="2" t="s">
        <v>223</v>
      </c>
      <c r="I999" s="2" t="s">
        <v>238</v>
      </c>
      <c r="J999" s="28" t="s">
        <v>73</v>
      </c>
      <c r="K999" s="28" t="s">
        <v>1765</v>
      </c>
      <c r="L999" s="43" t="s">
        <v>209</v>
      </c>
      <c r="M999" s="4" t="s">
        <v>3</v>
      </c>
      <c r="N999" s="15">
        <v>30368270</v>
      </c>
      <c r="O999" s="88" t="s">
        <v>1367</v>
      </c>
      <c r="P999" s="38">
        <v>30486</v>
      </c>
      <c r="Q999" s="38"/>
      <c r="R999" s="38"/>
      <c r="S999" s="38"/>
      <c r="T999" s="38"/>
      <c r="U999" s="17" t="s">
        <v>215</v>
      </c>
      <c r="V999" s="17" t="s">
        <v>915</v>
      </c>
      <c r="W999" s="12">
        <v>42217</v>
      </c>
      <c r="X999" s="37"/>
      <c r="Y999" s="12">
        <v>42735</v>
      </c>
      <c r="Z999" s="2"/>
      <c r="AA999" s="2" t="s">
        <v>479</v>
      </c>
      <c r="AB999" s="7" t="s">
        <v>61</v>
      </c>
      <c r="AC999" s="5">
        <v>1000</v>
      </c>
      <c r="AD999" s="5">
        <f>+AC999*1.07</f>
        <v>1070</v>
      </c>
      <c r="AE999" s="5">
        <v>1170</v>
      </c>
      <c r="AF999" s="5">
        <f t="shared" si="1073"/>
        <v>1310</v>
      </c>
      <c r="AG999" s="5">
        <f t="shared" si="1062"/>
        <v>1310</v>
      </c>
      <c r="AH999" s="5">
        <f t="shared" si="1062"/>
        <v>1310</v>
      </c>
      <c r="AI999" s="5">
        <f t="shared" ref="AI999:AJ999" si="1079">+AH999</f>
        <v>1310</v>
      </c>
      <c r="AJ999" s="5">
        <f t="shared" si="1079"/>
        <v>1310</v>
      </c>
      <c r="AK999" s="29" t="s">
        <v>42</v>
      </c>
      <c r="AL999" s="105" t="str">
        <f>+AK999</f>
        <v>C0</v>
      </c>
    </row>
    <row r="1000" spans="1:38" ht="15" customHeight="1" x14ac:dyDescent="0.2">
      <c r="A1000" s="29" t="s">
        <v>824</v>
      </c>
      <c r="B1000" s="29" t="s">
        <v>822</v>
      </c>
      <c r="C1000" s="29" t="s">
        <v>823</v>
      </c>
      <c r="D1000" s="2" t="s">
        <v>800</v>
      </c>
      <c r="E1000" s="2" t="s">
        <v>480</v>
      </c>
      <c r="F1000" s="2"/>
      <c r="G1000" s="2"/>
      <c r="H1000" s="2" t="s">
        <v>1708</v>
      </c>
      <c r="I1000" s="3" t="s">
        <v>1708</v>
      </c>
      <c r="J1000" s="28" t="s">
        <v>254</v>
      </c>
      <c r="K1000" s="28" t="s">
        <v>1767</v>
      </c>
      <c r="L1000" s="42" t="s">
        <v>260</v>
      </c>
      <c r="M1000" s="4" t="s">
        <v>3</v>
      </c>
      <c r="N1000" s="15">
        <v>34265852</v>
      </c>
      <c r="O1000" s="88" t="s">
        <v>1467</v>
      </c>
      <c r="P1000" s="38">
        <v>32598</v>
      </c>
      <c r="Q1000" s="38"/>
      <c r="R1000" s="38"/>
      <c r="S1000" s="38"/>
      <c r="T1000" s="38"/>
      <c r="U1000" s="17" t="s">
        <v>215</v>
      </c>
      <c r="V1000" s="17" t="s">
        <v>915</v>
      </c>
      <c r="W1000" s="12">
        <v>42217</v>
      </c>
      <c r="X1000" s="20"/>
      <c r="Y1000" s="12">
        <v>42735</v>
      </c>
      <c r="Z1000" s="2"/>
      <c r="AA1000" s="2" t="s">
        <v>479</v>
      </c>
      <c r="AB1000" s="21" t="s">
        <v>479</v>
      </c>
      <c r="AC1000" s="5">
        <v>1000</v>
      </c>
      <c r="AD1000" s="5">
        <v>1070</v>
      </c>
      <c r="AE1000" s="5">
        <v>1170</v>
      </c>
      <c r="AF1000" s="5">
        <f t="shared" si="1073"/>
        <v>1310</v>
      </c>
      <c r="AG1000" s="5">
        <f t="shared" si="1062"/>
        <v>1310</v>
      </c>
      <c r="AH1000" s="5">
        <f t="shared" si="1062"/>
        <v>1310</v>
      </c>
      <c r="AI1000" s="5">
        <f t="shared" ref="AI1000:AJ1000" si="1080">+AH1000</f>
        <v>1310</v>
      </c>
      <c r="AJ1000" s="5">
        <f t="shared" si="1080"/>
        <v>1310</v>
      </c>
      <c r="AK1000" s="29" t="s">
        <v>42</v>
      </c>
      <c r="AL1000" s="105" t="str">
        <f>+AK1000</f>
        <v>C0</v>
      </c>
    </row>
    <row r="1001" spans="1:38" ht="15" customHeight="1" x14ac:dyDescent="0.2">
      <c r="A1001" s="29" t="s">
        <v>824</v>
      </c>
      <c r="B1001" s="29" t="s">
        <v>822</v>
      </c>
      <c r="C1001" s="29" t="s">
        <v>823</v>
      </c>
      <c r="D1001" s="2" t="s">
        <v>800</v>
      </c>
      <c r="E1001" s="7" t="s">
        <v>503</v>
      </c>
      <c r="F1001" s="7"/>
      <c r="G1001" s="7"/>
      <c r="H1001" s="8"/>
      <c r="I1001" s="3"/>
      <c r="J1001" s="28" t="s">
        <v>254</v>
      </c>
      <c r="K1001" s="28"/>
      <c r="L1001" s="42" t="s">
        <v>474</v>
      </c>
      <c r="M1001" s="4" t="s">
        <v>3</v>
      </c>
      <c r="N1001" s="15">
        <v>30014231</v>
      </c>
      <c r="O1001" s="88">
        <v>20300142312</v>
      </c>
      <c r="P1001" s="38"/>
      <c r="Q1001" s="38"/>
      <c r="R1001" s="38"/>
      <c r="S1001" s="38"/>
      <c r="T1001" s="38"/>
      <c r="U1001" s="16" t="s">
        <v>796</v>
      </c>
      <c r="V1001" s="16" t="s">
        <v>916</v>
      </c>
      <c r="W1001" s="12">
        <v>41365</v>
      </c>
      <c r="X1001" s="12">
        <v>42460</v>
      </c>
      <c r="Y1001" s="12">
        <v>42735</v>
      </c>
      <c r="Z1001" s="2" t="s">
        <v>42</v>
      </c>
      <c r="AA1001" s="2"/>
      <c r="AB1001" s="18"/>
      <c r="AC1001" s="5">
        <v>1000</v>
      </c>
      <c r="AD1001" s="5"/>
      <c r="AE1001" s="5">
        <v>1170</v>
      </c>
      <c r="AF1001" s="5">
        <f t="shared" si="1073"/>
        <v>1310</v>
      </c>
      <c r="AG1001" s="5">
        <f t="shared" si="1062"/>
        <v>1310</v>
      </c>
      <c r="AH1001" s="5">
        <f t="shared" si="1062"/>
        <v>1310</v>
      </c>
      <c r="AI1001" s="5">
        <f t="shared" ref="AI1001:AJ1001" si="1081">+AH1001</f>
        <v>1310</v>
      </c>
      <c r="AJ1001" s="5">
        <f t="shared" si="1081"/>
        <v>1310</v>
      </c>
      <c r="AK1001" s="29"/>
      <c r="AL1001" s="105" t="str">
        <f>+Z1001</f>
        <v>C0</v>
      </c>
    </row>
    <row r="1002" spans="1:38" ht="15" customHeight="1" x14ac:dyDescent="0.2">
      <c r="A1002" s="29" t="s">
        <v>824</v>
      </c>
      <c r="B1002" s="2" t="s">
        <v>822</v>
      </c>
      <c r="C1002" s="29"/>
      <c r="D1002" s="2" t="s">
        <v>825</v>
      </c>
      <c r="E1002" s="3" t="s">
        <v>8</v>
      </c>
      <c r="F1002" s="2" t="s">
        <v>913</v>
      </c>
      <c r="G1002" s="2"/>
      <c r="H1002" s="2" t="s">
        <v>38</v>
      </c>
      <c r="I1002" s="2" t="s">
        <v>13</v>
      </c>
      <c r="J1002" s="28" t="s">
        <v>549</v>
      </c>
      <c r="K1002" s="28" t="s">
        <v>549</v>
      </c>
      <c r="L1002" s="41" t="s">
        <v>777</v>
      </c>
      <c r="M1002" s="4" t="s">
        <v>3</v>
      </c>
      <c r="N1002" s="15">
        <v>27874288</v>
      </c>
      <c r="O1002" s="88">
        <v>20278742882</v>
      </c>
      <c r="P1002" s="38">
        <v>29341</v>
      </c>
      <c r="Q1002" s="38"/>
      <c r="R1002" s="38"/>
      <c r="S1002" s="38"/>
      <c r="T1002" s="38"/>
      <c r="U1002" s="17" t="s">
        <v>215</v>
      </c>
      <c r="V1002" s="17" t="s">
        <v>915</v>
      </c>
      <c r="W1002" s="12">
        <v>42248</v>
      </c>
      <c r="X1002" s="12"/>
      <c r="Y1002" s="12">
        <v>42735</v>
      </c>
      <c r="Z1002" s="2"/>
      <c r="AA1002" s="2" t="s">
        <v>479</v>
      </c>
      <c r="AB1002" s="3" t="s">
        <v>10</v>
      </c>
      <c r="AC1002" s="5">
        <v>1000</v>
      </c>
      <c r="AD1002" s="5">
        <f>+AC1002*1.07</f>
        <v>1070</v>
      </c>
      <c r="AE1002" s="5">
        <v>1170</v>
      </c>
      <c r="AF1002" s="5">
        <f t="shared" si="1073"/>
        <v>1310</v>
      </c>
      <c r="AG1002" s="5">
        <f t="shared" si="1062"/>
        <v>1310</v>
      </c>
      <c r="AH1002" s="5">
        <f t="shared" si="1062"/>
        <v>1310</v>
      </c>
      <c r="AI1002" s="5">
        <f t="shared" ref="AI1002:AJ1002" si="1082">+AH1002</f>
        <v>1310</v>
      </c>
      <c r="AJ1002" s="5">
        <f t="shared" si="1082"/>
        <v>1310</v>
      </c>
      <c r="AK1002" s="2" t="s">
        <v>1815</v>
      </c>
      <c r="AL1002" s="106"/>
    </row>
    <row r="1003" spans="1:38" ht="15" customHeight="1" x14ac:dyDescent="0.2">
      <c r="A1003" s="29" t="s">
        <v>824</v>
      </c>
      <c r="B1003" s="29" t="s">
        <v>822</v>
      </c>
      <c r="C1003" s="29" t="s">
        <v>823</v>
      </c>
      <c r="D1003" s="2" t="s">
        <v>800</v>
      </c>
      <c r="E1003" s="2" t="s">
        <v>20</v>
      </c>
      <c r="F1003" s="7"/>
      <c r="G1003" s="7"/>
      <c r="H1003" s="8"/>
      <c r="I1003" s="3"/>
      <c r="J1003" s="28" t="s">
        <v>254</v>
      </c>
      <c r="K1003" s="28"/>
      <c r="L1003" s="42" t="s">
        <v>463</v>
      </c>
      <c r="M1003" s="4" t="s">
        <v>3</v>
      </c>
      <c r="N1003" s="15">
        <v>27460740</v>
      </c>
      <c r="O1003" s="88">
        <v>27274607403</v>
      </c>
      <c r="P1003" s="38"/>
      <c r="Q1003" s="38"/>
      <c r="R1003" s="38"/>
      <c r="S1003" s="38"/>
      <c r="T1003" s="38"/>
      <c r="U1003" s="16" t="s">
        <v>796</v>
      </c>
      <c r="V1003" s="16" t="s">
        <v>916</v>
      </c>
      <c r="W1003" s="12">
        <v>41306</v>
      </c>
      <c r="X1003" s="12">
        <v>42460</v>
      </c>
      <c r="Y1003" s="12">
        <v>42735</v>
      </c>
      <c r="Z1003" s="2" t="s">
        <v>42</v>
      </c>
      <c r="AA1003" s="2"/>
      <c r="AB1003" s="18"/>
      <c r="AC1003" s="5">
        <v>1000</v>
      </c>
      <c r="AD1003" s="5"/>
      <c r="AE1003" s="5">
        <v>1170</v>
      </c>
      <c r="AF1003" s="5">
        <f t="shared" si="1073"/>
        <v>1310</v>
      </c>
      <c r="AG1003" s="5">
        <f t="shared" si="1062"/>
        <v>1310</v>
      </c>
      <c r="AH1003" s="5">
        <f t="shared" si="1062"/>
        <v>1310</v>
      </c>
      <c r="AI1003" s="5">
        <f t="shared" ref="AI1003:AJ1003" si="1083">+AH1003</f>
        <v>1310</v>
      </c>
      <c r="AJ1003" s="5">
        <f t="shared" si="1083"/>
        <v>1310</v>
      </c>
      <c r="AK1003" s="29"/>
      <c r="AL1003" s="105" t="str">
        <f>+Z1003</f>
        <v>C0</v>
      </c>
    </row>
    <row r="1004" spans="1:38" ht="15" customHeight="1" x14ac:dyDescent="0.2">
      <c r="A1004" s="29" t="s">
        <v>824</v>
      </c>
      <c r="B1004" s="29" t="s">
        <v>822</v>
      </c>
      <c r="C1004" s="29" t="s">
        <v>823</v>
      </c>
      <c r="D1004" s="2" t="s">
        <v>808</v>
      </c>
      <c r="E1004" s="2" t="s">
        <v>503</v>
      </c>
      <c r="F1004" s="2" t="s">
        <v>1130</v>
      </c>
      <c r="G1004" s="3"/>
      <c r="H1004" s="2"/>
      <c r="I1004" s="2" t="s">
        <v>1707</v>
      </c>
      <c r="J1004" s="28"/>
      <c r="K1004" s="28" t="s">
        <v>1765</v>
      </c>
      <c r="L1004" s="43" t="s">
        <v>1100</v>
      </c>
      <c r="M1004" s="7" t="s">
        <v>3</v>
      </c>
      <c r="N1004" s="15">
        <v>6084351</v>
      </c>
      <c r="O1004" s="88">
        <v>20060843512</v>
      </c>
      <c r="P1004" s="38">
        <v>18084</v>
      </c>
      <c r="Q1004" s="38"/>
      <c r="R1004" s="38"/>
      <c r="S1004" s="38"/>
      <c r="T1004" s="38"/>
      <c r="U1004" s="17" t="s">
        <v>215</v>
      </c>
      <c r="V1004" s="17" t="s">
        <v>915</v>
      </c>
      <c r="W1004" s="12">
        <v>42522</v>
      </c>
      <c r="X1004" s="37"/>
      <c r="Y1004" s="12">
        <v>42735</v>
      </c>
      <c r="Z1004" s="2"/>
      <c r="AA1004" s="2" t="s">
        <v>479</v>
      </c>
      <c r="AB1004" s="14"/>
      <c r="AC1004" s="5"/>
      <c r="AD1004" s="5">
        <v>1070</v>
      </c>
      <c r="AE1004" s="5">
        <v>1170</v>
      </c>
      <c r="AF1004" s="5">
        <f t="shared" si="1073"/>
        <v>0</v>
      </c>
      <c r="AG1004" s="5">
        <f t="shared" si="1062"/>
        <v>0</v>
      </c>
      <c r="AH1004" s="5">
        <f t="shared" si="1062"/>
        <v>0</v>
      </c>
      <c r="AI1004" s="5">
        <f t="shared" ref="AI1004:AJ1004" si="1084">+AH1004</f>
        <v>0</v>
      </c>
      <c r="AJ1004" s="5">
        <f t="shared" si="1084"/>
        <v>0</v>
      </c>
      <c r="AK1004" s="2" t="s">
        <v>43</v>
      </c>
      <c r="AL1004" s="105" t="str">
        <f>+AK1004</f>
        <v>A0</v>
      </c>
    </row>
    <row r="1005" spans="1:38" ht="15" customHeight="1" x14ac:dyDescent="0.2">
      <c r="A1005" s="29" t="s">
        <v>824</v>
      </c>
      <c r="B1005" s="29"/>
      <c r="C1005" s="29"/>
      <c r="D1005" s="2" t="s">
        <v>820</v>
      </c>
      <c r="E1005" s="2" t="s">
        <v>921</v>
      </c>
      <c r="F1005" s="3" t="s">
        <v>525</v>
      </c>
      <c r="G1005" s="3"/>
      <c r="H1005" s="2" t="s">
        <v>234</v>
      </c>
      <c r="I1005" s="2" t="s">
        <v>1707</v>
      </c>
      <c r="J1005" s="28" t="s">
        <v>73</v>
      </c>
      <c r="K1005" s="28" t="s">
        <v>1765</v>
      </c>
      <c r="L1005" s="45" t="s">
        <v>210</v>
      </c>
      <c r="M1005" s="4" t="s">
        <v>3</v>
      </c>
      <c r="N1005" s="15">
        <v>25875955</v>
      </c>
      <c r="O1005" s="88" t="s">
        <v>1273</v>
      </c>
      <c r="P1005" s="38">
        <v>28392</v>
      </c>
      <c r="Q1005" s="38"/>
      <c r="R1005" s="38"/>
      <c r="S1005" s="38"/>
      <c r="T1005" s="38"/>
      <c r="U1005" s="17" t="s">
        <v>215</v>
      </c>
      <c r="V1005" s="17" t="s">
        <v>915</v>
      </c>
      <c r="W1005" s="12"/>
      <c r="X1005" s="37"/>
      <c r="Y1005" s="12">
        <v>42735</v>
      </c>
      <c r="Z1005" s="2"/>
      <c r="AA1005" s="2" t="s">
        <v>479</v>
      </c>
      <c r="AB1005" s="29" t="s">
        <v>538</v>
      </c>
      <c r="AC1005" s="5">
        <v>1000</v>
      </c>
      <c r="AD1005" s="5">
        <f>+AC1005*1.07</f>
        <v>1070</v>
      </c>
      <c r="AE1005" s="5">
        <v>1170</v>
      </c>
      <c r="AF1005" s="5">
        <f t="shared" si="1073"/>
        <v>1310</v>
      </c>
      <c r="AG1005" s="5">
        <f t="shared" si="1062"/>
        <v>1310</v>
      </c>
      <c r="AH1005" s="5">
        <f t="shared" si="1062"/>
        <v>1310</v>
      </c>
      <c r="AI1005" s="5">
        <f t="shared" ref="AI1005:AJ1005" si="1085">+AH1005</f>
        <v>1310</v>
      </c>
      <c r="AJ1005" s="5">
        <f t="shared" si="1085"/>
        <v>1310</v>
      </c>
      <c r="AK1005" s="2" t="s">
        <v>42</v>
      </c>
      <c r="AL1005" s="105" t="str">
        <f>+AK1005</f>
        <v>C0</v>
      </c>
    </row>
    <row r="1006" spans="1:38" ht="15" customHeight="1" x14ac:dyDescent="0.2">
      <c r="A1006" s="29" t="s">
        <v>824</v>
      </c>
      <c r="B1006" s="29" t="s">
        <v>822</v>
      </c>
      <c r="C1006" s="14"/>
      <c r="D1006" s="2" t="s">
        <v>825</v>
      </c>
      <c r="E1006" s="2"/>
      <c r="F1006" s="3"/>
      <c r="G1006" s="3"/>
      <c r="H1006" s="2" t="s">
        <v>884</v>
      </c>
      <c r="I1006" s="2" t="s">
        <v>1707</v>
      </c>
      <c r="J1006" s="28"/>
      <c r="K1006" s="28" t="s">
        <v>1765</v>
      </c>
      <c r="L1006" s="83" t="s">
        <v>876</v>
      </c>
      <c r="M1006" s="4" t="s">
        <v>3</v>
      </c>
      <c r="N1006" s="15">
        <v>29136569</v>
      </c>
      <c r="O1006" s="88" t="s">
        <v>1346</v>
      </c>
      <c r="P1006" s="38">
        <v>29892</v>
      </c>
      <c r="Q1006" s="38"/>
      <c r="R1006" s="38"/>
      <c r="S1006" s="38"/>
      <c r="T1006" s="38"/>
      <c r="U1006" s="17" t="s">
        <v>215</v>
      </c>
      <c r="V1006" s="17" t="s">
        <v>915</v>
      </c>
      <c r="W1006" s="12">
        <v>42370</v>
      </c>
      <c r="X1006" s="48"/>
      <c r="Y1006" s="12">
        <v>42735</v>
      </c>
      <c r="Z1006" s="2"/>
      <c r="AA1006" s="2" t="s">
        <v>479</v>
      </c>
      <c r="AB1006" s="3" t="s">
        <v>10</v>
      </c>
      <c r="AC1006" s="5">
        <v>1000</v>
      </c>
      <c r="AD1006" s="5">
        <f>+AC1006*1.07</f>
        <v>1070</v>
      </c>
      <c r="AE1006" s="5">
        <v>1170</v>
      </c>
      <c r="AF1006" s="5">
        <f t="shared" si="1073"/>
        <v>1310</v>
      </c>
      <c r="AG1006" s="5">
        <f t="shared" si="1062"/>
        <v>1310</v>
      </c>
      <c r="AH1006" s="5">
        <f t="shared" si="1062"/>
        <v>1310</v>
      </c>
      <c r="AI1006" s="5">
        <f t="shared" ref="AI1006:AJ1006" si="1086">+AH1006</f>
        <v>1310</v>
      </c>
      <c r="AJ1006" s="5">
        <f t="shared" si="1086"/>
        <v>1310</v>
      </c>
      <c r="AK1006" s="2" t="s">
        <v>43</v>
      </c>
      <c r="AL1006" s="105" t="str">
        <f>+AK1006</f>
        <v>A0</v>
      </c>
    </row>
    <row r="1007" spans="1:38" ht="15" customHeight="1" x14ac:dyDescent="0.2">
      <c r="A1007" s="29" t="s">
        <v>824</v>
      </c>
      <c r="B1007" s="29" t="s">
        <v>822</v>
      </c>
      <c r="C1007" s="29" t="s">
        <v>823</v>
      </c>
      <c r="D1007" s="2" t="s">
        <v>800</v>
      </c>
      <c r="E1007" s="2" t="s">
        <v>20</v>
      </c>
      <c r="F1007" s="7"/>
      <c r="G1007" s="7"/>
      <c r="H1007" s="8"/>
      <c r="I1007" s="2" t="s">
        <v>235</v>
      </c>
      <c r="J1007" s="28" t="s">
        <v>254</v>
      </c>
      <c r="K1007" s="28" t="s">
        <v>1767</v>
      </c>
      <c r="L1007" s="42" t="s">
        <v>464</v>
      </c>
      <c r="M1007" s="4" t="s">
        <v>3</v>
      </c>
      <c r="N1007" s="15">
        <v>17686556</v>
      </c>
      <c r="O1007" s="88" t="s">
        <v>1175</v>
      </c>
      <c r="P1007" s="38">
        <v>23957</v>
      </c>
      <c r="Q1007" s="38"/>
      <c r="R1007" s="38"/>
      <c r="S1007" s="38"/>
      <c r="T1007" s="38"/>
      <c r="U1007" s="17" t="s">
        <v>215</v>
      </c>
      <c r="V1007" s="17" t="s">
        <v>915</v>
      </c>
      <c r="W1007" s="12">
        <v>40603</v>
      </c>
      <c r="X1007" s="20"/>
      <c r="Y1007" s="12">
        <v>42735</v>
      </c>
      <c r="Z1007" s="2"/>
      <c r="AA1007" s="2" t="s">
        <v>479</v>
      </c>
      <c r="AB1007" s="24" t="s">
        <v>479</v>
      </c>
      <c r="AC1007" s="5">
        <v>1000</v>
      </c>
      <c r="AD1007" s="5">
        <f>+AC1007*1.07</f>
        <v>1070</v>
      </c>
      <c r="AE1007" s="5">
        <v>1170</v>
      </c>
      <c r="AF1007" s="5">
        <f t="shared" si="1073"/>
        <v>1310</v>
      </c>
      <c r="AG1007" s="5">
        <f t="shared" si="1062"/>
        <v>1310</v>
      </c>
      <c r="AH1007" s="5">
        <f t="shared" si="1062"/>
        <v>1310</v>
      </c>
      <c r="AI1007" s="5">
        <f t="shared" ref="AI1007:AJ1007" si="1087">+AH1007</f>
        <v>1310</v>
      </c>
      <c r="AJ1007" s="5">
        <f t="shared" si="1087"/>
        <v>1310</v>
      </c>
      <c r="AK1007" s="2" t="s">
        <v>53</v>
      </c>
      <c r="AL1007" s="105" t="str">
        <f>+AK1007</f>
        <v>B0</v>
      </c>
    </row>
    <row r="1008" spans="1:38" ht="15" customHeight="1" x14ac:dyDescent="0.2">
      <c r="A1008" s="29" t="s">
        <v>824</v>
      </c>
      <c r="B1008" s="29" t="s">
        <v>822</v>
      </c>
      <c r="C1008" s="29" t="s">
        <v>823</v>
      </c>
      <c r="D1008" s="2" t="s">
        <v>800</v>
      </c>
      <c r="E1008" s="7" t="s">
        <v>541</v>
      </c>
      <c r="F1008" s="7"/>
      <c r="G1008" s="7"/>
      <c r="H1008" s="8"/>
      <c r="I1008" s="3"/>
      <c r="J1008" s="28" t="s">
        <v>254</v>
      </c>
      <c r="K1008" s="28"/>
      <c r="L1008" s="42" t="s">
        <v>418</v>
      </c>
      <c r="M1008" s="4" t="s">
        <v>3</v>
      </c>
      <c r="N1008" s="15">
        <v>17363262</v>
      </c>
      <c r="O1008" s="88">
        <v>20173632623</v>
      </c>
      <c r="P1008" s="38"/>
      <c r="Q1008" s="38"/>
      <c r="R1008" s="38"/>
      <c r="S1008" s="38"/>
      <c r="T1008" s="38"/>
      <c r="U1008" s="16" t="s">
        <v>796</v>
      </c>
      <c r="V1008" s="16" t="s">
        <v>916</v>
      </c>
      <c r="W1008" s="12">
        <v>41243</v>
      </c>
      <c r="X1008" s="48">
        <v>42735</v>
      </c>
      <c r="Y1008" s="12">
        <v>42735</v>
      </c>
      <c r="Z1008" s="2" t="s">
        <v>42</v>
      </c>
      <c r="AA1008" s="2"/>
      <c r="AB1008" s="18"/>
      <c r="AC1008" s="5">
        <v>1000</v>
      </c>
      <c r="AD1008" s="5"/>
      <c r="AE1008" s="5">
        <v>1170</v>
      </c>
      <c r="AF1008" s="5">
        <f t="shared" si="1073"/>
        <v>1310</v>
      </c>
      <c r="AG1008" s="5">
        <f t="shared" si="1062"/>
        <v>1310</v>
      </c>
      <c r="AH1008" s="5">
        <f t="shared" si="1062"/>
        <v>1310</v>
      </c>
      <c r="AI1008" s="5">
        <f t="shared" ref="AI1008:AJ1008" si="1088">+AH1008</f>
        <v>1310</v>
      </c>
      <c r="AJ1008" s="5">
        <f t="shared" si="1088"/>
        <v>1310</v>
      </c>
      <c r="AK1008" s="29"/>
      <c r="AL1008" s="105" t="str">
        <f>+Z1008</f>
        <v>C0</v>
      </c>
    </row>
    <row r="1009" spans="1:38" ht="15" customHeight="1" x14ac:dyDescent="0.2">
      <c r="A1009" s="29" t="s">
        <v>824</v>
      </c>
      <c r="B1009" s="29" t="s">
        <v>822</v>
      </c>
      <c r="C1009" s="29" t="s">
        <v>823</v>
      </c>
      <c r="D1009" s="2" t="s">
        <v>800</v>
      </c>
      <c r="E1009" s="7" t="s">
        <v>541</v>
      </c>
      <c r="F1009" s="7"/>
      <c r="G1009" s="7"/>
      <c r="H1009" s="8"/>
      <c r="I1009" s="3"/>
      <c r="J1009" s="28" t="s">
        <v>254</v>
      </c>
      <c r="K1009" s="28"/>
      <c r="L1009" s="42" t="s">
        <v>417</v>
      </c>
      <c r="M1009" s="4" t="s">
        <v>3</v>
      </c>
      <c r="N1009" s="15">
        <v>34027734</v>
      </c>
      <c r="O1009" s="88">
        <v>20340277342</v>
      </c>
      <c r="P1009" s="38"/>
      <c r="Q1009" s="38"/>
      <c r="R1009" s="38"/>
      <c r="S1009" s="38"/>
      <c r="T1009" s="38"/>
      <c r="U1009" s="16" t="s">
        <v>796</v>
      </c>
      <c r="V1009" s="16" t="s">
        <v>916</v>
      </c>
      <c r="W1009" s="12">
        <v>41243</v>
      </c>
      <c r="X1009" s="48">
        <v>42735</v>
      </c>
      <c r="Y1009" s="12">
        <v>42735</v>
      </c>
      <c r="Z1009" s="2" t="s">
        <v>42</v>
      </c>
      <c r="AA1009" s="2"/>
      <c r="AB1009" s="18"/>
      <c r="AC1009" s="5">
        <v>1000</v>
      </c>
      <c r="AD1009" s="5"/>
      <c r="AE1009" s="5">
        <v>1170</v>
      </c>
      <c r="AF1009" s="5">
        <f t="shared" si="1073"/>
        <v>1310</v>
      </c>
      <c r="AG1009" s="5">
        <f t="shared" si="1062"/>
        <v>1310</v>
      </c>
      <c r="AH1009" s="5">
        <f t="shared" si="1062"/>
        <v>1310</v>
      </c>
      <c r="AI1009" s="5">
        <f t="shared" ref="AI1009:AJ1009" si="1089">+AH1009</f>
        <v>1310</v>
      </c>
      <c r="AJ1009" s="5">
        <f t="shared" si="1089"/>
        <v>1310</v>
      </c>
      <c r="AK1009" s="29"/>
      <c r="AL1009" s="105" t="str">
        <f>+Z1009</f>
        <v>C0</v>
      </c>
    </row>
    <row r="1010" spans="1:38" ht="15" customHeight="1" x14ac:dyDescent="0.2">
      <c r="A1010" s="29" t="s">
        <v>824</v>
      </c>
      <c r="B1010" s="2" t="s">
        <v>822</v>
      </c>
      <c r="C1010" s="29"/>
      <c r="D1010" s="2" t="s">
        <v>825</v>
      </c>
      <c r="E1010" s="3" t="s">
        <v>8</v>
      </c>
      <c r="F1010" s="2" t="s">
        <v>913</v>
      </c>
      <c r="G1010" s="2"/>
      <c r="H1010" s="2" t="s">
        <v>28</v>
      </c>
      <c r="I1010" s="2" t="s">
        <v>13</v>
      </c>
      <c r="J1010" s="28" t="s">
        <v>549</v>
      </c>
      <c r="K1010" s="28" t="s">
        <v>549</v>
      </c>
      <c r="L1010" s="41" t="s">
        <v>778</v>
      </c>
      <c r="M1010" s="4" t="s">
        <v>3</v>
      </c>
      <c r="N1010" s="15">
        <v>34132540</v>
      </c>
      <c r="O1010" s="88">
        <v>20341325405</v>
      </c>
      <c r="P1010" s="38">
        <v>32731</v>
      </c>
      <c r="Q1010" s="38"/>
      <c r="R1010" s="38"/>
      <c r="S1010" s="38"/>
      <c r="T1010" s="38"/>
      <c r="U1010" s="17" t="s">
        <v>215</v>
      </c>
      <c r="V1010" s="17" t="s">
        <v>915</v>
      </c>
      <c r="W1010" s="12">
        <v>42248</v>
      </c>
      <c r="X1010" s="12"/>
      <c r="Y1010" s="12">
        <v>42735</v>
      </c>
      <c r="Z1010" s="2"/>
      <c r="AA1010" s="2" t="s">
        <v>479</v>
      </c>
      <c r="AB1010" s="3" t="s">
        <v>10</v>
      </c>
      <c r="AC1010" s="5">
        <v>1000</v>
      </c>
      <c r="AD1010" s="5">
        <f>+AC1010*1.07</f>
        <v>1070</v>
      </c>
      <c r="AE1010" s="5">
        <v>1170</v>
      </c>
      <c r="AF1010" s="5">
        <f t="shared" si="1073"/>
        <v>1310</v>
      </c>
      <c r="AG1010" s="5">
        <f t="shared" si="1062"/>
        <v>1310</v>
      </c>
      <c r="AH1010" s="5">
        <f t="shared" si="1062"/>
        <v>1310</v>
      </c>
      <c r="AI1010" s="5">
        <f t="shared" ref="AI1010:AJ1010" si="1090">+AH1010</f>
        <v>1310</v>
      </c>
      <c r="AJ1010" s="5">
        <f t="shared" si="1090"/>
        <v>1310</v>
      </c>
      <c r="AK1010" s="2" t="s">
        <v>1815</v>
      </c>
      <c r="AL1010" s="106"/>
    </row>
    <row r="1011" spans="1:38" ht="15" customHeight="1" x14ac:dyDescent="0.2">
      <c r="A1011" s="29" t="s">
        <v>824</v>
      </c>
      <c r="B1011" s="29" t="s">
        <v>822</v>
      </c>
      <c r="C1011" s="14"/>
      <c r="D1011" s="2" t="s">
        <v>825</v>
      </c>
      <c r="E1011" s="2"/>
      <c r="F1011" s="3"/>
      <c r="G1011" s="3" t="s">
        <v>522</v>
      </c>
      <c r="H1011" s="2"/>
      <c r="I1011" s="3"/>
      <c r="J1011" s="28" t="s">
        <v>73</v>
      </c>
      <c r="K1011" s="28"/>
      <c r="L1011" s="45" t="s">
        <v>211</v>
      </c>
      <c r="M1011" s="4" t="s">
        <v>3</v>
      </c>
      <c r="N1011" s="15">
        <v>27444628</v>
      </c>
      <c r="O1011" s="88">
        <v>27274446280</v>
      </c>
      <c r="P1011" s="36"/>
      <c r="Q1011" s="36"/>
      <c r="R1011" s="36"/>
      <c r="S1011" s="36"/>
      <c r="T1011" s="36"/>
      <c r="U1011" s="16" t="s">
        <v>796</v>
      </c>
      <c r="V1011" s="16" t="s">
        <v>916</v>
      </c>
      <c r="W1011" s="12">
        <v>38353</v>
      </c>
      <c r="X1011" s="48">
        <v>42735</v>
      </c>
      <c r="Y1011" s="12">
        <v>42735</v>
      </c>
      <c r="Z1011" s="2" t="s">
        <v>798</v>
      </c>
      <c r="AA1011" s="2"/>
      <c r="AB1011" s="14"/>
      <c r="AC1011" s="5">
        <v>1000</v>
      </c>
      <c r="AD1011" s="5"/>
      <c r="AE1011" s="5">
        <v>1170</v>
      </c>
      <c r="AF1011" s="5">
        <f t="shared" si="1073"/>
        <v>1310</v>
      </c>
      <c r="AG1011" s="5">
        <f t="shared" si="1062"/>
        <v>1310</v>
      </c>
      <c r="AH1011" s="5">
        <f t="shared" si="1062"/>
        <v>1310</v>
      </c>
      <c r="AI1011" s="5">
        <f t="shared" ref="AI1011:AJ1011" si="1091">+AH1011</f>
        <v>1310</v>
      </c>
      <c r="AJ1011" s="5">
        <f t="shared" si="1091"/>
        <v>1310</v>
      </c>
      <c r="AK1011" s="29"/>
      <c r="AL1011" s="105" t="str">
        <f>+Z1011</f>
        <v>A3</v>
      </c>
    </row>
    <row r="1012" spans="1:38" ht="15" customHeight="1" x14ac:dyDescent="0.2">
      <c r="A1012" s="29" t="s">
        <v>824</v>
      </c>
      <c r="B1012" s="29" t="s">
        <v>822</v>
      </c>
      <c r="C1012" s="29" t="s">
        <v>823</v>
      </c>
      <c r="D1012" s="2" t="s">
        <v>800</v>
      </c>
      <c r="E1012" s="7" t="s">
        <v>541</v>
      </c>
      <c r="F1012" s="7"/>
      <c r="G1012" s="7"/>
      <c r="H1012" s="8"/>
      <c r="I1012" s="3" t="s">
        <v>1751</v>
      </c>
      <c r="J1012" s="28" t="s">
        <v>254</v>
      </c>
      <c r="K1012" s="28" t="s">
        <v>1767</v>
      </c>
      <c r="L1012" s="42" t="s">
        <v>431</v>
      </c>
      <c r="M1012" s="4" t="s">
        <v>3</v>
      </c>
      <c r="N1012" s="15">
        <v>24470829</v>
      </c>
      <c r="O1012" s="88" t="s">
        <v>1245</v>
      </c>
      <c r="P1012" s="38">
        <v>27537</v>
      </c>
      <c r="Q1012" s="38"/>
      <c r="R1012" s="38"/>
      <c r="S1012" s="38"/>
      <c r="T1012" s="38"/>
      <c r="U1012" s="17" t="s">
        <v>215</v>
      </c>
      <c r="V1012" s="17" t="s">
        <v>915</v>
      </c>
      <c r="W1012" s="12">
        <v>41852</v>
      </c>
      <c r="X1012" s="20"/>
      <c r="Y1012" s="12">
        <v>42735</v>
      </c>
      <c r="Z1012" s="2"/>
      <c r="AA1012" s="2" t="s">
        <v>479</v>
      </c>
      <c r="AB1012" s="24" t="s">
        <v>479</v>
      </c>
      <c r="AC1012" s="5">
        <v>1000</v>
      </c>
      <c r="AD1012" s="5">
        <v>1070</v>
      </c>
      <c r="AE1012" s="5">
        <v>1170</v>
      </c>
      <c r="AF1012" s="5">
        <f t="shared" si="1073"/>
        <v>1310</v>
      </c>
      <c r="AG1012" s="5">
        <f t="shared" si="1062"/>
        <v>1310</v>
      </c>
      <c r="AH1012" s="5">
        <f t="shared" si="1062"/>
        <v>1310</v>
      </c>
      <c r="AI1012" s="5">
        <f t="shared" ref="AI1012:AJ1012" si="1092">+AH1012</f>
        <v>1310</v>
      </c>
      <c r="AJ1012" s="5">
        <f t="shared" si="1092"/>
        <v>1310</v>
      </c>
      <c r="AK1012" s="29" t="s">
        <v>42</v>
      </c>
      <c r="AL1012" s="105" t="str">
        <f>+AK1012</f>
        <v>C0</v>
      </c>
    </row>
    <row r="1013" spans="1:38" ht="15" customHeight="1" x14ac:dyDescent="0.2">
      <c r="A1013" s="29" t="s">
        <v>824</v>
      </c>
      <c r="B1013" s="29"/>
      <c r="C1013" s="29"/>
      <c r="D1013" s="2" t="s">
        <v>820</v>
      </c>
      <c r="E1013" s="2" t="s">
        <v>921</v>
      </c>
      <c r="F1013" s="3" t="s">
        <v>525</v>
      </c>
      <c r="G1013" s="3"/>
      <c r="H1013" s="2" t="s">
        <v>234</v>
      </c>
      <c r="I1013" s="2" t="s">
        <v>1707</v>
      </c>
      <c r="J1013" s="28" t="s">
        <v>73</v>
      </c>
      <c r="K1013" s="28" t="s">
        <v>1765</v>
      </c>
      <c r="L1013" s="45" t="s">
        <v>212</v>
      </c>
      <c r="M1013" s="4" t="s">
        <v>3</v>
      </c>
      <c r="N1013" s="15">
        <v>21556947</v>
      </c>
      <c r="O1013" s="88" t="s">
        <v>1201</v>
      </c>
      <c r="P1013" s="38">
        <v>25758</v>
      </c>
      <c r="Q1013" s="38"/>
      <c r="R1013" s="38"/>
      <c r="S1013" s="38"/>
      <c r="T1013" s="38"/>
      <c r="U1013" s="17" t="s">
        <v>215</v>
      </c>
      <c r="V1013" s="17" t="s">
        <v>915</v>
      </c>
      <c r="W1013" s="12"/>
      <c r="X1013" s="37"/>
      <c r="Y1013" s="12">
        <v>42735</v>
      </c>
      <c r="Z1013" s="2"/>
      <c r="AA1013" s="2" t="s">
        <v>479</v>
      </c>
      <c r="AB1013" s="29" t="s">
        <v>538</v>
      </c>
      <c r="AC1013" s="5">
        <v>1000</v>
      </c>
      <c r="AD1013" s="5">
        <f>+AC1013*1.07</f>
        <v>1070</v>
      </c>
      <c r="AE1013" s="5">
        <v>1170</v>
      </c>
      <c r="AF1013" s="5">
        <f t="shared" si="1073"/>
        <v>1310</v>
      </c>
      <c r="AG1013" s="5">
        <f t="shared" si="1062"/>
        <v>1310</v>
      </c>
      <c r="AH1013" s="5">
        <f t="shared" si="1062"/>
        <v>1310</v>
      </c>
      <c r="AI1013" s="5">
        <f t="shared" ref="AI1013:AJ1013" si="1093">+AH1013</f>
        <v>1310</v>
      </c>
      <c r="AJ1013" s="5">
        <f t="shared" si="1093"/>
        <v>1310</v>
      </c>
      <c r="AK1013" s="2" t="s">
        <v>42</v>
      </c>
      <c r="AL1013" s="105" t="str">
        <f>+AK1013</f>
        <v>C0</v>
      </c>
    </row>
    <row r="1014" spans="1:38" ht="15" customHeight="1" x14ac:dyDescent="0.2">
      <c r="A1014" s="29" t="s">
        <v>824</v>
      </c>
      <c r="B1014" s="29" t="s">
        <v>822</v>
      </c>
      <c r="C1014" s="3"/>
      <c r="D1014" s="2" t="s">
        <v>956</v>
      </c>
      <c r="E1014" s="2" t="s">
        <v>956</v>
      </c>
      <c r="F1014" s="2"/>
      <c r="G1014" s="2"/>
      <c r="H1014" s="2"/>
      <c r="I1014" s="2" t="s">
        <v>1825</v>
      </c>
      <c r="J1014" s="28"/>
      <c r="K1014" s="28"/>
      <c r="L1014" s="44" t="s">
        <v>1830</v>
      </c>
      <c r="M1014" s="7" t="s">
        <v>3</v>
      </c>
      <c r="N1014" s="47">
        <v>29142911</v>
      </c>
      <c r="O1014" s="88">
        <v>23291429114</v>
      </c>
      <c r="P1014" s="38"/>
      <c r="Q1014" s="38"/>
      <c r="R1014" s="38"/>
      <c r="S1014" s="38"/>
      <c r="T1014" s="38"/>
      <c r="U1014" s="17" t="s">
        <v>215</v>
      </c>
      <c r="V1014" s="17" t="s">
        <v>915</v>
      </c>
      <c r="W1014" s="12">
        <v>42552</v>
      </c>
      <c r="X1014" s="12"/>
      <c r="Y1014" s="12">
        <v>42735</v>
      </c>
      <c r="Z1014" s="2"/>
      <c r="AA1014" s="2"/>
      <c r="AB1014" s="7"/>
      <c r="AC1014" s="5"/>
      <c r="AD1014" s="5"/>
      <c r="AE1014" s="5">
        <v>1170</v>
      </c>
      <c r="AF1014" s="5">
        <f t="shared" si="1073"/>
        <v>0</v>
      </c>
      <c r="AG1014" s="5">
        <v>1310</v>
      </c>
      <c r="AH1014" s="5">
        <v>14000</v>
      </c>
      <c r="AI1014" s="5">
        <f t="shared" ref="AI1014:AJ1014" si="1094">+AH1014</f>
        <v>14000</v>
      </c>
      <c r="AJ1014" s="5">
        <f t="shared" si="1094"/>
        <v>14000</v>
      </c>
      <c r="AK1014" s="2"/>
      <c r="AL1014" s="106"/>
    </row>
    <row r="1015" spans="1:38" ht="15" customHeight="1" x14ac:dyDescent="0.2">
      <c r="A1015" s="29" t="s">
        <v>824</v>
      </c>
      <c r="B1015" s="2" t="s">
        <v>822</v>
      </c>
      <c r="C1015" s="29" t="s">
        <v>823</v>
      </c>
      <c r="D1015" s="2" t="s">
        <v>808</v>
      </c>
      <c r="E1015" s="2" t="s">
        <v>20</v>
      </c>
      <c r="F1015" s="2"/>
      <c r="G1015" s="2"/>
      <c r="H1015" s="3"/>
      <c r="I1015" s="2" t="s">
        <v>235</v>
      </c>
      <c r="J1015" s="28"/>
      <c r="K1015" s="28" t="s">
        <v>1765</v>
      </c>
      <c r="L1015" s="42" t="s">
        <v>1086</v>
      </c>
      <c r="M1015" s="7" t="s">
        <v>3</v>
      </c>
      <c r="N1015" s="15">
        <v>26516975</v>
      </c>
      <c r="O1015" s="88" t="s">
        <v>1291</v>
      </c>
      <c r="P1015" s="38">
        <v>28573</v>
      </c>
      <c r="Q1015" s="38"/>
      <c r="R1015" s="38"/>
      <c r="S1015" s="38"/>
      <c r="T1015" s="38"/>
      <c r="U1015" s="17" t="s">
        <v>215</v>
      </c>
      <c r="V1015" s="17" t="s">
        <v>915</v>
      </c>
      <c r="W1015" s="12">
        <v>42522</v>
      </c>
      <c r="X1015" s="19"/>
      <c r="Y1015" s="12">
        <v>42735</v>
      </c>
      <c r="Z1015" s="2"/>
      <c r="AA1015" s="2" t="s">
        <v>479</v>
      </c>
      <c r="AB1015" s="2"/>
      <c r="AC1015" s="5"/>
      <c r="AD1015" s="5">
        <v>1070</v>
      </c>
      <c r="AE1015" s="5">
        <v>1170</v>
      </c>
      <c r="AF1015" s="5">
        <f t="shared" si="1073"/>
        <v>0</v>
      </c>
      <c r="AG1015" s="5">
        <f t="shared" ref="AG1015:AH1020" si="1095">+AF1015</f>
        <v>0</v>
      </c>
      <c r="AH1015" s="5">
        <f t="shared" si="1095"/>
        <v>0</v>
      </c>
      <c r="AI1015" s="5">
        <f t="shared" ref="AI1015:AJ1015" si="1096">+AH1015</f>
        <v>0</v>
      </c>
      <c r="AJ1015" s="5">
        <f t="shared" si="1096"/>
        <v>0</v>
      </c>
      <c r="AK1015" s="2" t="s">
        <v>53</v>
      </c>
      <c r="AL1015" s="105" t="str">
        <f>+AK1015</f>
        <v>B0</v>
      </c>
    </row>
    <row r="1016" spans="1:38" ht="15" customHeight="1" x14ac:dyDescent="0.2">
      <c r="A1016" s="29" t="s">
        <v>824</v>
      </c>
      <c r="B1016" s="29" t="s">
        <v>822</v>
      </c>
      <c r="C1016" s="29" t="s">
        <v>823</v>
      </c>
      <c r="D1016" s="2" t="s">
        <v>808</v>
      </c>
      <c r="E1016" s="2" t="s">
        <v>909</v>
      </c>
      <c r="F1016" s="2" t="s">
        <v>23</v>
      </c>
      <c r="G1016" s="3" t="s">
        <v>516</v>
      </c>
      <c r="H1016" s="2" t="s">
        <v>226</v>
      </c>
      <c r="I1016" s="2" t="s">
        <v>226</v>
      </c>
      <c r="J1016" s="28" t="s">
        <v>73</v>
      </c>
      <c r="K1016" s="28" t="s">
        <v>1765</v>
      </c>
      <c r="L1016" s="43" t="s">
        <v>213</v>
      </c>
      <c r="M1016" s="4" t="s">
        <v>3</v>
      </c>
      <c r="N1016" s="15">
        <v>27067242</v>
      </c>
      <c r="O1016" s="88" t="s">
        <v>1304</v>
      </c>
      <c r="P1016" s="38">
        <v>28849</v>
      </c>
      <c r="Q1016" s="38"/>
      <c r="R1016" s="38"/>
      <c r="S1016" s="38"/>
      <c r="T1016" s="38"/>
      <c r="U1016" s="17" t="s">
        <v>215</v>
      </c>
      <c r="V1016" s="17" t="s">
        <v>915</v>
      </c>
      <c r="W1016" s="12">
        <v>42159</v>
      </c>
      <c r="X1016" s="37"/>
      <c r="Y1016" s="12">
        <v>42735</v>
      </c>
      <c r="Z1016" s="2"/>
      <c r="AA1016" s="2" t="s">
        <v>479</v>
      </c>
      <c r="AB1016" s="14" t="s">
        <v>479</v>
      </c>
      <c r="AC1016" s="5">
        <v>1000</v>
      </c>
      <c r="AD1016" s="5">
        <f>+AC1016*1.07</f>
        <v>1070</v>
      </c>
      <c r="AE1016" s="5">
        <v>1170</v>
      </c>
      <c r="AF1016" s="5">
        <f t="shared" si="1073"/>
        <v>1310</v>
      </c>
      <c r="AG1016" s="5">
        <f t="shared" si="1095"/>
        <v>1310</v>
      </c>
      <c r="AH1016" s="5">
        <f t="shared" si="1095"/>
        <v>1310</v>
      </c>
      <c r="AI1016" s="5">
        <f t="shared" ref="AI1016:AJ1016" si="1097">+AH1016</f>
        <v>1310</v>
      </c>
      <c r="AJ1016" s="5">
        <f t="shared" si="1097"/>
        <v>1310</v>
      </c>
      <c r="AK1016" s="2" t="s">
        <v>53</v>
      </c>
      <c r="AL1016" s="105" t="str">
        <f>+AK1016</f>
        <v>B0</v>
      </c>
    </row>
    <row r="1017" spans="1:38" ht="15" customHeight="1" x14ac:dyDescent="0.2">
      <c r="A1017" s="29" t="s">
        <v>824</v>
      </c>
      <c r="B1017" s="2" t="s">
        <v>822</v>
      </c>
      <c r="C1017" s="3"/>
      <c r="D1017" s="2" t="s">
        <v>825</v>
      </c>
      <c r="E1017" s="3" t="s">
        <v>18</v>
      </c>
      <c r="F1017" s="2" t="s">
        <v>19</v>
      </c>
      <c r="G1017" s="2"/>
      <c r="H1017" s="2" t="s">
        <v>37</v>
      </c>
      <c r="I1017" s="2" t="s">
        <v>1761</v>
      </c>
      <c r="J1017" s="28" t="s">
        <v>548</v>
      </c>
      <c r="K1017" s="28" t="s">
        <v>548</v>
      </c>
      <c r="L1017" s="44" t="s">
        <v>994</v>
      </c>
      <c r="M1017" s="7" t="s">
        <v>3</v>
      </c>
      <c r="N1017" s="47">
        <v>31452373</v>
      </c>
      <c r="O1017" s="88" t="s">
        <v>1395</v>
      </c>
      <c r="P1017" s="38">
        <v>31107</v>
      </c>
      <c r="Q1017" s="38"/>
      <c r="R1017" s="38"/>
      <c r="S1017" s="38"/>
      <c r="T1017" s="38"/>
      <c r="U1017" s="17" t="s">
        <v>215</v>
      </c>
      <c r="V1017" s="17" t="s">
        <v>915</v>
      </c>
      <c r="W1017" s="12">
        <v>40787</v>
      </c>
      <c r="X1017" s="12"/>
      <c r="Y1017" s="12">
        <v>42735</v>
      </c>
      <c r="Z1017" s="2"/>
      <c r="AA1017" s="2" t="s">
        <v>479</v>
      </c>
      <c r="AB1017" s="7"/>
      <c r="AC1017" s="5">
        <v>1000</v>
      </c>
      <c r="AD1017" s="5">
        <f>+AC1017</f>
        <v>1000</v>
      </c>
      <c r="AE1017" s="5">
        <v>1170</v>
      </c>
      <c r="AF1017" s="5">
        <f t="shared" si="1073"/>
        <v>1310</v>
      </c>
      <c r="AG1017" s="5">
        <f t="shared" si="1095"/>
        <v>1310</v>
      </c>
      <c r="AH1017" s="5">
        <f t="shared" si="1095"/>
        <v>1310</v>
      </c>
      <c r="AI1017" s="5">
        <f t="shared" ref="AI1017:AJ1017" si="1098">+AH1017</f>
        <v>1310</v>
      </c>
      <c r="AJ1017" s="5">
        <f t="shared" si="1098"/>
        <v>1310</v>
      </c>
      <c r="AK1017" s="2"/>
      <c r="AL1017" s="106"/>
    </row>
    <row r="1018" spans="1:38" ht="15" customHeight="1" x14ac:dyDescent="0.2">
      <c r="A1018" s="29" t="s">
        <v>824</v>
      </c>
      <c r="B1018" s="2" t="s">
        <v>822</v>
      </c>
      <c r="C1018" s="3"/>
      <c r="D1018" s="2" t="s">
        <v>825</v>
      </c>
      <c r="E1018" s="3" t="s">
        <v>18</v>
      </c>
      <c r="F1018" s="2" t="s">
        <v>19</v>
      </c>
      <c r="G1018" s="2"/>
      <c r="H1018" s="2" t="s">
        <v>45</v>
      </c>
      <c r="I1018" s="3"/>
      <c r="J1018" s="28" t="s">
        <v>548</v>
      </c>
      <c r="K1018" s="28"/>
      <c r="L1018" s="41" t="s">
        <v>779</v>
      </c>
      <c r="M1018" s="4" t="s">
        <v>3</v>
      </c>
      <c r="N1018" s="15">
        <v>24229930</v>
      </c>
      <c r="O1018" s="88">
        <v>27242299308</v>
      </c>
      <c r="P1018" s="16"/>
      <c r="Q1018" s="16"/>
      <c r="R1018" s="16"/>
      <c r="S1018" s="16"/>
      <c r="T1018" s="16"/>
      <c r="U1018" s="16" t="s">
        <v>796</v>
      </c>
      <c r="V1018" s="16" t="s">
        <v>916</v>
      </c>
      <c r="W1018" s="12">
        <v>41244</v>
      </c>
      <c r="X1018" s="48">
        <v>42735</v>
      </c>
      <c r="Y1018" s="12">
        <v>42735</v>
      </c>
      <c r="Z1018" s="2" t="s">
        <v>30</v>
      </c>
      <c r="AA1018" s="2"/>
      <c r="AB1018" s="3"/>
      <c r="AC1018" s="5">
        <v>1000</v>
      </c>
      <c r="AD1018" s="5"/>
      <c r="AE1018" s="5">
        <v>1170</v>
      </c>
      <c r="AF1018" s="5">
        <f t="shared" si="1073"/>
        <v>1310</v>
      </c>
      <c r="AG1018" s="5">
        <f t="shared" si="1095"/>
        <v>1310</v>
      </c>
      <c r="AH1018" s="5">
        <f t="shared" si="1095"/>
        <v>1310</v>
      </c>
      <c r="AI1018" s="5">
        <f t="shared" ref="AI1018:AJ1018" si="1099">+AH1018</f>
        <v>1310</v>
      </c>
      <c r="AJ1018" s="5">
        <f t="shared" si="1099"/>
        <v>1310</v>
      </c>
      <c r="AK1018" s="29"/>
      <c r="AL1018" s="105" t="str">
        <f>+Z1018</f>
        <v>B1</v>
      </c>
    </row>
    <row r="1019" spans="1:38" ht="15" customHeight="1" x14ac:dyDescent="0.2">
      <c r="A1019" s="29" t="s">
        <v>824</v>
      </c>
      <c r="B1019" s="2" t="s">
        <v>822</v>
      </c>
      <c r="C1019" s="29" t="s">
        <v>823</v>
      </c>
      <c r="D1019" s="2" t="s">
        <v>808</v>
      </c>
      <c r="E1019" s="2" t="s">
        <v>216</v>
      </c>
      <c r="F1019" s="2" t="s">
        <v>1066</v>
      </c>
      <c r="G1019" s="2"/>
      <c r="H1019" s="2"/>
      <c r="I1019" s="2" t="s">
        <v>1066</v>
      </c>
      <c r="J1019" s="28"/>
      <c r="K1019" s="28" t="s">
        <v>1765</v>
      </c>
      <c r="L1019" s="44" t="s">
        <v>1127</v>
      </c>
      <c r="M1019" s="7" t="s">
        <v>3</v>
      </c>
      <c r="N1019" s="15">
        <v>38297347</v>
      </c>
      <c r="O1019" s="88">
        <v>27382973475</v>
      </c>
      <c r="P1019" s="38">
        <v>34465</v>
      </c>
      <c r="Q1019" s="38"/>
      <c r="R1019" s="38"/>
      <c r="S1019" s="38"/>
      <c r="T1019" s="38"/>
      <c r="U1019" s="17" t="s">
        <v>215</v>
      </c>
      <c r="V1019" s="17" t="s">
        <v>915</v>
      </c>
      <c r="W1019" s="12">
        <v>42505</v>
      </c>
      <c r="X1019" s="13"/>
      <c r="Y1019" s="12">
        <v>42735</v>
      </c>
      <c r="Z1019" s="2"/>
      <c r="AA1019" s="2" t="s">
        <v>479</v>
      </c>
      <c r="AB1019" s="7"/>
      <c r="AC1019" s="5">
        <v>1000</v>
      </c>
      <c r="AD1019" s="5">
        <v>1070</v>
      </c>
      <c r="AE1019" s="5">
        <v>1170</v>
      </c>
      <c r="AF1019" s="5">
        <f t="shared" si="1073"/>
        <v>1310</v>
      </c>
      <c r="AG1019" s="5">
        <f t="shared" si="1095"/>
        <v>1310</v>
      </c>
      <c r="AH1019" s="5">
        <f t="shared" si="1095"/>
        <v>1310</v>
      </c>
      <c r="AI1019" s="5">
        <f t="shared" ref="AI1019:AJ1019" si="1100">+AH1019</f>
        <v>1310</v>
      </c>
      <c r="AJ1019" s="5">
        <f t="shared" si="1100"/>
        <v>1310</v>
      </c>
      <c r="AK1019" s="2" t="s">
        <v>42</v>
      </c>
      <c r="AL1019" s="105" t="str">
        <f>+AK1019</f>
        <v>C0</v>
      </c>
    </row>
    <row r="1020" spans="1:38" ht="15" customHeight="1" x14ac:dyDescent="0.2">
      <c r="A1020" s="29" t="s">
        <v>824</v>
      </c>
      <c r="B1020" s="2" t="s">
        <v>822</v>
      </c>
      <c r="C1020" s="3"/>
      <c r="D1020" s="2" t="s">
        <v>825</v>
      </c>
      <c r="E1020" s="3" t="s">
        <v>18</v>
      </c>
      <c r="F1020" s="2" t="s">
        <v>19</v>
      </c>
      <c r="G1020" s="3" t="s">
        <v>249</v>
      </c>
      <c r="H1020" s="2" t="s">
        <v>221</v>
      </c>
      <c r="I1020" s="3"/>
      <c r="J1020" s="28" t="s">
        <v>73</v>
      </c>
      <c r="K1020" s="28"/>
      <c r="L1020" s="42" t="s">
        <v>214</v>
      </c>
      <c r="M1020" s="4" t="s">
        <v>3</v>
      </c>
      <c r="N1020" s="15">
        <v>27273669</v>
      </c>
      <c r="O1020" s="88">
        <v>20272736694</v>
      </c>
      <c r="P1020" s="16"/>
      <c r="Q1020" s="16"/>
      <c r="R1020" s="16"/>
      <c r="S1020" s="16"/>
      <c r="T1020" s="16"/>
      <c r="U1020" s="16" t="s">
        <v>796</v>
      </c>
      <c r="V1020" s="16" t="s">
        <v>916</v>
      </c>
      <c r="W1020" s="19">
        <v>40452</v>
      </c>
      <c r="X1020" s="48">
        <v>42735</v>
      </c>
      <c r="Y1020" s="12">
        <v>42735</v>
      </c>
      <c r="Z1020" s="2" t="s">
        <v>33</v>
      </c>
      <c r="AA1020" s="2"/>
      <c r="AB1020" s="14"/>
      <c r="AC1020" s="5">
        <v>1000</v>
      </c>
      <c r="AD1020" s="5"/>
      <c r="AE1020" s="5">
        <v>1170</v>
      </c>
      <c r="AF1020" s="5">
        <f t="shared" si="1073"/>
        <v>1310</v>
      </c>
      <c r="AG1020" s="5">
        <f t="shared" si="1095"/>
        <v>1310</v>
      </c>
      <c r="AH1020" s="5">
        <f t="shared" si="1095"/>
        <v>1310</v>
      </c>
      <c r="AI1020" s="5">
        <f t="shared" ref="AI1020:AJ1020" si="1101">+AH1020</f>
        <v>1310</v>
      </c>
      <c r="AJ1020" s="5">
        <f t="shared" si="1101"/>
        <v>1310</v>
      </c>
      <c r="AK1020" s="29"/>
      <c r="AL1020" s="105" t="str">
        <f>+Z1020</f>
        <v>A1</v>
      </c>
    </row>
    <row r="1021" spans="1:38" ht="15" customHeight="1" x14ac:dyDescent="0.2">
      <c r="H1021" s="55"/>
      <c r="I1021" s="55"/>
      <c r="L1021" s="56"/>
      <c r="M1021" s="58"/>
      <c r="U1021" s="69"/>
      <c r="AD1021" s="6"/>
      <c r="AE1021" s="6"/>
      <c r="AF1021" s="6"/>
    </row>
    <row r="1022" spans="1:38" ht="17.25" customHeight="1" x14ac:dyDescent="0.2">
      <c r="H1022" s="55"/>
      <c r="I1022" s="55"/>
      <c r="L1022" s="56"/>
      <c r="M1022" s="58"/>
      <c r="AD1022" s="6"/>
      <c r="AE1022" s="5"/>
      <c r="AF1022" s="6"/>
    </row>
    <row r="1023" spans="1:38" ht="15" customHeight="1" x14ac:dyDescent="0.2">
      <c r="H1023" s="55"/>
      <c r="I1023" s="55"/>
      <c r="L1023" s="56"/>
      <c r="M1023" s="55"/>
      <c r="AE1023" s="90"/>
      <c r="AF1023" s="90"/>
    </row>
    <row r="1024" spans="1:38" ht="15" customHeight="1" x14ac:dyDescent="0.25">
      <c r="H1024" s="55"/>
      <c r="I1024" s="55"/>
      <c r="L1024" s="57"/>
      <c r="M1024" s="55"/>
      <c r="AC1024" s="102"/>
      <c r="AD1024" s="102"/>
      <c r="AE1024" s="103"/>
      <c r="AF1024" s="102"/>
    </row>
    <row r="1026" spans="2:31" ht="15" customHeight="1" x14ac:dyDescent="0.25">
      <c r="E1026" s="10">
        <v>20000</v>
      </c>
      <c r="F1026" s="10">
        <f>+E1026*1.07</f>
        <v>21400</v>
      </c>
      <c r="H1026" s="1">
        <f>+E1026*1.17</f>
        <v>23400</v>
      </c>
    </row>
    <row r="1027" spans="2:31" ht="15" customHeight="1" x14ac:dyDescent="0.25">
      <c r="F1027" s="10">
        <f>+F1026-E1026</f>
        <v>1400</v>
      </c>
      <c r="Y1027" s="75"/>
      <c r="AD1027" s="75"/>
      <c r="AE1027" s="75"/>
    </row>
    <row r="1028" spans="2:31" ht="15" customHeight="1" x14ac:dyDescent="0.25">
      <c r="F1028" s="10">
        <f>+H1026+F1027</f>
        <v>24800</v>
      </c>
    </row>
    <row r="1033" spans="2:31" ht="15" customHeight="1" x14ac:dyDescent="0.25">
      <c r="AC1033" s="75"/>
      <c r="AD1033" s="75"/>
      <c r="AE1033" s="75"/>
    </row>
    <row r="1034" spans="2:31" ht="15" customHeight="1" x14ac:dyDescent="0.25">
      <c r="B1034" s="80"/>
      <c r="C1034" s="81"/>
      <c r="D1034" s="81"/>
      <c r="E1034" s="82"/>
    </row>
    <row r="1035" spans="2:31" ht="15" customHeight="1" x14ac:dyDescent="0.25">
      <c r="B1035" s="81"/>
      <c r="C1035" s="81"/>
      <c r="D1035" s="81"/>
      <c r="E1035" s="81"/>
      <c r="AC1035" s="75"/>
      <c r="AD1035" s="75"/>
      <c r="AE1035" s="75"/>
    </row>
    <row r="1036" spans="2:31" ht="15" customHeight="1" x14ac:dyDescent="0.25">
      <c r="B1036" s="81"/>
      <c r="C1036" s="81"/>
      <c r="D1036" s="81"/>
      <c r="E1036" s="81"/>
      <c r="AD1036" s="75"/>
      <c r="AE1036" s="75"/>
    </row>
    <row r="1037" spans="2:31" ht="15" customHeight="1" x14ac:dyDescent="0.25">
      <c r="B1037" s="81"/>
      <c r="C1037" s="81"/>
      <c r="D1037" s="81"/>
      <c r="E1037" s="81"/>
    </row>
    <row r="1038" spans="2:31" ht="15" customHeight="1" x14ac:dyDescent="0.25">
      <c r="B1038" s="81"/>
      <c r="C1038" s="81"/>
      <c r="D1038" s="81"/>
      <c r="E1038" s="81"/>
    </row>
    <row r="1039" spans="2:31" ht="15" customHeight="1" x14ac:dyDescent="0.25">
      <c r="B1039" s="81"/>
      <c r="C1039" s="81"/>
      <c r="D1039" s="81"/>
      <c r="E1039" s="82"/>
      <c r="AE1039" s="75"/>
    </row>
    <row r="1040" spans="2:31" ht="15" customHeight="1" x14ac:dyDescent="0.25">
      <c r="B1040" s="81"/>
      <c r="C1040" s="81"/>
      <c r="D1040" s="81"/>
      <c r="E1040" s="81"/>
    </row>
  </sheetData>
  <autoFilter ref="A3:AL1020">
    <sortState ref="A4:AN1011">
      <sortCondition ref="L4:L1011"/>
    </sortState>
  </autoFilter>
  <sortState ref="A4:AN1003">
    <sortCondition ref="AF4:AF1003"/>
  </sortState>
  <conditionalFormatting sqref="N186">
    <cfRule type="duplicateValues" dxfId="2797" priority="429"/>
  </conditionalFormatting>
  <conditionalFormatting sqref="N186">
    <cfRule type="duplicateValues" dxfId="2796" priority="428"/>
  </conditionalFormatting>
  <conditionalFormatting sqref="N186">
    <cfRule type="duplicateValues" dxfId="2795" priority="426"/>
    <cfRule type="duplicateValues" dxfId="2794" priority="427"/>
  </conditionalFormatting>
  <conditionalFormatting sqref="N186">
    <cfRule type="duplicateValues" dxfId="2793" priority="425"/>
  </conditionalFormatting>
  <conditionalFormatting sqref="N411">
    <cfRule type="duplicateValues" dxfId="2792" priority="379"/>
  </conditionalFormatting>
  <conditionalFormatting sqref="N411">
    <cfRule type="duplicateValues" dxfId="2791" priority="380"/>
  </conditionalFormatting>
  <conditionalFormatting sqref="N964">
    <cfRule type="duplicateValues" dxfId="2790" priority="614"/>
  </conditionalFormatting>
  <conditionalFormatting sqref="X1012:X1017 X996 X1007:X1009 X1004:X1005 X1002 X998:X999 X984:X988 X4:Y22 X23 Y23:Y26 X34:X51 Y28:Y51 X977:X982 Y977:Y1020 X52:Y976">
    <cfRule type="cellIs" dxfId="2789" priority="371" operator="equal">
      <formula>42460</formula>
    </cfRule>
  </conditionalFormatting>
  <conditionalFormatting sqref="X997">
    <cfRule type="cellIs" dxfId="2788" priority="366" operator="equal">
      <formula>42460</formula>
    </cfRule>
  </conditionalFormatting>
  <conditionalFormatting sqref="X1001">
    <cfRule type="cellIs" dxfId="2787" priority="364" operator="equal">
      <formula>42460</formula>
    </cfRule>
  </conditionalFormatting>
  <conditionalFormatting sqref="X1003">
    <cfRule type="cellIs" dxfId="2786" priority="363" operator="equal">
      <formula>42460</formula>
    </cfRule>
  </conditionalFormatting>
  <conditionalFormatting sqref="X1006">
    <cfRule type="cellIs" dxfId="2785" priority="361" operator="equal">
      <formula>42460</formula>
    </cfRule>
  </conditionalFormatting>
  <conditionalFormatting sqref="X1010:X1011">
    <cfRule type="cellIs" dxfId="2784" priority="360" operator="equal">
      <formula>42460</formula>
    </cfRule>
  </conditionalFormatting>
  <conditionalFormatting sqref="X1018">
    <cfRule type="cellIs" dxfId="2783" priority="359" operator="equal">
      <formula>42460</formula>
    </cfRule>
  </conditionalFormatting>
  <conditionalFormatting sqref="X1020">
    <cfRule type="cellIs" dxfId="2782" priority="358" operator="equal">
      <formula>42460</formula>
    </cfRule>
  </conditionalFormatting>
  <conditionalFormatting sqref="X983">
    <cfRule type="cellIs" dxfId="2781" priority="357" operator="equal">
      <formula>42460</formula>
    </cfRule>
  </conditionalFormatting>
  <conditionalFormatting sqref="X989:X994">
    <cfRule type="cellIs" dxfId="2780" priority="356" operator="equal">
      <formula>42460</formula>
    </cfRule>
  </conditionalFormatting>
  <conditionalFormatting sqref="X995">
    <cfRule type="cellIs" dxfId="2779" priority="355" operator="equal">
      <formula>42460</formula>
    </cfRule>
  </conditionalFormatting>
  <conditionalFormatting sqref="X1000">
    <cfRule type="cellIs" dxfId="2778" priority="354" operator="equal">
      <formula>42460</formula>
    </cfRule>
  </conditionalFormatting>
  <conditionalFormatting sqref="N143:N145">
    <cfRule type="duplicateValues" dxfId="2777" priority="336"/>
  </conditionalFormatting>
  <conditionalFormatting sqref="N551:N559">
    <cfRule type="duplicateValues" dxfId="2776" priority="332"/>
  </conditionalFormatting>
  <conditionalFormatting sqref="N802">
    <cfRule type="duplicateValues" dxfId="2775" priority="328"/>
  </conditionalFormatting>
  <conditionalFormatting sqref="N802">
    <cfRule type="duplicateValues" dxfId="2774" priority="329"/>
  </conditionalFormatting>
  <conditionalFormatting sqref="N931">
    <cfRule type="duplicateValues" dxfId="2773" priority="326"/>
  </conditionalFormatting>
  <conditionalFormatting sqref="N931">
    <cfRule type="duplicateValues" dxfId="2772" priority="327"/>
  </conditionalFormatting>
  <conditionalFormatting sqref="N378">
    <cfRule type="duplicateValues" dxfId="2771" priority="320"/>
  </conditionalFormatting>
  <conditionalFormatting sqref="N378">
    <cfRule type="duplicateValues" dxfId="2770" priority="321"/>
  </conditionalFormatting>
  <conditionalFormatting sqref="P995:T995 P165:T165 P167:T167 P176:T176 P181:T181 P190:T190 P212:T212 P216:T216 P225:T225 P245:T245 P250:T250 P253:T253 P261:T261 P269:T269 P289:T289 P295:T295 P309:T309 P336:T336 P355:T355 P381:T381 P395:T395 P398:T398 P406:T406 P410:T410 P417:T417 P472:T472 P474:T474 P477:T477 P480:T480 P490:T490 P498:T498 P505:T505 P512:T512 P531:T531 P540:T541 P549:T549 P566:T566 P576:T576 P586:T586 P590:T590 P598:T598 P609:T610 P619:T619 P630:T630 P633:T634 P638:T638 P650:T650 P716:T716 P762:T762 P766:T766 P779:T780 P787:T787 P790:T790 P804:T804 P810:T810 P818:T818 P832:T832 P868:T868 P876:T876 P881:T881 P903:T903 P911:T911 P920:T920 P929:T929 P950:T950 P969:T969 P972:T972 P1012:T1012 P170:T170 P495:T495 P535:T535 P568:T568 P578:T578 P646:T646 P952:T952 P998:T999 P318:T319 P349:T351 P484:T485 P643:T644 P947:T948">
    <cfRule type="duplicateValues" dxfId="2769" priority="1611"/>
  </conditionalFormatting>
  <conditionalFormatting sqref="P983:T984">
    <cfRule type="duplicateValues" dxfId="2768" priority="36"/>
  </conditionalFormatting>
  <conditionalFormatting sqref="N959:N1020 N412:N433 N290:N309 N166:N283 N803:N930 N4:O4 N932:N957 N379:N410 N690:N801 N460:N550 N563:N688 N31:N59 N435:N458 N62:N118 N125:N128 N5:N29 N311:N377 O5:O1020">
    <cfRule type="duplicateValues" dxfId="2767" priority="1612"/>
  </conditionalFormatting>
  <conditionalFormatting sqref="P459:T459">
    <cfRule type="duplicateValues" dxfId="2766" priority="30"/>
  </conditionalFormatting>
  <conditionalFormatting sqref="N459">
    <cfRule type="duplicateValues" dxfId="2765" priority="27"/>
  </conditionalFormatting>
  <conditionalFormatting sqref="N459">
    <cfRule type="duplicateValues" dxfId="2764" priority="28"/>
  </conditionalFormatting>
  <conditionalFormatting sqref="X24">
    <cfRule type="cellIs" dxfId="2763" priority="22" operator="equal">
      <formula>42460</formula>
    </cfRule>
  </conditionalFormatting>
  <conditionalFormatting sqref="X25">
    <cfRule type="cellIs" dxfId="2762" priority="21" operator="equal">
      <formula>42460</formula>
    </cfRule>
  </conditionalFormatting>
  <conditionalFormatting sqref="X26">
    <cfRule type="cellIs" dxfId="2761" priority="20" operator="equal">
      <formula>42460</formula>
    </cfRule>
  </conditionalFormatting>
  <conditionalFormatting sqref="X27:Y27 X31:X33 X28">
    <cfRule type="cellIs" dxfId="2760" priority="19" operator="equal">
      <formula>42460</formula>
    </cfRule>
  </conditionalFormatting>
  <conditionalFormatting sqref="X29">
    <cfRule type="cellIs" dxfId="2759" priority="18" operator="equal">
      <formula>42460</formula>
    </cfRule>
  </conditionalFormatting>
  <conditionalFormatting sqref="X30">
    <cfRule type="cellIs" dxfId="2758" priority="17" operator="equal">
      <formula>42460</formula>
    </cfRule>
  </conditionalFormatting>
  <conditionalFormatting sqref="N30">
    <cfRule type="duplicateValues" dxfId="2757" priority="15"/>
  </conditionalFormatting>
  <conditionalFormatting sqref="N434">
    <cfRule type="duplicateValues" dxfId="2756" priority="13"/>
  </conditionalFormatting>
  <conditionalFormatting sqref="N434">
    <cfRule type="duplicateValues" dxfId="2755" priority="14"/>
  </conditionalFormatting>
  <conditionalFormatting sqref="N310">
    <cfRule type="duplicateValues" dxfId="2754" priority="11"/>
  </conditionalFormatting>
  <conditionalFormatting sqref="N310">
    <cfRule type="duplicateValues" dxfId="2753" priority="12"/>
  </conditionalFormatting>
  <conditionalFormatting sqref="N129:N147">
    <cfRule type="duplicateValues" dxfId="2752" priority="1641"/>
  </conditionalFormatting>
  <conditionalFormatting sqref="N131:N142">
    <cfRule type="duplicateValues" dxfId="2751" priority="1643"/>
  </conditionalFormatting>
  <conditionalFormatting sqref="P970:T971 P949:T949 P473:T473 P396:T397 P478:T479 P66:T73 P166:T166 P168:T169 P177:T180 P213:T215 P475:T476 P481:T483 P567:T567 P577:T577 P587:T589 P631:T632 P788:T789 P805:T809 P877:T880 P904:T910 P996:T997 P60:T64 P171:T175 P182:T189 P191:T211 P217:T224 P226:T244 P246:T249 P254:T260 P262:T268 P270:T288 P290:T294 P296:T308 P310:T317 P320:T335 P337:T348 P352:T354 P382:T394 P399:T405 P407:T409 P411:T416 P418:T458 P460:T471 P486:T489 P491:T494 P496:T497 P499:T504 P506:T511 P513:T530 P532:T534 P536:T539 P542:T548 P550:T565 P569:T575 P579:T585 P591:T597 P599:T608 P611:T618 P620:T629 P635:T637 P639:T642 P645:T645 P647:T649 P651:T715 P717:T761 P763:T765 P767:T778 P781:T786 P791:T803 P811:T817 P819:T831 P833:T867 P869:T875 P882:T902 P912:T919 P921:T928 P930:T946 P953:T968 P973:T982 P985:T994 P1000:T1011 P1013:T1017 P1019:T1019 P75:T164 P251:T252 P951:T951 P4:T58 P356:T380">
    <cfRule type="duplicateValues" dxfId="2750" priority="1645"/>
  </conditionalFormatting>
  <conditionalFormatting sqref="N60:N61">
    <cfRule type="duplicateValues" dxfId="2749" priority="10"/>
  </conditionalFormatting>
  <conditionalFormatting sqref="N284:N289">
    <cfRule type="duplicateValues" dxfId="2748" priority="1648"/>
  </conditionalFormatting>
  <conditionalFormatting sqref="N120:N124">
    <cfRule type="duplicateValues" dxfId="2747" priority="6"/>
  </conditionalFormatting>
  <conditionalFormatting sqref="N120:N123">
    <cfRule type="duplicateValues" dxfId="2746" priority="7"/>
  </conditionalFormatting>
  <conditionalFormatting sqref="P74:T74 P59:T59 P65:T65">
    <cfRule type="duplicateValues" dxfId="2745" priority="2113"/>
  </conditionalFormatting>
  <conditionalFormatting sqref="N551:N562">
    <cfRule type="duplicateValues" dxfId="2744" priority="2119"/>
  </conditionalFormatting>
  <conditionalFormatting sqref="N958">
    <cfRule type="duplicateValues" dxfId="2743" priority="2120"/>
  </conditionalFormatting>
  <conditionalFormatting sqref="O366:O373">
    <cfRule type="duplicateValues" dxfId="2742" priority="5"/>
  </conditionalFormatting>
  <conditionalFormatting sqref="N803:N884 N412:N433 N290:N309 N195:N283 N379:N410 N690:N801 N460:N550 N563:N688 N435:N458 N311:N377">
    <cfRule type="duplicateValues" dxfId="2741" priority="2500"/>
  </conditionalFormatting>
  <conditionalFormatting sqref="O516:O525">
    <cfRule type="duplicateValues" dxfId="2740" priority="4"/>
  </conditionalFormatting>
  <conditionalFormatting sqref="O681:O684">
    <cfRule type="duplicateValues" dxfId="2739" priority="3"/>
  </conditionalFormatting>
  <conditionalFormatting sqref="O906">
    <cfRule type="duplicateValues" dxfId="2738" priority="2"/>
  </conditionalFormatting>
  <conditionalFormatting sqref="N885:N927">
    <cfRule type="duplicateValues" dxfId="2737" priority="2690"/>
  </conditionalFormatting>
  <conditionalFormatting sqref="N148:N165">
    <cfRule type="duplicateValues" dxfId="2736" priority="2693"/>
  </conditionalFormatting>
  <conditionalFormatting sqref="N152:N164">
    <cfRule type="duplicateValues" dxfId="2735" priority="2695"/>
  </conditionalFormatting>
  <conditionalFormatting sqref="O610">
    <cfRule type="duplicateValues" dxfId="2734" priority="1"/>
  </conditionalFormatting>
  <pageMargins left="0.11811023622047245" right="0.11811023622047245" top="0.35433070866141736" bottom="0.15748031496062992" header="0.31496062992125984" footer="0.31496062992125984"/>
  <pageSetup scale="70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22"/>
  <sheetViews>
    <sheetView topLeftCell="A7" workbookViewId="0">
      <selection activeCell="C23" sqref="C23"/>
    </sheetView>
  </sheetViews>
  <sheetFormatPr baseColWidth="10" defaultRowHeight="15" x14ac:dyDescent="0.25"/>
  <cols>
    <col min="1" max="1" width="11.5703125" customWidth="1"/>
    <col min="2" max="2" width="24.28515625" customWidth="1"/>
    <col min="3" max="3" width="32" customWidth="1"/>
    <col min="4" max="4" width="36.28515625" style="76" customWidth="1"/>
    <col min="5" max="5" width="34" style="76" customWidth="1"/>
    <col min="6" max="6" width="15.7109375" style="76" customWidth="1"/>
    <col min="7" max="7" width="4.28515625" customWidth="1"/>
    <col min="8" max="8" width="6" customWidth="1"/>
    <col min="9" max="9" width="34.140625" customWidth="1"/>
    <col min="10" max="10" width="12.85546875" customWidth="1"/>
    <col min="11" max="11" width="5.42578125" customWidth="1"/>
  </cols>
  <sheetData>
    <row r="1" spans="1:11" ht="26.25" x14ac:dyDescent="0.4">
      <c r="A1" s="64" t="s">
        <v>1664</v>
      </c>
      <c r="C1" s="64"/>
      <c r="D1" s="64" t="s">
        <v>1664</v>
      </c>
    </row>
    <row r="2" spans="1:11" x14ac:dyDescent="0.25">
      <c r="A2" s="63">
        <v>42571</v>
      </c>
      <c r="B2" s="79" t="s">
        <v>1669</v>
      </c>
      <c r="C2" s="63"/>
    </row>
    <row r="3" spans="1:11" x14ac:dyDescent="0.25">
      <c r="A3" s="11" t="s">
        <v>1770</v>
      </c>
      <c r="D3"/>
      <c r="E3"/>
      <c r="F3"/>
    </row>
    <row r="4" spans="1:11" x14ac:dyDescent="0.25">
      <c r="A4" s="77" t="s">
        <v>1099</v>
      </c>
      <c r="B4" s="77" t="s">
        <v>0</v>
      </c>
      <c r="C4" s="77" t="s">
        <v>821</v>
      </c>
      <c r="D4" s="92" t="s">
        <v>1</v>
      </c>
      <c r="E4" s="92" t="s">
        <v>513</v>
      </c>
      <c r="F4" s="92" t="s">
        <v>514</v>
      </c>
      <c r="G4" s="77" t="s">
        <v>917</v>
      </c>
      <c r="H4" s="77" t="s">
        <v>6</v>
      </c>
      <c r="I4" s="77" t="s">
        <v>2</v>
      </c>
      <c r="J4" s="77" t="s">
        <v>967</v>
      </c>
      <c r="K4" t="s">
        <v>253</v>
      </c>
    </row>
    <row r="5" spans="1:11" x14ac:dyDescent="0.25">
      <c r="A5" s="78" t="s">
        <v>824</v>
      </c>
      <c r="B5" s="93" t="s">
        <v>794</v>
      </c>
      <c r="C5" s="93" t="s">
        <v>794</v>
      </c>
      <c r="D5" s="78" t="s">
        <v>819</v>
      </c>
      <c r="E5" s="93" t="s">
        <v>794</v>
      </c>
      <c r="F5" s="93" t="s">
        <v>794</v>
      </c>
      <c r="G5" s="78" t="s">
        <v>915</v>
      </c>
      <c r="H5" s="93" t="s">
        <v>794</v>
      </c>
      <c r="I5" s="78" t="s">
        <v>854</v>
      </c>
      <c r="J5">
        <v>1170</v>
      </c>
      <c r="K5" s="32">
        <v>1</v>
      </c>
    </row>
    <row r="6" spans="1:11" x14ac:dyDescent="0.25">
      <c r="A6" s="78"/>
      <c r="B6" s="93"/>
      <c r="C6" s="93"/>
      <c r="D6" s="78"/>
      <c r="E6" s="93"/>
      <c r="F6" s="93"/>
      <c r="G6" s="78"/>
      <c r="H6" s="93"/>
      <c r="I6" s="78" t="s">
        <v>870</v>
      </c>
      <c r="J6">
        <v>1170</v>
      </c>
      <c r="K6" s="32">
        <v>1</v>
      </c>
    </row>
    <row r="7" spans="1:11" x14ac:dyDescent="0.25">
      <c r="A7" s="78"/>
      <c r="B7" s="93"/>
      <c r="C7" s="93"/>
      <c r="D7" s="78"/>
      <c r="E7" s="93"/>
      <c r="F7" s="93"/>
      <c r="G7" s="78"/>
      <c r="H7" s="93"/>
      <c r="I7" s="78" t="s">
        <v>869</v>
      </c>
      <c r="J7">
        <v>1170</v>
      </c>
      <c r="K7" s="32">
        <v>1</v>
      </c>
    </row>
    <row r="8" spans="1:11" x14ac:dyDescent="0.25">
      <c r="A8" s="78"/>
      <c r="B8" s="93"/>
      <c r="C8" s="93"/>
      <c r="D8" s="78"/>
      <c r="E8" s="93"/>
      <c r="F8" s="93"/>
      <c r="G8" s="78"/>
      <c r="H8" s="93"/>
      <c r="I8" s="78" t="s">
        <v>860</v>
      </c>
      <c r="J8">
        <v>1170</v>
      </c>
      <c r="K8" s="32">
        <v>1</v>
      </c>
    </row>
    <row r="9" spans="1:11" x14ac:dyDescent="0.25">
      <c r="A9" s="78"/>
      <c r="B9" s="93"/>
      <c r="C9" s="93"/>
      <c r="D9" s="78"/>
      <c r="E9" s="93"/>
      <c r="F9" s="93"/>
      <c r="G9" s="78"/>
      <c r="H9" s="93"/>
      <c r="I9" s="78" t="s">
        <v>866</v>
      </c>
      <c r="J9">
        <v>1170</v>
      </c>
      <c r="K9" s="32">
        <v>1</v>
      </c>
    </row>
    <row r="10" spans="1:11" x14ac:dyDescent="0.25">
      <c r="A10" s="78"/>
      <c r="B10" s="93"/>
      <c r="C10" s="93"/>
      <c r="D10" s="78"/>
      <c r="E10" s="93"/>
      <c r="F10" s="93"/>
      <c r="G10" s="78"/>
      <c r="H10" s="93"/>
      <c r="I10" s="78" t="s">
        <v>859</v>
      </c>
      <c r="J10">
        <v>1170</v>
      </c>
      <c r="K10" s="32">
        <v>1</v>
      </c>
    </row>
    <row r="11" spans="1:11" x14ac:dyDescent="0.25">
      <c r="A11" s="78"/>
      <c r="B11" s="93"/>
      <c r="C11" s="93"/>
      <c r="D11" s="78"/>
      <c r="E11" s="93"/>
      <c r="F11" s="93"/>
      <c r="G11" s="78"/>
      <c r="H11" s="93"/>
      <c r="I11" s="78" t="s">
        <v>861</v>
      </c>
      <c r="J11">
        <v>1170</v>
      </c>
      <c r="K11" s="32">
        <v>1</v>
      </c>
    </row>
    <row r="12" spans="1:11" x14ac:dyDescent="0.25">
      <c r="A12" s="78"/>
      <c r="B12" s="93"/>
      <c r="C12" s="93"/>
      <c r="D12" s="78"/>
      <c r="E12" s="93"/>
      <c r="F12" s="93"/>
      <c r="G12" s="78"/>
      <c r="H12" s="93"/>
      <c r="I12" s="78" t="s">
        <v>863</v>
      </c>
      <c r="J12">
        <v>1170</v>
      </c>
      <c r="K12" s="32">
        <v>1</v>
      </c>
    </row>
    <row r="13" spans="1:11" x14ac:dyDescent="0.25">
      <c r="A13" s="78"/>
      <c r="B13" s="93"/>
      <c r="C13" s="93"/>
      <c r="D13" s="78"/>
      <c r="E13" s="93"/>
      <c r="F13" s="93"/>
      <c r="G13" s="78"/>
      <c r="H13" s="93"/>
      <c r="I13" s="78" t="s">
        <v>1032</v>
      </c>
      <c r="J13">
        <v>1170</v>
      </c>
      <c r="K13" s="32">
        <v>1</v>
      </c>
    </row>
    <row r="14" spans="1:11" x14ac:dyDescent="0.25">
      <c r="A14" s="78"/>
      <c r="B14" s="93"/>
      <c r="C14" s="93"/>
      <c r="D14" s="78"/>
      <c r="E14" s="93"/>
      <c r="F14" s="93"/>
      <c r="G14" s="78"/>
      <c r="H14" s="93"/>
      <c r="I14" s="78" t="s">
        <v>1648</v>
      </c>
      <c r="J14">
        <v>1170</v>
      </c>
      <c r="K14" s="32">
        <v>1</v>
      </c>
    </row>
    <row r="15" spans="1:11" x14ac:dyDescent="0.25">
      <c r="A15" s="78"/>
      <c r="B15" s="93"/>
      <c r="C15" s="93"/>
      <c r="D15" s="78"/>
      <c r="E15" s="93"/>
      <c r="F15" s="93"/>
      <c r="G15" s="78"/>
      <c r="H15" s="93"/>
      <c r="I15" s="78" t="s">
        <v>856</v>
      </c>
      <c r="J15">
        <v>1170</v>
      </c>
      <c r="K15" s="32">
        <v>1</v>
      </c>
    </row>
    <row r="16" spans="1:11" x14ac:dyDescent="0.25">
      <c r="A16" s="78"/>
      <c r="B16" s="93"/>
      <c r="C16" s="93"/>
      <c r="D16" s="78"/>
      <c r="E16" s="93"/>
      <c r="F16" s="93"/>
      <c r="G16" s="78"/>
      <c r="H16" s="93"/>
      <c r="I16" s="78" t="s">
        <v>964</v>
      </c>
      <c r="J16">
        <v>1170</v>
      </c>
      <c r="K16" s="32">
        <v>1</v>
      </c>
    </row>
    <row r="17" spans="1:11" x14ac:dyDescent="0.25">
      <c r="A17" s="78"/>
      <c r="B17" s="93"/>
      <c r="C17" s="93"/>
      <c r="D17" s="78"/>
      <c r="E17" s="93"/>
      <c r="F17" s="93"/>
      <c r="G17" s="78"/>
      <c r="H17" s="93"/>
      <c r="I17" s="78" t="s">
        <v>865</v>
      </c>
      <c r="J17">
        <v>1170</v>
      </c>
      <c r="K17" s="32">
        <v>1</v>
      </c>
    </row>
    <row r="18" spans="1:11" x14ac:dyDescent="0.25">
      <c r="A18" s="78"/>
      <c r="B18" s="93"/>
      <c r="C18" s="93"/>
      <c r="D18" s="78"/>
      <c r="E18" s="93"/>
      <c r="F18" s="93"/>
      <c r="G18" s="78"/>
      <c r="H18" s="93"/>
      <c r="I18" s="78" t="s">
        <v>1652</v>
      </c>
      <c r="J18">
        <v>1170</v>
      </c>
      <c r="K18" s="32">
        <v>1</v>
      </c>
    </row>
    <row r="19" spans="1:11" x14ac:dyDescent="0.25">
      <c r="A19" s="78"/>
      <c r="B19" s="93"/>
      <c r="C19" s="93"/>
      <c r="D19" s="78"/>
      <c r="E19" s="93"/>
      <c r="F19" s="93"/>
      <c r="G19" s="78"/>
      <c r="H19" s="93"/>
      <c r="I19" s="78" t="s">
        <v>853</v>
      </c>
      <c r="J19">
        <v>1170</v>
      </c>
      <c r="K19" s="32">
        <v>1</v>
      </c>
    </row>
    <row r="20" spans="1:11" x14ac:dyDescent="0.25">
      <c r="A20" s="78"/>
      <c r="B20" s="93"/>
      <c r="C20" s="93"/>
      <c r="D20" s="78"/>
      <c r="E20" s="93"/>
      <c r="F20" s="93"/>
      <c r="G20" s="78"/>
      <c r="H20" s="93"/>
      <c r="I20" s="78" t="s">
        <v>1620</v>
      </c>
      <c r="J20">
        <v>1170</v>
      </c>
      <c r="K20" s="32">
        <v>1</v>
      </c>
    </row>
    <row r="21" spans="1:11" x14ac:dyDescent="0.25">
      <c r="A21" s="78"/>
      <c r="B21" s="93"/>
      <c r="C21" s="93"/>
      <c r="D21" s="78"/>
      <c r="E21" s="93"/>
      <c r="F21" s="93"/>
      <c r="G21" s="78"/>
      <c r="H21" s="93"/>
      <c r="I21" s="78" t="s">
        <v>864</v>
      </c>
      <c r="J21">
        <v>1170</v>
      </c>
      <c r="K21" s="32">
        <v>1</v>
      </c>
    </row>
    <row r="22" spans="1:11" x14ac:dyDescent="0.25">
      <c r="A22" s="78"/>
      <c r="B22" s="93"/>
      <c r="C22" s="93"/>
      <c r="D22" s="78"/>
      <c r="E22" s="93"/>
      <c r="F22" s="93"/>
      <c r="G22" s="78"/>
      <c r="H22" s="93"/>
      <c r="I22" s="78" t="s">
        <v>1054</v>
      </c>
      <c r="J22">
        <v>1170</v>
      </c>
      <c r="K22" s="32">
        <v>1</v>
      </c>
    </row>
    <row r="23" spans="1:11" x14ac:dyDescent="0.25">
      <c r="A23" s="78"/>
      <c r="B23" s="93"/>
      <c r="C23" s="93"/>
      <c r="D23" s="78"/>
      <c r="E23" s="93"/>
      <c r="F23" s="93"/>
      <c r="G23" s="78"/>
      <c r="H23" s="93"/>
      <c r="I23" s="78" t="s">
        <v>1036</v>
      </c>
      <c r="J23">
        <v>1170</v>
      </c>
      <c r="K23" s="32">
        <v>1</v>
      </c>
    </row>
    <row r="24" spans="1:11" x14ac:dyDescent="0.25">
      <c r="A24" s="78"/>
      <c r="B24" s="93"/>
      <c r="C24" s="93"/>
      <c r="D24" s="78"/>
      <c r="E24" s="93"/>
      <c r="F24" s="93"/>
      <c r="G24" s="78"/>
      <c r="H24" s="93"/>
      <c r="I24" s="78" t="s">
        <v>857</v>
      </c>
      <c r="J24">
        <v>1170</v>
      </c>
      <c r="K24" s="32">
        <v>1</v>
      </c>
    </row>
    <row r="25" spans="1:11" x14ac:dyDescent="0.25">
      <c r="A25" s="78"/>
      <c r="B25" s="93"/>
      <c r="C25" s="93"/>
      <c r="D25" s="78"/>
      <c r="E25" s="93"/>
      <c r="F25" s="93"/>
      <c r="G25" s="78"/>
      <c r="H25" s="93"/>
      <c r="I25" s="78" t="s">
        <v>862</v>
      </c>
      <c r="J25">
        <v>1170</v>
      </c>
      <c r="K25" s="32">
        <v>1</v>
      </c>
    </row>
    <row r="26" spans="1:11" x14ac:dyDescent="0.25">
      <c r="A26" s="78"/>
      <c r="B26" s="93"/>
      <c r="C26" s="93"/>
      <c r="D26" s="78"/>
      <c r="E26" s="93"/>
      <c r="F26" s="93"/>
      <c r="G26" s="78"/>
      <c r="H26" s="93"/>
      <c r="I26" s="78" t="s">
        <v>858</v>
      </c>
      <c r="J26">
        <v>1170</v>
      </c>
      <c r="K26" s="32">
        <v>1</v>
      </c>
    </row>
    <row r="27" spans="1:11" x14ac:dyDescent="0.25">
      <c r="A27" s="78"/>
      <c r="B27" s="93"/>
      <c r="C27" s="93"/>
      <c r="D27" s="78"/>
      <c r="E27" s="93"/>
      <c r="F27" s="93"/>
      <c r="G27" s="78"/>
      <c r="H27" s="93"/>
      <c r="I27" s="78" t="s">
        <v>963</v>
      </c>
      <c r="J27">
        <v>1170</v>
      </c>
      <c r="K27" s="32">
        <v>1</v>
      </c>
    </row>
    <row r="28" spans="1:11" x14ac:dyDescent="0.25">
      <c r="A28" s="78"/>
      <c r="B28" s="93"/>
      <c r="C28" s="93"/>
      <c r="D28" s="78"/>
      <c r="E28" s="93"/>
      <c r="F28" s="93"/>
      <c r="G28" s="78"/>
      <c r="H28" s="93"/>
      <c r="I28" s="78" t="s">
        <v>868</v>
      </c>
      <c r="J28">
        <v>1170</v>
      </c>
      <c r="K28" s="32">
        <v>1</v>
      </c>
    </row>
    <row r="29" spans="1:11" x14ac:dyDescent="0.25">
      <c r="A29" s="78"/>
      <c r="B29" s="93"/>
      <c r="C29" s="93"/>
      <c r="D29" s="78"/>
      <c r="E29" s="93"/>
      <c r="F29" s="93"/>
      <c r="G29" s="78"/>
      <c r="H29" s="93"/>
      <c r="I29" s="78" t="s">
        <v>855</v>
      </c>
      <c r="J29">
        <v>1170</v>
      </c>
      <c r="K29" s="32">
        <v>1</v>
      </c>
    </row>
    <row r="30" spans="1:11" x14ac:dyDescent="0.25">
      <c r="A30" s="78"/>
      <c r="B30" s="93"/>
      <c r="C30" s="93"/>
      <c r="D30" s="78"/>
      <c r="E30" s="93"/>
      <c r="F30" s="93"/>
      <c r="G30" s="78"/>
      <c r="H30" s="93"/>
      <c r="I30" s="78" t="s">
        <v>867</v>
      </c>
      <c r="J30">
        <v>1170</v>
      </c>
      <c r="K30" s="32">
        <v>1</v>
      </c>
    </row>
    <row r="31" spans="1:11" x14ac:dyDescent="0.25">
      <c r="A31" s="78"/>
      <c r="B31" s="93"/>
      <c r="C31" s="93"/>
      <c r="D31" s="78"/>
      <c r="E31" s="93"/>
      <c r="F31" s="93"/>
      <c r="G31" s="78"/>
      <c r="H31" s="93"/>
      <c r="I31" t="s">
        <v>1682</v>
      </c>
      <c r="J31">
        <v>1170</v>
      </c>
      <c r="K31" s="32">
        <v>1</v>
      </c>
    </row>
    <row r="32" spans="1:11" x14ac:dyDescent="0.25">
      <c r="A32" s="78"/>
      <c r="B32" s="93"/>
      <c r="C32" s="93"/>
      <c r="D32" s="78"/>
      <c r="E32" s="93"/>
      <c r="F32" s="93"/>
      <c r="G32" s="78"/>
      <c r="H32" s="93"/>
      <c r="I32" t="s">
        <v>1842</v>
      </c>
      <c r="J32">
        <v>1170</v>
      </c>
      <c r="K32" s="32">
        <v>1</v>
      </c>
    </row>
    <row r="33" spans="1:11" x14ac:dyDescent="0.25">
      <c r="A33" s="78"/>
      <c r="B33" s="93"/>
      <c r="C33" s="93"/>
      <c r="D33" s="78"/>
      <c r="E33" s="93"/>
      <c r="F33" s="93"/>
      <c r="G33" t="s">
        <v>1768</v>
      </c>
      <c r="K33" s="32">
        <v>28</v>
      </c>
    </row>
    <row r="34" spans="1:11" x14ac:dyDescent="0.25">
      <c r="A34" s="78"/>
      <c r="B34" s="93"/>
      <c r="C34" s="93"/>
      <c r="D34" s="78"/>
      <c r="E34" t="s">
        <v>928</v>
      </c>
      <c r="F34" t="s">
        <v>794</v>
      </c>
      <c r="G34" t="s">
        <v>916</v>
      </c>
      <c r="H34" t="s">
        <v>60</v>
      </c>
      <c r="I34" t="s">
        <v>1684</v>
      </c>
      <c r="J34">
        <v>1170</v>
      </c>
      <c r="K34" s="32">
        <v>1</v>
      </c>
    </row>
    <row r="35" spans="1:11" x14ac:dyDescent="0.25">
      <c r="A35" s="78"/>
      <c r="B35" s="93"/>
      <c r="C35" s="93"/>
      <c r="D35" s="78"/>
      <c r="E35"/>
      <c r="F35"/>
      <c r="G35" t="s">
        <v>1769</v>
      </c>
      <c r="K35" s="32">
        <v>1</v>
      </c>
    </row>
    <row r="36" spans="1:11" x14ac:dyDescent="0.25">
      <c r="A36" s="78"/>
      <c r="B36" s="93"/>
      <c r="C36" s="93"/>
      <c r="D36" s="93" t="s">
        <v>794</v>
      </c>
      <c r="E36" t="s">
        <v>794</v>
      </c>
      <c r="F36" t="s">
        <v>794</v>
      </c>
      <c r="G36" t="s">
        <v>915</v>
      </c>
      <c r="H36" t="s">
        <v>794</v>
      </c>
      <c r="I36" t="s">
        <v>126</v>
      </c>
      <c r="J36">
        <v>1170</v>
      </c>
      <c r="K36" s="32">
        <v>1</v>
      </c>
    </row>
    <row r="37" spans="1:11" x14ac:dyDescent="0.25">
      <c r="A37" s="78"/>
      <c r="B37" s="93"/>
      <c r="C37" s="93"/>
      <c r="D37" s="93"/>
      <c r="E37"/>
      <c r="F37"/>
      <c r="I37" t="s">
        <v>1838</v>
      </c>
      <c r="J37">
        <v>1170</v>
      </c>
      <c r="K37" s="32">
        <v>1</v>
      </c>
    </row>
    <row r="38" spans="1:11" x14ac:dyDescent="0.25">
      <c r="A38" s="78"/>
      <c r="B38" s="93"/>
      <c r="C38" s="93"/>
      <c r="D38" s="93"/>
      <c r="E38"/>
      <c r="F38"/>
      <c r="I38" t="s">
        <v>1839</v>
      </c>
      <c r="J38">
        <v>1170</v>
      </c>
      <c r="K38" s="32">
        <v>1</v>
      </c>
    </row>
    <row r="39" spans="1:11" x14ac:dyDescent="0.25">
      <c r="A39" s="78"/>
      <c r="B39" s="93"/>
      <c r="C39" s="93"/>
      <c r="D39" s="93"/>
      <c r="E39"/>
      <c r="F39"/>
      <c r="I39" t="s">
        <v>1840</v>
      </c>
      <c r="J39" s="91" t="s">
        <v>794</v>
      </c>
      <c r="K39" s="100">
        <v>1</v>
      </c>
    </row>
    <row r="40" spans="1:11" x14ac:dyDescent="0.25">
      <c r="A40" s="78"/>
      <c r="B40" s="93"/>
      <c r="C40" s="93"/>
      <c r="D40" s="93"/>
      <c r="E40"/>
      <c r="F40"/>
      <c r="I40" t="s">
        <v>1841</v>
      </c>
      <c r="J40">
        <v>1170</v>
      </c>
      <c r="K40" s="32">
        <v>1</v>
      </c>
    </row>
    <row r="41" spans="1:11" x14ac:dyDescent="0.25">
      <c r="A41" s="78"/>
      <c r="B41" s="93"/>
      <c r="C41" s="93"/>
      <c r="D41" s="93"/>
      <c r="E41"/>
      <c r="F41"/>
      <c r="I41" t="s">
        <v>1843</v>
      </c>
      <c r="J41">
        <v>1170</v>
      </c>
      <c r="K41" s="32">
        <v>1</v>
      </c>
    </row>
    <row r="42" spans="1:11" x14ac:dyDescent="0.25">
      <c r="A42" s="78"/>
      <c r="B42" s="93"/>
      <c r="C42" s="93"/>
      <c r="D42" s="93"/>
      <c r="E42"/>
      <c r="F42"/>
      <c r="G42" t="s">
        <v>1768</v>
      </c>
      <c r="K42" s="32">
        <v>6</v>
      </c>
    </row>
    <row r="43" spans="1:11" x14ac:dyDescent="0.25">
      <c r="A43" s="78"/>
      <c r="B43" s="93"/>
      <c r="C43" s="93"/>
      <c r="D43" s="78" t="s">
        <v>820</v>
      </c>
      <c r="E43" s="78" t="s">
        <v>912</v>
      </c>
      <c r="F43" t="s">
        <v>794</v>
      </c>
      <c r="G43" s="78" t="s">
        <v>915</v>
      </c>
      <c r="H43" s="93" t="s">
        <v>794</v>
      </c>
      <c r="I43" s="78" t="s">
        <v>108</v>
      </c>
      <c r="J43">
        <v>1170</v>
      </c>
      <c r="K43" s="32">
        <v>1</v>
      </c>
    </row>
    <row r="44" spans="1:11" x14ac:dyDescent="0.25">
      <c r="A44" s="78"/>
      <c r="B44" s="93"/>
      <c r="C44" s="93"/>
      <c r="D44" s="78"/>
      <c r="E44" s="78"/>
      <c r="F44"/>
      <c r="G44" s="78"/>
      <c r="H44" s="93"/>
      <c r="I44" s="78" t="s">
        <v>110</v>
      </c>
      <c r="J44">
        <v>1170</v>
      </c>
      <c r="K44" s="32">
        <v>1</v>
      </c>
    </row>
    <row r="45" spans="1:11" x14ac:dyDescent="0.25">
      <c r="A45" s="78"/>
      <c r="B45" s="93"/>
      <c r="C45" s="93"/>
      <c r="D45" s="78"/>
      <c r="E45" s="78"/>
      <c r="F45"/>
      <c r="G45" s="78"/>
      <c r="H45" s="93"/>
      <c r="I45" s="78" t="s">
        <v>134</v>
      </c>
      <c r="J45">
        <v>1170</v>
      </c>
      <c r="K45" s="32">
        <v>1</v>
      </c>
    </row>
    <row r="46" spans="1:11" x14ac:dyDescent="0.25">
      <c r="A46" s="78"/>
      <c r="B46" s="93"/>
      <c r="C46" s="93"/>
      <c r="D46" s="78"/>
      <c r="E46" s="78"/>
      <c r="F46"/>
      <c r="G46" t="s">
        <v>1768</v>
      </c>
      <c r="K46" s="32">
        <v>3</v>
      </c>
    </row>
    <row r="47" spans="1:11" x14ac:dyDescent="0.25">
      <c r="A47" s="78"/>
      <c r="B47" s="93"/>
      <c r="C47" s="93"/>
      <c r="D47" s="78"/>
      <c r="E47" s="93" t="s">
        <v>794</v>
      </c>
      <c r="F47" t="s">
        <v>794</v>
      </c>
      <c r="G47" t="s">
        <v>915</v>
      </c>
      <c r="H47" t="s">
        <v>794</v>
      </c>
      <c r="I47" s="78" t="s">
        <v>1112</v>
      </c>
      <c r="J47">
        <v>1170</v>
      </c>
      <c r="K47" s="32">
        <v>1</v>
      </c>
    </row>
    <row r="48" spans="1:11" x14ac:dyDescent="0.25">
      <c r="A48" s="78"/>
      <c r="B48" s="93"/>
      <c r="C48" s="93"/>
      <c r="D48" s="78"/>
      <c r="E48" s="93"/>
      <c r="F48"/>
      <c r="I48" s="78" t="s">
        <v>1033</v>
      </c>
      <c r="J48">
        <v>1170</v>
      </c>
      <c r="K48" s="32">
        <v>1</v>
      </c>
    </row>
    <row r="49" spans="1:11" x14ac:dyDescent="0.25">
      <c r="A49" s="78"/>
      <c r="B49" s="93"/>
      <c r="C49" s="93"/>
      <c r="D49" s="78"/>
      <c r="E49" s="93"/>
      <c r="F49"/>
      <c r="I49" s="78" t="s">
        <v>1015</v>
      </c>
      <c r="J49">
        <v>1170</v>
      </c>
      <c r="K49" s="32">
        <v>1</v>
      </c>
    </row>
    <row r="50" spans="1:11" x14ac:dyDescent="0.25">
      <c r="A50" s="78"/>
      <c r="B50" s="93"/>
      <c r="C50" s="93"/>
      <c r="D50" s="78"/>
      <c r="E50" s="93"/>
      <c r="F50"/>
      <c r="I50" t="s">
        <v>1681</v>
      </c>
      <c r="J50">
        <v>1170</v>
      </c>
      <c r="K50" s="32">
        <v>1</v>
      </c>
    </row>
    <row r="51" spans="1:11" x14ac:dyDescent="0.25">
      <c r="A51" s="78"/>
      <c r="B51" s="93"/>
      <c r="C51" s="93"/>
      <c r="D51" s="78"/>
      <c r="E51" s="93"/>
      <c r="F51"/>
      <c r="G51" t="s">
        <v>1768</v>
      </c>
      <c r="K51" s="32">
        <v>4</v>
      </c>
    </row>
    <row r="52" spans="1:11" x14ac:dyDescent="0.25">
      <c r="A52" s="78"/>
      <c r="B52" s="93"/>
      <c r="C52" s="93"/>
      <c r="D52" s="78"/>
      <c r="E52" s="93"/>
      <c r="F52"/>
      <c r="G52" t="s">
        <v>916</v>
      </c>
      <c r="H52" s="78" t="s">
        <v>24</v>
      </c>
      <c r="I52" s="78" t="s">
        <v>1662</v>
      </c>
      <c r="J52">
        <v>1170</v>
      </c>
      <c r="K52" s="32">
        <v>1</v>
      </c>
    </row>
    <row r="53" spans="1:11" x14ac:dyDescent="0.25">
      <c r="A53" s="78"/>
      <c r="B53" s="93"/>
      <c r="C53" s="93"/>
      <c r="D53" s="78"/>
      <c r="E53" s="93"/>
      <c r="F53"/>
      <c r="G53" t="s">
        <v>1769</v>
      </c>
      <c r="K53" s="32">
        <v>1</v>
      </c>
    </row>
    <row r="54" spans="1:11" x14ac:dyDescent="0.25">
      <c r="A54" s="78"/>
      <c r="B54" s="93"/>
      <c r="C54" s="93"/>
      <c r="D54" s="78"/>
      <c r="E54" t="s">
        <v>47</v>
      </c>
      <c r="F54" t="s">
        <v>794</v>
      </c>
      <c r="G54" t="s">
        <v>916</v>
      </c>
      <c r="H54" t="s">
        <v>24</v>
      </c>
      <c r="I54" t="s">
        <v>76</v>
      </c>
      <c r="J54">
        <v>1170</v>
      </c>
      <c r="K54" s="32">
        <v>1</v>
      </c>
    </row>
    <row r="55" spans="1:11" x14ac:dyDescent="0.25">
      <c r="A55" s="78"/>
      <c r="B55" s="93"/>
      <c r="C55" s="93"/>
      <c r="D55" s="78"/>
      <c r="E55"/>
      <c r="F55"/>
      <c r="G55" t="s">
        <v>1769</v>
      </c>
      <c r="K55" s="32">
        <v>1</v>
      </c>
    </row>
    <row r="56" spans="1:11" x14ac:dyDescent="0.25">
      <c r="A56" s="78"/>
      <c r="B56" s="93"/>
      <c r="C56" s="93"/>
      <c r="D56" s="78"/>
      <c r="E56"/>
      <c r="F56"/>
      <c r="G56" t="s">
        <v>794</v>
      </c>
      <c r="H56" t="s">
        <v>794</v>
      </c>
      <c r="I56" t="s">
        <v>794</v>
      </c>
      <c r="J56" s="91" t="s">
        <v>794</v>
      </c>
      <c r="K56" s="100"/>
    </row>
    <row r="57" spans="1:11" x14ac:dyDescent="0.25">
      <c r="A57" s="78"/>
      <c r="B57" s="93"/>
      <c r="C57" s="93"/>
      <c r="D57" s="78"/>
      <c r="E57"/>
      <c r="F57"/>
      <c r="G57" t="s">
        <v>816</v>
      </c>
      <c r="K57" s="32"/>
    </row>
    <row r="58" spans="1:11" x14ac:dyDescent="0.25">
      <c r="A58" s="78"/>
      <c r="B58" s="93"/>
      <c r="C58" s="93"/>
      <c r="D58" s="78"/>
      <c r="E58" s="78" t="s">
        <v>817</v>
      </c>
      <c r="F58" t="s">
        <v>794</v>
      </c>
      <c r="G58" s="78" t="s">
        <v>915</v>
      </c>
      <c r="H58" s="93" t="s">
        <v>794</v>
      </c>
      <c r="I58" s="78" t="s">
        <v>1655</v>
      </c>
      <c r="J58">
        <v>1170</v>
      </c>
      <c r="K58" s="32">
        <v>1</v>
      </c>
    </row>
    <row r="59" spans="1:11" x14ac:dyDescent="0.25">
      <c r="A59" s="78"/>
      <c r="B59" s="93"/>
      <c r="C59" s="93"/>
      <c r="D59" s="78"/>
      <c r="E59" s="78"/>
      <c r="F59"/>
      <c r="G59" s="78"/>
      <c r="H59" s="93"/>
      <c r="I59" s="78" t="s">
        <v>627</v>
      </c>
      <c r="J59">
        <v>1170</v>
      </c>
      <c r="K59" s="32">
        <v>1</v>
      </c>
    </row>
    <row r="60" spans="1:11" x14ac:dyDescent="0.25">
      <c r="A60" s="78"/>
      <c r="B60" s="93"/>
      <c r="C60" s="93"/>
      <c r="D60" s="78"/>
      <c r="E60" s="78"/>
      <c r="F60"/>
      <c r="G60" s="78"/>
      <c r="H60" s="93"/>
      <c r="I60" s="78" t="s">
        <v>1660</v>
      </c>
      <c r="J60">
        <v>1170</v>
      </c>
      <c r="K60" s="32">
        <v>1</v>
      </c>
    </row>
    <row r="61" spans="1:11" x14ac:dyDescent="0.25">
      <c r="A61" s="78"/>
      <c r="B61" s="93"/>
      <c r="C61" s="93"/>
      <c r="D61" s="78"/>
      <c r="E61" s="78"/>
      <c r="F61"/>
      <c r="G61" s="78"/>
      <c r="H61" s="93"/>
      <c r="I61" s="78" t="s">
        <v>139</v>
      </c>
      <c r="J61">
        <v>1170</v>
      </c>
      <c r="K61" s="32">
        <v>1</v>
      </c>
    </row>
    <row r="62" spans="1:11" x14ac:dyDescent="0.25">
      <c r="A62" s="78"/>
      <c r="B62" s="93"/>
      <c r="C62" s="93"/>
      <c r="D62" s="78"/>
      <c r="E62" s="78"/>
      <c r="F62"/>
      <c r="G62" s="78"/>
      <c r="H62" s="93"/>
      <c r="I62" s="78" t="s">
        <v>842</v>
      </c>
      <c r="J62">
        <v>1170</v>
      </c>
      <c r="K62" s="32">
        <v>1</v>
      </c>
    </row>
    <row r="63" spans="1:11" x14ac:dyDescent="0.25">
      <c r="A63" s="78"/>
      <c r="B63" s="93"/>
      <c r="C63" s="93"/>
      <c r="D63" s="78"/>
      <c r="E63" s="78"/>
      <c r="F63"/>
      <c r="G63" s="78"/>
      <c r="H63" s="93"/>
      <c r="I63" s="78" t="s">
        <v>931</v>
      </c>
      <c r="J63">
        <v>1170</v>
      </c>
      <c r="K63" s="32">
        <v>1</v>
      </c>
    </row>
    <row r="64" spans="1:11" x14ac:dyDescent="0.25">
      <c r="A64" s="78"/>
      <c r="B64" s="93"/>
      <c r="C64" s="93"/>
      <c r="D64" s="78"/>
      <c r="E64" s="78"/>
      <c r="F64"/>
      <c r="G64" s="78"/>
      <c r="H64" s="93"/>
      <c r="I64" s="78" t="s">
        <v>689</v>
      </c>
      <c r="J64">
        <v>1170</v>
      </c>
      <c r="K64" s="32">
        <v>1</v>
      </c>
    </row>
    <row r="65" spans="1:11" x14ac:dyDescent="0.25">
      <c r="A65" s="78"/>
      <c r="B65" s="93"/>
      <c r="C65" s="93"/>
      <c r="D65" s="78"/>
      <c r="E65" s="78"/>
      <c r="F65"/>
      <c r="G65" s="78"/>
      <c r="H65" s="93"/>
      <c r="I65" s="78" t="s">
        <v>1026</v>
      </c>
      <c r="J65">
        <v>1170</v>
      </c>
      <c r="K65" s="32">
        <v>1</v>
      </c>
    </row>
    <row r="66" spans="1:11" x14ac:dyDescent="0.25">
      <c r="A66" s="78"/>
      <c r="B66" s="93"/>
      <c r="C66" s="93"/>
      <c r="D66" s="78"/>
      <c r="E66" s="78"/>
      <c r="F66"/>
      <c r="G66" s="78"/>
      <c r="H66" s="93"/>
      <c r="I66" s="78" t="s">
        <v>933</v>
      </c>
      <c r="J66">
        <v>1170</v>
      </c>
      <c r="K66" s="32">
        <v>1</v>
      </c>
    </row>
    <row r="67" spans="1:11" x14ac:dyDescent="0.25">
      <c r="A67" s="78"/>
      <c r="B67" s="93"/>
      <c r="C67" s="93"/>
      <c r="D67" s="78"/>
      <c r="E67" s="78"/>
      <c r="F67"/>
      <c r="G67" s="78"/>
      <c r="H67" s="93"/>
      <c r="I67" s="78" t="s">
        <v>1039</v>
      </c>
      <c r="J67">
        <v>1170</v>
      </c>
      <c r="K67" s="32">
        <v>1</v>
      </c>
    </row>
    <row r="68" spans="1:11" x14ac:dyDescent="0.25">
      <c r="A68" s="78"/>
      <c r="B68" s="93"/>
      <c r="C68" s="93"/>
      <c r="D68" s="78"/>
      <c r="E68" s="78"/>
      <c r="F68"/>
      <c r="G68" s="78"/>
      <c r="H68" s="93"/>
      <c r="I68" s="78" t="s">
        <v>930</v>
      </c>
      <c r="J68">
        <v>1170</v>
      </c>
      <c r="K68" s="32">
        <v>1</v>
      </c>
    </row>
    <row r="69" spans="1:11" x14ac:dyDescent="0.25">
      <c r="A69" s="78"/>
      <c r="B69" s="93"/>
      <c r="C69" s="93"/>
      <c r="D69" s="78"/>
      <c r="E69" s="78"/>
      <c r="F69"/>
      <c r="G69" s="78"/>
      <c r="H69" s="93"/>
      <c r="I69" s="78" t="s">
        <v>932</v>
      </c>
      <c r="J69">
        <v>1170</v>
      </c>
      <c r="K69" s="32">
        <v>1</v>
      </c>
    </row>
    <row r="70" spans="1:11" x14ac:dyDescent="0.25">
      <c r="A70" s="78"/>
      <c r="B70" s="93"/>
      <c r="C70" s="93"/>
      <c r="D70" s="78"/>
      <c r="E70" s="78"/>
      <c r="F70"/>
      <c r="G70" s="78"/>
      <c r="H70" s="93"/>
      <c r="I70" s="78" t="s">
        <v>756</v>
      </c>
      <c r="J70">
        <v>1170</v>
      </c>
      <c r="K70" s="32">
        <v>1</v>
      </c>
    </row>
    <row r="71" spans="1:11" x14ac:dyDescent="0.25">
      <c r="A71" s="78"/>
      <c r="B71" s="93"/>
      <c r="C71" s="93"/>
      <c r="D71" s="78"/>
      <c r="E71" s="78"/>
      <c r="F71"/>
      <c r="G71" s="78"/>
      <c r="H71" s="93"/>
      <c r="I71" t="s">
        <v>1844</v>
      </c>
      <c r="J71" s="91" t="s">
        <v>794</v>
      </c>
      <c r="K71" s="100">
        <v>1</v>
      </c>
    </row>
    <row r="72" spans="1:11" x14ac:dyDescent="0.25">
      <c r="A72" s="78"/>
      <c r="B72" s="93"/>
      <c r="C72" s="93"/>
      <c r="D72" s="78"/>
      <c r="E72" s="78"/>
      <c r="F72"/>
      <c r="G72" t="s">
        <v>1768</v>
      </c>
      <c r="K72" s="32">
        <v>14</v>
      </c>
    </row>
    <row r="73" spans="1:11" x14ac:dyDescent="0.25">
      <c r="A73" s="78"/>
      <c r="B73" s="93"/>
      <c r="C73" s="93"/>
      <c r="D73" s="78"/>
      <c r="E73" s="78"/>
      <c r="F73"/>
      <c r="G73" s="78" t="s">
        <v>916</v>
      </c>
      <c r="H73" s="78" t="s">
        <v>798</v>
      </c>
      <c r="I73" s="78" t="s">
        <v>504</v>
      </c>
      <c r="J73">
        <v>1170</v>
      </c>
      <c r="K73" s="32">
        <v>1</v>
      </c>
    </row>
    <row r="74" spans="1:11" x14ac:dyDescent="0.25">
      <c r="A74" s="78"/>
      <c r="B74" s="93"/>
      <c r="C74" s="93"/>
      <c r="D74" s="78"/>
      <c r="E74" s="78"/>
      <c r="F74"/>
      <c r="G74" s="78"/>
      <c r="H74" s="78" t="s">
        <v>30</v>
      </c>
      <c r="I74" s="78" t="s">
        <v>91</v>
      </c>
      <c r="J74">
        <v>1170</v>
      </c>
      <c r="K74" s="32">
        <v>1</v>
      </c>
    </row>
    <row r="75" spans="1:11" x14ac:dyDescent="0.25">
      <c r="A75" s="78"/>
      <c r="B75" s="93"/>
      <c r="C75" s="93"/>
      <c r="D75" s="78"/>
      <c r="E75" s="78"/>
      <c r="F75"/>
      <c r="G75" s="78"/>
      <c r="H75" s="78"/>
      <c r="I75" s="78" t="s">
        <v>165</v>
      </c>
      <c r="J75">
        <v>1170</v>
      </c>
      <c r="K75" s="32">
        <v>1</v>
      </c>
    </row>
    <row r="76" spans="1:11" x14ac:dyDescent="0.25">
      <c r="A76" s="78"/>
      <c r="B76" s="93"/>
      <c r="C76" s="93"/>
      <c r="D76" s="78"/>
      <c r="E76" s="78"/>
      <c r="F76"/>
      <c r="G76" s="78"/>
      <c r="H76" s="78" t="s">
        <v>17</v>
      </c>
      <c r="I76" s="78" t="s">
        <v>113</v>
      </c>
      <c r="J76">
        <v>1170</v>
      </c>
      <c r="K76" s="32">
        <v>1</v>
      </c>
    </row>
    <row r="77" spans="1:11" x14ac:dyDescent="0.25">
      <c r="A77" s="78"/>
      <c r="B77" s="93"/>
      <c r="C77" s="93"/>
      <c r="D77" s="78"/>
      <c r="E77" s="78"/>
      <c r="F77"/>
      <c r="G77" s="78"/>
      <c r="H77" s="78"/>
      <c r="I77" s="78" t="s">
        <v>129</v>
      </c>
      <c r="J77">
        <v>1170</v>
      </c>
      <c r="K77" s="32">
        <v>1</v>
      </c>
    </row>
    <row r="78" spans="1:11" x14ac:dyDescent="0.25">
      <c r="A78" s="78"/>
      <c r="B78" s="93"/>
      <c r="C78" s="93"/>
      <c r="D78" s="78"/>
      <c r="E78" s="78"/>
      <c r="F78"/>
      <c r="G78" s="78"/>
      <c r="H78" s="78"/>
      <c r="I78" s="78" t="s">
        <v>146</v>
      </c>
      <c r="J78">
        <v>1170</v>
      </c>
      <c r="K78" s="32">
        <v>1</v>
      </c>
    </row>
    <row r="79" spans="1:11" x14ac:dyDescent="0.25">
      <c r="A79" s="78"/>
      <c r="B79" s="93"/>
      <c r="C79" s="93"/>
      <c r="D79" s="78"/>
      <c r="E79" s="78"/>
      <c r="F79"/>
      <c r="G79" s="78"/>
      <c r="H79" s="78"/>
      <c r="I79" s="78" t="s">
        <v>195</v>
      </c>
      <c r="J79">
        <v>1170</v>
      </c>
      <c r="K79" s="32">
        <v>1</v>
      </c>
    </row>
    <row r="80" spans="1:11" x14ac:dyDescent="0.25">
      <c r="A80" s="78"/>
      <c r="B80" s="93"/>
      <c r="C80" s="93"/>
      <c r="D80" s="78"/>
      <c r="E80" s="78"/>
      <c r="F80"/>
      <c r="G80" s="78"/>
      <c r="H80" s="78" t="s">
        <v>24</v>
      </c>
      <c r="I80" s="78" t="s">
        <v>164</v>
      </c>
      <c r="J80">
        <v>1170</v>
      </c>
      <c r="K80" s="32">
        <v>1</v>
      </c>
    </row>
    <row r="81" spans="1:11" x14ac:dyDescent="0.25">
      <c r="A81" s="78"/>
      <c r="B81" s="93"/>
      <c r="C81" s="93"/>
      <c r="D81" s="78"/>
      <c r="E81" s="78"/>
      <c r="F81"/>
      <c r="G81" t="s">
        <v>1769</v>
      </c>
      <c r="K81" s="32">
        <v>8</v>
      </c>
    </row>
    <row r="82" spans="1:11" x14ac:dyDescent="0.25">
      <c r="A82" s="78"/>
      <c r="B82" s="93"/>
      <c r="C82" s="93"/>
      <c r="D82" s="78"/>
      <c r="E82" s="78" t="s">
        <v>818</v>
      </c>
      <c r="F82" t="s">
        <v>794</v>
      </c>
      <c r="G82" s="78" t="s">
        <v>915</v>
      </c>
      <c r="H82" s="93" t="s">
        <v>794</v>
      </c>
      <c r="I82" s="78" t="s">
        <v>97</v>
      </c>
      <c r="J82">
        <v>1170</v>
      </c>
      <c r="K82" s="32">
        <v>1</v>
      </c>
    </row>
    <row r="83" spans="1:11" x14ac:dyDescent="0.25">
      <c r="A83" s="78"/>
      <c r="B83" s="93"/>
      <c r="C83" s="93"/>
      <c r="D83" s="78"/>
      <c r="E83" s="78"/>
      <c r="F83"/>
      <c r="G83" s="78"/>
      <c r="H83" s="93"/>
      <c r="I83" s="78" t="s">
        <v>598</v>
      </c>
      <c r="J83">
        <v>1170</v>
      </c>
      <c r="K83" s="32">
        <v>1</v>
      </c>
    </row>
    <row r="84" spans="1:11" x14ac:dyDescent="0.25">
      <c r="A84" s="78"/>
      <c r="B84" s="93"/>
      <c r="C84" s="93"/>
      <c r="D84" s="78"/>
      <c r="E84" s="78"/>
      <c r="F84"/>
      <c r="G84" s="78"/>
      <c r="H84" s="93"/>
      <c r="I84" s="78" t="s">
        <v>119</v>
      </c>
      <c r="J84">
        <v>1170</v>
      </c>
      <c r="K84" s="32">
        <v>1</v>
      </c>
    </row>
    <row r="85" spans="1:11" x14ac:dyDescent="0.25">
      <c r="A85" s="78"/>
      <c r="B85" s="93"/>
      <c r="C85" s="93"/>
      <c r="D85" s="78"/>
      <c r="E85" s="78"/>
      <c r="F85"/>
      <c r="G85" s="78"/>
      <c r="H85" s="93"/>
      <c r="I85" s="78" t="s">
        <v>128</v>
      </c>
      <c r="J85">
        <v>1170</v>
      </c>
      <c r="K85" s="32">
        <v>1</v>
      </c>
    </row>
    <row r="86" spans="1:11" x14ac:dyDescent="0.25">
      <c r="A86" s="78"/>
      <c r="B86" s="93"/>
      <c r="C86" s="93"/>
      <c r="D86" s="78"/>
      <c r="E86" s="78"/>
      <c r="F86"/>
      <c r="G86" s="78"/>
      <c r="H86" s="93"/>
      <c r="I86" s="78" t="s">
        <v>143</v>
      </c>
      <c r="J86">
        <v>1170</v>
      </c>
      <c r="K86" s="32">
        <v>1</v>
      </c>
    </row>
    <row r="87" spans="1:11" x14ac:dyDescent="0.25">
      <c r="A87" s="78"/>
      <c r="B87" s="93"/>
      <c r="C87" s="93"/>
      <c r="D87" s="78"/>
      <c r="E87" s="78"/>
      <c r="F87"/>
      <c r="G87" s="78"/>
      <c r="H87" s="93"/>
      <c r="I87" s="78" t="s">
        <v>157</v>
      </c>
      <c r="J87">
        <v>1170</v>
      </c>
      <c r="K87" s="32">
        <v>1</v>
      </c>
    </row>
    <row r="88" spans="1:11" x14ac:dyDescent="0.25">
      <c r="A88" s="78"/>
      <c r="B88" s="93"/>
      <c r="C88" s="93"/>
      <c r="D88" s="78"/>
      <c r="E88" s="78"/>
      <c r="F88"/>
      <c r="G88" s="78"/>
      <c r="H88" s="93"/>
      <c r="I88" s="78" t="s">
        <v>178</v>
      </c>
      <c r="J88">
        <v>1170</v>
      </c>
      <c r="K88" s="32">
        <v>1</v>
      </c>
    </row>
    <row r="89" spans="1:11" x14ac:dyDescent="0.25">
      <c r="A89" s="78"/>
      <c r="B89" s="93"/>
      <c r="C89" s="93"/>
      <c r="D89" s="78"/>
      <c r="E89" s="78"/>
      <c r="F89"/>
      <c r="G89" s="78"/>
      <c r="H89" s="93"/>
      <c r="I89" s="78" t="s">
        <v>183</v>
      </c>
      <c r="J89">
        <v>1170</v>
      </c>
      <c r="K89" s="32">
        <v>1</v>
      </c>
    </row>
    <row r="90" spans="1:11" x14ac:dyDescent="0.25">
      <c r="A90" s="78"/>
      <c r="B90" s="93"/>
      <c r="C90" s="93"/>
      <c r="D90" s="78"/>
      <c r="E90" s="78"/>
      <c r="F90"/>
      <c r="G90" s="78"/>
      <c r="H90" s="93"/>
      <c r="I90" s="78" t="s">
        <v>186</v>
      </c>
      <c r="J90">
        <v>1170</v>
      </c>
      <c r="K90" s="32">
        <v>1</v>
      </c>
    </row>
    <row r="91" spans="1:11" x14ac:dyDescent="0.25">
      <c r="A91" s="78"/>
      <c r="B91" s="93"/>
      <c r="C91" s="93"/>
      <c r="D91" s="78"/>
      <c r="E91" s="78"/>
      <c r="F91"/>
      <c r="G91" s="78"/>
      <c r="H91" s="93"/>
      <c r="I91" s="78" t="s">
        <v>208</v>
      </c>
      <c r="J91">
        <v>1170</v>
      </c>
      <c r="K91" s="32">
        <v>1</v>
      </c>
    </row>
    <row r="92" spans="1:11" x14ac:dyDescent="0.25">
      <c r="A92" s="78"/>
      <c r="B92" s="93"/>
      <c r="C92" s="93"/>
      <c r="D92" s="78"/>
      <c r="E92" s="78"/>
      <c r="F92"/>
      <c r="G92" t="s">
        <v>1768</v>
      </c>
      <c r="K92" s="32">
        <v>10</v>
      </c>
    </row>
    <row r="93" spans="1:11" x14ac:dyDescent="0.25">
      <c r="A93" s="78"/>
      <c r="B93" s="93"/>
      <c r="C93" s="93"/>
      <c r="D93" s="78"/>
      <c r="E93" s="78"/>
      <c r="F93"/>
      <c r="G93" s="78" t="s">
        <v>916</v>
      </c>
      <c r="H93" s="78" t="s">
        <v>53</v>
      </c>
      <c r="I93" s="78" t="s">
        <v>684</v>
      </c>
      <c r="J93">
        <v>1170</v>
      </c>
      <c r="K93" s="32">
        <v>1</v>
      </c>
    </row>
    <row r="94" spans="1:11" x14ac:dyDescent="0.25">
      <c r="A94" s="78"/>
      <c r="B94" s="93"/>
      <c r="C94" s="93"/>
      <c r="D94" s="78"/>
      <c r="E94" s="78"/>
      <c r="F94"/>
      <c r="G94" s="78"/>
      <c r="H94" s="78" t="s">
        <v>30</v>
      </c>
      <c r="I94" s="78" t="s">
        <v>94</v>
      </c>
      <c r="J94">
        <v>1170</v>
      </c>
      <c r="K94" s="32">
        <v>1</v>
      </c>
    </row>
    <row r="95" spans="1:11" x14ac:dyDescent="0.25">
      <c r="A95" s="78"/>
      <c r="B95" s="93"/>
      <c r="C95" s="93"/>
      <c r="D95" s="78"/>
      <c r="E95" s="78"/>
      <c r="F95"/>
      <c r="G95" s="78"/>
      <c r="H95" s="78"/>
      <c r="I95" s="78" t="s">
        <v>605</v>
      </c>
      <c r="J95">
        <v>1170</v>
      </c>
      <c r="K95" s="32">
        <v>1</v>
      </c>
    </row>
    <row r="96" spans="1:11" x14ac:dyDescent="0.25">
      <c r="A96" s="78"/>
      <c r="B96" s="93"/>
      <c r="C96" s="93"/>
      <c r="D96" s="78"/>
      <c r="E96" s="78"/>
      <c r="F96"/>
      <c r="G96" s="78"/>
      <c r="H96" s="78"/>
      <c r="I96" s="78" t="s">
        <v>750</v>
      </c>
      <c r="J96">
        <v>1170</v>
      </c>
      <c r="K96" s="32">
        <v>1</v>
      </c>
    </row>
    <row r="97" spans="1:11" x14ac:dyDescent="0.25">
      <c r="A97" s="78"/>
      <c r="B97" s="93"/>
      <c r="C97" s="93"/>
      <c r="D97" s="78"/>
      <c r="E97" s="78"/>
      <c r="F97"/>
      <c r="G97" s="78"/>
      <c r="H97" s="78" t="s">
        <v>60</v>
      </c>
      <c r="I97" s="78" t="s">
        <v>115</v>
      </c>
      <c r="J97">
        <v>1170</v>
      </c>
      <c r="K97" s="32">
        <v>1</v>
      </c>
    </row>
    <row r="98" spans="1:11" x14ac:dyDescent="0.25">
      <c r="A98" s="78"/>
      <c r="B98" s="93"/>
      <c r="C98" s="93"/>
      <c r="D98" s="78"/>
      <c r="E98" s="78"/>
      <c r="F98"/>
      <c r="G98" s="78"/>
      <c r="H98" s="78" t="s">
        <v>42</v>
      </c>
      <c r="I98" s="78" t="s">
        <v>892</v>
      </c>
      <c r="J98">
        <v>1170</v>
      </c>
      <c r="K98" s="32">
        <v>1</v>
      </c>
    </row>
    <row r="99" spans="1:11" x14ac:dyDescent="0.25">
      <c r="A99" s="78"/>
      <c r="B99" s="93"/>
      <c r="C99" s="93"/>
      <c r="D99" s="78"/>
      <c r="E99" s="78"/>
      <c r="F99"/>
      <c r="G99" s="78"/>
      <c r="H99" s="78"/>
      <c r="I99" s="78" t="s">
        <v>180</v>
      </c>
      <c r="J99">
        <v>1170</v>
      </c>
      <c r="K99" s="32">
        <v>1</v>
      </c>
    </row>
    <row r="100" spans="1:11" x14ac:dyDescent="0.25">
      <c r="A100" s="78"/>
      <c r="B100" s="93"/>
      <c r="C100" s="93"/>
      <c r="D100" s="78"/>
      <c r="E100" s="78"/>
      <c r="F100"/>
      <c r="G100" s="78"/>
      <c r="H100" s="78" t="s">
        <v>17</v>
      </c>
      <c r="I100" s="78" t="s">
        <v>201</v>
      </c>
      <c r="J100">
        <v>1170</v>
      </c>
      <c r="K100" s="32">
        <v>1</v>
      </c>
    </row>
    <row r="101" spans="1:11" x14ac:dyDescent="0.25">
      <c r="A101" s="78"/>
      <c r="B101" s="93"/>
      <c r="C101" s="93"/>
      <c r="D101" s="78"/>
      <c r="E101" s="78"/>
      <c r="F101"/>
      <c r="G101" t="s">
        <v>1769</v>
      </c>
      <c r="K101" s="32">
        <v>8</v>
      </c>
    </row>
    <row r="102" spans="1:11" x14ac:dyDescent="0.25">
      <c r="A102" s="78"/>
      <c r="B102" s="93"/>
      <c r="C102" s="93"/>
      <c r="D102" s="78"/>
      <c r="E102" s="78" t="s">
        <v>837</v>
      </c>
      <c r="F102" t="s">
        <v>794</v>
      </c>
      <c r="G102" s="78" t="s">
        <v>915</v>
      </c>
      <c r="H102" s="93" t="s">
        <v>794</v>
      </c>
      <c r="I102" s="78" t="s">
        <v>565</v>
      </c>
      <c r="J102">
        <v>1170</v>
      </c>
      <c r="K102" s="32">
        <v>1</v>
      </c>
    </row>
    <row r="103" spans="1:11" x14ac:dyDescent="0.25">
      <c r="A103" s="78"/>
      <c r="B103" s="93"/>
      <c r="C103" s="93"/>
      <c r="D103" s="78"/>
      <c r="E103" s="78"/>
      <c r="F103"/>
      <c r="G103" s="78"/>
      <c r="H103" s="93"/>
      <c r="I103" s="78" t="s">
        <v>509</v>
      </c>
      <c r="J103">
        <v>1170</v>
      </c>
      <c r="K103" s="32">
        <v>1</v>
      </c>
    </row>
    <row r="104" spans="1:11" x14ac:dyDescent="0.25">
      <c r="A104" s="78"/>
      <c r="B104" s="93"/>
      <c r="C104" s="93"/>
      <c r="D104" s="78"/>
      <c r="E104" s="78"/>
      <c r="F104"/>
      <c r="G104" s="78"/>
      <c r="H104" s="93"/>
      <c r="I104" s="78" t="s">
        <v>1657</v>
      </c>
      <c r="J104">
        <v>1170</v>
      </c>
      <c r="K104" s="32">
        <v>1</v>
      </c>
    </row>
    <row r="105" spans="1:11" x14ac:dyDescent="0.25">
      <c r="A105" s="78"/>
      <c r="B105" s="93"/>
      <c r="C105" s="93"/>
      <c r="D105" s="78"/>
      <c r="E105" s="78"/>
      <c r="F105"/>
      <c r="G105" s="78"/>
      <c r="H105" s="93"/>
      <c r="I105" s="78" t="s">
        <v>65</v>
      </c>
      <c r="J105">
        <v>1170</v>
      </c>
      <c r="K105" s="32">
        <v>1</v>
      </c>
    </row>
    <row r="106" spans="1:11" x14ac:dyDescent="0.25">
      <c r="A106" s="78"/>
      <c r="B106" s="93"/>
      <c r="C106" s="93"/>
      <c r="D106" s="78"/>
      <c r="E106" s="78"/>
      <c r="F106"/>
      <c r="G106" s="78"/>
      <c r="H106" s="93"/>
      <c r="I106" s="78" t="s">
        <v>1613</v>
      </c>
      <c r="J106">
        <v>1170</v>
      </c>
      <c r="K106" s="32">
        <v>1</v>
      </c>
    </row>
    <row r="107" spans="1:11" x14ac:dyDescent="0.25">
      <c r="A107" s="78"/>
      <c r="B107" s="93"/>
      <c r="C107" s="93"/>
      <c r="D107" s="78"/>
      <c r="E107" s="78"/>
      <c r="F107"/>
      <c r="G107" t="s">
        <v>1768</v>
      </c>
      <c r="K107" s="32">
        <v>5</v>
      </c>
    </row>
    <row r="108" spans="1:11" x14ac:dyDescent="0.25">
      <c r="A108" s="78"/>
      <c r="B108" s="93"/>
      <c r="C108" s="93"/>
      <c r="D108" s="78"/>
      <c r="E108" s="78"/>
      <c r="F108"/>
      <c r="G108" s="78" t="s">
        <v>916</v>
      </c>
      <c r="H108" s="78" t="s">
        <v>33</v>
      </c>
      <c r="I108" s="78" t="s">
        <v>567</v>
      </c>
      <c r="J108">
        <v>1170</v>
      </c>
      <c r="K108" s="32">
        <v>1</v>
      </c>
    </row>
    <row r="109" spans="1:11" x14ac:dyDescent="0.25">
      <c r="A109" s="78"/>
      <c r="B109" s="93"/>
      <c r="C109" s="93"/>
      <c r="D109" s="78"/>
      <c r="E109" s="78"/>
      <c r="F109"/>
      <c r="G109" s="78"/>
      <c r="H109" s="78" t="s">
        <v>53</v>
      </c>
      <c r="I109" s="78" t="s">
        <v>125</v>
      </c>
      <c r="J109">
        <v>1170</v>
      </c>
      <c r="K109" s="32">
        <v>1</v>
      </c>
    </row>
    <row r="110" spans="1:11" x14ac:dyDescent="0.25">
      <c r="A110" s="78"/>
      <c r="B110" s="93"/>
      <c r="C110" s="93"/>
      <c r="D110" s="78"/>
      <c r="E110" s="78"/>
      <c r="F110"/>
      <c r="G110" s="78"/>
      <c r="H110" s="78"/>
      <c r="I110" s="78" t="s">
        <v>508</v>
      </c>
      <c r="J110">
        <v>1170</v>
      </c>
      <c r="K110" s="32">
        <v>1</v>
      </c>
    </row>
    <row r="111" spans="1:11" x14ac:dyDescent="0.25">
      <c r="A111" s="78"/>
      <c r="B111" s="93"/>
      <c r="C111" s="93"/>
      <c r="D111" s="78"/>
      <c r="E111" s="78"/>
      <c r="F111"/>
      <c r="G111" s="78"/>
      <c r="H111" s="78" t="s">
        <v>30</v>
      </c>
      <c r="I111" s="78" t="s">
        <v>510</v>
      </c>
      <c r="J111">
        <v>1170</v>
      </c>
      <c r="K111" s="32">
        <v>1</v>
      </c>
    </row>
    <row r="112" spans="1:11" x14ac:dyDescent="0.25">
      <c r="A112" s="78"/>
      <c r="B112" s="93"/>
      <c r="C112" s="93"/>
      <c r="D112" s="78"/>
      <c r="E112" s="78"/>
      <c r="F112"/>
      <c r="G112" s="78"/>
      <c r="H112" s="78" t="s">
        <v>60</v>
      </c>
      <c r="I112" s="78" t="s">
        <v>101</v>
      </c>
      <c r="J112">
        <v>1170</v>
      </c>
      <c r="K112" s="32">
        <v>1</v>
      </c>
    </row>
    <row r="113" spans="1:11" x14ac:dyDescent="0.25">
      <c r="A113" s="78"/>
      <c r="B113" s="93"/>
      <c r="C113" s="93"/>
      <c r="D113" s="78"/>
      <c r="E113" s="78"/>
      <c r="F113"/>
      <c r="G113" t="s">
        <v>1769</v>
      </c>
      <c r="K113" s="32">
        <v>5</v>
      </c>
    </row>
    <row r="114" spans="1:11" x14ac:dyDescent="0.25">
      <c r="A114" s="78"/>
      <c r="B114" s="93"/>
      <c r="C114" s="93"/>
      <c r="D114" s="78"/>
      <c r="E114" s="78" t="s">
        <v>809</v>
      </c>
      <c r="F114" t="s">
        <v>794</v>
      </c>
      <c r="G114" s="78" t="s">
        <v>915</v>
      </c>
      <c r="H114" s="93" t="s">
        <v>794</v>
      </c>
      <c r="I114" s="78" t="s">
        <v>41</v>
      </c>
      <c r="J114">
        <v>1170</v>
      </c>
      <c r="K114" s="32">
        <v>1</v>
      </c>
    </row>
    <row r="115" spans="1:11" x14ac:dyDescent="0.25">
      <c r="A115" s="78"/>
      <c r="B115" s="93"/>
      <c r="C115" s="93"/>
      <c r="D115" s="78"/>
      <c r="E115" s="78"/>
      <c r="F115"/>
      <c r="G115" s="78"/>
      <c r="H115" s="93"/>
      <c r="I115" s="78" t="s">
        <v>87</v>
      </c>
      <c r="J115">
        <v>1170</v>
      </c>
      <c r="K115" s="32">
        <v>1</v>
      </c>
    </row>
    <row r="116" spans="1:11" x14ac:dyDescent="0.25">
      <c r="A116" s="78"/>
      <c r="B116" s="93"/>
      <c r="C116" s="93"/>
      <c r="D116" s="78"/>
      <c r="E116" s="78"/>
      <c r="F116"/>
      <c r="G116" s="78"/>
      <c r="H116" s="93"/>
      <c r="I116" s="78" t="s">
        <v>1115</v>
      </c>
      <c r="J116">
        <v>1170</v>
      </c>
      <c r="K116" s="32">
        <v>1</v>
      </c>
    </row>
    <row r="117" spans="1:11" x14ac:dyDescent="0.25">
      <c r="A117" s="78"/>
      <c r="B117" s="93"/>
      <c r="C117" s="93"/>
      <c r="D117" s="78"/>
      <c r="E117" s="78"/>
      <c r="F117"/>
      <c r="G117" s="78"/>
      <c r="H117" s="93"/>
      <c r="I117" s="78" t="s">
        <v>171</v>
      </c>
      <c r="J117">
        <v>1170</v>
      </c>
      <c r="K117" s="32">
        <v>1</v>
      </c>
    </row>
    <row r="118" spans="1:11" x14ac:dyDescent="0.25">
      <c r="A118" s="78"/>
      <c r="B118" s="93"/>
      <c r="C118" s="93"/>
      <c r="D118" s="78"/>
      <c r="E118" s="78"/>
      <c r="F118"/>
      <c r="G118" s="78"/>
      <c r="H118" s="93"/>
      <c r="I118" s="78" t="s">
        <v>1040</v>
      </c>
      <c r="J118">
        <v>1170</v>
      </c>
      <c r="K118" s="32">
        <v>1</v>
      </c>
    </row>
    <row r="119" spans="1:11" x14ac:dyDescent="0.25">
      <c r="A119" s="78"/>
      <c r="B119" s="93"/>
      <c r="C119" s="93"/>
      <c r="D119" s="78"/>
      <c r="E119" s="78"/>
      <c r="F119"/>
      <c r="G119" t="s">
        <v>1768</v>
      </c>
      <c r="K119" s="32">
        <v>5</v>
      </c>
    </row>
    <row r="120" spans="1:11" x14ac:dyDescent="0.25">
      <c r="A120" s="78"/>
      <c r="B120" s="93"/>
      <c r="C120" s="93"/>
      <c r="D120" s="78"/>
      <c r="E120" s="78"/>
      <c r="F120"/>
      <c r="G120" s="78" t="s">
        <v>916</v>
      </c>
      <c r="H120" s="78" t="s">
        <v>24</v>
      </c>
      <c r="I120" s="78" t="s">
        <v>96</v>
      </c>
      <c r="J120">
        <v>1170</v>
      </c>
      <c r="K120" s="32">
        <v>1</v>
      </c>
    </row>
    <row r="121" spans="1:11" x14ac:dyDescent="0.25">
      <c r="A121" s="78"/>
      <c r="B121" s="93"/>
      <c r="C121" s="93"/>
      <c r="D121" s="78"/>
      <c r="E121" s="78"/>
      <c r="F121"/>
      <c r="G121" s="78"/>
      <c r="H121" s="78"/>
      <c r="I121" s="78" t="s">
        <v>145</v>
      </c>
      <c r="J121">
        <v>1170</v>
      </c>
      <c r="K121" s="32">
        <v>1</v>
      </c>
    </row>
    <row r="122" spans="1:11" x14ac:dyDescent="0.25">
      <c r="A122" s="78"/>
      <c r="B122" s="93"/>
      <c r="C122" s="93"/>
      <c r="D122" s="78"/>
      <c r="E122" s="78"/>
      <c r="F122"/>
      <c r="G122" t="s">
        <v>1769</v>
      </c>
      <c r="K122" s="32">
        <v>2</v>
      </c>
    </row>
    <row r="123" spans="1:11" x14ac:dyDescent="0.25">
      <c r="A123" s="78"/>
      <c r="B123" s="93"/>
      <c r="C123" s="93"/>
      <c r="D123" s="78"/>
      <c r="E123" s="78" t="s">
        <v>921</v>
      </c>
      <c r="F123" s="78" t="s">
        <v>217</v>
      </c>
      <c r="G123" s="78" t="s">
        <v>915</v>
      </c>
      <c r="H123" s="93" t="s">
        <v>794</v>
      </c>
      <c r="I123" s="78" t="s">
        <v>1645</v>
      </c>
      <c r="J123">
        <v>1170</v>
      </c>
      <c r="K123" s="32">
        <v>1</v>
      </c>
    </row>
    <row r="124" spans="1:11" x14ac:dyDescent="0.25">
      <c r="A124" s="78"/>
      <c r="B124" s="93"/>
      <c r="C124" s="93"/>
      <c r="D124" s="78"/>
      <c r="E124" s="78"/>
      <c r="F124" s="78"/>
      <c r="G124" s="78"/>
      <c r="H124" s="93"/>
      <c r="I124" s="78" t="s">
        <v>1646</v>
      </c>
      <c r="J124">
        <v>1170</v>
      </c>
      <c r="K124" s="32">
        <v>1</v>
      </c>
    </row>
    <row r="125" spans="1:11" x14ac:dyDescent="0.25">
      <c r="A125" s="78"/>
      <c r="B125" s="93"/>
      <c r="C125" s="93"/>
      <c r="D125" s="78"/>
      <c r="E125" s="78"/>
      <c r="F125" s="78"/>
      <c r="G125" s="78"/>
      <c r="H125" s="93"/>
      <c r="I125" s="78" t="s">
        <v>1647</v>
      </c>
      <c r="J125">
        <v>1170</v>
      </c>
      <c r="K125" s="32">
        <v>1</v>
      </c>
    </row>
    <row r="126" spans="1:11" x14ac:dyDescent="0.25">
      <c r="A126" s="78"/>
      <c r="B126" s="93"/>
      <c r="C126" s="93"/>
      <c r="D126" s="78"/>
      <c r="E126" s="78"/>
      <c r="F126" s="78"/>
      <c r="G126" s="78"/>
      <c r="H126" s="93"/>
      <c r="I126" t="s">
        <v>1683</v>
      </c>
      <c r="J126">
        <v>1170</v>
      </c>
      <c r="K126" s="32">
        <v>1</v>
      </c>
    </row>
    <row r="127" spans="1:11" x14ac:dyDescent="0.25">
      <c r="A127" s="78"/>
      <c r="B127" s="93"/>
      <c r="C127" s="93"/>
      <c r="D127" s="78"/>
      <c r="E127" s="78"/>
      <c r="F127" s="78"/>
      <c r="G127" s="78"/>
      <c r="H127" s="93"/>
      <c r="I127" t="s">
        <v>1859</v>
      </c>
      <c r="J127" s="91" t="s">
        <v>794</v>
      </c>
      <c r="K127" s="100">
        <v>1</v>
      </c>
    </row>
    <row r="128" spans="1:11" x14ac:dyDescent="0.25">
      <c r="A128" s="78"/>
      <c r="B128" s="93"/>
      <c r="C128" s="93"/>
      <c r="D128" s="78"/>
      <c r="E128" s="78"/>
      <c r="F128" s="78"/>
      <c r="G128" t="s">
        <v>1768</v>
      </c>
      <c r="K128" s="32">
        <v>5</v>
      </c>
    </row>
    <row r="129" spans="1:11" x14ac:dyDescent="0.25">
      <c r="A129" s="78"/>
      <c r="B129" s="93"/>
      <c r="C129" s="93"/>
      <c r="D129" s="78"/>
      <c r="E129" s="78"/>
      <c r="F129" s="78"/>
      <c r="G129" s="78" t="s">
        <v>916</v>
      </c>
      <c r="H129" s="78" t="s">
        <v>53</v>
      </c>
      <c r="I129" s="78" t="s">
        <v>810</v>
      </c>
      <c r="J129">
        <v>1170</v>
      </c>
      <c r="K129" s="32">
        <v>1</v>
      </c>
    </row>
    <row r="130" spans="1:11" x14ac:dyDescent="0.25">
      <c r="A130" s="78"/>
      <c r="B130" s="93"/>
      <c r="C130" s="93"/>
      <c r="D130" s="78"/>
      <c r="E130" s="78"/>
      <c r="F130" s="78"/>
      <c r="G130" s="78"/>
      <c r="H130" s="78" t="s">
        <v>42</v>
      </c>
      <c r="I130" s="78" t="s">
        <v>141</v>
      </c>
      <c r="J130">
        <v>1170</v>
      </c>
      <c r="K130" s="32">
        <v>1</v>
      </c>
    </row>
    <row r="131" spans="1:11" x14ac:dyDescent="0.25">
      <c r="A131" s="78"/>
      <c r="B131" s="93"/>
      <c r="C131" s="93"/>
      <c r="D131" s="78"/>
      <c r="E131" s="78"/>
      <c r="F131" s="78"/>
      <c r="G131" s="78"/>
      <c r="H131" s="78"/>
      <c r="I131" s="78" t="s">
        <v>144</v>
      </c>
      <c r="J131">
        <v>1170</v>
      </c>
      <c r="K131" s="32">
        <v>1</v>
      </c>
    </row>
    <row r="132" spans="1:11" x14ac:dyDescent="0.25">
      <c r="A132" s="78"/>
      <c r="B132" s="93"/>
      <c r="C132" s="93"/>
      <c r="D132" s="78"/>
      <c r="E132" s="78"/>
      <c r="F132" s="78"/>
      <c r="G132" s="78"/>
      <c r="H132" s="78"/>
      <c r="I132" s="78" t="s">
        <v>191</v>
      </c>
      <c r="J132">
        <v>1170</v>
      </c>
      <c r="K132" s="32">
        <v>1</v>
      </c>
    </row>
    <row r="133" spans="1:11" x14ac:dyDescent="0.25">
      <c r="A133" s="78"/>
      <c r="B133" s="93"/>
      <c r="C133" s="93"/>
      <c r="D133" s="78"/>
      <c r="E133" s="78"/>
      <c r="F133" s="78"/>
      <c r="G133" s="78"/>
      <c r="H133" s="78" t="s">
        <v>17</v>
      </c>
      <c r="I133" s="78" t="s">
        <v>95</v>
      </c>
      <c r="J133">
        <v>1170</v>
      </c>
      <c r="K133" s="32">
        <v>1</v>
      </c>
    </row>
    <row r="134" spans="1:11" x14ac:dyDescent="0.25">
      <c r="A134" s="78"/>
      <c r="B134" s="93"/>
      <c r="C134" s="93"/>
      <c r="D134" s="78"/>
      <c r="E134" s="78"/>
      <c r="F134" s="78"/>
      <c r="G134" t="s">
        <v>1769</v>
      </c>
      <c r="K134" s="32">
        <v>5</v>
      </c>
    </row>
    <row r="135" spans="1:11" x14ac:dyDescent="0.25">
      <c r="A135" s="78"/>
      <c r="B135" s="93"/>
      <c r="C135" s="93"/>
      <c r="D135" s="78"/>
      <c r="E135" s="78"/>
      <c r="F135" s="78" t="s">
        <v>31</v>
      </c>
      <c r="G135" s="78" t="s">
        <v>915</v>
      </c>
      <c r="H135" s="93" t="s">
        <v>794</v>
      </c>
      <c r="I135" s="78" t="s">
        <v>58</v>
      </c>
      <c r="J135">
        <v>1170</v>
      </c>
      <c r="K135" s="32">
        <v>1</v>
      </c>
    </row>
    <row r="136" spans="1:11" x14ac:dyDescent="0.25">
      <c r="A136" s="78"/>
      <c r="B136" s="93"/>
      <c r="C136" s="93"/>
      <c r="D136" s="78"/>
      <c r="E136" s="78"/>
      <c r="F136" s="78"/>
      <c r="G136" s="78"/>
      <c r="H136" s="93"/>
      <c r="I136" s="78" t="s">
        <v>112</v>
      </c>
      <c r="J136">
        <v>1170</v>
      </c>
      <c r="K136" s="32">
        <v>1</v>
      </c>
    </row>
    <row r="137" spans="1:11" x14ac:dyDescent="0.25">
      <c r="A137" s="78"/>
      <c r="B137" s="93"/>
      <c r="C137" s="93"/>
      <c r="D137" s="78"/>
      <c r="E137" s="78"/>
      <c r="F137" s="78"/>
      <c r="G137" s="78"/>
      <c r="H137" s="93"/>
      <c r="I137" s="78" t="s">
        <v>120</v>
      </c>
      <c r="J137">
        <v>1170</v>
      </c>
      <c r="K137" s="32">
        <v>1</v>
      </c>
    </row>
    <row r="138" spans="1:11" x14ac:dyDescent="0.25">
      <c r="A138" s="78"/>
      <c r="B138" s="93"/>
      <c r="C138" s="93"/>
      <c r="D138" s="78"/>
      <c r="E138" s="78"/>
      <c r="F138" s="78"/>
      <c r="G138" s="78"/>
      <c r="H138" s="93"/>
      <c r="I138" s="78" t="s">
        <v>705</v>
      </c>
      <c r="J138">
        <v>1170</v>
      </c>
      <c r="K138" s="32">
        <v>1</v>
      </c>
    </row>
    <row r="139" spans="1:11" x14ac:dyDescent="0.25">
      <c r="A139" s="78"/>
      <c r="B139" s="93"/>
      <c r="C139" s="93"/>
      <c r="D139" s="78"/>
      <c r="E139" s="78"/>
      <c r="F139" s="78"/>
      <c r="G139" s="78"/>
      <c r="H139" s="93"/>
      <c r="I139" s="78" t="s">
        <v>754</v>
      </c>
      <c r="J139">
        <v>1170</v>
      </c>
      <c r="K139" s="32">
        <v>1</v>
      </c>
    </row>
    <row r="140" spans="1:11" x14ac:dyDescent="0.25">
      <c r="A140" s="78"/>
      <c r="B140" s="93"/>
      <c r="C140" s="93"/>
      <c r="D140" s="78"/>
      <c r="E140" s="78"/>
      <c r="F140" s="78"/>
      <c r="G140" s="78"/>
      <c r="H140" s="93"/>
      <c r="I140" s="78" t="s">
        <v>1016</v>
      </c>
      <c r="J140">
        <v>1170</v>
      </c>
      <c r="K140" s="32">
        <v>1</v>
      </c>
    </row>
    <row r="141" spans="1:11" x14ac:dyDescent="0.25">
      <c r="A141" s="78"/>
      <c r="B141" s="93"/>
      <c r="C141" s="93"/>
      <c r="D141" s="78"/>
      <c r="E141" s="78"/>
      <c r="F141" s="78"/>
      <c r="G141" t="s">
        <v>1768</v>
      </c>
      <c r="K141" s="32">
        <v>6</v>
      </c>
    </row>
    <row r="142" spans="1:11" x14ac:dyDescent="0.25">
      <c r="A142" s="78"/>
      <c r="B142" s="93"/>
      <c r="C142" s="93"/>
      <c r="D142" s="78"/>
      <c r="E142" s="78"/>
      <c r="F142" s="78"/>
      <c r="G142" s="78" t="s">
        <v>916</v>
      </c>
      <c r="H142" t="s">
        <v>53</v>
      </c>
      <c r="I142" t="s">
        <v>743</v>
      </c>
      <c r="J142">
        <v>1170</v>
      </c>
      <c r="K142" s="32">
        <v>1</v>
      </c>
    </row>
    <row r="143" spans="1:11" x14ac:dyDescent="0.25">
      <c r="A143" s="78"/>
      <c r="B143" s="93"/>
      <c r="C143" s="93"/>
      <c r="D143" s="78"/>
      <c r="E143" s="78"/>
      <c r="F143" s="78"/>
      <c r="G143" s="78"/>
      <c r="H143" s="78" t="s">
        <v>30</v>
      </c>
      <c r="I143" t="s">
        <v>1114</v>
      </c>
      <c r="J143" s="91" t="s">
        <v>794</v>
      </c>
      <c r="K143" s="100">
        <v>1</v>
      </c>
    </row>
    <row r="144" spans="1:11" x14ac:dyDescent="0.25">
      <c r="A144" s="78"/>
      <c r="B144" s="93"/>
      <c r="C144" s="93"/>
      <c r="D144" s="78"/>
      <c r="E144" s="78"/>
      <c r="F144" s="78"/>
      <c r="G144" s="78"/>
      <c r="H144" s="78"/>
      <c r="I144" s="78" t="s">
        <v>696</v>
      </c>
      <c r="J144">
        <v>1170</v>
      </c>
      <c r="K144" s="32">
        <v>1</v>
      </c>
    </row>
    <row r="145" spans="1:11" x14ac:dyDescent="0.25">
      <c r="A145" s="78"/>
      <c r="B145" s="93"/>
      <c r="C145" s="93"/>
      <c r="D145" s="78"/>
      <c r="E145" s="78"/>
      <c r="F145" s="78"/>
      <c r="G145" s="78"/>
      <c r="H145" s="78" t="s">
        <v>60</v>
      </c>
      <c r="I145" s="78" t="s">
        <v>828</v>
      </c>
      <c r="J145">
        <v>1170</v>
      </c>
      <c r="K145" s="32">
        <v>1</v>
      </c>
    </row>
    <row r="146" spans="1:11" x14ac:dyDescent="0.25">
      <c r="A146" s="78"/>
      <c r="B146" s="93"/>
      <c r="C146" s="93"/>
      <c r="D146" s="78"/>
      <c r="E146" s="78"/>
      <c r="F146" s="78"/>
      <c r="G146" s="78"/>
      <c r="H146" s="78" t="s">
        <v>69</v>
      </c>
      <c r="I146" s="78" t="s">
        <v>98</v>
      </c>
      <c r="J146">
        <v>1170</v>
      </c>
      <c r="K146" s="32">
        <v>1</v>
      </c>
    </row>
    <row r="147" spans="1:11" x14ac:dyDescent="0.25">
      <c r="A147" s="78"/>
      <c r="B147" s="93"/>
      <c r="C147" s="93"/>
      <c r="D147" s="78"/>
      <c r="E147" s="78"/>
      <c r="F147" s="78"/>
      <c r="G147" s="78"/>
      <c r="H147" s="78" t="s">
        <v>17</v>
      </c>
      <c r="I147" s="78" t="s">
        <v>830</v>
      </c>
      <c r="J147">
        <v>1170</v>
      </c>
      <c r="K147" s="32">
        <v>1</v>
      </c>
    </row>
    <row r="148" spans="1:11" x14ac:dyDescent="0.25">
      <c r="A148" s="78"/>
      <c r="B148" s="93"/>
      <c r="C148" s="93"/>
      <c r="D148" s="78"/>
      <c r="E148" s="78"/>
      <c r="F148" s="78"/>
      <c r="G148" s="78"/>
      <c r="H148" s="78"/>
      <c r="I148" s="78" t="s">
        <v>1045</v>
      </c>
      <c r="J148">
        <v>1170</v>
      </c>
      <c r="K148" s="32">
        <v>1</v>
      </c>
    </row>
    <row r="149" spans="1:11" x14ac:dyDescent="0.25">
      <c r="A149" s="78"/>
      <c r="B149" s="93"/>
      <c r="C149" s="93"/>
      <c r="D149" s="78"/>
      <c r="E149" s="78"/>
      <c r="F149" s="78"/>
      <c r="G149" s="78"/>
      <c r="H149" s="78"/>
      <c r="I149" s="78" t="s">
        <v>1044</v>
      </c>
      <c r="J149">
        <v>1170</v>
      </c>
      <c r="K149" s="32">
        <v>1</v>
      </c>
    </row>
    <row r="150" spans="1:11" x14ac:dyDescent="0.25">
      <c r="A150" s="78"/>
      <c r="B150" s="93"/>
      <c r="C150" s="93"/>
      <c r="D150" s="78"/>
      <c r="E150" s="78"/>
      <c r="F150" s="78"/>
      <c r="G150" s="78"/>
      <c r="H150" s="78" t="s">
        <v>75</v>
      </c>
      <c r="I150" s="78" t="s">
        <v>766</v>
      </c>
      <c r="J150">
        <v>1170</v>
      </c>
      <c r="K150" s="32">
        <v>1</v>
      </c>
    </row>
    <row r="151" spans="1:11" x14ac:dyDescent="0.25">
      <c r="A151" s="78"/>
      <c r="B151" s="93"/>
      <c r="C151" s="93"/>
      <c r="D151" s="78"/>
      <c r="E151" s="78"/>
      <c r="F151" s="78"/>
      <c r="G151" s="78"/>
      <c r="H151" s="78" t="s">
        <v>1046</v>
      </c>
      <c r="I151" s="78" t="s">
        <v>1043</v>
      </c>
      <c r="J151">
        <v>1170</v>
      </c>
      <c r="K151" s="32">
        <v>1</v>
      </c>
    </row>
    <row r="152" spans="1:11" x14ac:dyDescent="0.25">
      <c r="A152" s="78"/>
      <c r="B152" s="93"/>
      <c r="C152" s="93"/>
      <c r="D152" s="78"/>
      <c r="E152" s="78"/>
      <c r="F152" s="78"/>
      <c r="G152" t="s">
        <v>1769</v>
      </c>
      <c r="K152" s="32">
        <v>10</v>
      </c>
    </row>
    <row r="153" spans="1:11" x14ac:dyDescent="0.25">
      <c r="A153" s="78"/>
      <c r="B153" s="93"/>
      <c r="C153" s="93"/>
      <c r="D153" s="78"/>
      <c r="E153" s="78"/>
      <c r="F153" s="78" t="s">
        <v>525</v>
      </c>
      <c r="G153" s="78" t="s">
        <v>915</v>
      </c>
      <c r="H153" s="91" t="s">
        <v>794</v>
      </c>
      <c r="I153" s="78" t="s">
        <v>210</v>
      </c>
      <c r="J153">
        <v>1170</v>
      </c>
      <c r="K153" s="32">
        <v>1</v>
      </c>
    </row>
    <row r="154" spans="1:11" x14ac:dyDescent="0.25">
      <c r="A154" s="78"/>
      <c r="B154" s="93"/>
      <c r="C154" s="93"/>
      <c r="D154" s="78"/>
      <c r="E154" s="78"/>
      <c r="F154" s="78"/>
      <c r="G154" s="78"/>
      <c r="H154" s="91"/>
      <c r="I154" s="78" t="s">
        <v>212</v>
      </c>
      <c r="J154">
        <v>1170</v>
      </c>
      <c r="K154" s="32">
        <v>1</v>
      </c>
    </row>
    <row r="155" spans="1:11" x14ac:dyDescent="0.25">
      <c r="A155" s="78"/>
      <c r="B155" s="93"/>
      <c r="C155" s="93"/>
      <c r="D155" s="78"/>
      <c r="E155" s="78"/>
      <c r="F155" s="78"/>
      <c r="G155" t="s">
        <v>1768</v>
      </c>
      <c r="K155" s="32">
        <v>2</v>
      </c>
    </row>
    <row r="156" spans="1:11" x14ac:dyDescent="0.25">
      <c r="A156" s="78"/>
      <c r="B156" s="93"/>
      <c r="C156" s="93"/>
      <c r="D156" s="78"/>
      <c r="E156" s="78"/>
      <c r="F156" s="78"/>
      <c r="G156" s="78" t="s">
        <v>916</v>
      </c>
      <c r="H156" s="78" t="s">
        <v>42</v>
      </c>
      <c r="I156" s="78" t="s">
        <v>793</v>
      </c>
      <c r="J156">
        <v>1170</v>
      </c>
      <c r="K156" s="32">
        <v>1</v>
      </c>
    </row>
    <row r="157" spans="1:11" x14ac:dyDescent="0.25">
      <c r="A157" s="78"/>
      <c r="B157" s="93"/>
      <c r="C157" s="93"/>
      <c r="D157" s="78"/>
      <c r="E157" s="78"/>
      <c r="F157" s="78"/>
      <c r="G157" s="78"/>
      <c r="H157" s="78" t="s">
        <v>24</v>
      </c>
      <c r="I157" s="78" t="s">
        <v>806</v>
      </c>
      <c r="J157">
        <v>1170</v>
      </c>
      <c r="K157" s="32">
        <v>1</v>
      </c>
    </row>
    <row r="158" spans="1:11" x14ac:dyDescent="0.25">
      <c r="A158" s="78"/>
      <c r="B158" s="93"/>
      <c r="C158" s="93"/>
      <c r="D158" s="78"/>
      <c r="E158" s="78"/>
      <c r="F158" s="78"/>
      <c r="G158" s="78"/>
      <c r="H158" s="78"/>
      <c r="I158" s="78" t="s">
        <v>815</v>
      </c>
      <c r="J158">
        <v>1170</v>
      </c>
      <c r="K158" s="32">
        <v>1</v>
      </c>
    </row>
    <row r="159" spans="1:11" x14ac:dyDescent="0.25">
      <c r="A159" s="78"/>
      <c r="B159" s="93"/>
      <c r="C159" s="93"/>
      <c r="D159" s="78"/>
      <c r="E159" s="78"/>
      <c r="F159" s="78"/>
      <c r="G159" s="78"/>
      <c r="H159" s="78"/>
      <c r="I159" s="78" t="s">
        <v>788</v>
      </c>
      <c r="J159">
        <v>1170</v>
      </c>
      <c r="K159" s="32">
        <v>1</v>
      </c>
    </row>
    <row r="160" spans="1:11" x14ac:dyDescent="0.25">
      <c r="A160" s="78"/>
      <c r="B160" s="93"/>
      <c r="C160" s="93"/>
      <c r="D160" s="78"/>
      <c r="E160" s="78"/>
      <c r="F160" s="78"/>
      <c r="G160" s="78"/>
      <c r="H160" s="78"/>
      <c r="I160" s="78" t="s">
        <v>117</v>
      </c>
      <c r="J160">
        <v>0</v>
      </c>
      <c r="K160" s="32">
        <v>1</v>
      </c>
    </row>
    <row r="161" spans="1:11" x14ac:dyDescent="0.25">
      <c r="A161" s="78"/>
      <c r="B161" s="93"/>
      <c r="C161" s="93"/>
      <c r="D161" s="78"/>
      <c r="E161" s="78"/>
      <c r="F161" s="78"/>
      <c r="G161" s="78"/>
      <c r="H161" s="78"/>
      <c r="I161" s="78" t="s">
        <v>805</v>
      </c>
      <c r="J161">
        <v>1170</v>
      </c>
      <c r="K161" s="32">
        <v>1</v>
      </c>
    </row>
    <row r="162" spans="1:11" x14ac:dyDescent="0.25">
      <c r="A162" s="78"/>
      <c r="B162" s="93"/>
      <c r="C162" s="93"/>
      <c r="D162" s="78"/>
      <c r="E162" s="78"/>
      <c r="F162" s="78"/>
      <c r="G162" s="78"/>
      <c r="H162" s="78"/>
      <c r="I162" s="78" t="s">
        <v>789</v>
      </c>
      <c r="J162">
        <v>1170</v>
      </c>
      <c r="K162" s="32">
        <v>1</v>
      </c>
    </row>
    <row r="163" spans="1:11" x14ac:dyDescent="0.25">
      <c r="A163" s="78"/>
      <c r="B163" s="93"/>
      <c r="C163" s="93"/>
      <c r="D163" s="78"/>
      <c r="E163" s="78"/>
      <c r="F163" s="78"/>
      <c r="G163" s="78"/>
      <c r="H163" s="78"/>
      <c r="I163" s="78" t="s">
        <v>147</v>
      </c>
      <c r="J163">
        <v>1170</v>
      </c>
      <c r="K163" s="32">
        <v>1</v>
      </c>
    </row>
    <row r="164" spans="1:11" x14ac:dyDescent="0.25">
      <c r="A164" s="78"/>
      <c r="B164" s="93"/>
      <c r="C164" s="93"/>
      <c r="D164" s="78"/>
      <c r="E164" s="78"/>
      <c r="F164" s="78"/>
      <c r="G164" s="78"/>
      <c r="H164" s="78"/>
      <c r="I164" s="78" t="s">
        <v>790</v>
      </c>
      <c r="J164">
        <v>1170</v>
      </c>
      <c r="K164" s="32">
        <v>1</v>
      </c>
    </row>
    <row r="165" spans="1:11" x14ac:dyDescent="0.25">
      <c r="A165" s="78"/>
      <c r="B165" s="93"/>
      <c r="C165" s="93"/>
      <c r="D165" s="78"/>
      <c r="E165" s="78"/>
      <c r="F165" s="78"/>
      <c r="G165" s="78"/>
      <c r="H165" s="78"/>
      <c r="I165" s="78" t="s">
        <v>162</v>
      </c>
      <c r="J165">
        <v>1170</v>
      </c>
      <c r="K165" s="32">
        <v>1</v>
      </c>
    </row>
    <row r="166" spans="1:11" x14ac:dyDescent="0.25">
      <c r="A166" s="78"/>
      <c r="B166" s="93"/>
      <c r="C166" s="93"/>
      <c r="D166" s="78"/>
      <c r="E166" s="78"/>
      <c r="F166" s="78"/>
      <c r="G166" s="78"/>
      <c r="H166" s="78"/>
      <c r="I166" s="78" t="s">
        <v>791</v>
      </c>
      <c r="J166">
        <v>1170</v>
      </c>
      <c r="K166" s="32">
        <v>1</v>
      </c>
    </row>
    <row r="167" spans="1:11" x14ac:dyDescent="0.25">
      <c r="A167" s="78"/>
      <c r="B167" s="93"/>
      <c r="C167" s="93"/>
      <c r="D167" s="78"/>
      <c r="E167" s="78"/>
      <c r="F167" s="78"/>
      <c r="G167" s="78"/>
      <c r="H167" s="78"/>
      <c r="I167" s="78" t="s">
        <v>804</v>
      </c>
      <c r="J167">
        <v>1170</v>
      </c>
      <c r="K167" s="32">
        <v>1</v>
      </c>
    </row>
    <row r="168" spans="1:11" x14ac:dyDescent="0.25">
      <c r="A168" s="78"/>
      <c r="B168" s="93"/>
      <c r="C168" s="93"/>
      <c r="D168" s="78"/>
      <c r="E168" s="78"/>
      <c r="F168" s="78"/>
      <c r="G168" s="78"/>
      <c r="H168" s="78"/>
      <c r="I168" s="78" t="s">
        <v>179</v>
      </c>
      <c r="J168">
        <v>1170</v>
      </c>
      <c r="K168" s="32">
        <v>1</v>
      </c>
    </row>
    <row r="169" spans="1:11" x14ac:dyDescent="0.25">
      <c r="A169" s="78"/>
      <c r="B169" s="93"/>
      <c r="C169" s="93"/>
      <c r="D169" s="78"/>
      <c r="E169" s="78"/>
      <c r="F169" s="78"/>
      <c r="G169" s="78"/>
      <c r="H169" s="78"/>
      <c r="I169" s="78" t="s">
        <v>792</v>
      </c>
      <c r="J169">
        <v>1170</v>
      </c>
      <c r="K169" s="32">
        <v>1</v>
      </c>
    </row>
    <row r="170" spans="1:11" x14ac:dyDescent="0.25">
      <c r="A170" s="78"/>
      <c r="B170" s="93"/>
      <c r="C170" s="93"/>
      <c r="D170" s="78"/>
      <c r="E170" s="78"/>
      <c r="F170" s="78"/>
      <c r="G170" t="s">
        <v>1769</v>
      </c>
      <c r="K170" s="32">
        <v>14</v>
      </c>
    </row>
    <row r="171" spans="1:11" x14ac:dyDescent="0.25">
      <c r="A171" s="78"/>
      <c r="B171" s="93"/>
      <c r="C171" s="93"/>
      <c r="D171" s="78"/>
      <c r="E171" s="78"/>
      <c r="F171" s="78" t="s">
        <v>795</v>
      </c>
      <c r="G171" s="78" t="s">
        <v>915</v>
      </c>
      <c r="H171" s="93" t="s">
        <v>794</v>
      </c>
      <c r="I171" s="78" t="s">
        <v>564</v>
      </c>
      <c r="J171">
        <v>1170</v>
      </c>
      <c r="K171" s="32">
        <v>1</v>
      </c>
    </row>
    <row r="172" spans="1:11" x14ac:dyDescent="0.25">
      <c r="A172" s="78"/>
      <c r="B172" s="93"/>
      <c r="C172" s="93"/>
      <c r="D172" s="78"/>
      <c r="E172" s="78"/>
      <c r="F172" s="78"/>
      <c r="G172" t="s">
        <v>1768</v>
      </c>
      <c r="K172" s="32">
        <v>1</v>
      </c>
    </row>
    <row r="173" spans="1:11" x14ac:dyDescent="0.25">
      <c r="A173" s="78"/>
      <c r="B173" s="93"/>
      <c r="C173" s="93"/>
      <c r="D173" s="78"/>
      <c r="E173" s="78"/>
      <c r="F173" s="78"/>
      <c r="G173" s="78" t="s">
        <v>916</v>
      </c>
      <c r="H173" s="78" t="s">
        <v>33</v>
      </c>
      <c r="I173" s="78" t="s">
        <v>566</v>
      </c>
      <c r="J173">
        <v>1170</v>
      </c>
      <c r="K173" s="32">
        <v>1</v>
      </c>
    </row>
    <row r="174" spans="1:11" x14ac:dyDescent="0.25">
      <c r="A174" s="78"/>
      <c r="B174" s="93"/>
      <c r="C174" s="93"/>
      <c r="D174" s="78"/>
      <c r="E174" s="78"/>
      <c r="F174" s="78"/>
      <c r="G174" s="78"/>
      <c r="H174" s="78" t="s">
        <v>53</v>
      </c>
      <c r="I174" s="78" t="s">
        <v>911</v>
      </c>
      <c r="J174">
        <v>1170</v>
      </c>
      <c r="K174" s="32">
        <v>1</v>
      </c>
    </row>
    <row r="175" spans="1:11" x14ac:dyDescent="0.25">
      <c r="A175" s="78"/>
      <c r="B175" s="93"/>
      <c r="C175" s="93"/>
      <c r="D175" s="78"/>
      <c r="E175" s="78"/>
      <c r="F175" s="78"/>
      <c r="G175" s="78"/>
      <c r="H175" s="78" t="s">
        <v>30</v>
      </c>
      <c r="I175" s="78" t="s">
        <v>677</v>
      </c>
      <c r="J175">
        <v>1170</v>
      </c>
      <c r="K175" s="32">
        <v>1</v>
      </c>
    </row>
    <row r="176" spans="1:11" x14ac:dyDescent="0.25">
      <c r="A176" s="78"/>
      <c r="B176" s="93"/>
      <c r="C176" s="93"/>
      <c r="D176" s="78"/>
      <c r="E176" s="78"/>
      <c r="F176" s="78"/>
      <c r="G176" t="s">
        <v>1769</v>
      </c>
      <c r="K176" s="32">
        <v>3</v>
      </c>
    </row>
    <row r="177" spans="1:11" x14ac:dyDescent="0.25">
      <c r="A177" s="78"/>
      <c r="B177" s="93"/>
      <c r="C177" s="93"/>
      <c r="D177" s="78"/>
      <c r="E177" s="78" t="s">
        <v>63</v>
      </c>
      <c r="F177" s="78" t="s">
        <v>927</v>
      </c>
      <c r="G177" s="78" t="s">
        <v>915</v>
      </c>
      <c r="H177" s="78" t="s">
        <v>794</v>
      </c>
      <c r="I177" s="78" t="s">
        <v>158</v>
      </c>
      <c r="J177">
        <v>1170</v>
      </c>
      <c r="K177" s="32">
        <v>1</v>
      </c>
    </row>
    <row r="178" spans="1:11" x14ac:dyDescent="0.25">
      <c r="A178" s="78"/>
      <c r="B178" s="93"/>
      <c r="C178" s="93"/>
      <c r="D178" s="78"/>
      <c r="E178" s="78"/>
      <c r="F178" s="78"/>
      <c r="G178" t="s">
        <v>1768</v>
      </c>
      <c r="K178" s="32">
        <v>1</v>
      </c>
    </row>
    <row r="179" spans="1:11" x14ac:dyDescent="0.25">
      <c r="A179" s="78"/>
      <c r="B179" s="93"/>
      <c r="C179" s="93"/>
      <c r="D179" s="78"/>
      <c r="E179" s="78"/>
      <c r="F179" s="93" t="s">
        <v>794</v>
      </c>
      <c r="G179" t="s">
        <v>915</v>
      </c>
      <c r="H179" t="s">
        <v>794</v>
      </c>
      <c r="I179" s="78" t="s">
        <v>836</v>
      </c>
      <c r="J179">
        <v>1170</v>
      </c>
      <c r="K179" s="32">
        <v>1</v>
      </c>
    </row>
    <row r="180" spans="1:11" x14ac:dyDescent="0.25">
      <c r="A180" s="78"/>
      <c r="B180" s="93"/>
      <c r="C180" s="93"/>
      <c r="D180" s="78"/>
      <c r="E180" s="78"/>
      <c r="F180" s="93"/>
      <c r="I180" s="78" t="s">
        <v>1610</v>
      </c>
      <c r="J180">
        <v>1170</v>
      </c>
      <c r="K180" s="32">
        <v>1</v>
      </c>
    </row>
    <row r="181" spans="1:11" x14ac:dyDescent="0.25">
      <c r="A181" s="78"/>
      <c r="B181" s="93"/>
      <c r="C181" s="93"/>
      <c r="D181" s="78"/>
      <c r="E181" s="78"/>
      <c r="F181" s="93"/>
      <c r="I181" s="78" t="s">
        <v>1050</v>
      </c>
      <c r="J181">
        <v>1170</v>
      </c>
      <c r="K181" s="32">
        <v>1</v>
      </c>
    </row>
    <row r="182" spans="1:11" x14ac:dyDescent="0.25">
      <c r="A182" s="78"/>
      <c r="B182" s="93"/>
      <c r="C182" s="93"/>
      <c r="D182" s="78"/>
      <c r="E182" s="78"/>
      <c r="F182" s="93"/>
      <c r="I182" s="78" t="s">
        <v>1117</v>
      </c>
      <c r="J182">
        <v>1170</v>
      </c>
      <c r="K182" s="32">
        <v>1</v>
      </c>
    </row>
    <row r="183" spans="1:11" x14ac:dyDescent="0.25">
      <c r="A183" s="78"/>
      <c r="B183" s="93"/>
      <c r="C183" s="93"/>
      <c r="D183" s="78"/>
      <c r="E183" s="78"/>
      <c r="F183" s="93"/>
      <c r="I183" s="78" t="s">
        <v>926</v>
      </c>
      <c r="J183">
        <v>1170</v>
      </c>
      <c r="K183" s="32">
        <v>1</v>
      </c>
    </row>
    <row r="184" spans="1:11" x14ac:dyDescent="0.25">
      <c r="A184" s="78"/>
      <c r="B184" s="93"/>
      <c r="C184" s="93"/>
      <c r="D184" s="78"/>
      <c r="E184" s="78"/>
      <c r="F184" s="93"/>
      <c r="I184" s="78" t="s">
        <v>1612</v>
      </c>
      <c r="J184">
        <v>1170</v>
      </c>
      <c r="K184" s="32">
        <v>1</v>
      </c>
    </row>
    <row r="185" spans="1:11" x14ac:dyDescent="0.25">
      <c r="A185" s="78"/>
      <c r="B185" s="93"/>
      <c r="C185" s="93"/>
      <c r="D185" s="78"/>
      <c r="E185" s="78"/>
      <c r="F185" s="93"/>
      <c r="I185" s="78" t="s">
        <v>1023</v>
      </c>
      <c r="J185">
        <v>1170</v>
      </c>
      <c r="K185" s="32">
        <v>1</v>
      </c>
    </row>
    <row r="186" spans="1:11" x14ac:dyDescent="0.25">
      <c r="A186" s="78"/>
      <c r="B186" s="93"/>
      <c r="C186" s="93"/>
      <c r="D186" s="78"/>
      <c r="E186" s="78"/>
      <c r="F186" s="93"/>
      <c r="I186" s="78" t="s">
        <v>1122</v>
      </c>
      <c r="J186">
        <v>1170</v>
      </c>
      <c r="K186" s="32">
        <v>1</v>
      </c>
    </row>
    <row r="187" spans="1:11" x14ac:dyDescent="0.25">
      <c r="A187" s="78"/>
      <c r="B187" s="93"/>
      <c r="C187" s="93"/>
      <c r="D187" s="78"/>
      <c r="E187" s="78"/>
      <c r="F187" s="93"/>
      <c r="I187" s="78" t="s">
        <v>835</v>
      </c>
      <c r="J187">
        <v>1170</v>
      </c>
      <c r="K187" s="32">
        <v>1</v>
      </c>
    </row>
    <row r="188" spans="1:11" x14ac:dyDescent="0.25">
      <c r="A188" s="78"/>
      <c r="B188" s="93"/>
      <c r="C188" s="93"/>
      <c r="D188" s="78"/>
      <c r="E188" s="78"/>
      <c r="F188" s="93"/>
      <c r="I188" s="78" t="s">
        <v>1051</v>
      </c>
      <c r="J188">
        <v>1170</v>
      </c>
      <c r="K188" s="32">
        <v>1</v>
      </c>
    </row>
    <row r="189" spans="1:11" x14ac:dyDescent="0.25">
      <c r="A189" s="78"/>
      <c r="B189" s="93"/>
      <c r="C189" s="93"/>
      <c r="D189" s="78"/>
      <c r="E189" s="78"/>
      <c r="F189" s="93"/>
      <c r="I189" t="s">
        <v>1680</v>
      </c>
      <c r="J189">
        <v>1170</v>
      </c>
      <c r="K189" s="32">
        <v>1</v>
      </c>
    </row>
    <row r="190" spans="1:11" x14ac:dyDescent="0.25">
      <c r="A190" s="78"/>
      <c r="B190" s="93"/>
      <c r="C190" s="93"/>
      <c r="D190" s="78"/>
      <c r="E190" s="78"/>
      <c r="F190" s="93"/>
      <c r="G190" t="s">
        <v>1768</v>
      </c>
      <c r="K190" s="32">
        <v>11</v>
      </c>
    </row>
    <row r="191" spans="1:11" x14ac:dyDescent="0.25">
      <c r="A191" s="78"/>
      <c r="B191" s="93"/>
      <c r="C191" s="93"/>
      <c r="D191" s="78"/>
      <c r="E191" s="78"/>
      <c r="F191" s="93"/>
      <c r="G191" t="s">
        <v>916</v>
      </c>
      <c r="H191" s="78" t="s">
        <v>43</v>
      </c>
      <c r="I191" s="78" t="s">
        <v>833</v>
      </c>
      <c r="J191">
        <v>1170</v>
      </c>
      <c r="K191" s="32">
        <v>1</v>
      </c>
    </row>
    <row r="192" spans="1:11" x14ac:dyDescent="0.25">
      <c r="A192" s="78"/>
      <c r="B192" s="93"/>
      <c r="C192" s="93"/>
      <c r="D192" s="78"/>
      <c r="E192" s="78"/>
      <c r="F192" s="93"/>
      <c r="H192" s="78"/>
      <c r="I192" s="78" t="s">
        <v>834</v>
      </c>
      <c r="J192">
        <v>0</v>
      </c>
      <c r="K192" s="32">
        <v>1</v>
      </c>
    </row>
    <row r="193" spans="1:11" x14ac:dyDescent="0.25">
      <c r="A193" s="78"/>
      <c r="B193" s="93"/>
      <c r="C193" s="93"/>
      <c r="D193" s="78"/>
      <c r="E193" s="78"/>
      <c r="F193" s="93"/>
      <c r="H193" s="78"/>
      <c r="I193" s="78" t="s">
        <v>732</v>
      </c>
      <c r="J193">
        <v>1170</v>
      </c>
      <c r="K193" s="32">
        <v>1</v>
      </c>
    </row>
    <row r="194" spans="1:11" x14ac:dyDescent="0.25">
      <c r="A194" s="78"/>
      <c r="B194" s="93"/>
      <c r="C194" s="93"/>
      <c r="D194" s="78"/>
      <c r="E194" s="78"/>
      <c r="F194" s="93"/>
      <c r="H194" s="78" t="s">
        <v>33</v>
      </c>
      <c r="I194" s="78" t="s">
        <v>148</v>
      </c>
      <c r="J194">
        <v>1170</v>
      </c>
      <c r="K194" s="32">
        <v>1</v>
      </c>
    </row>
    <row r="195" spans="1:11" x14ac:dyDescent="0.25">
      <c r="A195" s="78"/>
      <c r="B195" s="93"/>
      <c r="C195" s="93"/>
      <c r="D195" s="78"/>
      <c r="E195" s="78"/>
      <c r="F195" s="93"/>
      <c r="H195" s="78" t="s">
        <v>53</v>
      </c>
      <c r="I195" s="78" t="s">
        <v>137</v>
      </c>
      <c r="J195">
        <v>1170</v>
      </c>
      <c r="K195" s="32">
        <v>1</v>
      </c>
    </row>
    <row r="196" spans="1:11" x14ac:dyDescent="0.25">
      <c r="A196" s="78"/>
      <c r="B196" s="93"/>
      <c r="C196" s="93"/>
      <c r="D196" s="78"/>
      <c r="E196" s="78"/>
      <c r="F196" s="93"/>
      <c r="H196" t="s">
        <v>30</v>
      </c>
      <c r="I196" t="s">
        <v>1670</v>
      </c>
      <c r="J196">
        <v>1170</v>
      </c>
      <c r="K196" s="32">
        <v>1</v>
      </c>
    </row>
    <row r="197" spans="1:11" x14ac:dyDescent="0.25">
      <c r="A197" s="78"/>
      <c r="B197" s="93"/>
      <c r="C197" s="93"/>
      <c r="D197" s="78"/>
      <c r="E197" s="78"/>
      <c r="F197" s="93"/>
      <c r="I197" t="s">
        <v>1672</v>
      </c>
      <c r="J197" s="91" t="s">
        <v>794</v>
      </c>
      <c r="K197" s="100">
        <v>1</v>
      </c>
    </row>
    <row r="198" spans="1:11" x14ac:dyDescent="0.25">
      <c r="A198" s="78"/>
      <c r="B198" s="93"/>
      <c r="C198" s="93"/>
      <c r="D198" s="78"/>
      <c r="E198" s="78"/>
      <c r="F198" s="93"/>
      <c r="H198" s="78" t="s">
        <v>17</v>
      </c>
      <c r="I198" s="78" t="s">
        <v>555</v>
      </c>
      <c r="J198">
        <v>1170</v>
      </c>
      <c r="K198" s="32">
        <v>1</v>
      </c>
    </row>
    <row r="199" spans="1:11" x14ac:dyDescent="0.25">
      <c r="A199" s="78"/>
      <c r="B199" s="93"/>
      <c r="C199" s="93"/>
      <c r="D199" s="78"/>
      <c r="E199" s="78"/>
      <c r="F199" s="93"/>
      <c r="H199" s="78"/>
      <c r="I199" t="s">
        <v>1671</v>
      </c>
      <c r="J199" s="91" t="s">
        <v>794</v>
      </c>
      <c r="K199" s="100">
        <v>1</v>
      </c>
    </row>
    <row r="200" spans="1:11" x14ac:dyDescent="0.25">
      <c r="A200" s="78"/>
      <c r="B200" s="93"/>
      <c r="C200" s="93"/>
      <c r="D200" s="78"/>
      <c r="E200" s="78"/>
      <c r="F200" s="93"/>
      <c r="G200" t="s">
        <v>1769</v>
      </c>
      <c r="K200" s="32">
        <v>9</v>
      </c>
    </row>
    <row r="201" spans="1:11" x14ac:dyDescent="0.25">
      <c r="A201" s="78"/>
      <c r="B201" s="78" t="s">
        <v>822</v>
      </c>
      <c r="C201" t="s">
        <v>794</v>
      </c>
      <c r="D201" s="78" t="s">
        <v>928</v>
      </c>
      <c r="E201" s="78" t="s">
        <v>11</v>
      </c>
      <c r="F201" t="s">
        <v>794</v>
      </c>
      <c r="G201" t="s">
        <v>915</v>
      </c>
      <c r="H201" t="s">
        <v>794</v>
      </c>
      <c r="I201" s="78" t="s">
        <v>1653</v>
      </c>
      <c r="J201">
        <v>1170</v>
      </c>
      <c r="K201" s="32">
        <v>1</v>
      </c>
    </row>
    <row r="202" spans="1:11" x14ac:dyDescent="0.25">
      <c r="A202" s="78"/>
      <c r="B202" s="78"/>
      <c r="D202" s="78"/>
      <c r="E202" s="78"/>
      <c r="F202"/>
      <c r="I202" s="78" t="s">
        <v>889</v>
      </c>
      <c r="J202">
        <v>1170</v>
      </c>
      <c r="K202" s="32">
        <v>1</v>
      </c>
    </row>
    <row r="203" spans="1:11" x14ac:dyDescent="0.25">
      <c r="A203" s="78"/>
      <c r="B203" s="78"/>
      <c r="D203" s="78"/>
      <c r="E203" s="78"/>
      <c r="F203"/>
      <c r="I203" s="78" t="s">
        <v>929</v>
      </c>
      <c r="J203">
        <v>1170</v>
      </c>
      <c r="K203" s="32">
        <v>1</v>
      </c>
    </row>
    <row r="204" spans="1:11" x14ac:dyDescent="0.25">
      <c r="A204" s="78"/>
      <c r="B204" s="78"/>
      <c r="D204" s="78"/>
      <c r="E204" s="78"/>
      <c r="F204"/>
      <c r="I204" s="78" t="s">
        <v>949</v>
      </c>
      <c r="J204">
        <v>1170</v>
      </c>
      <c r="K204" s="32">
        <v>1</v>
      </c>
    </row>
    <row r="205" spans="1:11" x14ac:dyDescent="0.25">
      <c r="A205" s="78"/>
      <c r="B205" s="78"/>
      <c r="D205" s="78"/>
      <c r="E205" s="78"/>
      <c r="F205"/>
      <c r="I205" s="78" t="s">
        <v>1107</v>
      </c>
      <c r="J205">
        <v>1170</v>
      </c>
      <c r="K205" s="32">
        <v>1</v>
      </c>
    </row>
    <row r="206" spans="1:11" x14ac:dyDescent="0.25">
      <c r="A206" s="78"/>
      <c r="B206" s="78"/>
      <c r="D206" s="78"/>
      <c r="E206" s="78"/>
      <c r="F206"/>
      <c r="I206" s="78" t="s">
        <v>948</v>
      </c>
      <c r="J206">
        <v>1170</v>
      </c>
      <c r="K206" s="32">
        <v>1</v>
      </c>
    </row>
    <row r="207" spans="1:11" x14ac:dyDescent="0.25">
      <c r="A207" s="78"/>
      <c r="B207" s="78"/>
      <c r="D207" s="78"/>
      <c r="E207" s="78"/>
      <c r="F207"/>
      <c r="I207" s="78" t="s">
        <v>1642</v>
      </c>
      <c r="J207">
        <v>1170</v>
      </c>
      <c r="K207" s="32">
        <v>1</v>
      </c>
    </row>
    <row r="208" spans="1:11" x14ac:dyDescent="0.25">
      <c r="A208" s="78"/>
      <c r="B208" s="78"/>
      <c r="D208" s="78"/>
      <c r="E208" s="78"/>
      <c r="F208"/>
      <c r="I208" s="78" t="s">
        <v>1643</v>
      </c>
      <c r="J208">
        <v>1170</v>
      </c>
      <c r="K208" s="32">
        <v>1</v>
      </c>
    </row>
    <row r="209" spans="1:11" x14ac:dyDescent="0.25">
      <c r="A209" s="78"/>
      <c r="B209" s="78"/>
      <c r="D209" s="78"/>
      <c r="E209" s="78"/>
      <c r="F209"/>
      <c r="I209" s="78" t="s">
        <v>1641</v>
      </c>
      <c r="J209">
        <v>1170</v>
      </c>
      <c r="K209" s="32">
        <v>1</v>
      </c>
    </row>
    <row r="210" spans="1:11" x14ac:dyDescent="0.25">
      <c r="A210" s="78"/>
      <c r="B210" s="78"/>
      <c r="D210" s="78"/>
      <c r="E210" s="78"/>
      <c r="F210"/>
      <c r="I210" s="78" t="s">
        <v>1116</v>
      </c>
      <c r="J210">
        <v>1170</v>
      </c>
      <c r="K210" s="32">
        <v>1</v>
      </c>
    </row>
    <row r="211" spans="1:11" x14ac:dyDescent="0.25">
      <c r="A211" s="78"/>
      <c r="B211" s="78"/>
      <c r="D211" s="78"/>
      <c r="E211" s="78"/>
      <c r="F211"/>
      <c r="I211" s="78" t="s">
        <v>669</v>
      </c>
      <c r="J211">
        <v>1170</v>
      </c>
      <c r="K211" s="32">
        <v>1</v>
      </c>
    </row>
    <row r="212" spans="1:11" x14ac:dyDescent="0.25">
      <c r="A212" s="78"/>
      <c r="B212" s="78"/>
      <c r="D212" s="78"/>
      <c r="E212" s="78"/>
      <c r="F212"/>
      <c r="I212" s="78" t="s">
        <v>872</v>
      </c>
      <c r="J212">
        <v>1170</v>
      </c>
      <c r="K212" s="32">
        <v>1</v>
      </c>
    </row>
    <row r="213" spans="1:11" x14ac:dyDescent="0.25">
      <c r="A213" s="78"/>
      <c r="B213" s="78"/>
      <c r="D213" s="78"/>
      <c r="E213" s="78"/>
      <c r="F213"/>
      <c r="I213" s="78" t="s">
        <v>1108</v>
      </c>
      <c r="J213">
        <v>1170</v>
      </c>
      <c r="K213" s="32">
        <v>1</v>
      </c>
    </row>
    <row r="214" spans="1:11" x14ac:dyDescent="0.25">
      <c r="A214" s="78"/>
      <c r="B214" s="78"/>
      <c r="D214" s="78"/>
      <c r="E214" s="78"/>
      <c r="F214"/>
      <c r="I214" s="78" t="s">
        <v>888</v>
      </c>
      <c r="J214">
        <v>1170</v>
      </c>
      <c r="K214" s="32">
        <v>1</v>
      </c>
    </row>
    <row r="215" spans="1:11" x14ac:dyDescent="0.25">
      <c r="A215" s="78"/>
      <c r="B215" s="78"/>
      <c r="D215" s="78"/>
      <c r="E215" s="78"/>
      <c r="F215"/>
      <c r="G215" t="s">
        <v>1768</v>
      </c>
      <c r="K215" s="32">
        <v>14</v>
      </c>
    </row>
    <row r="216" spans="1:11" x14ac:dyDescent="0.25">
      <c r="A216" s="78"/>
      <c r="B216" s="78"/>
      <c r="D216" s="78"/>
      <c r="E216" s="78"/>
      <c r="F216"/>
      <c r="G216" t="s">
        <v>916</v>
      </c>
      <c r="H216" t="s">
        <v>53</v>
      </c>
      <c r="I216" t="s">
        <v>294</v>
      </c>
      <c r="J216">
        <v>1170</v>
      </c>
      <c r="K216" s="32">
        <v>1</v>
      </c>
    </row>
    <row r="217" spans="1:11" x14ac:dyDescent="0.25">
      <c r="A217" s="78"/>
      <c r="B217" s="78"/>
      <c r="D217" s="78"/>
      <c r="E217" s="78"/>
      <c r="F217"/>
      <c r="I217" t="s">
        <v>296</v>
      </c>
      <c r="J217">
        <v>1170</v>
      </c>
      <c r="K217" s="32">
        <v>1</v>
      </c>
    </row>
    <row r="218" spans="1:11" x14ac:dyDescent="0.25">
      <c r="A218" s="78"/>
      <c r="B218" s="78"/>
      <c r="D218" s="78"/>
      <c r="E218" s="78"/>
      <c r="F218"/>
      <c r="H218" t="s">
        <v>42</v>
      </c>
      <c r="I218" t="s">
        <v>293</v>
      </c>
      <c r="J218">
        <v>1170</v>
      </c>
      <c r="K218" s="32">
        <v>1</v>
      </c>
    </row>
    <row r="219" spans="1:11" x14ac:dyDescent="0.25">
      <c r="A219" s="78"/>
      <c r="B219" s="78"/>
      <c r="D219" s="78"/>
      <c r="E219" s="78"/>
      <c r="F219"/>
      <c r="I219" t="s">
        <v>297</v>
      </c>
      <c r="J219">
        <v>1170</v>
      </c>
      <c r="K219" s="32">
        <v>1</v>
      </c>
    </row>
    <row r="220" spans="1:11" x14ac:dyDescent="0.25">
      <c r="A220" s="78"/>
      <c r="B220" s="78"/>
      <c r="D220" s="78"/>
      <c r="E220" s="78"/>
      <c r="F220"/>
      <c r="I220" t="s">
        <v>298</v>
      </c>
      <c r="J220">
        <v>1170</v>
      </c>
      <c r="K220" s="32">
        <v>1</v>
      </c>
    </row>
    <row r="221" spans="1:11" x14ac:dyDescent="0.25">
      <c r="A221" s="78"/>
      <c r="B221" s="78"/>
      <c r="D221" s="78"/>
      <c r="E221" s="78"/>
      <c r="F221"/>
      <c r="I221" t="s">
        <v>300</v>
      </c>
      <c r="J221">
        <v>1170</v>
      </c>
      <c r="K221" s="32">
        <v>1</v>
      </c>
    </row>
    <row r="222" spans="1:11" x14ac:dyDescent="0.25">
      <c r="A222" s="78"/>
      <c r="B222" s="78"/>
      <c r="D222" s="78"/>
      <c r="E222" s="78"/>
      <c r="F222"/>
      <c r="G222" t="s">
        <v>1769</v>
      </c>
      <c r="K222" s="32">
        <v>6</v>
      </c>
    </row>
    <row r="223" spans="1:11" x14ac:dyDescent="0.25">
      <c r="A223" s="78"/>
      <c r="B223" s="78"/>
      <c r="D223" s="78" t="s">
        <v>1106</v>
      </c>
      <c r="E223" s="93" t="s">
        <v>794</v>
      </c>
      <c r="F223" t="s">
        <v>794</v>
      </c>
      <c r="G223" s="78" t="s">
        <v>915</v>
      </c>
      <c r="H223" s="78" t="s">
        <v>794</v>
      </c>
      <c r="I223" s="78" t="s">
        <v>877</v>
      </c>
      <c r="J223">
        <v>1170</v>
      </c>
      <c r="K223" s="32">
        <v>1</v>
      </c>
    </row>
    <row r="224" spans="1:11" x14ac:dyDescent="0.25">
      <c r="A224" s="78"/>
      <c r="B224" s="78"/>
      <c r="D224" s="78"/>
      <c r="E224" s="93"/>
      <c r="F224"/>
      <c r="G224" s="78"/>
      <c r="H224" s="78"/>
      <c r="I224" s="78" t="s">
        <v>951</v>
      </c>
      <c r="J224">
        <v>1170</v>
      </c>
      <c r="K224" s="32">
        <v>1</v>
      </c>
    </row>
    <row r="225" spans="1:11" x14ac:dyDescent="0.25">
      <c r="A225" s="78"/>
      <c r="B225" s="78"/>
      <c r="D225" s="78"/>
      <c r="E225" s="93"/>
      <c r="F225"/>
      <c r="G225" s="78"/>
      <c r="H225" s="78"/>
      <c r="I225" s="78" t="s">
        <v>953</v>
      </c>
      <c r="J225">
        <v>1170</v>
      </c>
      <c r="K225" s="32">
        <v>1</v>
      </c>
    </row>
    <row r="226" spans="1:11" x14ac:dyDescent="0.25">
      <c r="A226" s="78"/>
      <c r="B226" s="78"/>
      <c r="D226" s="78"/>
      <c r="E226" s="93"/>
      <c r="F226"/>
      <c r="G226" t="s">
        <v>1768</v>
      </c>
      <c r="K226" s="32">
        <v>3</v>
      </c>
    </row>
    <row r="227" spans="1:11" x14ac:dyDescent="0.25">
      <c r="A227" s="78"/>
      <c r="B227" s="78"/>
      <c r="D227" s="78" t="s">
        <v>825</v>
      </c>
      <c r="E227" t="s">
        <v>794</v>
      </c>
      <c r="F227" t="s">
        <v>794</v>
      </c>
      <c r="G227" t="s">
        <v>915</v>
      </c>
      <c r="H227" t="s">
        <v>794</v>
      </c>
      <c r="I227" s="78" t="s">
        <v>900</v>
      </c>
      <c r="J227">
        <v>1170</v>
      </c>
      <c r="K227" s="32">
        <v>1</v>
      </c>
    </row>
    <row r="228" spans="1:11" x14ac:dyDescent="0.25">
      <c r="A228" s="78"/>
      <c r="B228" s="78"/>
      <c r="D228" s="78"/>
      <c r="E228"/>
      <c r="F228"/>
      <c r="I228" s="78" t="s">
        <v>1097</v>
      </c>
      <c r="J228">
        <v>1170</v>
      </c>
      <c r="K228" s="32">
        <v>1</v>
      </c>
    </row>
    <row r="229" spans="1:11" x14ac:dyDescent="0.25">
      <c r="A229" s="78"/>
      <c r="B229" s="78"/>
      <c r="D229" s="78"/>
      <c r="E229"/>
      <c r="F229"/>
      <c r="I229" s="78" t="s">
        <v>901</v>
      </c>
      <c r="J229">
        <v>1170</v>
      </c>
      <c r="K229" s="32">
        <v>1</v>
      </c>
    </row>
    <row r="230" spans="1:11" x14ac:dyDescent="0.25">
      <c r="A230" s="78"/>
      <c r="B230" s="78"/>
      <c r="D230" s="78"/>
      <c r="E230"/>
      <c r="F230"/>
      <c r="I230" s="78" t="s">
        <v>1025</v>
      </c>
      <c r="J230">
        <v>1170</v>
      </c>
      <c r="K230" s="32">
        <v>1</v>
      </c>
    </row>
    <row r="231" spans="1:11" x14ac:dyDescent="0.25">
      <c r="A231" s="78"/>
      <c r="B231" s="78"/>
      <c r="D231" s="78"/>
      <c r="E231"/>
      <c r="F231"/>
      <c r="I231" s="78" t="s">
        <v>1119</v>
      </c>
      <c r="J231">
        <v>1170</v>
      </c>
      <c r="K231" s="32">
        <v>1</v>
      </c>
    </row>
    <row r="232" spans="1:11" x14ac:dyDescent="0.25">
      <c r="A232" s="78"/>
      <c r="B232" s="78"/>
      <c r="D232" s="78"/>
      <c r="E232"/>
      <c r="F232"/>
      <c r="I232" s="78" t="s">
        <v>875</v>
      </c>
      <c r="J232">
        <v>1170</v>
      </c>
      <c r="K232" s="32">
        <v>1</v>
      </c>
    </row>
    <row r="233" spans="1:11" x14ac:dyDescent="0.25">
      <c r="A233" s="78"/>
      <c r="B233" s="78"/>
      <c r="D233" s="78"/>
      <c r="E233"/>
      <c r="F233"/>
      <c r="I233" s="78" t="s">
        <v>192</v>
      </c>
      <c r="J233">
        <v>1170</v>
      </c>
      <c r="K233" s="32">
        <v>1</v>
      </c>
    </row>
    <row r="234" spans="1:11" x14ac:dyDescent="0.25">
      <c r="A234" s="78"/>
      <c r="B234" s="78"/>
      <c r="D234" s="78"/>
      <c r="E234"/>
      <c r="F234"/>
      <c r="I234" s="78" t="s">
        <v>876</v>
      </c>
      <c r="J234">
        <v>1170</v>
      </c>
      <c r="K234" s="32">
        <v>1</v>
      </c>
    </row>
    <row r="235" spans="1:11" x14ac:dyDescent="0.25">
      <c r="A235" s="78"/>
      <c r="B235" s="78"/>
      <c r="D235" s="78"/>
      <c r="E235"/>
      <c r="F235"/>
      <c r="G235" t="s">
        <v>1768</v>
      </c>
      <c r="K235" s="32">
        <v>8</v>
      </c>
    </row>
    <row r="236" spans="1:11" x14ac:dyDescent="0.25">
      <c r="A236" s="78"/>
      <c r="B236" s="78"/>
      <c r="D236" s="78"/>
      <c r="E236"/>
      <c r="F236"/>
      <c r="G236" t="s">
        <v>916</v>
      </c>
      <c r="H236" t="s">
        <v>798</v>
      </c>
      <c r="I236" t="s">
        <v>211</v>
      </c>
      <c r="J236">
        <v>1170</v>
      </c>
      <c r="K236" s="32">
        <v>1</v>
      </c>
    </row>
    <row r="237" spans="1:11" x14ac:dyDescent="0.25">
      <c r="A237" s="78"/>
      <c r="B237" s="78"/>
      <c r="D237" s="78"/>
      <c r="E237"/>
      <c r="F237"/>
      <c r="H237" s="78" t="s">
        <v>30</v>
      </c>
      <c r="I237" s="78" t="s">
        <v>138</v>
      </c>
      <c r="J237">
        <v>1170</v>
      </c>
      <c r="K237" s="32">
        <v>1</v>
      </c>
    </row>
    <row r="238" spans="1:11" x14ac:dyDescent="0.25">
      <c r="A238" s="78"/>
      <c r="B238" s="78"/>
      <c r="D238" s="78"/>
      <c r="E238"/>
      <c r="F238"/>
      <c r="G238" t="s">
        <v>1769</v>
      </c>
      <c r="K238" s="32">
        <v>2</v>
      </c>
    </row>
    <row r="239" spans="1:11" x14ac:dyDescent="0.25">
      <c r="A239" s="78"/>
      <c r="B239" s="78"/>
      <c r="D239" s="78"/>
      <c r="E239" t="s">
        <v>908</v>
      </c>
      <c r="F239" s="78" t="s">
        <v>12</v>
      </c>
      <c r="G239" t="s">
        <v>916</v>
      </c>
      <c r="H239" s="78" t="s">
        <v>62</v>
      </c>
      <c r="I239" s="78" t="s">
        <v>77</v>
      </c>
      <c r="J239">
        <v>1170</v>
      </c>
      <c r="K239" s="32">
        <v>1</v>
      </c>
    </row>
    <row r="240" spans="1:11" x14ac:dyDescent="0.25">
      <c r="A240" s="78"/>
      <c r="B240" s="78"/>
      <c r="D240" s="78"/>
      <c r="E240"/>
      <c r="F240" s="78"/>
      <c r="G240" t="s">
        <v>1769</v>
      </c>
      <c r="K240" s="32">
        <v>1</v>
      </c>
    </row>
    <row r="241" spans="1:11" x14ac:dyDescent="0.25">
      <c r="A241" s="78"/>
      <c r="B241" s="78"/>
      <c r="D241" s="78"/>
      <c r="E241" t="s">
        <v>56</v>
      </c>
      <c r="F241" t="s">
        <v>794</v>
      </c>
      <c r="G241" t="s">
        <v>916</v>
      </c>
      <c r="H241" s="78" t="s">
        <v>42</v>
      </c>
      <c r="I241" s="78" t="s">
        <v>657</v>
      </c>
      <c r="J241">
        <v>1170</v>
      </c>
      <c r="K241" s="32">
        <v>1</v>
      </c>
    </row>
    <row r="242" spans="1:11" x14ac:dyDescent="0.25">
      <c r="A242" s="78"/>
      <c r="B242" s="78"/>
      <c r="D242" s="78"/>
      <c r="E242"/>
      <c r="F242"/>
      <c r="G242" t="s">
        <v>1769</v>
      </c>
      <c r="K242" s="32">
        <v>1</v>
      </c>
    </row>
    <row r="243" spans="1:11" x14ac:dyDescent="0.25">
      <c r="A243" s="78"/>
      <c r="B243" s="78"/>
      <c r="D243" s="78"/>
      <c r="E243" t="s">
        <v>8</v>
      </c>
      <c r="F243" s="78" t="s">
        <v>913</v>
      </c>
      <c r="G243" s="78" t="s">
        <v>915</v>
      </c>
      <c r="H243" s="93" t="s">
        <v>794</v>
      </c>
      <c r="I243" s="78" t="s">
        <v>551</v>
      </c>
      <c r="J243">
        <v>1170</v>
      </c>
      <c r="K243" s="32">
        <v>1</v>
      </c>
    </row>
    <row r="244" spans="1:11" x14ac:dyDescent="0.25">
      <c r="A244" s="78"/>
      <c r="B244" s="78"/>
      <c r="D244" s="78"/>
      <c r="E244"/>
      <c r="F244" s="78"/>
      <c r="G244" s="78"/>
      <c r="H244" s="93"/>
      <c r="I244" s="78" t="s">
        <v>563</v>
      </c>
      <c r="J244">
        <v>1170</v>
      </c>
      <c r="K244" s="32">
        <v>1</v>
      </c>
    </row>
    <row r="245" spans="1:11" x14ac:dyDescent="0.25">
      <c r="A245" s="78"/>
      <c r="B245" s="78"/>
      <c r="D245" s="78"/>
      <c r="E245"/>
      <c r="F245" s="78"/>
      <c r="G245" s="78"/>
      <c r="H245" s="93"/>
      <c r="I245" s="78" t="s">
        <v>571</v>
      </c>
      <c r="J245">
        <v>1170</v>
      </c>
      <c r="K245" s="32">
        <v>1</v>
      </c>
    </row>
    <row r="246" spans="1:11" x14ac:dyDescent="0.25">
      <c r="A246" s="78"/>
      <c r="B246" s="78"/>
      <c r="D246" s="78"/>
      <c r="E246"/>
      <c r="F246" s="78"/>
      <c r="G246" s="78"/>
      <c r="H246" s="93"/>
      <c r="I246" s="78" t="s">
        <v>599</v>
      </c>
      <c r="J246">
        <v>1170</v>
      </c>
      <c r="K246" s="32">
        <v>1</v>
      </c>
    </row>
    <row r="247" spans="1:11" x14ac:dyDescent="0.25">
      <c r="A247" s="78"/>
      <c r="B247" s="78"/>
      <c r="D247" s="78"/>
      <c r="E247"/>
      <c r="F247" s="78"/>
      <c r="G247" s="78"/>
      <c r="H247" s="93"/>
      <c r="I247" s="78" t="s">
        <v>601</v>
      </c>
      <c r="J247">
        <v>1170</v>
      </c>
      <c r="K247" s="32">
        <v>1</v>
      </c>
    </row>
    <row r="248" spans="1:11" x14ac:dyDescent="0.25">
      <c r="A248" s="78"/>
      <c r="B248" s="78"/>
      <c r="D248" s="78"/>
      <c r="E248"/>
      <c r="F248" s="78"/>
      <c r="G248" s="78"/>
      <c r="H248" s="93"/>
      <c r="I248" s="78" t="s">
        <v>606</v>
      </c>
      <c r="J248">
        <v>1170</v>
      </c>
      <c r="K248" s="32">
        <v>1</v>
      </c>
    </row>
    <row r="249" spans="1:11" x14ac:dyDescent="0.25">
      <c r="A249" s="78"/>
      <c r="B249" s="78"/>
      <c r="D249" s="78"/>
      <c r="E249"/>
      <c r="F249" s="78"/>
      <c r="G249" s="78"/>
      <c r="H249" s="93"/>
      <c r="I249" s="78" t="s">
        <v>614</v>
      </c>
      <c r="J249">
        <v>1170</v>
      </c>
      <c r="K249" s="32">
        <v>1</v>
      </c>
    </row>
    <row r="250" spans="1:11" x14ac:dyDescent="0.25">
      <c r="A250" s="78"/>
      <c r="B250" s="78"/>
      <c r="D250" s="78"/>
      <c r="E250"/>
      <c r="F250" s="78"/>
      <c r="G250" s="78"/>
      <c r="H250" s="93"/>
      <c r="I250" s="78" t="s">
        <v>623</v>
      </c>
      <c r="J250">
        <v>1170</v>
      </c>
      <c r="K250" s="32">
        <v>1</v>
      </c>
    </row>
    <row r="251" spans="1:11" x14ac:dyDescent="0.25">
      <c r="A251" s="78"/>
      <c r="B251" s="78"/>
      <c r="D251" s="78"/>
      <c r="E251"/>
      <c r="F251" s="78"/>
      <c r="G251" s="78"/>
      <c r="H251" s="93"/>
      <c r="I251" s="78" t="s">
        <v>625</v>
      </c>
      <c r="J251">
        <v>1170</v>
      </c>
      <c r="K251" s="32">
        <v>1</v>
      </c>
    </row>
    <row r="252" spans="1:11" x14ac:dyDescent="0.25">
      <c r="A252" s="78"/>
      <c r="B252" s="78"/>
      <c r="D252" s="78"/>
      <c r="E252"/>
      <c r="F252" s="78"/>
      <c r="G252" s="78"/>
      <c r="H252" s="93"/>
      <c r="I252" s="78" t="s">
        <v>675</v>
      </c>
      <c r="J252">
        <v>1170</v>
      </c>
      <c r="K252" s="32">
        <v>1</v>
      </c>
    </row>
    <row r="253" spans="1:11" x14ac:dyDescent="0.25">
      <c r="A253" s="78"/>
      <c r="B253" s="78"/>
      <c r="D253" s="78"/>
      <c r="E253"/>
      <c r="F253" s="78"/>
      <c r="G253" s="78"/>
      <c r="H253" s="93"/>
      <c r="I253" s="78" t="s">
        <v>676</v>
      </c>
      <c r="J253">
        <v>1170</v>
      </c>
      <c r="K253" s="32">
        <v>1</v>
      </c>
    </row>
    <row r="254" spans="1:11" x14ac:dyDescent="0.25">
      <c r="A254" s="78"/>
      <c r="B254" s="78"/>
      <c r="D254" s="78"/>
      <c r="E254"/>
      <c r="F254" s="78"/>
      <c r="G254" s="78"/>
      <c r="H254" s="93"/>
      <c r="I254" s="78" t="s">
        <v>683</v>
      </c>
      <c r="J254">
        <v>1170</v>
      </c>
      <c r="K254" s="32">
        <v>1</v>
      </c>
    </row>
    <row r="255" spans="1:11" x14ac:dyDescent="0.25">
      <c r="A255" s="78"/>
      <c r="B255" s="78"/>
      <c r="D255" s="78"/>
      <c r="E255"/>
      <c r="F255" s="78"/>
      <c r="G255" s="78"/>
      <c r="H255" s="93"/>
      <c r="I255" s="78" t="s">
        <v>694</v>
      </c>
      <c r="J255">
        <v>1170</v>
      </c>
      <c r="K255" s="32">
        <v>1</v>
      </c>
    </row>
    <row r="256" spans="1:11" x14ac:dyDescent="0.25">
      <c r="A256" s="78"/>
      <c r="B256" s="78"/>
      <c r="D256" s="78"/>
      <c r="E256"/>
      <c r="F256" s="78"/>
      <c r="G256" s="78"/>
      <c r="H256" s="93"/>
      <c r="I256" s="78" t="s">
        <v>697</v>
      </c>
      <c r="J256">
        <v>1170</v>
      </c>
      <c r="K256" s="32">
        <v>1</v>
      </c>
    </row>
    <row r="257" spans="1:11" x14ac:dyDescent="0.25">
      <c r="A257" s="78"/>
      <c r="B257" s="78"/>
      <c r="D257" s="78"/>
      <c r="E257"/>
      <c r="F257" s="78"/>
      <c r="G257" s="78"/>
      <c r="H257" s="93"/>
      <c r="I257" s="78" t="s">
        <v>699</v>
      </c>
      <c r="J257">
        <v>1170</v>
      </c>
      <c r="K257" s="32">
        <v>1</v>
      </c>
    </row>
    <row r="258" spans="1:11" x14ac:dyDescent="0.25">
      <c r="A258" s="78"/>
      <c r="B258" s="78"/>
      <c r="D258" s="78"/>
      <c r="E258"/>
      <c r="F258" s="78"/>
      <c r="G258" s="78"/>
      <c r="H258" s="93"/>
      <c r="I258" s="78" t="s">
        <v>701</v>
      </c>
      <c r="J258">
        <v>1170</v>
      </c>
      <c r="K258" s="32">
        <v>1</v>
      </c>
    </row>
    <row r="259" spans="1:11" x14ac:dyDescent="0.25">
      <c r="A259" s="78"/>
      <c r="B259" s="78"/>
      <c r="D259" s="78"/>
      <c r="E259"/>
      <c r="F259" s="78"/>
      <c r="G259" s="78"/>
      <c r="H259" s="93"/>
      <c r="I259" s="78" t="s">
        <v>708</v>
      </c>
      <c r="J259">
        <v>1170</v>
      </c>
      <c r="K259" s="32">
        <v>1</v>
      </c>
    </row>
    <row r="260" spans="1:11" x14ac:dyDescent="0.25">
      <c r="A260" s="78"/>
      <c r="B260" s="78"/>
      <c r="D260" s="78"/>
      <c r="E260"/>
      <c r="F260" s="78"/>
      <c r="G260" s="78"/>
      <c r="H260" s="93"/>
      <c r="I260" s="78" t="s">
        <v>730</v>
      </c>
      <c r="J260">
        <v>1170</v>
      </c>
      <c r="K260" s="32">
        <v>1</v>
      </c>
    </row>
    <row r="261" spans="1:11" x14ac:dyDescent="0.25">
      <c r="A261" s="78"/>
      <c r="B261" s="78"/>
      <c r="D261" s="78"/>
      <c r="E261"/>
      <c r="F261" s="78"/>
      <c r="G261" s="78"/>
      <c r="H261" s="93"/>
      <c r="I261" s="78" t="s">
        <v>739</v>
      </c>
      <c r="J261">
        <v>1170</v>
      </c>
      <c r="K261" s="32">
        <v>1</v>
      </c>
    </row>
    <row r="262" spans="1:11" x14ac:dyDescent="0.25">
      <c r="A262" s="78"/>
      <c r="B262" s="78"/>
      <c r="D262" s="78"/>
      <c r="E262"/>
      <c r="F262" s="78"/>
      <c r="G262" s="78"/>
      <c r="H262" s="93"/>
      <c r="I262" s="78" t="s">
        <v>768</v>
      </c>
      <c r="J262">
        <v>1170</v>
      </c>
      <c r="K262" s="32">
        <v>1</v>
      </c>
    </row>
    <row r="263" spans="1:11" x14ac:dyDescent="0.25">
      <c r="A263" s="78"/>
      <c r="B263" s="78"/>
      <c r="D263" s="78"/>
      <c r="E263"/>
      <c r="F263" s="78"/>
      <c r="G263" s="78"/>
      <c r="H263" s="93"/>
      <c r="I263" s="78" t="s">
        <v>774</v>
      </c>
      <c r="J263">
        <v>1170</v>
      </c>
      <c r="K263" s="32">
        <v>1</v>
      </c>
    </row>
    <row r="264" spans="1:11" x14ac:dyDescent="0.25">
      <c r="A264" s="78"/>
      <c r="B264" s="78"/>
      <c r="D264" s="78"/>
      <c r="E264"/>
      <c r="F264" s="78"/>
      <c r="G264" s="78"/>
      <c r="H264" s="93"/>
      <c r="I264" s="78" t="s">
        <v>775</v>
      </c>
      <c r="J264">
        <v>1170</v>
      </c>
      <c r="K264" s="32">
        <v>1</v>
      </c>
    </row>
    <row r="265" spans="1:11" x14ac:dyDescent="0.25">
      <c r="A265" s="78"/>
      <c r="B265" s="78"/>
      <c r="D265" s="78"/>
      <c r="E265"/>
      <c r="F265" s="78"/>
      <c r="G265" s="78"/>
      <c r="H265" s="93"/>
      <c r="I265" s="78" t="s">
        <v>777</v>
      </c>
      <c r="J265">
        <v>1170</v>
      </c>
      <c r="K265" s="32">
        <v>1</v>
      </c>
    </row>
    <row r="266" spans="1:11" x14ac:dyDescent="0.25">
      <c r="A266" s="78"/>
      <c r="B266" s="78"/>
      <c r="D266" s="78"/>
      <c r="E266"/>
      <c r="F266" s="78"/>
      <c r="G266" s="78"/>
      <c r="H266" s="93"/>
      <c r="I266" s="78" t="s">
        <v>778</v>
      </c>
      <c r="J266">
        <v>1170</v>
      </c>
      <c r="K266" s="32">
        <v>1</v>
      </c>
    </row>
    <row r="267" spans="1:11" x14ac:dyDescent="0.25">
      <c r="A267" s="78"/>
      <c r="B267" s="78"/>
      <c r="D267" s="78"/>
      <c r="E267"/>
      <c r="F267" s="78"/>
      <c r="G267" t="s">
        <v>1768</v>
      </c>
      <c r="K267" s="32">
        <v>24</v>
      </c>
    </row>
    <row r="268" spans="1:11" x14ac:dyDescent="0.25">
      <c r="A268" s="78"/>
      <c r="B268" s="78"/>
      <c r="D268" s="78"/>
      <c r="E268" t="s">
        <v>18</v>
      </c>
      <c r="F268" s="78" t="s">
        <v>19</v>
      </c>
      <c r="G268" t="s">
        <v>915</v>
      </c>
      <c r="H268" t="s">
        <v>794</v>
      </c>
      <c r="I268" s="78" t="s">
        <v>557</v>
      </c>
      <c r="J268">
        <v>1170</v>
      </c>
      <c r="K268" s="32">
        <v>1</v>
      </c>
    </row>
    <row r="269" spans="1:11" x14ac:dyDescent="0.25">
      <c r="A269" s="78"/>
      <c r="B269" s="78"/>
      <c r="D269" s="78"/>
      <c r="E269"/>
      <c r="F269" s="78"/>
      <c r="I269" s="78" t="s">
        <v>25</v>
      </c>
      <c r="J269">
        <v>1170</v>
      </c>
      <c r="K269" s="32">
        <v>1</v>
      </c>
    </row>
    <row r="270" spans="1:11" x14ac:dyDescent="0.25">
      <c r="A270" s="78"/>
      <c r="B270" s="78"/>
      <c r="D270" s="78"/>
      <c r="E270"/>
      <c r="F270" s="78"/>
      <c r="I270" s="78" t="s">
        <v>568</v>
      </c>
      <c r="J270">
        <v>1170</v>
      </c>
      <c r="K270" s="32">
        <v>1</v>
      </c>
    </row>
    <row r="271" spans="1:11" x14ac:dyDescent="0.25">
      <c r="A271" s="78"/>
      <c r="B271" s="78"/>
      <c r="D271" s="78"/>
      <c r="E271"/>
      <c r="F271" s="78"/>
      <c r="I271" s="78" t="s">
        <v>973</v>
      </c>
      <c r="J271">
        <v>1170</v>
      </c>
      <c r="K271" s="32">
        <v>1</v>
      </c>
    </row>
    <row r="272" spans="1:11" x14ac:dyDescent="0.25">
      <c r="A272" s="78"/>
      <c r="B272" s="78"/>
      <c r="D272" s="78"/>
      <c r="E272"/>
      <c r="F272" s="78"/>
      <c r="I272" s="78" t="s">
        <v>569</v>
      </c>
      <c r="J272">
        <v>1170</v>
      </c>
      <c r="K272" s="32">
        <v>1</v>
      </c>
    </row>
    <row r="273" spans="1:11" x14ac:dyDescent="0.25">
      <c r="A273" s="78"/>
      <c r="B273" s="78"/>
      <c r="D273" s="78"/>
      <c r="E273"/>
      <c r="F273" s="78"/>
      <c r="I273" s="78" t="s">
        <v>974</v>
      </c>
      <c r="J273">
        <v>1170</v>
      </c>
      <c r="K273" s="32">
        <v>1</v>
      </c>
    </row>
    <row r="274" spans="1:11" x14ac:dyDescent="0.25">
      <c r="A274" s="78"/>
      <c r="B274" s="78"/>
      <c r="D274" s="78"/>
      <c r="E274"/>
      <c r="F274" s="78"/>
      <c r="I274" s="78" t="s">
        <v>572</v>
      </c>
      <c r="J274">
        <v>1170</v>
      </c>
      <c r="K274" s="32">
        <v>1</v>
      </c>
    </row>
    <row r="275" spans="1:11" x14ac:dyDescent="0.25">
      <c r="A275" s="78"/>
      <c r="B275" s="78"/>
      <c r="D275" s="78"/>
      <c r="E275"/>
      <c r="F275" s="78"/>
      <c r="I275" s="78" t="s">
        <v>576</v>
      </c>
      <c r="J275">
        <v>1170</v>
      </c>
      <c r="K275" s="32">
        <v>1</v>
      </c>
    </row>
    <row r="276" spans="1:11" x14ac:dyDescent="0.25">
      <c r="A276" s="78"/>
      <c r="B276" s="78"/>
      <c r="D276" s="78"/>
      <c r="E276"/>
      <c r="F276" s="78"/>
      <c r="I276" s="78" t="s">
        <v>577</v>
      </c>
      <c r="J276">
        <v>1170</v>
      </c>
      <c r="K276" s="32">
        <v>1</v>
      </c>
    </row>
    <row r="277" spans="1:11" x14ac:dyDescent="0.25">
      <c r="A277" s="78"/>
      <c r="B277" s="78"/>
      <c r="D277" s="78"/>
      <c r="E277"/>
      <c r="F277" s="78"/>
      <c r="I277" s="78" t="s">
        <v>578</v>
      </c>
      <c r="J277">
        <v>1170</v>
      </c>
      <c r="K277" s="32">
        <v>1</v>
      </c>
    </row>
    <row r="278" spans="1:11" x14ac:dyDescent="0.25">
      <c r="A278" s="78"/>
      <c r="B278" s="78"/>
      <c r="D278" s="78"/>
      <c r="E278"/>
      <c r="F278" s="78"/>
      <c r="I278" s="78" t="s">
        <v>46</v>
      </c>
      <c r="J278">
        <v>1170</v>
      </c>
      <c r="K278" s="32">
        <v>1</v>
      </c>
    </row>
    <row r="279" spans="1:11" x14ac:dyDescent="0.25">
      <c r="A279" s="78"/>
      <c r="B279" s="78"/>
      <c r="D279" s="78"/>
      <c r="E279"/>
      <c r="F279" s="78"/>
      <c r="I279" s="78" t="s">
        <v>975</v>
      </c>
      <c r="J279">
        <v>1170</v>
      </c>
      <c r="K279" s="32">
        <v>1</v>
      </c>
    </row>
    <row r="280" spans="1:11" x14ac:dyDescent="0.25">
      <c r="A280" s="78"/>
      <c r="B280" s="78"/>
      <c r="D280" s="78"/>
      <c r="E280"/>
      <c r="F280" s="78"/>
      <c r="I280" s="78" t="s">
        <v>583</v>
      </c>
      <c r="J280">
        <v>1170</v>
      </c>
      <c r="K280" s="32">
        <v>1</v>
      </c>
    </row>
    <row r="281" spans="1:11" x14ac:dyDescent="0.25">
      <c r="A281" s="78"/>
      <c r="B281" s="78"/>
      <c r="D281" s="78"/>
      <c r="E281"/>
      <c r="F281" s="78"/>
      <c r="I281" s="78" t="s">
        <v>584</v>
      </c>
      <c r="J281">
        <v>1170</v>
      </c>
      <c r="K281" s="32">
        <v>1</v>
      </c>
    </row>
    <row r="282" spans="1:11" x14ac:dyDescent="0.25">
      <c r="A282" s="78"/>
      <c r="B282" s="78"/>
      <c r="D282" s="78"/>
      <c r="E282"/>
      <c r="F282" s="78"/>
      <c r="I282" s="78" t="s">
        <v>585</v>
      </c>
      <c r="J282">
        <v>1170</v>
      </c>
      <c r="K282" s="32">
        <v>1</v>
      </c>
    </row>
    <row r="283" spans="1:11" x14ac:dyDescent="0.25">
      <c r="A283" s="78"/>
      <c r="B283" s="78"/>
      <c r="D283" s="78"/>
      <c r="E283"/>
      <c r="F283" s="78"/>
      <c r="I283" s="78" t="s">
        <v>586</v>
      </c>
      <c r="J283">
        <v>1170</v>
      </c>
      <c r="K283" s="32">
        <v>1</v>
      </c>
    </row>
    <row r="284" spans="1:11" x14ac:dyDescent="0.25">
      <c r="A284" s="78"/>
      <c r="B284" s="78"/>
      <c r="D284" s="78"/>
      <c r="E284"/>
      <c r="F284" s="78"/>
      <c r="I284" s="78" t="s">
        <v>587</v>
      </c>
      <c r="J284">
        <v>1170</v>
      </c>
      <c r="K284" s="32">
        <v>1</v>
      </c>
    </row>
    <row r="285" spans="1:11" x14ac:dyDescent="0.25">
      <c r="A285" s="78"/>
      <c r="B285" s="78"/>
      <c r="D285" s="78"/>
      <c r="E285"/>
      <c r="F285" s="78"/>
      <c r="I285" s="78" t="s">
        <v>588</v>
      </c>
      <c r="J285">
        <v>1170</v>
      </c>
      <c r="K285" s="32">
        <v>1</v>
      </c>
    </row>
    <row r="286" spans="1:11" x14ac:dyDescent="0.25">
      <c r="A286" s="78"/>
      <c r="B286" s="78"/>
      <c r="D286" s="78"/>
      <c r="E286"/>
      <c r="F286" s="78"/>
      <c r="I286" s="78" t="s">
        <v>589</v>
      </c>
      <c r="J286">
        <v>1170</v>
      </c>
      <c r="K286" s="32">
        <v>1</v>
      </c>
    </row>
    <row r="287" spans="1:11" x14ac:dyDescent="0.25">
      <c r="A287" s="78"/>
      <c r="B287" s="78"/>
      <c r="D287" s="78"/>
      <c r="E287"/>
      <c r="F287" s="78"/>
      <c r="I287" s="78" t="s">
        <v>590</v>
      </c>
      <c r="J287">
        <v>1170</v>
      </c>
      <c r="K287" s="32">
        <v>1</v>
      </c>
    </row>
    <row r="288" spans="1:11" x14ac:dyDescent="0.25">
      <c r="A288" s="78"/>
      <c r="B288" s="78"/>
      <c r="D288" s="78"/>
      <c r="E288"/>
      <c r="F288" s="78"/>
      <c r="I288" s="78" t="s">
        <v>591</v>
      </c>
      <c r="J288">
        <v>1170</v>
      </c>
      <c r="K288" s="32">
        <v>1</v>
      </c>
    </row>
    <row r="289" spans="1:11" x14ac:dyDescent="0.25">
      <c r="A289" s="78"/>
      <c r="B289" s="78"/>
      <c r="D289" s="78"/>
      <c r="E289"/>
      <c r="F289" s="78"/>
      <c r="I289" s="78" t="s">
        <v>592</v>
      </c>
      <c r="J289">
        <v>1170</v>
      </c>
      <c r="K289" s="32">
        <v>1</v>
      </c>
    </row>
    <row r="290" spans="1:11" x14ac:dyDescent="0.25">
      <c r="A290" s="78"/>
      <c r="B290" s="78"/>
      <c r="D290" s="78"/>
      <c r="E290"/>
      <c r="F290" s="78"/>
      <c r="I290" s="78" t="s">
        <v>593</v>
      </c>
      <c r="J290">
        <v>1170</v>
      </c>
      <c r="K290" s="32">
        <v>1</v>
      </c>
    </row>
    <row r="291" spans="1:11" x14ac:dyDescent="0.25">
      <c r="A291" s="78"/>
      <c r="B291" s="78"/>
      <c r="D291" s="78"/>
      <c r="E291"/>
      <c r="F291" s="78"/>
      <c r="I291" s="78" t="s">
        <v>596</v>
      </c>
      <c r="J291">
        <v>1170</v>
      </c>
      <c r="K291" s="32">
        <v>1</v>
      </c>
    </row>
    <row r="292" spans="1:11" x14ac:dyDescent="0.25">
      <c r="A292" s="78"/>
      <c r="B292" s="78"/>
      <c r="D292" s="78"/>
      <c r="E292"/>
      <c r="F292" s="78"/>
      <c r="I292" s="78" t="s">
        <v>597</v>
      </c>
      <c r="J292">
        <v>1170</v>
      </c>
      <c r="K292" s="32">
        <v>1</v>
      </c>
    </row>
    <row r="293" spans="1:11" x14ac:dyDescent="0.25">
      <c r="A293" s="78"/>
      <c r="B293" s="78"/>
      <c r="D293" s="78"/>
      <c r="E293"/>
      <c r="F293" s="78"/>
      <c r="I293" s="78" t="s">
        <v>976</v>
      </c>
      <c r="J293">
        <v>1170</v>
      </c>
      <c r="K293" s="32">
        <v>1</v>
      </c>
    </row>
    <row r="294" spans="1:11" x14ac:dyDescent="0.25">
      <c r="A294" s="78"/>
      <c r="B294" s="78"/>
      <c r="D294" s="78"/>
      <c r="E294"/>
      <c r="F294" s="78"/>
      <c r="I294" s="78" t="s">
        <v>602</v>
      </c>
      <c r="J294">
        <v>1170</v>
      </c>
      <c r="K294" s="32">
        <v>1</v>
      </c>
    </row>
    <row r="295" spans="1:11" x14ac:dyDescent="0.25">
      <c r="A295" s="78"/>
      <c r="B295" s="78"/>
      <c r="D295" s="78"/>
      <c r="E295"/>
      <c r="F295" s="78"/>
      <c r="I295" s="78" t="s">
        <v>603</v>
      </c>
      <c r="J295">
        <v>1170</v>
      </c>
      <c r="K295" s="32">
        <v>1</v>
      </c>
    </row>
    <row r="296" spans="1:11" x14ac:dyDescent="0.25">
      <c r="A296" s="78"/>
      <c r="B296" s="78"/>
      <c r="D296" s="78"/>
      <c r="E296"/>
      <c r="F296" s="78"/>
      <c r="I296" s="78" t="s">
        <v>608</v>
      </c>
      <c r="J296">
        <v>1170</v>
      </c>
      <c r="K296" s="32">
        <v>1</v>
      </c>
    </row>
    <row r="297" spans="1:11" x14ac:dyDescent="0.25">
      <c r="A297" s="78"/>
      <c r="B297" s="78"/>
      <c r="D297" s="78"/>
      <c r="E297"/>
      <c r="F297" s="78"/>
      <c r="I297" s="78" t="s">
        <v>610</v>
      </c>
      <c r="J297">
        <v>1170</v>
      </c>
      <c r="K297" s="32">
        <v>1</v>
      </c>
    </row>
    <row r="298" spans="1:11" x14ac:dyDescent="0.25">
      <c r="A298" s="78"/>
      <c r="B298" s="78"/>
      <c r="D298" s="78"/>
      <c r="E298"/>
      <c r="F298" s="78"/>
      <c r="I298" s="78" t="s">
        <v>611</v>
      </c>
      <c r="J298">
        <v>1170</v>
      </c>
      <c r="K298" s="32">
        <v>1</v>
      </c>
    </row>
    <row r="299" spans="1:11" x14ac:dyDescent="0.25">
      <c r="A299" s="78"/>
      <c r="B299" s="78"/>
      <c r="D299" s="78"/>
      <c r="E299"/>
      <c r="F299" s="78"/>
      <c r="I299" s="78" t="s">
        <v>613</v>
      </c>
      <c r="J299">
        <v>1170</v>
      </c>
      <c r="K299" s="32">
        <v>1</v>
      </c>
    </row>
    <row r="300" spans="1:11" x14ac:dyDescent="0.25">
      <c r="A300" s="78"/>
      <c r="B300" s="78"/>
      <c r="D300" s="78"/>
      <c r="E300"/>
      <c r="F300" s="78"/>
      <c r="I300" s="78" t="s">
        <v>616</v>
      </c>
      <c r="J300">
        <v>1170</v>
      </c>
      <c r="K300" s="32">
        <v>1</v>
      </c>
    </row>
    <row r="301" spans="1:11" x14ac:dyDescent="0.25">
      <c r="A301" s="78"/>
      <c r="B301" s="78"/>
      <c r="D301" s="78"/>
      <c r="E301"/>
      <c r="F301" s="78"/>
      <c r="I301" s="78" t="s">
        <v>977</v>
      </c>
      <c r="J301">
        <v>1170</v>
      </c>
      <c r="K301" s="32">
        <v>1</v>
      </c>
    </row>
    <row r="302" spans="1:11" x14ac:dyDescent="0.25">
      <c r="A302" s="78"/>
      <c r="B302" s="78"/>
      <c r="D302" s="78"/>
      <c r="E302"/>
      <c r="F302" s="78"/>
      <c r="I302" s="78" t="s">
        <v>618</v>
      </c>
      <c r="J302">
        <v>1170</v>
      </c>
      <c r="K302" s="32">
        <v>1</v>
      </c>
    </row>
    <row r="303" spans="1:11" x14ac:dyDescent="0.25">
      <c r="A303" s="78"/>
      <c r="B303" s="78"/>
      <c r="D303" s="78"/>
      <c r="E303"/>
      <c r="F303" s="78"/>
      <c r="I303" s="78" t="s">
        <v>620</v>
      </c>
      <c r="J303">
        <v>1170</v>
      </c>
      <c r="K303" s="32">
        <v>1</v>
      </c>
    </row>
    <row r="304" spans="1:11" x14ac:dyDescent="0.25">
      <c r="A304" s="78"/>
      <c r="B304" s="78"/>
      <c r="D304" s="78"/>
      <c r="E304"/>
      <c r="F304" s="78"/>
      <c r="I304" s="78" t="s">
        <v>621</v>
      </c>
      <c r="J304">
        <v>1170</v>
      </c>
      <c r="K304" s="32">
        <v>1</v>
      </c>
    </row>
    <row r="305" spans="1:11" x14ac:dyDescent="0.25">
      <c r="A305" s="78"/>
      <c r="B305" s="78"/>
      <c r="D305" s="78"/>
      <c r="E305"/>
      <c r="F305" s="78"/>
      <c r="I305" s="78" t="s">
        <v>622</v>
      </c>
      <c r="J305">
        <v>1170</v>
      </c>
      <c r="K305" s="32">
        <v>1</v>
      </c>
    </row>
    <row r="306" spans="1:11" x14ac:dyDescent="0.25">
      <c r="A306" s="78"/>
      <c r="B306" s="78"/>
      <c r="D306" s="78"/>
      <c r="E306"/>
      <c r="F306" s="78"/>
      <c r="I306" s="78" t="s">
        <v>624</v>
      </c>
      <c r="J306">
        <v>1170</v>
      </c>
      <c r="K306" s="32">
        <v>1</v>
      </c>
    </row>
    <row r="307" spans="1:11" x14ac:dyDescent="0.25">
      <c r="A307" s="78"/>
      <c r="B307" s="78"/>
      <c r="D307" s="78"/>
      <c r="E307"/>
      <c r="F307" s="78"/>
      <c r="I307" s="78" t="s">
        <v>626</v>
      </c>
      <c r="J307">
        <v>1170</v>
      </c>
      <c r="K307" s="32">
        <v>1</v>
      </c>
    </row>
    <row r="308" spans="1:11" x14ac:dyDescent="0.25">
      <c r="A308" s="78"/>
      <c r="B308" s="78"/>
      <c r="D308" s="78"/>
      <c r="E308"/>
      <c r="F308" s="78"/>
      <c r="I308" s="78" t="s">
        <v>628</v>
      </c>
      <c r="J308">
        <v>1170</v>
      </c>
      <c r="K308" s="32">
        <v>1</v>
      </c>
    </row>
    <row r="309" spans="1:11" x14ac:dyDescent="0.25">
      <c r="A309" s="78"/>
      <c r="B309" s="78"/>
      <c r="D309" s="78"/>
      <c r="E309"/>
      <c r="F309" s="78"/>
      <c r="I309" s="78" t="s">
        <v>630</v>
      </c>
      <c r="J309">
        <v>1170</v>
      </c>
      <c r="K309" s="32">
        <v>1</v>
      </c>
    </row>
    <row r="310" spans="1:11" x14ac:dyDescent="0.25">
      <c r="A310" s="78"/>
      <c r="B310" s="78"/>
      <c r="D310" s="78"/>
      <c r="E310"/>
      <c r="F310" s="78"/>
      <c r="I310" s="78" t="s">
        <v>978</v>
      </c>
      <c r="J310">
        <v>1170</v>
      </c>
      <c r="K310" s="32">
        <v>1</v>
      </c>
    </row>
    <row r="311" spans="1:11" x14ac:dyDescent="0.25">
      <c r="A311" s="78"/>
      <c r="B311" s="78"/>
      <c r="D311" s="78"/>
      <c r="E311"/>
      <c r="F311" s="78"/>
      <c r="I311" s="78" t="s">
        <v>631</v>
      </c>
      <c r="J311">
        <v>1170</v>
      </c>
      <c r="K311" s="32">
        <v>1</v>
      </c>
    </row>
    <row r="312" spans="1:11" x14ac:dyDescent="0.25">
      <c r="A312" s="78"/>
      <c r="B312" s="78"/>
      <c r="D312" s="78"/>
      <c r="E312"/>
      <c r="F312" s="78"/>
      <c r="I312" s="78" t="s">
        <v>633</v>
      </c>
      <c r="J312">
        <v>1170</v>
      </c>
      <c r="K312" s="32">
        <v>1</v>
      </c>
    </row>
    <row r="313" spans="1:11" x14ac:dyDescent="0.25">
      <c r="A313" s="78"/>
      <c r="B313" s="78"/>
      <c r="D313" s="78"/>
      <c r="E313"/>
      <c r="F313" s="78"/>
      <c r="I313" s="78" t="s">
        <v>634</v>
      </c>
      <c r="J313">
        <v>1170</v>
      </c>
      <c r="K313" s="32">
        <v>1</v>
      </c>
    </row>
    <row r="314" spans="1:11" x14ac:dyDescent="0.25">
      <c r="A314" s="78"/>
      <c r="B314" s="78"/>
      <c r="D314" s="78"/>
      <c r="E314"/>
      <c r="F314" s="78"/>
      <c r="I314" s="78" t="s">
        <v>635</v>
      </c>
      <c r="J314">
        <v>1170</v>
      </c>
      <c r="K314" s="32">
        <v>1</v>
      </c>
    </row>
    <row r="315" spans="1:11" x14ac:dyDescent="0.25">
      <c r="A315" s="78"/>
      <c r="B315" s="78"/>
      <c r="D315" s="78"/>
      <c r="E315"/>
      <c r="F315" s="78"/>
      <c r="I315" s="78" t="s">
        <v>636</v>
      </c>
      <c r="J315">
        <v>1170</v>
      </c>
      <c r="K315" s="32">
        <v>1</v>
      </c>
    </row>
    <row r="316" spans="1:11" x14ac:dyDescent="0.25">
      <c r="A316" s="78"/>
      <c r="B316" s="78"/>
      <c r="D316" s="78"/>
      <c r="E316"/>
      <c r="F316" s="78"/>
      <c r="I316" s="78" t="s">
        <v>640</v>
      </c>
      <c r="J316">
        <v>1170</v>
      </c>
      <c r="K316" s="32">
        <v>1</v>
      </c>
    </row>
    <row r="317" spans="1:11" x14ac:dyDescent="0.25">
      <c r="A317" s="78"/>
      <c r="B317" s="78"/>
      <c r="D317" s="78"/>
      <c r="E317"/>
      <c r="F317" s="78"/>
      <c r="I317" s="78" t="s">
        <v>642</v>
      </c>
      <c r="J317">
        <v>1170</v>
      </c>
      <c r="K317" s="32">
        <v>1</v>
      </c>
    </row>
    <row r="318" spans="1:11" x14ac:dyDescent="0.25">
      <c r="A318" s="78"/>
      <c r="B318" s="78"/>
      <c r="D318" s="78"/>
      <c r="E318"/>
      <c r="F318" s="78"/>
      <c r="I318" s="78" t="s">
        <v>644</v>
      </c>
      <c r="J318">
        <v>1170</v>
      </c>
      <c r="K318" s="32">
        <v>1</v>
      </c>
    </row>
    <row r="319" spans="1:11" x14ac:dyDescent="0.25">
      <c r="A319" s="78"/>
      <c r="B319" s="78"/>
      <c r="D319" s="78"/>
      <c r="E319"/>
      <c r="F319" s="78"/>
      <c r="I319" s="78" t="s">
        <v>645</v>
      </c>
      <c r="J319">
        <v>1170</v>
      </c>
      <c r="K319" s="32">
        <v>1</v>
      </c>
    </row>
    <row r="320" spans="1:11" x14ac:dyDescent="0.25">
      <c r="A320" s="78"/>
      <c r="B320" s="78"/>
      <c r="D320" s="78"/>
      <c r="E320"/>
      <c r="F320" s="78"/>
      <c r="I320" s="78" t="s">
        <v>648</v>
      </c>
      <c r="J320">
        <v>1170</v>
      </c>
      <c r="K320" s="32">
        <v>1</v>
      </c>
    </row>
    <row r="321" spans="1:11" x14ac:dyDescent="0.25">
      <c r="A321" s="78"/>
      <c r="B321" s="78"/>
      <c r="D321" s="78"/>
      <c r="E321"/>
      <c r="F321" s="78"/>
      <c r="I321" s="78" t="s">
        <v>649</v>
      </c>
      <c r="J321">
        <v>1170</v>
      </c>
      <c r="K321" s="32">
        <v>1</v>
      </c>
    </row>
    <row r="322" spans="1:11" x14ac:dyDescent="0.25">
      <c r="A322" s="78"/>
      <c r="B322" s="78"/>
      <c r="D322" s="78"/>
      <c r="E322"/>
      <c r="F322" s="78"/>
      <c r="I322" s="78" t="s">
        <v>650</v>
      </c>
      <c r="J322">
        <v>1170</v>
      </c>
      <c r="K322" s="32">
        <v>1</v>
      </c>
    </row>
    <row r="323" spans="1:11" x14ac:dyDescent="0.25">
      <c r="A323" s="78"/>
      <c r="B323" s="78"/>
      <c r="D323" s="78"/>
      <c r="E323"/>
      <c r="F323" s="78"/>
      <c r="I323" s="78" t="s">
        <v>651</v>
      </c>
      <c r="J323">
        <v>1170</v>
      </c>
      <c r="K323" s="32">
        <v>1</v>
      </c>
    </row>
    <row r="324" spans="1:11" x14ac:dyDescent="0.25">
      <c r="A324" s="78"/>
      <c r="B324" s="78"/>
      <c r="D324" s="78"/>
      <c r="E324"/>
      <c r="F324" s="78"/>
      <c r="I324" s="78" t="s">
        <v>652</v>
      </c>
      <c r="J324">
        <v>1170</v>
      </c>
      <c r="K324" s="32">
        <v>1</v>
      </c>
    </row>
    <row r="325" spans="1:11" x14ac:dyDescent="0.25">
      <c r="A325" s="78"/>
      <c r="B325" s="78"/>
      <c r="D325" s="78"/>
      <c r="E325"/>
      <c r="F325" s="78"/>
      <c r="I325" s="78" t="s">
        <v>654</v>
      </c>
      <c r="J325">
        <v>1170</v>
      </c>
      <c r="K325" s="32">
        <v>1</v>
      </c>
    </row>
    <row r="326" spans="1:11" x14ac:dyDescent="0.25">
      <c r="A326" s="78"/>
      <c r="B326" s="78"/>
      <c r="D326" s="78"/>
      <c r="E326"/>
      <c r="F326" s="78"/>
      <c r="I326" s="78" t="s">
        <v>656</v>
      </c>
      <c r="J326">
        <v>1170</v>
      </c>
      <c r="K326" s="32">
        <v>1</v>
      </c>
    </row>
    <row r="327" spans="1:11" x14ac:dyDescent="0.25">
      <c r="A327" s="78"/>
      <c r="B327" s="78"/>
      <c r="D327" s="78"/>
      <c r="E327"/>
      <c r="F327" s="78"/>
      <c r="I327" s="78" t="s">
        <v>658</v>
      </c>
      <c r="J327">
        <v>1170</v>
      </c>
      <c r="K327" s="32">
        <v>1</v>
      </c>
    </row>
    <row r="328" spans="1:11" x14ac:dyDescent="0.25">
      <c r="A328" s="78"/>
      <c r="B328" s="78"/>
      <c r="D328" s="78"/>
      <c r="E328"/>
      <c r="F328" s="78"/>
      <c r="I328" s="78" t="s">
        <v>979</v>
      </c>
      <c r="J328">
        <v>1170</v>
      </c>
      <c r="K328" s="32">
        <v>1</v>
      </c>
    </row>
    <row r="329" spans="1:11" x14ac:dyDescent="0.25">
      <c r="A329" s="78"/>
      <c r="B329" s="78"/>
      <c r="D329" s="78"/>
      <c r="E329"/>
      <c r="F329" s="78"/>
      <c r="I329" s="78" t="s">
        <v>659</v>
      </c>
      <c r="J329">
        <v>1170</v>
      </c>
      <c r="K329" s="32">
        <v>1</v>
      </c>
    </row>
    <row r="330" spans="1:11" x14ac:dyDescent="0.25">
      <c r="A330" s="78"/>
      <c r="B330" s="78"/>
      <c r="D330" s="78"/>
      <c r="E330"/>
      <c r="F330" s="78"/>
      <c r="I330" s="78" t="s">
        <v>660</v>
      </c>
      <c r="J330">
        <v>1170</v>
      </c>
      <c r="K330" s="32">
        <v>1</v>
      </c>
    </row>
    <row r="331" spans="1:11" x14ac:dyDescent="0.25">
      <c r="A331" s="78"/>
      <c r="B331" s="78"/>
      <c r="D331" s="78"/>
      <c r="E331"/>
      <c r="F331" s="78"/>
      <c r="I331" s="78" t="s">
        <v>662</v>
      </c>
      <c r="J331">
        <v>1170</v>
      </c>
      <c r="K331" s="32">
        <v>1</v>
      </c>
    </row>
    <row r="332" spans="1:11" x14ac:dyDescent="0.25">
      <c r="A332" s="78"/>
      <c r="B332" s="78"/>
      <c r="D332" s="78"/>
      <c r="E332"/>
      <c r="F332" s="78"/>
      <c r="I332" s="78" t="s">
        <v>665</v>
      </c>
      <c r="J332">
        <v>1170</v>
      </c>
      <c r="K332" s="32">
        <v>1</v>
      </c>
    </row>
    <row r="333" spans="1:11" x14ac:dyDescent="0.25">
      <c r="A333" s="78"/>
      <c r="B333" s="78"/>
      <c r="D333" s="78"/>
      <c r="E333"/>
      <c r="F333" s="78"/>
      <c r="I333" s="78" t="s">
        <v>666</v>
      </c>
      <c r="J333">
        <v>1170</v>
      </c>
      <c r="K333" s="32">
        <v>1</v>
      </c>
    </row>
    <row r="334" spans="1:11" x14ac:dyDescent="0.25">
      <c r="A334" s="78"/>
      <c r="B334" s="78"/>
      <c r="D334" s="78"/>
      <c r="E334"/>
      <c r="F334" s="78"/>
      <c r="I334" s="78" t="s">
        <v>667</v>
      </c>
      <c r="J334">
        <v>1170</v>
      </c>
      <c r="K334" s="32">
        <v>1</v>
      </c>
    </row>
    <row r="335" spans="1:11" x14ac:dyDescent="0.25">
      <c r="A335" s="78"/>
      <c r="B335" s="78"/>
      <c r="D335" s="78"/>
      <c r="E335"/>
      <c r="F335" s="78"/>
      <c r="I335" s="78" t="s">
        <v>670</v>
      </c>
      <c r="J335">
        <v>1170</v>
      </c>
      <c r="K335" s="32">
        <v>1</v>
      </c>
    </row>
    <row r="336" spans="1:11" x14ac:dyDescent="0.25">
      <c r="A336" s="78"/>
      <c r="B336" s="78"/>
      <c r="D336" s="78"/>
      <c r="E336"/>
      <c r="F336" s="78"/>
      <c r="I336" s="78" t="s">
        <v>671</v>
      </c>
      <c r="J336">
        <v>1170</v>
      </c>
      <c r="K336" s="32">
        <v>1</v>
      </c>
    </row>
    <row r="337" spans="1:11" x14ac:dyDescent="0.25">
      <c r="A337" s="78"/>
      <c r="B337" s="78"/>
      <c r="D337" s="78"/>
      <c r="E337"/>
      <c r="F337" s="78"/>
      <c r="I337" s="78" t="s">
        <v>672</v>
      </c>
      <c r="J337">
        <v>1170</v>
      </c>
      <c r="K337" s="32">
        <v>1</v>
      </c>
    </row>
    <row r="338" spans="1:11" x14ac:dyDescent="0.25">
      <c r="A338" s="78"/>
      <c r="B338" s="78"/>
      <c r="D338" s="78"/>
      <c r="E338"/>
      <c r="F338" s="78"/>
      <c r="I338" s="78" t="s">
        <v>673</v>
      </c>
      <c r="J338">
        <v>1170</v>
      </c>
      <c r="K338" s="32">
        <v>1</v>
      </c>
    </row>
    <row r="339" spans="1:11" x14ac:dyDescent="0.25">
      <c r="A339" s="78"/>
      <c r="B339" s="78"/>
      <c r="D339" s="78"/>
      <c r="E339"/>
      <c r="F339" s="78"/>
      <c r="I339" s="78" t="s">
        <v>674</v>
      </c>
      <c r="J339">
        <v>1170</v>
      </c>
      <c r="K339" s="32">
        <v>1</v>
      </c>
    </row>
    <row r="340" spans="1:11" x14ac:dyDescent="0.25">
      <c r="A340" s="78"/>
      <c r="B340" s="78"/>
      <c r="D340" s="78"/>
      <c r="E340"/>
      <c r="F340" s="78"/>
      <c r="I340" s="78" t="s">
        <v>980</v>
      </c>
      <c r="J340">
        <v>1170</v>
      </c>
      <c r="K340" s="32">
        <v>1</v>
      </c>
    </row>
    <row r="341" spans="1:11" x14ac:dyDescent="0.25">
      <c r="A341" s="78"/>
      <c r="B341" s="78"/>
      <c r="D341" s="78"/>
      <c r="E341"/>
      <c r="F341" s="78"/>
      <c r="I341" s="78" t="s">
        <v>678</v>
      </c>
      <c r="J341">
        <v>1170</v>
      </c>
      <c r="K341" s="32">
        <v>1</v>
      </c>
    </row>
    <row r="342" spans="1:11" x14ac:dyDescent="0.25">
      <c r="A342" s="78"/>
      <c r="B342" s="78"/>
      <c r="D342" s="78"/>
      <c r="E342"/>
      <c r="F342" s="78"/>
      <c r="I342" s="78" t="s">
        <v>679</v>
      </c>
      <c r="J342">
        <v>1170</v>
      </c>
      <c r="K342" s="32">
        <v>1</v>
      </c>
    </row>
    <row r="343" spans="1:11" x14ac:dyDescent="0.25">
      <c r="A343" s="78"/>
      <c r="B343" s="78"/>
      <c r="D343" s="78"/>
      <c r="E343"/>
      <c r="F343" s="78"/>
      <c r="I343" s="78" t="s">
        <v>680</v>
      </c>
      <c r="J343">
        <v>1170</v>
      </c>
      <c r="K343" s="32">
        <v>1</v>
      </c>
    </row>
    <row r="344" spans="1:11" x14ac:dyDescent="0.25">
      <c r="A344" s="78"/>
      <c r="B344" s="78"/>
      <c r="D344" s="78"/>
      <c r="E344"/>
      <c r="F344" s="78"/>
      <c r="I344" s="78" t="s">
        <v>685</v>
      </c>
      <c r="J344">
        <v>1170</v>
      </c>
      <c r="K344" s="32">
        <v>1</v>
      </c>
    </row>
    <row r="345" spans="1:11" x14ac:dyDescent="0.25">
      <c r="A345" s="78"/>
      <c r="B345" s="78"/>
      <c r="D345" s="78"/>
      <c r="E345"/>
      <c r="F345" s="78"/>
      <c r="I345" s="78" t="s">
        <v>686</v>
      </c>
      <c r="J345">
        <v>1170</v>
      </c>
      <c r="K345" s="32">
        <v>1</v>
      </c>
    </row>
    <row r="346" spans="1:11" x14ac:dyDescent="0.25">
      <c r="A346" s="78"/>
      <c r="B346" s="78"/>
      <c r="D346" s="78"/>
      <c r="E346"/>
      <c r="F346" s="78"/>
      <c r="I346" s="78" t="s">
        <v>687</v>
      </c>
      <c r="J346">
        <v>1170</v>
      </c>
      <c r="K346" s="32">
        <v>1</v>
      </c>
    </row>
    <row r="347" spans="1:11" x14ac:dyDescent="0.25">
      <c r="A347" s="78"/>
      <c r="B347" s="78"/>
      <c r="D347" s="78"/>
      <c r="E347"/>
      <c r="F347" s="78"/>
      <c r="I347" s="78" t="s">
        <v>688</v>
      </c>
      <c r="J347">
        <v>1170</v>
      </c>
      <c r="K347" s="32">
        <v>1</v>
      </c>
    </row>
    <row r="348" spans="1:11" x14ac:dyDescent="0.25">
      <c r="A348" s="78"/>
      <c r="B348" s="78"/>
      <c r="D348" s="78"/>
      <c r="E348"/>
      <c r="F348" s="78"/>
      <c r="I348" s="78" t="s">
        <v>981</v>
      </c>
      <c r="J348">
        <v>1170</v>
      </c>
      <c r="K348" s="32">
        <v>1</v>
      </c>
    </row>
    <row r="349" spans="1:11" x14ac:dyDescent="0.25">
      <c r="A349" s="78"/>
      <c r="B349" s="78"/>
      <c r="D349" s="78"/>
      <c r="E349"/>
      <c r="F349" s="78"/>
      <c r="I349" s="78" t="s">
        <v>691</v>
      </c>
      <c r="J349">
        <v>1170</v>
      </c>
      <c r="K349" s="32">
        <v>1</v>
      </c>
    </row>
    <row r="350" spans="1:11" x14ac:dyDescent="0.25">
      <c r="A350" s="78"/>
      <c r="B350" s="78"/>
      <c r="D350" s="78"/>
      <c r="E350"/>
      <c r="F350" s="78"/>
      <c r="I350" s="78" t="s">
        <v>982</v>
      </c>
      <c r="J350">
        <v>1170</v>
      </c>
      <c r="K350" s="32">
        <v>1</v>
      </c>
    </row>
    <row r="351" spans="1:11" x14ac:dyDescent="0.25">
      <c r="A351" s="78"/>
      <c r="B351" s="78"/>
      <c r="D351" s="78"/>
      <c r="E351"/>
      <c r="F351" s="78"/>
      <c r="I351" s="78" t="s">
        <v>700</v>
      </c>
      <c r="J351">
        <v>1170</v>
      </c>
      <c r="K351" s="32">
        <v>1</v>
      </c>
    </row>
    <row r="352" spans="1:11" x14ac:dyDescent="0.25">
      <c r="A352" s="78"/>
      <c r="B352" s="78"/>
      <c r="D352" s="78"/>
      <c r="E352"/>
      <c r="F352" s="78"/>
      <c r="I352" s="78" t="s">
        <v>702</v>
      </c>
      <c r="J352">
        <v>1170</v>
      </c>
      <c r="K352" s="32">
        <v>1</v>
      </c>
    </row>
    <row r="353" spans="1:11" x14ac:dyDescent="0.25">
      <c r="A353" s="78"/>
      <c r="B353" s="78"/>
      <c r="D353" s="78"/>
      <c r="E353"/>
      <c r="F353" s="78"/>
      <c r="I353" s="78" t="s">
        <v>703</v>
      </c>
      <c r="J353">
        <v>1170</v>
      </c>
      <c r="K353" s="32">
        <v>1</v>
      </c>
    </row>
    <row r="354" spans="1:11" x14ac:dyDescent="0.25">
      <c r="A354" s="78"/>
      <c r="B354" s="78"/>
      <c r="D354" s="78"/>
      <c r="E354"/>
      <c r="F354" s="78"/>
      <c r="I354" s="78" t="s">
        <v>704</v>
      </c>
      <c r="J354">
        <v>1170</v>
      </c>
      <c r="K354" s="32">
        <v>1</v>
      </c>
    </row>
    <row r="355" spans="1:11" x14ac:dyDescent="0.25">
      <c r="A355" s="78"/>
      <c r="B355" s="78"/>
      <c r="D355" s="78"/>
      <c r="E355"/>
      <c r="F355" s="78"/>
      <c r="I355" s="78" t="s">
        <v>706</v>
      </c>
      <c r="J355">
        <v>1170</v>
      </c>
      <c r="K355" s="32">
        <v>1</v>
      </c>
    </row>
    <row r="356" spans="1:11" x14ac:dyDescent="0.25">
      <c r="A356" s="78"/>
      <c r="B356" s="78"/>
      <c r="D356" s="78"/>
      <c r="E356"/>
      <c r="F356" s="78"/>
      <c r="I356" s="78" t="s">
        <v>707</v>
      </c>
      <c r="J356">
        <v>1170</v>
      </c>
      <c r="K356" s="32">
        <v>1</v>
      </c>
    </row>
    <row r="357" spans="1:11" x14ac:dyDescent="0.25">
      <c r="A357" s="78"/>
      <c r="B357" s="78"/>
      <c r="D357" s="78"/>
      <c r="E357"/>
      <c r="F357" s="78"/>
      <c r="I357" s="78" t="s">
        <v>710</v>
      </c>
      <c r="J357">
        <v>1170</v>
      </c>
      <c r="K357" s="32">
        <v>1</v>
      </c>
    </row>
    <row r="358" spans="1:11" x14ac:dyDescent="0.25">
      <c r="A358" s="78"/>
      <c r="B358" s="78"/>
      <c r="D358" s="78"/>
      <c r="E358"/>
      <c r="F358" s="78"/>
      <c r="I358" s="78" t="s">
        <v>983</v>
      </c>
      <c r="J358">
        <v>1170</v>
      </c>
      <c r="K358" s="32">
        <v>1</v>
      </c>
    </row>
    <row r="359" spans="1:11" x14ac:dyDescent="0.25">
      <c r="A359" s="78"/>
      <c r="B359" s="78"/>
      <c r="D359" s="78"/>
      <c r="E359"/>
      <c r="F359" s="78"/>
      <c r="I359" s="78" t="s">
        <v>711</v>
      </c>
      <c r="J359">
        <v>1170</v>
      </c>
      <c r="K359" s="32">
        <v>1</v>
      </c>
    </row>
    <row r="360" spans="1:11" x14ac:dyDescent="0.25">
      <c r="A360" s="78"/>
      <c r="B360" s="78"/>
      <c r="D360" s="78"/>
      <c r="E360"/>
      <c r="F360" s="78"/>
      <c r="I360" s="78" t="s">
        <v>712</v>
      </c>
      <c r="J360">
        <v>1170</v>
      </c>
      <c r="K360" s="32">
        <v>1</v>
      </c>
    </row>
    <row r="361" spans="1:11" x14ac:dyDescent="0.25">
      <c r="A361" s="78"/>
      <c r="B361" s="78"/>
      <c r="D361" s="78"/>
      <c r="E361"/>
      <c r="F361" s="78"/>
      <c r="I361" s="78" t="s">
        <v>714</v>
      </c>
      <c r="J361">
        <v>1170</v>
      </c>
      <c r="K361" s="32">
        <v>1</v>
      </c>
    </row>
    <row r="362" spans="1:11" x14ac:dyDescent="0.25">
      <c r="A362" s="78"/>
      <c r="B362" s="78"/>
      <c r="D362" s="78"/>
      <c r="E362"/>
      <c r="F362" s="78"/>
      <c r="I362" s="78" t="s">
        <v>984</v>
      </c>
      <c r="J362">
        <v>1170</v>
      </c>
      <c r="K362" s="32">
        <v>1</v>
      </c>
    </row>
    <row r="363" spans="1:11" x14ac:dyDescent="0.25">
      <c r="A363" s="78"/>
      <c r="B363" s="78"/>
      <c r="D363" s="78"/>
      <c r="E363"/>
      <c r="F363" s="78"/>
      <c r="I363" s="78" t="s">
        <v>715</v>
      </c>
      <c r="J363">
        <v>1170</v>
      </c>
      <c r="K363" s="32">
        <v>1</v>
      </c>
    </row>
    <row r="364" spans="1:11" x14ac:dyDescent="0.25">
      <c r="A364" s="78"/>
      <c r="B364" s="78"/>
      <c r="D364" s="78"/>
      <c r="E364"/>
      <c r="F364" s="78"/>
      <c r="I364" s="78" t="s">
        <v>985</v>
      </c>
      <c r="J364">
        <v>1170</v>
      </c>
      <c r="K364" s="32">
        <v>1</v>
      </c>
    </row>
    <row r="365" spans="1:11" x14ac:dyDescent="0.25">
      <c r="A365" s="78"/>
      <c r="B365" s="78"/>
      <c r="D365" s="78"/>
      <c r="E365"/>
      <c r="F365" s="78"/>
      <c r="I365" s="78" t="s">
        <v>716</v>
      </c>
      <c r="J365">
        <v>1170</v>
      </c>
      <c r="K365" s="32">
        <v>1</v>
      </c>
    </row>
    <row r="366" spans="1:11" x14ac:dyDescent="0.25">
      <c r="A366" s="78"/>
      <c r="B366" s="78"/>
      <c r="D366" s="78"/>
      <c r="E366"/>
      <c r="F366" s="78"/>
      <c r="I366" s="78" t="s">
        <v>717</v>
      </c>
      <c r="J366">
        <v>1170</v>
      </c>
      <c r="K366" s="32">
        <v>1</v>
      </c>
    </row>
    <row r="367" spans="1:11" x14ac:dyDescent="0.25">
      <c r="A367" s="78"/>
      <c r="B367" s="78"/>
      <c r="D367" s="78"/>
      <c r="E367"/>
      <c r="F367" s="78"/>
      <c r="I367" s="78" t="s">
        <v>718</v>
      </c>
      <c r="J367">
        <v>1170</v>
      </c>
      <c r="K367" s="32">
        <v>1</v>
      </c>
    </row>
    <row r="368" spans="1:11" x14ac:dyDescent="0.25">
      <c r="A368" s="78"/>
      <c r="B368" s="78"/>
      <c r="D368" s="78"/>
      <c r="E368"/>
      <c r="F368" s="78"/>
      <c r="I368" s="78" t="s">
        <v>719</v>
      </c>
      <c r="J368">
        <v>1170</v>
      </c>
      <c r="K368" s="32">
        <v>1</v>
      </c>
    </row>
    <row r="369" spans="1:11" x14ac:dyDescent="0.25">
      <c r="A369" s="78"/>
      <c r="B369" s="78"/>
      <c r="D369" s="78"/>
      <c r="E369"/>
      <c r="F369" s="78"/>
      <c r="I369" s="78" t="s">
        <v>724</v>
      </c>
      <c r="J369">
        <v>1170</v>
      </c>
      <c r="K369" s="32">
        <v>1</v>
      </c>
    </row>
    <row r="370" spans="1:11" x14ac:dyDescent="0.25">
      <c r="A370" s="78"/>
      <c r="B370" s="78"/>
      <c r="D370" s="78"/>
      <c r="E370"/>
      <c r="F370" s="78"/>
      <c r="I370" s="78" t="s">
        <v>986</v>
      </c>
      <c r="J370">
        <v>1170</v>
      </c>
      <c r="K370" s="32">
        <v>1</v>
      </c>
    </row>
    <row r="371" spans="1:11" x14ac:dyDescent="0.25">
      <c r="A371" s="78"/>
      <c r="B371" s="78"/>
      <c r="D371" s="78"/>
      <c r="E371"/>
      <c r="F371" s="78"/>
      <c r="I371" s="78" t="s">
        <v>725</v>
      </c>
      <c r="J371">
        <v>1170</v>
      </c>
      <c r="K371" s="32">
        <v>1</v>
      </c>
    </row>
    <row r="372" spans="1:11" x14ac:dyDescent="0.25">
      <c r="A372" s="78"/>
      <c r="B372" s="78"/>
      <c r="D372" s="78"/>
      <c r="E372"/>
      <c r="F372" s="78"/>
      <c r="I372" s="78" t="s">
        <v>728</v>
      </c>
      <c r="J372">
        <v>1170</v>
      </c>
      <c r="K372" s="32">
        <v>1</v>
      </c>
    </row>
    <row r="373" spans="1:11" x14ac:dyDescent="0.25">
      <c r="A373" s="78"/>
      <c r="B373" s="78"/>
      <c r="D373" s="78"/>
      <c r="E373"/>
      <c r="F373" s="78"/>
      <c r="I373" s="78" t="s">
        <v>729</v>
      </c>
      <c r="J373">
        <v>1170</v>
      </c>
      <c r="K373" s="32">
        <v>1</v>
      </c>
    </row>
    <row r="374" spans="1:11" x14ac:dyDescent="0.25">
      <c r="A374" s="78"/>
      <c r="B374" s="78"/>
      <c r="D374" s="78"/>
      <c r="E374"/>
      <c r="F374" s="78"/>
      <c r="I374" s="78" t="s">
        <v>987</v>
      </c>
      <c r="J374">
        <v>1170</v>
      </c>
      <c r="K374" s="32">
        <v>1</v>
      </c>
    </row>
    <row r="375" spans="1:11" x14ac:dyDescent="0.25">
      <c r="A375" s="78"/>
      <c r="B375" s="78"/>
      <c r="D375" s="78"/>
      <c r="E375"/>
      <c r="F375" s="78"/>
      <c r="I375" s="78" t="s">
        <v>988</v>
      </c>
      <c r="J375">
        <v>1170</v>
      </c>
      <c r="K375" s="32">
        <v>1</v>
      </c>
    </row>
    <row r="376" spans="1:11" x14ac:dyDescent="0.25">
      <c r="A376" s="78"/>
      <c r="B376" s="78"/>
      <c r="D376" s="78"/>
      <c r="E376"/>
      <c r="F376" s="78"/>
      <c r="I376" s="78" t="s">
        <v>733</v>
      </c>
      <c r="J376">
        <v>1170</v>
      </c>
      <c r="K376" s="32">
        <v>1</v>
      </c>
    </row>
    <row r="377" spans="1:11" x14ac:dyDescent="0.25">
      <c r="A377" s="78"/>
      <c r="B377" s="78"/>
      <c r="D377" s="78"/>
      <c r="E377"/>
      <c r="F377" s="78"/>
      <c r="I377" s="78" t="s">
        <v>734</v>
      </c>
      <c r="J377">
        <v>1170</v>
      </c>
      <c r="K377" s="32">
        <v>1</v>
      </c>
    </row>
    <row r="378" spans="1:11" x14ac:dyDescent="0.25">
      <c r="A378" s="78"/>
      <c r="B378" s="78"/>
      <c r="D378" s="78"/>
      <c r="E378"/>
      <c r="F378" s="78"/>
      <c r="I378" s="78" t="s">
        <v>736</v>
      </c>
      <c r="J378">
        <v>1170</v>
      </c>
      <c r="K378" s="32">
        <v>1</v>
      </c>
    </row>
    <row r="379" spans="1:11" x14ac:dyDescent="0.25">
      <c r="A379" s="78"/>
      <c r="B379" s="78"/>
      <c r="D379" s="78"/>
      <c r="E379"/>
      <c r="F379" s="78"/>
      <c r="I379" s="78" t="s">
        <v>989</v>
      </c>
      <c r="J379">
        <v>1170</v>
      </c>
      <c r="K379" s="32">
        <v>1</v>
      </c>
    </row>
    <row r="380" spans="1:11" x14ac:dyDescent="0.25">
      <c r="A380" s="78"/>
      <c r="B380" s="78"/>
      <c r="D380" s="78"/>
      <c r="E380"/>
      <c r="F380" s="78"/>
      <c r="I380" s="78" t="s">
        <v>737</v>
      </c>
      <c r="J380">
        <v>1170</v>
      </c>
      <c r="K380" s="32">
        <v>1</v>
      </c>
    </row>
    <row r="381" spans="1:11" x14ac:dyDescent="0.25">
      <c r="A381" s="78"/>
      <c r="B381" s="78"/>
      <c r="D381" s="78"/>
      <c r="E381"/>
      <c r="F381" s="78"/>
      <c r="I381" s="78" t="s">
        <v>740</v>
      </c>
      <c r="J381">
        <v>1170</v>
      </c>
      <c r="K381" s="32">
        <v>1</v>
      </c>
    </row>
    <row r="382" spans="1:11" x14ac:dyDescent="0.25">
      <c r="A382" s="78"/>
      <c r="B382" s="78"/>
      <c r="D382" s="78"/>
      <c r="E382"/>
      <c r="F382" s="78"/>
      <c r="I382" s="78" t="s">
        <v>741</v>
      </c>
      <c r="J382">
        <v>1170</v>
      </c>
      <c r="K382" s="32">
        <v>1</v>
      </c>
    </row>
    <row r="383" spans="1:11" x14ac:dyDescent="0.25">
      <c r="A383" s="78"/>
      <c r="B383" s="78"/>
      <c r="D383" s="78"/>
      <c r="E383"/>
      <c r="F383" s="78"/>
      <c r="I383" s="78" t="s">
        <v>742</v>
      </c>
      <c r="J383">
        <v>1170</v>
      </c>
      <c r="K383" s="32">
        <v>1</v>
      </c>
    </row>
    <row r="384" spans="1:11" x14ac:dyDescent="0.25">
      <c r="A384" s="78"/>
      <c r="B384" s="78"/>
      <c r="D384" s="78"/>
      <c r="E384"/>
      <c r="F384" s="78"/>
      <c r="I384" s="78" t="s">
        <v>990</v>
      </c>
      <c r="J384">
        <v>1170</v>
      </c>
      <c r="K384" s="32">
        <v>1</v>
      </c>
    </row>
    <row r="385" spans="1:11" x14ac:dyDescent="0.25">
      <c r="A385" s="78"/>
      <c r="B385" s="78"/>
      <c r="D385" s="78"/>
      <c r="E385"/>
      <c r="F385" s="78"/>
      <c r="I385" s="78" t="s">
        <v>744</v>
      </c>
      <c r="J385">
        <v>1170</v>
      </c>
      <c r="K385" s="32">
        <v>1</v>
      </c>
    </row>
    <row r="386" spans="1:11" x14ac:dyDescent="0.25">
      <c r="A386" s="78"/>
      <c r="B386" s="78"/>
      <c r="D386" s="78"/>
      <c r="E386"/>
      <c r="F386" s="78"/>
      <c r="I386" s="78" t="s">
        <v>746</v>
      </c>
      <c r="J386">
        <v>1170</v>
      </c>
      <c r="K386" s="32">
        <v>1</v>
      </c>
    </row>
    <row r="387" spans="1:11" x14ac:dyDescent="0.25">
      <c r="A387" s="78"/>
      <c r="B387" s="78"/>
      <c r="D387" s="78"/>
      <c r="E387"/>
      <c r="F387" s="78"/>
      <c r="I387" s="78" t="s">
        <v>747</v>
      </c>
      <c r="J387">
        <v>1170</v>
      </c>
      <c r="K387" s="32">
        <v>1</v>
      </c>
    </row>
    <row r="388" spans="1:11" x14ac:dyDescent="0.25">
      <c r="A388" s="78"/>
      <c r="B388" s="78"/>
      <c r="D388" s="78"/>
      <c r="E388"/>
      <c r="F388" s="78"/>
      <c r="I388" s="78" t="s">
        <v>748</v>
      </c>
      <c r="J388">
        <v>1170</v>
      </c>
      <c r="K388" s="32">
        <v>1</v>
      </c>
    </row>
    <row r="389" spans="1:11" x14ac:dyDescent="0.25">
      <c r="A389" s="78"/>
      <c r="B389" s="78"/>
      <c r="D389" s="78"/>
      <c r="E389"/>
      <c r="F389" s="78"/>
      <c r="I389" s="78" t="s">
        <v>749</v>
      </c>
      <c r="J389">
        <v>1170</v>
      </c>
      <c r="K389" s="32">
        <v>1</v>
      </c>
    </row>
    <row r="390" spans="1:11" x14ac:dyDescent="0.25">
      <c r="A390" s="78"/>
      <c r="B390" s="78"/>
      <c r="D390" s="78"/>
      <c r="E390"/>
      <c r="F390" s="78"/>
      <c r="I390" s="78" t="s">
        <v>72</v>
      </c>
      <c r="J390">
        <v>1170</v>
      </c>
      <c r="K390" s="32">
        <v>1</v>
      </c>
    </row>
    <row r="391" spans="1:11" x14ac:dyDescent="0.25">
      <c r="A391" s="78"/>
      <c r="B391" s="78"/>
      <c r="D391" s="78"/>
      <c r="E391"/>
      <c r="F391" s="78"/>
      <c r="I391" s="78" t="s">
        <v>751</v>
      </c>
      <c r="J391">
        <v>1170</v>
      </c>
      <c r="K391" s="32">
        <v>1</v>
      </c>
    </row>
    <row r="392" spans="1:11" x14ac:dyDescent="0.25">
      <c r="A392" s="78"/>
      <c r="B392" s="78"/>
      <c r="D392" s="78"/>
      <c r="E392"/>
      <c r="F392" s="78"/>
      <c r="I392" s="78" t="s">
        <v>752</v>
      </c>
      <c r="J392">
        <v>1170</v>
      </c>
      <c r="K392" s="32">
        <v>1</v>
      </c>
    </row>
    <row r="393" spans="1:11" x14ac:dyDescent="0.25">
      <c r="A393" s="78"/>
      <c r="B393" s="78"/>
      <c r="D393" s="78"/>
      <c r="E393"/>
      <c r="F393" s="78"/>
      <c r="I393" s="78" t="s">
        <v>753</v>
      </c>
      <c r="J393">
        <v>1170</v>
      </c>
      <c r="K393" s="32">
        <v>1</v>
      </c>
    </row>
    <row r="394" spans="1:11" x14ac:dyDescent="0.25">
      <c r="A394" s="78"/>
      <c r="B394" s="78"/>
      <c r="D394" s="78"/>
      <c r="E394"/>
      <c r="F394" s="78"/>
      <c r="I394" s="78" t="s">
        <v>991</v>
      </c>
      <c r="J394">
        <v>1170</v>
      </c>
      <c r="K394" s="32">
        <v>1</v>
      </c>
    </row>
    <row r="395" spans="1:11" x14ac:dyDescent="0.25">
      <c r="A395" s="78"/>
      <c r="B395" s="78"/>
      <c r="D395" s="78"/>
      <c r="E395"/>
      <c r="F395" s="78"/>
      <c r="I395" s="78" t="s">
        <v>992</v>
      </c>
      <c r="J395">
        <v>1170</v>
      </c>
      <c r="K395" s="32">
        <v>1</v>
      </c>
    </row>
    <row r="396" spans="1:11" x14ac:dyDescent="0.25">
      <c r="A396" s="78"/>
      <c r="B396" s="78"/>
      <c r="D396" s="78"/>
      <c r="E396"/>
      <c r="F396" s="78"/>
      <c r="I396" s="78" t="s">
        <v>755</v>
      </c>
      <c r="J396">
        <v>1170</v>
      </c>
      <c r="K396" s="32">
        <v>1</v>
      </c>
    </row>
    <row r="397" spans="1:11" x14ac:dyDescent="0.25">
      <c r="A397" s="78"/>
      <c r="B397" s="78"/>
      <c r="D397" s="78"/>
      <c r="E397"/>
      <c r="F397" s="78"/>
      <c r="I397" s="78" t="s">
        <v>757</v>
      </c>
      <c r="J397">
        <v>1170</v>
      </c>
      <c r="K397" s="32">
        <v>1</v>
      </c>
    </row>
    <row r="398" spans="1:11" x14ac:dyDescent="0.25">
      <c r="A398" s="78"/>
      <c r="B398" s="78"/>
      <c r="D398" s="78"/>
      <c r="E398"/>
      <c r="F398" s="78"/>
      <c r="I398" s="78" t="s">
        <v>758</v>
      </c>
      <c r="J398">
        <v>1170</v>
      </c>
      <c r="K398" s="32">
        <v>1</v>
      </c>
    </row>
    <row r="399" spans="1:11" x14ac:dyDescent="0.25">
      <c r="A399" s="78"/>
      <c r="B399" s="78"/>
      <c r="D399" s="78"/>
      <c r="E399"/>
      <c r="F399" s="78"/>
      <c r="I399" s="78" t="s">
        <v>759</v>
      </c>
      <c r="J399">
        <v>1170</v>
      </c>
      <c r="K399" s="32">
        <v>1</v>
      </c>
    </row>
    <row r="400" spans="1:11" x14ac:dyDescent="0.25">
      <c r="A400" s="78"/>
      <c r="B400" s="78"/>
      <c r="D400" s="78"/>
      <c r="E400"/>
      <c r="F400" s="78"/>
      <c r="I400" s="78" t="s">
        <v>762</v>
      </c>
      <c r="J400">
        <v>1170</v>
      </c>
      <c r="K400" s="32">
        <v>1</v>
      </c>
    </row>
    <row r="401" spans="1:11" x14ac:dyDescent="0.25">
      <c r="A401" s="78"/>
      <c r="B401" s="78"/>
      <c r="D401" s="78"/>
      <c r="E401"/>
      <c r="F401" s="78"/>
      <c r="I401" s="78" t="s">
        <v>763</v>
      </c>
      <c r="J401">
        <v>1170</v>
      </c>
      <c r="K401" s="32">
        <v>1</v>
      </c>
    </row>
    <row r="402" spans="1:11" x14ac:dyDescent="0.25">
      <c r="A402" s="78"/>
      <c r="B402" s="78"/>
      <c r="D402" s="78"/>
      <c r="E402"/>
      <c r="F402" s="78"/>
      <c r="I402" s="78" t="s">
        <v>765</v>
      </c>
      <c r="J402">
        <v>1170</v>
      </c>
      <c r="K402" s="32">
        <v>1</v>
      </c>
    </row>
    <row r="403" spans="1:11" x14ac:dyDescent="0.25">
      <c r="A403" s="78"/>
      <c r="B403" s="78"/>
      <c r="D403" s="78"/>
      <c r="E403"/>
      <c r="F403" s="78"/>
      <c r="I403" s="78" t="s">
        <v>767</v>
      </c>
      <c r="J403">
        <v>1170</v>
      </c>
      <c r="K403" s="32">
        <v>1</v>
      </c>
    </row>
    <row r="404" spans="1:11" x14ac:dyDescent="0.25">
      <c r="A404" s="78"/>
      <c r="B404" s="78"/>
      <c r="D404" s="78"/>
      <c r="E404"/>
      <c r="F404" s="78"/>
      <c r="I404" s="78" t="s">
        <v>770</v>
      </c>
      <c r="J404">
        <v>1170</v>
      </c>
      <c r="K404" s="32">
        <v>1</v>
      </c>
    </row>
    <row r="405" spans="1:11" x14ac:dyDescent="0.25">
      <c r="A405" s="78"/>
      <c r="B405" s="78"/>
      <c r="D405" s="78"/>
      <c r="E405"/>
      <c r="F405" s="78"/>
      <c r="I405" s="78" t="s">
        <v>771</v>
      </c>
      <c r="J405">
        <v>1170</v>
      </c>
      <c r="K405" s="32">
        <v>1</v>
      </c>
    </row>
    <row r="406" spans="1:11" x14ac:dyDescent="0.25">
      <c r="A406" s="78"/>
      <c r="B406" s="78"/>
      <c r="D406" s="78"/>
      <c r="E406"/>
      <c r="F406" s="78"/>
      <c r="I406" s="78" t="s">
        <v>776</v>
      </c>
      <c r="J406">
        <v>1170</v>
      </c>
      <c r="K406" s="32">
        <v>1</v>
      </c>
    </row>
    <row r="407" spans="1:11" x14ac:dyDescent="0.25">
      <c r="A407" s="78"/>
      <c r="B407" s="78"/>
      <c r="D407" s="78"/>
      <c r="E407"/>
      <c r="F407" s="78"/>
      <c r="I407" s="78" t="s">
        <v>994</v>
      </c>
      <c r="J407">
        <v>1170</v>
      </c>
      <c r="K407" s="32">
        <v>1</v>
      </c>
    </row>
    <row r="408" spans="1:11" x14ac:dyDescent="0.25">
      <c r="A408" s="78"/>
      <c r="B408" s="78"/>
      <c r="D408" s="78"/>
      <c r="E408"/>
      <c r="F408" s="78"/>
      <c r="G408" t="s">
        <v>1768</v>
      </c>
      <c r="K408" s="32">
        <v>140</v>
      </c>
    </row>
    <row r="409" spans="1:11" x14ac:dyDescent="0.25">
      <c r="A409" s="78"/>
      <c r="B409" s="78"/>
      <c r="D409" s="78"/>
      <c r="E409"/>
      <c r="F409" s="78"/>
      <c r="G409" t="s">
        <v>916</v>
      </c>
      <c r="H409" s="78" t="s">
        <v>43</v>
      </c>
      <c r="I409" s="78" t="s">
        <v>582</v>
      </c>
      <c r="J409">
        <v>1170</v>
      </c>
      <c r="K409" s="32">
        <v>1</v>
      </c>
    </row>
    <row r="410" spans="1:11" x14ac:dyDescent="0.25">
      <c r="A410" s="78"/>
      <c r="B410" s="78"/>
      <c r="D410" s="78"/>
      <c r="E410"/>
      <c r="F410" s="78"/>
      <c r="H410" s="78" t="s">
        <v>33</v>
      </c>
      <c r="I410" s="78" t="s">
        <v>154</v>
      </c>
      <c r="J410">
        <v>1170</v>
      </c>
      <c r="K410" s="32">
        <v>1</v>
      </c>
    </row>
    <row r="411" spans="1:11" x14ac:dyDescent="0.25">
      <c r="A411" s="78"/>
      <c r="B411" s="78"/>
      <c r="D411" s="78"/>
      <c r="E411"/>
      <c r="F411" s="78"/>
      <c r="H411" s="78"/>
      <c r="I411" s="78" t="s">
        <v>690</v>
      </c>
      <c r="J411">
        <v>1170</v>
      </c>
      <c r="K411" s="32">
        <v>1</v>
      </c>
    </row>
    <row r="412" spans="1:11" x14ac:dyDescent="0.25">
      <c r="A412" s="78"/>
      <c r="B412" s="78"/>
      <c r="D412" s="78"/>
      <c r="E412"/>
      <c r="F412" s="78"/>
      <c r="H412" s="78"/>
      <c r="I412" s="78" t="s">
        <v>214</v>
      </c>
      <c r="J412">
        <v>1170</v>
      </c>
      <c r="K412" s="32">
        <v>1</v>
      </c>
    </row>
    <row r="413" spans="1:11" x14ac:dyDescent="0.25">
      <c r="A413" s="78"/>
      <c r="B413" s="78"/>
      <c r="D413" s="78"/>
      <c r="E413"/>
      <c r="F413" s="78"/>
      <c r="H413" s="78" t="s">
        <v>53</v>
      </c>
      <c r="I413" s="78" t="s">
        <v>629</v>
      </c>
      <c r="J413">
        <v>1170</v>
      </c>
      <c r="K413" s="32">
        <v>1</v>
      </c>
    </row>
    <row r="414" spans="1:11" x14ac:dyDescent="0.25">
      <c r="A414" s="78"/>
      <c r="B414" s="78"/>
      <c r="D414" s="78"/>
      <c r="E414"/>
      <c r="F414" s="78"/>
      <c r="H414" s="78"/>
      <c r="I414" s="78" t="s">
        <v>722</v>
      </c>
      <c r="J414">
        <v>1170</v>
      </c>
      <c r="K414" s="32">
        <v>1</v>
      </c>
    </row>
    <row r="415" spans="1:11" x14ac:dyDescent="0.25">
      <c r="A415" s="78"/>
      <c r="B415" s="78"/>
      <c r="D415" s="78"/>
      <c r="E415"/>
      <c r="F415" s="78"/>
      <c r="H415" s="78"/>
      <c r="I415" s="78" t="s">
        <v>735</v>
      </c>
      <c r="J415">
        <v>1170</v>
      </c>
      <c r="K415" s="32">
        <v>1</v>
      </c>
    </row>
    <row r="416" spans="1:11" x14ac:dyDescent="0.25">
      <c r="A416" s="78"/>
      <c r="B416" s="78"/>
      <c r="D416" s="78"/>
      <c r="E416"/>
      <c r="F416" s="78"/>
      <c r="H416" s="78"/>
      <c r="I416" s="78" t="s">
        <v>993</v>
      </c>
      <c r="J416">
        <v>1170</v>
      </c>
      <c r="K416" s="32">
        <v>1</v>
      </c>
    </row>
    <row r="417" spans="1:11" x14ac:dyDescent="0.25">
      <c r="A417" s="78"/>
      <c r="B417" s="78"/>
      <c r="D417" s="78"/>
      <c r="E417"/>
      <c r="F417" s="78"/>
      <c r="H417" s="78" t="s">
        <v>30</v>
      </c>
      <c r="I417" s="78" t="s">
        <v>559</v>
      </c>
      <c r="J417">
        <v>1170</v>
      </c>
      <c r="K417" s="32">
        <v>1</v>
      </c>
    </row>
    <row r="418" spans="1:11" x14ac:dyDescent="0.25">
      <c r="A418" s="78"/>
      <c r="B418" s="78"/>
      <c r="D418" s="78"/>
      <c r="E418"/>
      <c r="F418" s="78"/>
      <c r="H418" s="78"/>
      <c r="I418" s="78" t="s">
        <v>579</v>
      </c>
      <c r="J418">
        <v>1170</v>
      </c>
      <c r="K418" s="32">
        <v>1</v>
      </c>
    </row>
    <row r="419" spans="1:11" x14ac:dyDescent="0.25">
      <c r="A419" s="78"/>
      <c r="B419" s="78"/>
      <c r="D419" s="78"/>
      <c r="E419"/>
      <c r="F419" s="78"/>
      <c r="H419" s="78"/>
      <c r="I419" s="78" t="s">
        <v>580</v>
      </c>
      <c r="J419">
        <v>1170</v>
      </c>
      <c r="K419" s="32">
        <v>1</v>
      </c>
    </row>
    <row r="420" spans="1:11" x14ac:dyDescent="0.25">
      <c r="A420" s="78"/>
      <c r="B420" s="78"/>
      <c r="D420" s="78"/>
      <c r="E420"/>
      <c r="F420" s="78"/>
      <c r="H420" s="78"/>
      <c r="I420" s="78" t="s">
        <v>615</v>
      </c>
      <c r="J420">
        <v>1170</v>
      </c>
      <c r="K420" s="32">
        <v>1</v>
      </c>
    </row>
    <row r="421" spans="1:11" x14ac:dyDescent="0.25">
      <c r="A421" s="78"/>
      <c r="B421" s="78"/>
      <c r="D421" s="78"/>
      <c r="E421"/>
      <c r="F421" s="78"/>
      <c r="H421" s="78"/>
      <c r="I421" s="78" t="s">
        <v>646</v>
      </c>
      <c r="J421">
        <v>1170</v>
      </c>
      <c r="K421" s="32">
        <v>1</v>
      </c>
    </row>
    <row r="422" spans="1:11" x14ac:dyDescent="0.25">
      <c r="A422" s="78"/>
      <c r="B422" s="78"/>
      <c r="D422" s="78"/>
      <c r="E422"/>
      <c r="F422" s="78"/>
      <c r="H422" s="78"/>
      <c r="I422" s="78" t="s">
        <v>647</v>
      </c>
      <c r="J422">
        <v>1170</v>
      </c>
      <c r="K422" s="32">
        <v>1</v>
      </c>
    </row>
    <row r="423" spans="1:11" x14ac:dyDescent="0.25">
      <c r="A423" s="78"/>
      <c r="B423" s="78"/>
      <c r="D423" s="78"/>
      <c r="E423"/>
      <c r="F423" s="78"/>
      <c r="H423" s="78"/>
      <c r="I423" s="78" t="s">
        <v>698</v>
      </c>
      <c r="J423">
        <v>1170</v>
      </c>
      <c r="K423" s="32">
        <v>1</v>
      </c>
    </row>
    <row r="424" spans="1:11" x14ac:dyDescent="0.25">
      <c r="A424" s="78"/>
      <c r="B424" s="78"/>
      <c r="D424" s="78"/>
      <c r="E424"/>
      <c r="F424" s="78"/>
      <c r="H424" s="78"/>
      <c r="I424" s="78" t="s">
        <v>723</v>
      </c>
      <c r="J424">
        <v>1170</v>
      </c>
      <c r="K424" s="32">
        <v>1</v>
      </c>
    </row>
    <row r="425" spans="1:11" x14ac:dyDescent="0.25">
      <c r="A425" s="78"/>
      <c r="B425" s="78"/>
      <c r="D425" s="78"/>
      <c r="E425"/>
      <c r="F425" s="78"/>
      <c r="H425" s="78"/>
      <c r="I425" s="78" t="s">
        <v>726</v>
      </c>
      <c r="J425">
        <v>1170</v>
      </c>
      <c r="K425" s="32">
        <v>1</v>
      </c>
    </row>
    <row r="426" spans="1:11" x14ac:dyDescent="0.25">
      <c r="A426" s="78"/>
      <c r="B426" s="78"/>
      <c r="D426" s="78"/>
      <c r="E426"/>
      <c r="F426" s="78"/>
      <c r="H426" s="78"/>
      <c r="I426" s="78" t="s">
        <v>779</v>
      </c>
      <c r="J426">
        <v>1170</v>
      </c>
      <c r="K426" s="32">
        <v>1</v>
      </c>
    </row>
    <row r="427" spans="1:11" x14ac:dyDescent="0.25">
      <c r="A427" s="78"/>
      <c r="B427" s="78"/>
      <c r="D427" s="78"/>
      <c r="E427"/>
      <c r="F427" s="78"/>
      <c r="H427" s="78" t="s">
        <v>42</v>
      </c>
      <c r="I427" s="78" t="s">
        <v>727</v>
      </c>
      <c r="J427">
        <v>1170</v>
      </c>
      <c r="K427" s="32">
        <v>1</v>
      </c>
    </row>
    <row r="428" spans="1:11" x14ac:dyDescent="0.25">
      <c r="A428" s="78"/>
      <c r="B428" s="78"/>
      <c r="D428" s="78"/>
      <c r="E428"/>
      <c r="F428" s="78"/>
      <c r="H428" s="78"/>
      <c r="I428" s="78" t="s">
        <v>773</v>
      </c>
      <c r="J428">
        <v>1170</v>
      </c>
      <c r="K428" s="32">
        <v>1</v>
      </c>
    </row>
    <row r="429" spans="1:11" x14ac:dyDescent="0.25">
      <c r="A429" s="78"/>
      <c r="B429" s="78"/>
      <c r="D429" s="78"/>
      <c r="E429"/>
      <c r="F429" s="78"/>
      <c r="H429" s="78" t="s">
        <v>17</v>
      </c>
      <c r="I429" s="78" t="s">
        <v>609</v>
      </c>
      <c r="J429">
        <v>1170</v>
      </c>
      <c r="K429" s="32">
        <v>1</v>
      </c>
    </row>
    <row r="430" spans="1:11" x14ac:dyDescent="0.25">
      <c r="A430" s="78"/>
      <c r="B430" s="78"/>
      <c r="D430" s="78"/>
      <c r="E430"/>
      <c r="F430" s="78"/>
      <c r="H430" s="78"/>
      <c r="I430" s="78" t="s">
        <v>637</v>
      </c>
      <c r="J430">
        <v>1170</v>
      </c>
      <c r="K430" s="32">
        <v>1</v>
      </c>
    </row>
    <row r="431" spans="1:11" x14ac:dyDescent="0.25">
      <c r="A431" s="78"/>
      <c r="B431" s="78"/>
      <c r="D431" s="78"/>
      <c r="E431"/>
      <c r="F431" s="78"/>
      <c r="H431" s="78"/>
      <c r="I431" s="78" t="s">
        <v>663</v>
      </c>
      <c r="J431">
        <v>1170</v>
      </c>
      <c r="K431" s="32">
        <v>1</v>
      </c>
    </row>
    <row r="432" spans="1:11" x14ac:dyDescent="0.25">
      <c r="A432" s="78"/>
      <c r="B432" s="78"/>
      <c r="D432" s="78"/>
      <c r="E432"/>
      <c r="F432" s="78"/>
      <c r="H432" s="78"/>
      <c r="I432" s="78" t="s">
        <v>668</v>
      </c>
      <c r="J432">
        <v>1170</v>
      </c>
      <c r="K432" s="32">
        <v>1</v>
      </c>
    </row>
    <row r="433" spans="1:11" x14ac:dyDescent="0.25">
      <c r="A433" s="78"/>
      <c r="B433" s="78"/>
      <c r="D433" s="78"/>
      <c r="E433"/>
      <c r="F433" s="78"/>
      <c r="H433" s="78" t="s">
        <v>67</v>
      </c>
      <c r="I433" s="78" t="s">
        <v>692</v>
      </c>
      <c r="J433">
        <v>1170</v>
      </c>
      <c r="K433" s="32">
        <v>1</v>
      </c>
    </row>
    <row r="434" spans="1:11" x14ac:dyDescent="0.25">
      <c r="A434" s="78"/>
      <c r="B434" s="78"/>
      <c r="D434" s="78"/>
      <c r="E434"/>
      <c r="F434" s="78"/>
      <c r="H434" s="78"/>
      <c r="I434" s="78" t="s">
        <v>761</v>
      </c>
      <c r="J434">
        <v>1170</v>
      </c>
      <c r="K434" s="32">
        <v>1</v>
      </c>
    </row>
    <row r="435" spans="1:11" x14ac:dyDescent="0.25">
      <c r="A435" s="78"/>
      <c r="B435" s="78"/>
      <c r="D435" s="78"/>
      <c r="E435"/>
      <c r="F435" s="78"/>
      <c r="H435" s="78" t="s">
        <v>24</v>
      </c>
      <c r="I435" s="78" t="s">
        <v>558</v>
      </c>
      <c r="J435">
        <v>1170</v>
      </c>
      <c r="K435" s="32">
        <v>1</v>
      </c>
    </row>
    <row r="436" spans="1:11" x14ac:dyDescent="0.25">
      <c r="A436" s="78"/>
      <c r="B436" s="78"/>
      <c r="D436" s="78"/>
      <c r="E436"/>
      <c r="F436" s="78"/>
      <c r="H436" s="78"/>
      <c r="I436" s="78" t="s">
        <v>639</v>
      </c>
      <c r="J436">
        <v>1170</v>
      </c>
      <c r="K436" s="32">
        <v>1</v>
      </c>
    </row>
    <row r="437" spans="1:11" x14ac:dyDescent="0.25">
      <c r="A437" s="78"/>
      <c r="B437" s="78"/>
      <c r="D437" s="78"/>
      <c r="E437"/>
      <c r="F437" s="78"/>
      <c r="H437" s="78"/>
      <c r="I437" s="78" t="s">
        <v>772</v>
      </c>
      <c r="J437">
        <v>1170</v>
      </c>
      <c r="K437" s="32">
        <v>1</v>
      </c>
    </row>
    <row r="438" spans="1:11" x14ac:dyDescent="0.25">
      <c r="A438" s="78"/>
      <c r="B438" s="78"/>
      <c r="D438" s="78"/>
      <c r="E438"/>
      <c r="F438" s="78"/>
      <c r="H438" s="78" t="s">
        <v>49</v>
      </c>
      <c r="I438" s="78" t="s">
        <v>682</v>
      </c>
      <c r="J438">
        <v>1170</v>
      </c>
      <c r="K438" s="32">
        <v>1</v>
      </c>
    </row>
    <row r="439" spans="1:11" x14ac:dyDescent="0.25">
      <c r="A439" s="78"/>
      <c r="B439" s="78"/>
      <c r="D439" s="78"/>
      <c r="E439"/>
      <c r="F439" s="78"/>
      <c r="G439" t="s">
        <v>1769</v>
      </c>
      <c r="K439" s="32">
        <v>30</v>
      </c>
    </row>
    <row r="440" spans="1:11" x14ac:dyDescent="0.25">
      <c r="A440" s="78"/>
      <c r="B440" s="78"/>
      <c r="D440" s="78"/>
      <c r="E440"/>
      <c r="F440" s="78" t="s">
        <v>1012</v>
      </c>
      <c r="G440" s="78" t="s">
        <v>915</v>
      </c>
      <c r="H440" s="78" t="s">
        <v>794</v>
      </c>
      <c r="I440" s="78" t="s">
        <v>995</v>
      </c>
      <c r="J440">
        <v>1170</v>
      </c>
      <c r="K440" s="32">
        <v>1</v>
      </c>
    </row>
    <row r="441" spans="1:11" x14ac:dyDescent="0.25">
      <c r="A441" s="78"/>
      <c r="B441" s="78"/>
      <c r="D441" s="78"/>
      <c r="E441"/>
      <c r="F441" s="78"/>
      <c r="G441" s="78"/>
      <c r="H441" s="78"/>
      <c r="I441" s="78" t="s">
        <v>996</v>
      </c>
      <c r="J441">
        <v>1170</v>
      </c>
      <c r="K441" s="32">
        <v>1</v>
      </c>
    </row>
    <row r="442" spans="1:11" x14ac:dyDescent="0.25">
      <c r="A442" s="78"/>
      <c r="B442" s="78"/>
      <c r="D442" s="78"/>
      <c r="E442"/>
      <c r="F442" s="78"/>
      <c r="G442" s="78"/>
      <c r="H442" s="78"/>
      <c r="I442" s="78" t="s">
        <v>997</v>
      </c>
      <c r="J442">
        <v>1170</v>
      </c>
      <c r="K442" s="32">
        <v>1</v>
      </c>
    </row>
    <row r="443" spans="1:11" x14ac:dyDescent="0.25">
      <c r="A443" s="78"/>
      <c r="B443" s="78"/>
      <c r="D443" s="78"/>
      <c r="E443"/>
      <c r="F443" s="78"/>
      <c r="G443" s="78"/>
      <c r="H443" s="78"/>
      <c r="I443" s="78" t="s">
        <v>998</v>
      </c>
      <c r="J443">
        <v>1170</v>
      </c>
      <c r="K443" s="32">
        <v>1</v>
      </c>
    </row>
    <row r="444" spans="1:11" x14ac:dyDescent="0.25">
      <c r="A444" s="78"/>
      <c r="B444" s="78"/>
      <c r="D444" s="78"/>
      <c r="E444"/>
      <c r="F444" s="78"/>
      <c r="G444" s="78"/>
      <c r="H444" s="78"/>
      <c r="I444" s="78" t="s">
        <v>999</v>
      </c>
      <c r="J444">
        <v>1170</v>
      </c>
      <c r="K444" s="32">
        <v>1</v>
      </c>
    </row>
    <row r="445" spans="1:11" x14ac:dyDescent="0.25">
      <c r="A445" s="78"/>
      <c r="B445" s="78"/>
      <c r="D445" s="78"/>
      <c r="E445"/>
      <c r="F445" s="78"/>
      <c r="G445" s="78"/>
      <c r="H445" s="78"/>
      <c r="I445" s="78" t="s">
        <v>600</v>
      </c>
      <c r="J445">
        <v>1170</v>
      </c>
      <c r="K445" s="32">
        <v>1</v>
      </c>
    </row>
    <row r="446" spans="1:11" x14ac:dyDescent="0.25">
      <c r="A446" s="78"/>
      <c r="B446" s="78"/>
      <c r="D446" s="78"/>
      <c r="E446"/>
      <c r="F446" s="78"/>
      <c r="G446" s="78"/>
      <c r="H446" s="78"/>
      <c r="I446" s="78" t="s">
        <v>612</v>
      </c>
      <c r="J446">
        <v>1170</v>
      </c>
      <c r="K446" s="32">
        <v>1</v>
      </c>
    </row>
    <row r="447" spans="1:11" x14ac:dyDescent="0.25">
      <c r="A447" s="78"/>
      <c r="B447" s="78"/>
      <c r="D447" s="78"/>
      <c r="E447"/>
      <c r="F447" s="78"/>
      <c r="G447" s="78"/>
      <c r="H447" s="78"/>
      <c r="I447" s="78" t="s">
        <v>1000</v>
      </c>
      <c r="J447">
        <v>1170</v>
      </c>
      <c r="K447" s="32">
        <v>1</v>
      </c>
    </row>
    <row r="448" spans="1:11" x14ac:dyDescent="0.25">
      <c r="A448" s="78"/>
      <c r="B448" s="78"/>
      <c r="D448" s="78"/>
      <c r="E448"/>
      <c r="F448" s="78"/>
      <c r="G448" s="78"/>
      <c r="H448" s="78"/>
      <c r="I448" s="78" t="s">
        <v>638</v>
      </c>
      <c r="J448">
        <v>1170</v>
      </c>
      <c r="K448" s="32">
        <v>1</v>
      </c>
    </row>
    <row r="449" spans="1:11" x14ac:dyDescent="0.25">
      <c r="A449" s="78"/>
      <c r="B449" s="78"/>
      <c r="D449" s="78"/>
      <c r="E449"/>
      <c r="F449" s="78"/>
      <c r="G449" s="78"/>
      <c r="H449" s="78"/>
      <c r="I449" s="78" t="s">
        <v>1001</v>
      </c>
      <c r="J449">
        <v>1170</v>
      </c>
      <c r="K449" s="32">
        <v>1</v>
      </c>
    </row>
    <row r="450" spans="1:11" x14ac:dyDescent="0.25">
      <c r="A450" s="78"/>
      <c r="B450" s="78"/>
      <c r="D450" s="78"/>
      <c r="E450"/>
      <c r="F450" s="78"/>
      <c r="G450" s="78"/>
      <c r="H450" s="78"/>
      <c r="I450" s="78" t="s">
        <v>1002</v>
      </c>
      <c r="J450">
        <v>1170</v>
      </c>
      <c r="K450" s="32">
        <v>1</v>
      </c>
    </row>
    <row r="451" spans="1:11" x14ac:dyDescent="0.25">
      <c r="A451" s="78"/>
      <c r="B451" s="78"/>
      <c r="D451" s="78"/>
      <c r="E451"/>
      <c r="F451" s="78"/>
      <c r="G451" s="78"/>
      <c r="H451" s="78"/>
      <c r="I451" s="78" t="s">
        <v>1003</v>
      </c>
      <c r="J451">
        <v>1170</v>
      </c>
      <c r="K451" s="32">
        <v>1</v>
      </c>
    </row>
    <row r="452" spans="1:11" x14ac:dyDescent="0.25">
      <c r="A452" s="78"/>
      <c r="B452" s="78"/>
      <c r="D452" s="78"/>
      <c r="E452"/>
      <c r="F452" s="78"/>
      <c r="G452" s="78"/>
      <c r="H452" s="78"/>
      <c r="I452" s="78" t="s">
        <v>1004</v>
      </c>
      <c r="J452">
        <v>1170</v>
      </c>
      <c r="K452" s="32">
        <v>1</v>
      </c>
    </row>
    <row r="453" spans="1:11" x14ac:dyDescent="0.25">
      <c r="A453" s="78"/>
      <c r="B453" s="78"/>
      <c r="D453" s="78"/>
      <c r="E453"/>
      <c r="F453" s="78"/>
      <c r="G453" s="78"/>
      <c r="H453" s="78"/>
      <c r="I453" s="78" t="s">
        <v>695</v>
      </c>
      <c r="J453">
        <v>1170</v>
      </c>
      <c r="K453" s="32">
        <v>1</v>
      </c>
    </row>
    <row r="454" spans="1:11" x14ac:dyDescent="0.25">
      <c r="A454" s="78"/>
      <c r="B454" s="78"/>
      <c r="D454" s="78"/>
      <c r="E454"/>
      <c r="F454" s="78"/>
      <c r="G454" s="78"/>
      <c r="H454" s="78"/>
      <c r="I454" s="78" t="s">
        <v>68</v>
      </c>
      <c r="J454">
        <v>1170</v>
      </c>
      <c r="K454" s="32">
        <v>1</v>
      </c>
    </row>
    <row r="455" spans="1:11" x14ac:dyDescent="0.25">
      <c r="A455" s="78"/>
      <c r="B455" s="78"/>
      <c r="D455" s="78"/>
      <c r="E455"/>
      <c r="F455" s="78"/>
      <c r="G455" s="78"/>
      <c r="H455" s="78"/>
      <c r="I455" s="78" t="s">
        <v>709</v>
      </c>
      <c r="J455">
        <v>1170</v>
      </c>
      <c r="K455" s="32">
        <v>1</v>
      </c>
    </row>
    <row r="456" spans="1:11" x14ac:dyDescent="0.25">
      <c r="A456" s="78"/>
      <c r="B456" s="78"/>
      <c r="D456" s="78"/>
      <c r="E456"/>
      <c r="F456" s="78"/>
      <c r="G456" s="78"/>
      <c r="H456" s="78"/>
      <c r="I456" s="78" t="s">
        <v>1005</v>
      </c>
      <c r="J456">
        <v>1170</v>
      </c>
      <c r="K456" s="32">
        <v>1</v>
      </c>
    </row>
    <row r="457" spans="1:11" x14ac:dyDescent="0.25">
      <c r="A457" s="78"/>
      <c r="B457" s="78"/>
      <c r="D457" s="78"/>
      <c r="E457"/>
      <c r="F457" s="78"/>
      <c r="G457" s="78"/>
      <c r="H457" s="78"/>
      <c r="I457" s="78" t="s">
        <v>1006</v>
      </c>
      <c r="J457">
        <v>1170</v>
      </c>
      <c r="K457" s="32">
        <v>1</v>
      </c>
    </row>
    <row r="458" spans="1:11" x14ac:dyDescent="0.25">
      <c r="A458" s="78"/>
      <c r="B458" s="78"/>
      <c r="D458" s="78"/>
      <c r="E458"/>
      <c r="F458" s="78"/>
      <c r="G458" s="78"/>
      <c r="H458" s="78"/>
      <c r="I458" s="78" t="s">
        <v>1007</v>
      </c>
      <c r="J458">
        <v>1170</v>
      </c>
      <c r="K458" s="32">
        <v>1</v>
      </c>
    </row>
    <row r="459" spans="1:11" x14ac:dyDescent="0.25">
      <c r="A459" s="78"/>
      <c r="B459" s="78"/>
      <c r="D459" s="78"/>
      <c r="E459"/>
      <c r="F459" s="78"/>
      <c r="G459" s="78"/>
      <c r="H459" s="78"/>
      <c r="I459" s="78" t="s">
        <v>1008</v>
      </c>
      <c r="J459">
        <v>1170</v>
      </c>
      <c r="K459" s="32">
        <v>1</v>
      </c>
    </row>
    <row r="460" spans="1:11" x14ac:dyDescent="0.25">
      <c r="A460" s="78"/>
      <c r="B460" s="78"/>
      <c r="D460" s="78"/>
      <c r="E460"/>
      <c r="F460" s="78"/>
      <c r="G460" s="78"/>
      <c r="H460" s="78"/>
      <c r="I460" s="78" t="s">
        <v>1009</v>
      </c>
      <c r="J460">
        <v>1170</v>
      </c>
      <c r="K460" s="32">
        <v>1</v>
      </c>
    </row>
    <row r="461" spans="1:11" x14ac:dyDescent="0.25">
      <c r="A461" s="78"/>
      <c r="B461" s="78"/>
      <c r="D461" s="78"/>
      <c r="E461"/>
      <c r="F461" s="78"/>
      <c r="G461" s="78"/>
      <c r="H461" s="78"/>
      <c r="I461" s="78" t="s">
        <v>1010</v>
      </c>
      <c r="J461">
        <v>1170</v>
      </c>
      <c r="K461" s="32">
        <v>1</v>
      </c>
    </row>
    <row r="462" spans="1:11" x14ac:dyDescent="0.25">
      <c r="A462" s="78"/>
      <c r="B462" s="78"/>
      <c r="D462" s="78"/>
      <c r="E462"/>
      <c r="F462" s="78"/>
      <c r="G462" s="78"/>
      <c r="H462" s="78"/>
      <c r="I462" s="78" t="s">
        <v>760</v>
      </c>
      <c r="J462">
        <v>1170</v>
      </c>
      <c r="K462" s="32">
        <v>1</v>
      </c>
    </row>
    <row r="463" spans="1:11" x14ac:dyDescent="0.25">
      <c r="A463" s="78"/>
      <c r="B463" s="78"/>
      <c r="D463" s="78"/>
      <c r="E463"/>
      <c r="F463" s="78"/>
      <c r="G463" s="78"/>
      <c r="H463" s="78"/>
      <c r="I463" s="78" t="s">
        <v>1011</v>
      </c>
      <c r="J463">
        <v>1170</v>
      </c>
      <c r="K463" s="32">
        <v>1</v>
      </c>
    </row>
    <row r="464" spans="1:11" x14ac:dyDescent="0.25">
      <c r="A464" s="78"/>
      <c r="B464" s="78"/>
      <c r="D464" s="78"/>
      <c r="E464"/>
      <c r="F464" s="78"/>
      <c r="G464" s="78"/>
      <c r="H464" s="78"/>
      <c r="I464" s="78" t="s">
        <v>764</v>
      </c>
      <c r="J464">
        <v>1170</v>
      </c>
      <c r="K464" s="32">
        <v>1</v>
      </c>
    </row>
    <row r="465" spans="1:11" x14ac:dyDescent="0.25">
      <c r="A465" s="78"/>
      <c r="B465" s="78"/>
      <c r="D465" s="78"/>
      <c r="E465"/>
      <c r="F465" s="78"/>
      <c r="G465" t="s">
        <v>1768</v>
      </c>
      <c r="K465" s="32">
        <v>25</v>
      </c>
    </row>
    <row r="466" spans="1:11" x14ac:dyDescent="0.25">
      <c r="A466" s="78"/>
      <c r="B466" s="78"/>
      <c r="D466" t="s">
        <v>956</v>
      </c>
      <c r="E466" t="s">
        <v>956</v>
      </c>
      <c r="F466" t="s">
        <v>794</v>
      </c>
      <c r="G466" t="s">
        <v>915</v>
      </c>
      <c r="H466" t="s">
        <v>794</v>
      </c>
      <c r="I466" t="s">
        <v>1024</v>
      </c>
      <c r="J466">
        <v>1170</v>
      </c>
      <c r="K466" s="32">
        <v>1</v>
      </c>
    </row>
    <row r="467" spans="1:11" x14ac:dyDescent="0.25">
      <c r="A467" s="78"/>
      <c r="B467" s="78"/>
      <c r="D467"/>
      <c r="E467"/>
      <c r="F467"/>
      <c r="I467" t="s">
        <v>887</v>
      </c>
      <c r="J467">
        <v>1170</v>
      </c>
      <c r="K467" s="32">
        <v>1</v>
      </c>
    </row>
    <row r="468" spans="1:11" x14ac:dyDescent="0.25">
      <c r="A468" s="78"/>
      <c r="B468" s="78"/>
      <c r="D468"/>
      <c r="E468"/>
      <c r="F468"/>
      <c r="I468" t="s">
        <v>952</v>
      </c>
      <c r="J468">
        <v>1170</v>
      </c>
      <c r="K468" s="32">
        <v>1</v>
      </c>
    </row>
    <row r="469" spans="1:11" x14ac:dyDescent="0.25">
      <c r="A469" s="78"/>
      <c r="B469" s="78"/>
      <c r="D469"/>
      <c r="E469"/>
      <c r="F469"/>
      <c r="I469" t="s">
        <v>886</v>
      </c>
      <c r="J469">
        <v>1170</v>
      </c>
      <c r="K469" s="32">
        <v>1</v>
      </c>
    </row>
    <row r="470" spans="1:11" x14ac:dyDescent="0.25">
      <c r="A470" s="78"/>
      <c r="B470" s="78"/>
      <c r="D470"/>
      <c r="E470"/>
      <c r="F470"/>
      <c r="I470" t="s">
        <v>873</v>
      </c>
      <c r="J470">
        <v>1170</v>
      </c>
      <c r="K470" s="32">
        <v>1</v>
      </c>
    </row>
    <row r="471" spans="1:11" x14ac:dyDescent="0.25">
      <c r="A471" s="78"/>
      <c r="B471" s="78"/>
      <c r="D471"/>
      <c r="E471"/>
      <c r="F471"/>
      <c r="I471" t="s">
        <v>1673</v>
      </c>
      <c r="J471">
        <v>1170</v>
      </c>
      <c r="K471" s="32">
        <v>1</v>
      </c>
    </row>
    <row r="472" spans="1:11" x14ac:dyDescent="0.25">
      <c r="A472" s="78"/>
      <c r="B472" s="78"/>
      <c r="D472"/>
      <c r="E472"/>
      <c r="F472"/>
      <c r="I472" t="s">
        <v>1674</v>
      </c>
      <c r="J472">
        <v>1170</v>
      </c>
      <c r="K472" s="32">
        <v>1</v>
      </c>
    </row>
    <row r="473" spans="1:11" x14ac:dyDescent="0.25">
      <c r="A473" s="78"/>
      <c r="B473" s="78"/>
      <c r="D473"/>
      <c r="E473"/>
      <c r="F473"/>
      <c r="I473" t="s">
        <v>1802</v>
      </c>
      <c r="J473">
        <v>1170</v>
      </c>
      <c r="K473" s="32">
        <v>1</v>
      </c>
    </row>
    <row r="474" spans="1:11" x14ac:dyDescent="0.25">
      <c r="A474" s="78"/>
      <c r="B474" s="78"/>
      <c r="D474"/>
      <c r="E474"/>
      <c r="F474"/>
      <c r="I474" t="s">
        <v>1803</v>
      </c>
      <c r="J474">
        <v>1170</v>
      </c>
      <c r="K474" s="32">
        <v>1</v>
      </c>
    </row>
    <row r="475" spans="1:11" x14ac:dyDescent="0.25">
      <c r="A475" s="78"/>
      <c r="B475" s="78"/>
      <c r="D475"/>
      <c r="E475"/>
      <c r="F475"/>
      <c r="I475" t="s">
        <v>1804</v>
      </c>
      <c r="J475">
        <v>1170</v>
      </c>
      <c r="K475" s="32">
        <v>1</v>
      </c>
    </row>
    <row r="476" spans="1:11" x14ac:dyDescent="0.25">
      <c r="A476" s="78"/>
      <c r="B476" s="78"/>
      <c r="D476"/>
      <c r="E476"/>
      <c r="F476"/>
      <c r="I476" t="s">
        <v>1805</v>
      </c>
      <c r="J476" s="91" t="s">
        <v>794</v>
      </c>
      <c r="K476" s="100">
        <v>1</v>
      </c>
    </row>
    <row r="477" spans="1:11" x14ac:dyDescent="0.25">
      <c r="A477" s="78"/>
      <c r="B477" s="78"/>
      <c r="D477"/>
      <c r="E477"/>
      <c r="F477"/>
      <c r="I477" t="s">
        <v>1806</v>
      </c>
      <c r="J477">
        <v>1170</v>
      </c>
      <c r="K477" s="32">
        <v>1</v>
      </c>
    </row>
    <row r="478" spans="1:11" x14ac:dyDescent="0.25">
      <c r="A478" s="78"/>
      <c r="B478" s="78"/>
      <c r="D478"/>
      <c r="E478"/>
      <c r="F478"/>
      <c r="I478" t="s">
        <v>1807</v>
      </c>
      <c r="J478" s="91" t="s">
        <v>794</v>
      </c>
      <c r="K478" s="100">
        <v>1</v>
      </c>
    </row>
    <row r="479" spans="1:11" x14ac:dyDescent="0.25">
      <c r="A479" s="78"/>
      <c r="B479" s="78"/>
      <c r="D479"/>
      <c r="E479"/>
      <c r="F479"/>
      <c r="I479" t="s">
        <v>1808</v>
      </c>
      <c r="J479" s="91" t="s">
        <v>794</v>
      </c>
      <c r="K479" s="100">
        <v>1</v>
      </c>
    </row>
    <row r="480" spans="1:11" x14ac:dyDescent="0.25">
      <c r="A480" s="78"/>
      <c r="B480" s="78"/>
      <c r="D480"/>
      <c r="E480"/>
      <c r="F480"/>
      <c r="I480" t="s">
        <v>1809</v>
      </c>
      <c r="J480">
        <v>1170</v>
      </c>
      <c r="K480" s="32">
        <v>1</v>
      </c>
    </row>
    <row r="481" spans="1:11" x14ac:dyDescent="0.25">
      <c r="A481" s="78"/>
      <c r="B481" s="78"/>
      <c r="D481"/>
      <c r="E481"/>
      <c r="F481"/>
      <c r="I481" t="s">
        <v>1826</v>
      </c>
      <c r="J481">
        <v>1170</v>
      </c>
      <c r="K481" s="32">
        <v>1</v>
      </c>
    </row>
    <row r="482" spans="1:11" x14ac:dyDescent="0.25">
      <c r="A482" s="78"/>
      <c r="B482" s="78"/>
      <c r="D482"/>
      <c r="E482"/>
      <c r="F482"/>
      <c r="I482" t="s">
        <v>1827</v>
      </c>
      <c r="J482">
        <v>1170</v>
      </c>
      <c r="K482" s="32">
        <v>1</v>
      </c>
    </row>
    <row r="483" spans="1:11" x14ac:dyDescent="0.25">
      <c r="A483" s="78"/>
      <c r="B483" s="78"/>
      <c r="D483"/>
      <c r="E483"/>
      <c r="F483"/>
      <c r="I483" t="s">
        <v>1831</v>
      </c>
      <c r="J483">
        <v>1170</v>
      </c>
      <c r="K483" s="32">
        <v>1</v>
      </c>
    </row>
    <row r="484" spans="1:11" x14ac:dyDescent="0.25">
      <c r="A484" s="78"/>
      <c r="B484" s="78"/>
      <c r="D484"/>
      <c r="E484"/>
      <c r="F484"/>
      <c r="I484" t="s">
        <v>1832</v>
      </c>
      <c r="J484">
        <v>1170</v>
      </c>
      <c r="K484" s="32">
        <v>1</v>
      </c>
    </row>
    <row r="485" spans="1:11" x14ac:dyDescent="0.25">
      <c r="A485" s="78"/>
      <c r="B485" s="78"/>
      <c r="D485"/>
      <c r="E485"/>
      <c r="F485"/>
      <c r="I485" t="s">
        <v>1828</v>
      </c>
      <c r="J485">
        <v>1170</v>
      </c>
      <c r="K485" s="32">
        <v>1</v>
      </c>
    </row>
    <row r="486" spans="1:11" x14ac:dyDescent="0.25">
      <c r="A486" s="78"/>
      <c r="B486" s="78"/>
      <c r="D486"/>
      <c r="E486"/>
      <c r="F486"/>
      <c r="I486" t="s">
        <v>1829</v>
      </c>
      <c r="J486">
        <v>1170</v>
      </c>
      <c r="K486" s="32">
        <v>1</v>
      </c>
    </row>
    <row r="487" spans="1:11" x14ac:dyDescent="0.25">
      <c r="A487" s="78"/>
      <c r="B487" s="78"/>
      <c r="D487"/>
      <c r="E487"/>
      <c r="F487"/>
      <c r="I487" t="s">
        <v>1830</v>
      </c>
      <c r="J487">
        <v>1170</v>
      </c>
      <c r="K487" s="32">
        <v>1</v>
      </c>
    </row>
    <row r="488" spans="1:11" x14ac:dyDescent="0.25">
      <c r="A488" s="78"/>
      <c r="B488" s="78"/>
      <c r="D488"/>
      <c r="E488"/>
      <c r="F488"/>
      <c r="I488" t="s">
        <v>1846</v>
      </c>
      <c r="J488" s="91" t="s">
        <v>794</v>
      </c>
      <c r="K488" s="100">
        <v>1</v>
      </c>
    </row>
    <row r="489" spans="1:11" x14ac:dyDescent="0.25">
      <c r="A489" s="78"/>
      <c r="B489" s="78"/>
      <c r="D489"/>
      <c r="E489"/>
      <c r="F489"/>
      <c r="I489" t="s">
        <v>1847</v>
      </c>
      <c r="J489" s="91" t="s">
        <v>794</v>
      </c>
      <c r="K489" s="100">
        <v>1</v>
      </c>
    </row>
    <row r="490" spans="1:11" x14ac:dyDescent="0.25">
      <c r="A490" s="78"/>
      <c r="B490" s="78"/>
      <c r="D490"/>
      <c r="E490"/>
      <c r="F490"/>
      <c r="I490" t="s">
        <v>1848</v>
      </c>
      <c r="J490" s="91" t="s">
        <v>794</v>
      </c>
      <c r="K490" s="100">
        <v>1</v>
      </c>
    </row>
    <row r="491" spans="1:11" x14ac:dyDescent="0.25">
      <c r="A491" s="78"/>
      <c r="B491" s="78"/>
      <c r="D491"/>
      <c r="E491"/>
      <c r="F491"/>
      <c r="I491" t="s">
        <v>1849</v>
      </c>
      <c r="J491" s="91" t="s">
        <v>794</v>
      </c>
      <c r="K491" s="100">
        <v>1</v>
      </c>
    </row>
    <row r="492" spans="1:11" x14ac:dyDescent="0.25">
      <c r="A492" s="78"/>
      <c r="B492" s="78"/>
      <c r="D492"/>
      <c r="E492"/>
      <c r="F492"/>
      <c r="I492" t="s">
        <v>1850</v>
      </c>
      <c r="J492" s="91" t="s">
        <v>794</v>
      </c>
      <c r="K492" s="100">
        <v>1</v>
      </c>
    </row>
    <row r="493" spans="1:11" x14ac:dyDescent="0.25">
      <c r="A493" s="78"/>
      <c r="B493" s="78"/>
      <c r="D493"/>
      <c r="E493"/>
      <c r="F493"/>
      <c r="I493" t="s">
        <v>1851</v>
      </c>
      <c r="J493" s="91" t="s">
        <v>794</v>
      </c>
      <c r="K493" s="100">
        <v>1</v>
      </c>
    </row>
    <row r="494" spans="1:11" x14ac:dyDescent="0.25">
      <c r="A494" s="78"/>
      <c r="B494" s="78"/>
      <c r="D494"/>
      <c r="E494"/>
      <c r="F494"/>
      <c r="I494" t="s">
        <v>1852</v>
      </c>
      <c r="J494" s="91" t="s">
        <v>794</v>
      </c>
      <c r="K494" s="100">
        <v>1</v>
      </c>
    </row>
    <row r="495" spans="1:11" x14ac:dyDescent="0.25">
      <c r="A495" s="78"/>
      <c r="B495" s="78"/>
      <c r="D495"/>
      <c r="E495"/>
      <c r="F495"/>
      <c r="I495" t="s">
        <v>1853</v>
      </c>
      <c r="J495" s="91" t="s">
        <v>794</v>
      </c>
      <c r="K495" s="100">
        <v>1</v>
      </c>
    </row>
    <row r="496" spans="1:11" x14ac:dyDescent="0.25">
      <c r="A496" s="78"/>
      <c r="B496" s="78"/>
      <c r="D496"/>
      <c r="E496"/>
      <c r="F496"/>
      <c r="I496" t="s">
        <v>1854</v>
      </c>
      <c r="J496" s="91" t="s">
        <v>794</v>
      </c>
      <c r="K496" s="100">
        <v>1</v>
      </c>
    </row>
    <row r="497" spans="1:11" x14ac:dyDescent="0.25">
      <c r="A497" s="78"/>
      <c r="B497" s="78"/>
      <c r="D497"/>
      <c r="E497"/>
      <c r="F497"/>
      <c r="I497" t="s">
        <v>1855</v>
      </c>
      <c r="J497" s="91" t="s">
        <v>794</v>
      </c>
      <c r="K497" s="100">
        <v>1</v>
      </c>
    </row>
    <row r="498" spans="1:11" x14ac:dyDescent="0.25">
      <c r="A498" s="78"/>
      <c r="B498" s="78"/>
      <c r="D498"/>
      <c r="E498"/>
      <c r="F498"/>
      <c r="I498" t="s">
        <v>1856</v>
      </c>
      <c r="J498" s="91" t="s">
        <v>794</v>
      </c>
      <c r="K498" s="100">
        <v>1</v>
      </c>
    </row>
    <row r="499" spans="1:11" x14ac:dyDescent="0.25">
      <c r="A499" s="78"/>
      <c r="B499" s="78"/>
      <c r="D499"/>
      <c r="E499"/>
      <c r="F499"/>
      <c r="I499" t="s">
        <v>1857</v>
      </c>
      <c r="J499" s="91" t="s">
        <v>794</v>
      </c>
      <c r="K499" s="100">
        <v>1</v>
      </c>
    </row>
    <row r="500" spans="1:11" x14ac:dyDescent="0.25">
      <c r="A500" s="78"/>
      <c r="B500" s="78"/>
      <c r="D500"/>
      <c r="E500"/>
      <c r="F500"/>
      <c r="G500" t="s">
        <v>1768</v>
      </c>
      <c r="K500" s="32">
        <v>34</v>
      </c>
    </row>
    <row r="501" spans="1:11" x14ac:dyDescent="0.25">
      <c r="A501" s="78"/>
      <c r="B501" s="78"/>
      <c r="D501"/>
      <c r="E501"/>
      <c r="F501"/>
      <c r="G501" t="s">
        <v>916</v>
      </c>
      <c r="H501" t="s">
        <v>62</v>
      </c>
      <c r="I501" t="s">
        <v>641</v>
      </c>
      <c r="J501">
        <v>1170</v>
      </c>
      <c r="K501" s="32">
        <v>1</v>
      </c>
    </row>
    <row r="502" spans="1:11" x14ac:dyDescent="0.25">
      <c r="A502" s="78"/>
      <c r="B502" s="78"/>
      <c r="D502"/>
      <c r="E502"/>
      <c r="F502"/>
      <c r="G502" t="s">
        <v>1769</v>
      </c>
      <c r="K502" s="32">
        <v>1</v>
      </c>
    </row>
    <row r="503" spans="1:11" x14ac:dyDescent="0.25">
      <c r="A503" s="78"/>
      <c r="B503" s="78"/>
      <c r="D503" t="s">
        <v>1833</v>
      </c>
      <c r="E503" t="s">
        <v>794</v>
      </c>
      <c r="F503" t="s">
        <v>794</v>
      </c>
      <c r="G503" t="s">
        <v>915</v>
      </c>
      <c r="H503" t="s">
        <v>794</v>
      </c>
      <c r="I503" t="s">
        <v>878</v>
      </c>
      <c r="J503">
        <v>1170</v>
      </c>
      <c r="K503" s="32">
        <v>1</v>
      </c>
    </row>
    <row r="504" spans="1:11" x14ac:dyDescent="0.25">
      <c r="A504" s="78"/>
      <c r="B504" s="78"/>
      <c r="D504"/>
      <c r="E504"/>
      <c r="F504"/>
      <c r="I504" t="s">
        <v>890</v>
      </c>
      <c r="J504">
        <v>1170</v>
      </c>
      <c r="K504" s="32">
        <v>1</v>
      </c>
    </row>
    <row r="505" spans="1:11" x14ac:dyDescent="0.25">
      <c r="A505" s="78"/>
      <c r="B505" s="78"/>
      <c r="D505"/>
      <c r="E505"/>
      <c r="F505"/>
      <c r="I505" t="s">
        <v>880</v>
      </c>
      <c r="J505">
        <v>1170</v>
      </c>
      <c r="K505" s="32">
        <v>1</v>
      </c>
    </row>
    <row r="506" spans="1:11" x14ac:dyDescent="0.25">
      <c r="A506" s="78"/>
      <c r="B506" s="78"/>
      <c r="D506"/>
      <c r="E506"/>
      <c r="F506"/>
      <c r="I506" t="s">
        <v>874</v>
      </c>
      <c r="J506">
        <v>1170</v>
      </c>
      <c r="K506" s="32">
        <v>1</v>
      </c>
    </row>
    <row r="507" spans="1:11" x14ac:dyDescent="0.25">
      <c r="A507" s="78"/>
      <c r="B507" s="78"/>
      <c r="D507"/>
      <c r="E507"/>
      <c r="F507"/>
      <c r="I507" t="s">
        <v>1029</v>
      </c>
      <c r="J507">
        <v>1170</v>
      </c>
      <c r="K507" s="32">
        <v>1</v>
      </c>
    </row>
    <row r="508" spans="1:11" x14ac:dyDescent="0.25">
      <c r="A508" s="78"/>
      <c r="B508" s="78"/>
      <c r="D508"/>
      <c r="E508"/>
      <c r="F508"/>
      <c r="I508" t="s">
        <v>1651</v>
      </c>
      <c r="J508">
        <v>1170</v>
      </c>
      <c r="K508" s="32">
        <v>1</v>
      </c>
    </row>
    <row r="509" spans="1:11" x14ac:dyDescent="0.25">
      <c r="A509" s="78"/>
      <c r="B509" s="78"/>
      <c r="D509"/>
      <c r="E509"/>
      <c r="F509"/>
      <c r="I509" t="s">
        <v>883</v>
      </c>
      <c r="J509">
        <v>1170</v>
      </c>
      <c r="K509" s="32">
        <v>1</v>
      </c>
    </row>
    <row r="510" spans="1:11" x14ac:dyDescent="0.25">
      <c r="A510" s="78"/>
      <c r="B510" s="78"/>
      <c r="D510"/>
      <c r="E510"/>
      <c r="F510"/>
      <c r="I510" t="s">
        <v>950</v>
      </c>
      <c r="J510">
        <v>1170</v>
      </c>
      <c r="K510" s="32">
        <v>1</v>
      </c>
    </row>
    <row r="511" spans="1:11" x14ac:dyDescent="0.25">
      <c r="A511" s="78"/>
      <c r="B511" s="78"/>
      <c r="D511"/>
      <c r="E511"/>
      <c r="F511"/>
      <c r="I511" t="s">
        <v>1649</v>
      </c>
      <c r="J511">
        <v>1170</v>
      </c>
      <c r="K511" s="32">
        <v>1</v>
      </c>
    </row>
    <row r="512" spans="1:11" x14ac:dyDescent="0.25">
      <c r="A512" s="78"/>
      <c r="B512" s="78"/>
      <c r="D512"/>
      <c r="E512"/>
      <c r="F512"/>
      <c r="I512" t="s">
        <v>1048</v>
      </c>
      <c r="J512">
        <v>1170</v>
      </c>
      <c r="K512" s="32">
        <v>1</v>
      </c>
    </row>
    <row r="513" spans="1:11" x14ac:dyDescent="0.25">
      <c r="A513" s="78"/>
      <c r="B513" s="78"/>
      <c r="D513"/>
      <c r="E513"/>
      <c r="F513"/>
      <c r="I513" t="s">
        <v>1621</v>
      </c>
      <c r="J513">
        <v>1170</v>
      </c>
      <c r="K513" s="32">
        <v>1</v>
      </c>
    </row>
    <row r="514" spans="1:11" x14ac:dyDescent="0.25">
      <c r="A514" s="78"/>
      <c r="B514" s="78"/>
      <c r="D514"/>
      <c r="E514"/>
      <c r="F514"/>
      <c r="I514" t="s">
        <v>184</v>
      </c>
      <c r="J514">
        <v>1170</v>
      </c>
      <c r="K514" s="32">
        <v>1</v>
      </c>
    </row>
    <row r="515" spans="1:11" x14ac:dyDescent="0.25">
      <c r="A515" s="78"/>
      <c r="B515" s="78"/>
      <c r="D515"/>
      <c r="E515"/>
      <c r="F515"/>
      <c r="I515" t="s">
        <v>954</v>
      </c>
      <c r="J515">
        <v>1170</v>
      </c>
      <c r="K515" s="32">
        <v>1</v>
      </c>
    </row>
    <row r="516" spans="1:11" x14ac:dyDescent="0.25">
      <c r="A516" s="78"/>
      <c r="B516" s="78"/>
      <c r="D516"/>
      <c r="E516"/>
      <c r="F516"/>
      <c r="I516" t="s">
        <v>1665</v>
      </c>
      <c r="J516">
        <v>1170</v>
      </c>
      <c r="K516" s="32">
        <v>1</v>
      </c>
    </row>
    <row r="517" spans="1:11" x14ac:dyDescent="0.25">
      <c r="A517" s="78"/>
      <c r="B517" s="78"/>
      <c r="D517"/>
      <c r="E517"/>
      <c r="F517"/>
      <c r="I517" t="s">
        <v>1696</v>
      </c>
      <c r="J517">
        <v>1170</v>
      </c>
      <c r="K517" s="32">
        <v>1</v>
      </c>
    </row>
    <row r="518" spans="1:11" x14ac:dyDescent="0.25">
      <c r="A518" s="78"/>
      <c r="B518" s="78"/>
      <c r="D518"/>
      <c r="E518"/>
      <c r="F518"/>
      <c r="I518" t="s">
        <v>1706</v>
      </c>
      <c r="J518">
        <v>1170</v>
      </c>
      <c r="K518" s="32">
        <v>1</v>
      </c>
    </row>
    <row r="519" spans="1:11" x14ac:dyDescent="0.25">
      <c r="A519" s="78"/>
      <c r="B519" s="78"/>
      <c r="D519"/>
      <c r="E519"/>
      <c r="F519"/>
      <c r="I519" t="s">
        <v>1712</v>
      </c>
      <c r="J519">
        <v>1170</v>
      </c>
      <c r="K519" s="32">
        <v>1</v>
      </c>
    </row>
    <row r="520" spans="1:11" x14ac:dyDescent="0.25">
      <c r="A520" s="78"/>
      <c r="B520" s="78"/>
      <c r="D520"/>
      <c r="E520"/>
      <c r="F520"/>
      <c r="I520" t="s">
        <v>1762</v>
      </c>
      <c r="J520">
        <v>1170</v>
      </c>
      <c r="K520" s="32">
        <v>1</v>
      </c>
    </row>
    <row r="521" spans="1:11" x14ac:dyDescent="0.25">
      <c r="A521" s="78"/>
      <c r="B521" s="78"/>
      <c r="D521"/>
      <c r="E521"/>
      <c r="F521"/>
      <c r="G521" t="s">
        <v>1768</v>
      </c>
      <c r="K521" s="32">
        <v>18</v>
      </c>
    </row>
    <row r="522" spans="1:11" x14ac:dyDescent="0.25">
      <c r="A522" s="78"/>
      <c r="B522" s="78"/>
      <c r="D522"/>
      <c r="E522"/>
      <c r="F522"/>
      <c r="G522" t="s">
        <v>916</v>
      </c>
      <c r="H522" t="s">
        <v>53</v>
      </c>
      <c r="I522" t="s">
        <v>604</v>
      </c>
      <c r="J522">
        <v>1170</v>
      </c>
      <c r="K522" s="32">
        <v>1</v>
      </c>
    </row>
    <row r="523" spans="1:11" x14ac:dyDescent="0.25">
      <c r="A523" s="78"/>
      <c r="B523" s="78"/>
      <c r="D523"/>
      <c r="E523"/>
      <c r="F523"/>
      <c r="H523" t="s">
        <v>17</v>
      </c>
      <c r="I523" t="s">
        <v>189</v>
      </c>
      <c r="J523">
        <v>1170</v>
      </c>
      <c r="K523" s="32">
        <v>1</v>
      </c>
    </row>
    <row r="524" spans="1:11" x14ac:dyDescent="0.25">
      <c r="A524" s="78"/>
      <c r="B524" s="78"/>
      <c r="D524"/>
      <c r="E524"/>
      <c r="F524"/>
      <c r="G524" t="s">
        <v>1769</v>
      </c>
      <c r="K524" s="32">
        <v>2</v>
      </c>
    </row>
    <row r="525" spans="1:11" x14ac:dyDescent="0.25">
      <c r="A525" s="78"/>
      <c r="B525" s="78"/>
      <c r="D525"/>
      <c r="E525"/>
      <c r="F525"/>
      <c r="G525" t="s">
        <v>794</v>
      </c>
      <c r="H525" t="s">
        <v>794</v>
      </c>
      <c r="I525" t="s">
        <v>871</v>
      </c>
      <c r="J525" t="s">
        <v>1611</v>
      </c>
      <c r="K525" s="32"/>
    </row>
    <row r="526" spans="1:11" x14ac:dyDescent="0.25">
      <c r="A526" s="78"/>
      <c r="B526" s="78"/>
      <c r="D526"/>
      <c r="E526"/>
      <c r="F526"/>
      <c r="G526" t="s">
        <v>816</v>
      </c>
      <c r="K526" s="32"/>
    </row>
    <row r="527" spans="1:11" x14ac:dyDescent="0.25">
      <c r="A527" s="78"/>
      <c r="B527" s="78"/>
      <c r="D527"/>
      <c r="E527" t="s">
        <v>1109</v>
      </c>
      <c r="F527" t="s">
        <v>957</v>
      </c>
      <c r="G527" t="s">
        <v>915</v>
      </c>
      <c r="H527" t="s">
        <v>794</v>
      </c>
      <c r="I527" t="s">
        <v>1616</v>
      </c>
      <c r="J527">
        <v>1170</v>
      </c>
      <c r="K527" s="32">
        <v>1</v>
      </c>
    </row>
    <row r="528" spans="1:11" x14ac:dyDescent="0.25">
      <c r="A528" s="78"/>
      <c r="B528" s="78"/>
      <c r="D528"/>
      <c r="E528"/>
      <c r="F528"/>
      <c r="I528" t="s">
        <v>947</v>
      </c>
      <c r="J528">
        <v>1170</v>
      </c>
      <c r="K528" s="32">
        <v>1</v>
      </c>
    </row>
    <row r="529" spans="1:11" x14ac:dyDescent="0.25">
      <c r="A529" s="78"/>
      <c r="B529" s="78"/>
      <c r="D529"/>
      <c r="E529"/>
      <c r="F529"/>
      <c r="G529" t="s">
        <v>1768</v>
      </c>
      <c r="K529" s="32">
        <v>2</v>
      </c>
    </row>
    <row r="530" spans="1:11" x14ac:dyDescent="0.25">
      <c r="A530" s="78"/>
      <c r="B530" s="78"/>
      <c r="D530"/>
      <c r="E530"/>
      <c r="F530" t="s">
        <v>794</v>
      </c>
      <c r="G530" t="s">
        <v>915</v>
      </c>
      <c r="H530" t="s">
        <v>794</v>
      </c>
      <c r="I530" t="s">
        <v>946</v>
      </c>
      <c r="J530">
        <v>1170</v>
      </c>
      <c r="K530" s="32">
        <v>1</v>
      </c>
    </row>
    <row r="531" spans="1:11" x14ac:dyDescent="0.25">
      <c r="A531" s="78"/>
      <c r="B531" s="78"/>
      <c r="D531"/>
      <c r="E531"/>
      <c r="F531"/>
      <c r="I531" t="s">
        <v>955</v>
      </c>
      <c r="J531">
        <v>1170</v>
      </c>
      <c r="K531" s="32">
        <v>1</v>
      </c>
    </row>
    <row r="532" spans="1:11" x14ac:dyDescent="0.25">
      <c r="A532" s="78"/>
      <c r="B532" s="78"/>
      <c r="D532"/>
      <c r="E532"/>
      <c r="F532"/>
      <c r="G532" t="s">
        <v>1768</v>
      </c>
      <c r="K532" s="32">
        <v>2</v>
      </c>
    </row>
    <row r="533" spans="1:11" x14ac:dyDescent="0.25">
      <c r="A533" s="78"/>
      <c r="B533" s="78"/>
      <c r="C533" t="s">
        <v>823</v>
      </c>
      <c r="D533" s="93" t="s">
        <v>794</v>
      </c>
      <c r="E533" s="93" t="s">
        <v>794</v>
      </c>
      <c r="F533" s="93" t="s">
        <v>794</v>
      </c>
      <c r="G533" s="84" t="s">
        <v>915</v>
      </c>
      <c r="H533" s="109" t="s">
        <v>794</v>
      </c>
      <c r="I533" t="s">
        <v>1837</v>
      </c>
      <c r="J533" s="91" t="s">
        <v>794</v>
      </c>
      <c r="K533" s="100">
        <v>1</v>
      </c>
    </row>
    <row r="534" spans="1:11" x14ac:dyDescent="0.25">
      <c r="A534" s="78"/>
      <c r="B534" s="78"/>
      <c r="D534" s="93"/>
      <c r="E534" s="93"/>
      <c r="F534" s="93"/>
      <c r="G534" t="s">
        <v>1768</v>
      </c>
      <c r="K534" s="32">
        <v>1</v>
      </c>
    </row>
    <row r="535" spans="1:11" x14ac:dyDescent="0.25">
      <c r="A535" s="78"/>
      <c r="B535" s="78"/>
      <c r="D535" s="78" t="s">
        <v>808</v>
      </c>
      <c r="E535" s="78" t="s">
        <v>895</v>
      </c>
      <c r="F535" t="s">
        <v>794</v>
      </c>
      <c r="G535" s="78" t="s">
        <v>915</v>
      </c>
      <c r="H535" t="s">
        <v>794</v>
      </c>
      <c r="I535" s="78" t="s">
        <v>847</v>
      </c>
      <c r="J535">
        <v>1170</v>
      </c>
      <c r="K535" s="32">
        <v>1</v>
      </c>
    </row>
    <row r="536" spans="1:11" x14ac:dyDescent="0.25">
      <c r="A536" s="78"/>
      <c r="B536" s="78"/>
      <c r="D536" s="78"/>
      <c r="E536" s="78"/>
      <c r="F536"/>
      <c r="G536" s="78"/>
      <c r="I536" s="78" t="s">
        <v>923</v>
      </c>
      <c r="J536">
        <v>1170</v>
      </c>
      <c r="K536" s="32">
        <v>1</v>
      </c>
    </row>
    <row r="537" spans="1:11" x14ac:dyDescent="0.25">
      <c r="A537" s="78"/>
      <c r="B537" s="78"/>
      <c r="D537" s="78"/>
      <c r="E537" s="78"/>
      <c r="F537"/>
      <c r="G537" t="s">
        <v>1768</v>
      </c>
      <c r="K537" s="32">
        <v>2</v>
      </c>
    </row>
    <row r="538" spans="1:11" x14ac:dyDescent="0.25">
      <c r="A538" s="78"/>
      <c r="B538" s="78"/>
      <c r="D538" s="78"/>
      <c r="E538" s="78" t="s">
        <v>59</v>
      </c>
      <c r="F538" t="s">
        <v>794</v>
      </c>
      <c r="G538" t="s">
        <v>915</v>
      </c>
      <c r="H538" t="s">
        <v>794</v>
      </c>
      <c r="I538" s="78" t="s">
        <v>118</v>
      </c>
      <c r="J538">
        <v>1170</v>
      </c>
      <c r="K538" s="32">
        <v>1</v>
      </c>
    </row>
    <row r="539" spans="1:11" x14ac:dyDescent="0.25">
      <c r="A539" s="78"/>
      <c r="B539" s="78"/>
      <c r="D539" s="78"/>
      <c r="E539" s="78"/>
      <c r="F539"/>
      <c r="I539" s="78" t="s">
        <v>632</v>
      </c>
      <c r="J539">
        <v>1170</v>
      </c>
      <c r="K539" s="32">
        <v>1</v>
      </c>
    </row>
    <row r="540" spans="1:11" x14ac:dyDescent="0.25">
      <c r="A540" s="78"/>
      <c r="B540" s="78"/>
      <c r="D540" s="78"/>
      <c r="E540" s="78"/>
      <c r="F540"/>
      <c r="I540" s="78" t="s">
        <v>155</v>
      </c>
      <c r="J540">
        <v>1170</v>
      </c>
      <c r="K540" s="32">
        <v>1</v>
      </c>
    </row>
    <row r="541" spans="1:11" x14ac:dyDescent="0.25">
      <c r="A541" s="78"/>
      <c r="B541" s="78"/>
      <c r="D541" s="78"/>
      <c r="E541" s="78"/>
      <c r="F541"/>
      <c r="I541" s="78" t="s">
        <v>161</v>
      </c>
      <c r="J541">
        <v>1170</v>
      </c>
      <c r="K541" s="32">
        <v>1</v>
      </c>
    </row>
    <row r="542" spans="1:11" x14ac:dyDescent="0.25">
      <c r="A542" s="78"/>
      <c r="B542" s="78"/>
      <c r="D542" s="78"/>
      <c r="E542" s="78"/>
      <c r="F542"/>
      <c r="I542" s="78" t="s">
        <v>540</v>
      </c>
      <c r="J542">
        <v>1170</v>
      </c>
      <c r="K542" s="32">
        <v>1</v>
      </c>
    </row>
    <row r="543" spans="1:11" x14ac:dyDescent="0.25">
      <c r="A543" s="78"/>
      <c r="B543" s="78"/>
      <c r="D543" s="78"/>
      <c r="E543" s="78"/>
      <c r="F543"/>
      <c r="I543" s="78" t="s">
        <v>194</v>
      </c>
      <c r="J543">
        <v>1170</v>
      </c>
      <c r="K543" s="32">
        <v>1</v>
      </c>
    </row>
    <row r="544" spans="1:11" x14ac:dyDescent="0.25">
      <c r="A544" s="78"/>
      <c r="B544" s="78"/>
      <c r="D544" s="78"/>
      <c r="E544" s="78"/>
      <c r="F544"/>
      <c r="G544" t="s">
        <v>1768</v>
      </c>
      <c r="K544" s="32">
        <v>6</v>
      </c>
    </row>
    <row r="545" spans="1:11" x14ac:dyDescent="0.25">
      <c r="A545" s="78"/>
      <c r="B545" s="78"/>
      <c r="D545" s="78"/>
      <c r="E545" s="78"/>
      <c r="F545"/>
      <c r="G545" s="84" t="s">
        <v>916</v>
      </c>
      <c r="H545" s="78" t="s">
        <v>30</v>
      </c>
      <c r="I545" s="78" t="s">
        <v>181</v>
      </c>
      <c r="J545">
        <v>1170</v>
      </c>
      <c r="K545" s="32">
        <v>1</v>
      </c>
    </row>
    <row r="546" spans="1:11" x14ac:dyDescent="0.25">
      <c r="A546" s="78"/>
      <c r="B546" s="78"/>
      <c r="D546" s="78"/>
      <c r="E546" s="78"/>
      <c r="F546"/>
      <c r="G546" s="108"/>
      <c r="H546" t="s">
        <v>24</v>
      </c>
      <c r="I546" t="s">
        <v>832</v>
      </c>
      <c r="J546">
        <v>1170</v>
      </c>
      <c r="K546" s="32">
        <v>1</v>
      </c>
    </row>
    <row r="547" spans="1:11" x14ac:dyDescent="0.25">
      <c r="A547" s="78"/>
      <c r="B547" s="78"/>
      <c r="D547" s="78"/>
      <c r="E547" s="78"/>
      <c r="F547"/>
      <c r="G547" t="s">
        <v>1769</v>
      </c>
      <c r="K547" s="32">
        <v>2</v>
      </c>
    </row>
    <row r="548" spans="1:11" x14ac:dyDescent="0.25">
      <c r="A548" s="78"/>
      <c r="B548" s="78"/>
      <c r="D548" s="78"/>
      <c r="E548" s="78" t="s">
        <v>794</v>
      </c>
      <c r="F548" t="s">
        <v>794</v>
      </c>
      <c r="G548" s="78" t="s">
        <v>915</v>
      </c>
      <c r="H548" s="93" t="s">
        <v>794</v>
      </c>
      <c r="I548" s="78" t="s">
        <v>1635</v>
      </c>
      <c r="J548">
        <v>1170</v>
      </c>
      <c r="K548" s="32">
        <v>1</v>
      </c>
    </row>
    <row r="549" spans="1:11" x14ac:dyDescent="0.25">
      <c r="A549" s="78"/>
      <c r="B549" s="78"/>
      <c r="D549" s="78"/>
      <c r="E549" s="78"/>
      <c r="F549"/>
      <c r="G549" s="78"/>
      <c r="H549" s="93"/>
      <c r="I549" s="78" t="s">
        <v>1636</v>
      </c>
      <c r="J549">
        <v>1170</v>
      </c>
      <c r="K549" s="32">
        <v>1</v>
      </c>
    </row>
    <row r="550" spans="1:11" x14ac:dyDescent="0.25">
      <c r="A550" s="78"/>
      <c r="B550" s="78"/>
      <c r="D550" s="78"/>
      <c r="E550" s="78"/>
      <c r="F550"/>
      <c r="G550" s="78"/>
      <c r="H550" s="93"/>
      <c r="I550" t="s">
        <v>150</v>
      </c>
      <c r="J550">
        <v>1170</v>
      </c>
      <c r="K550" s="32">
        <v>1</v>
      </c>
    </row>
    <row r="551" spans="1:11" x14ac:dyDescent="0.25">
      <c r="A551" s="78"/>
      <c r="B551" s="78"/>
      <c r="D551" s="78"/>
      <c r="E551" s="78"/>
      <c r="F551"/>
      <c r="G551" s="78"/>
      <c r="H551" s="93"/>
      <c r="I551" s="78" t="s">
        <v>1632</v>
      </c>
      <c r="J551">
        <v>1170</v>
      </c>
      <c r="K551" s="32">
        <v>1</v>
      </c>
    </row>
    <row r="552" spans="1:11" x14ac:dyDescent="0.25">
      <c r="A552" s="78"/>
      <c r="B552" s="78"/>
      <c r="D552" s="78"/>
      <c r="E552" s="78"/>
      <c r="F552"/>
      <c r="G552" s="78"/>
      <c r="H552" s="93"/>
      <c r="I552" s="78" t="s">
        <v>1634</v>
      </c>
      <c r="J552">
        <v>1170</v>
      </c>
      <c r="K552" s="32">
        <v>1</v>
      </c>
    </row>
    <row r="553" spans="1:11" x14ac:dyDescent="0.25">
      <c r="A553" s="78"/>
      <c r="B553" s="78"/>
      <c r="D553" s="78"/>
      <c r="E553" s="78"/>
      <c r="F553"/>
      <c r="G553" s="78"/>
      <c r="H553" s="93"/>
      <c r="I553" s="78" t="s">
        <v>1094</v>
      </c>
      <c r="J553">
        <v>1170</v>
      </c>
      <c r="K553" s="32">
        <v>1</v>
      </c>
    </row>
    <row r="554" spans="1:11" x14ac:dyDescent="0.25">
      <c r="A554" s="78"/>
      <c r="B554" s="78"/>
      <c r="D554" s="78"/>
      <c r="E554" s="78"/>
      <c r="F554"/>
      <c r="G554" s="78"/>
      <c r="H554" s="93"/>
      <c r="I554" s="78" t="s">
        <v>1633</v>
      </c>
      <c r="J554">
        <v>1170</v>
      </c>
      <c r="K554" s="32">
        <v>1</v>
      </c>
    </row>
    <row r="555" spans="1:11" x14ac:dyDescent="0.25">
      <c r="A555" s="78"/>
      <c r="B555" s="78"/>
      <c r="D555" s="78"/>
      <c r="E555" s="78"/>
      <c r="F555"/>
      <c r="G555" s="78"/>
      <c r="H555" s="93"/>
      <c r="I555" s="78" t="s">
        <v>1631</v>
      </c>
      <c r="J555">
        <v>1170</v>
      </c>
      <c r="K555" s="32">
        <v>1</v>
      </c>
    </row>
    <row r="556" spans="1:11" x14ac:dyDescent="0.25">
      <c r="A556" s="78"/>
      <c r="B556" s="78"/>
      <c r="D556" s="78"/>
      <c r="E556" s="78"/>
      <c r="F556"/>
      <c r="G556" t="s">
        <v>1768</v>
      </c>
      <c r="K556" s="32">
        <v>8</v>
      </c>
    </row>
    <row r="557" spans="1:11" x14ac:dyDescent="0.25">
      <c r="A557" s="78"/>
      <c r="B557" s="78"/>
      <c r="D557" s="78"/>
      <c r="E557" s="78" t="s">
        <v>517</v>
      </c>
      <c r="F557" t="s">
        <v>794</v>
      </c>
      <c r="G557" s="78" t="s">
        <v>915</v>
      </c>
      <c r="H557" s="93" t="s">
        <v>794</v>
      </c>
      <c r="I557" s="78" t="s">
        <v>302</v>
      </c>
      <c r="J557">
        <v>1170</v>
      </c>
      <c r="K557" s="32">
        <v>1</v>
      </c>
    </row>
    <row r="558" spans="1:11" x14ac:dyDescent="0.25">
      <c r="A558" s="78"/>
      <c r="B558" s="78"/>
      <c r="D558" s="78"/>
      <c r="E558" s="78"/>
      <c r="F558"/>
      <c r="G558" s="78"/>
      <c r="H558" s="93"/>
      <c r="I558" s="78" t="s">
        <v>560</v>
      </c>
      <c r="J558">
        <v>1170</v>
      </c>
      <c r="K558" s="32">
        <v>1</v>
      </c>
    </row>
    <row r="559" spans="1:11" x14ac:dyDescent="0.25">
      <c r="A559" s="78"/>
      <c r="B559" s="78"/>
      <c r="D559" s="78"/>
      <c r="E559" s="78"/>
      <c r="F559"/>
      <c r="G559" s="78"/>
      <c r="H559" s="93"/>
      <c r="I559" s="78" t="s">
        <v>127</v>
      </c>
      <c r="J559">
        <v>1170</v>
      </c>
      <c r="K559" s="32">
        <v>1</v>
      </c>
    </row>
    <row r="560" spans="1:11" x14ac:dyDescent="0.25">
      <c r="A560" s="78"/>
      <c r="B560" s="78"/>
      <c r="D560" s="78"/>
      <c r="E560" s="78"/>
      <c r="F560"/>
      <c r="G560" s="78"/>
      <c r="H560" s="93"/>
      <c r="I560" s="78" t="s">
        <v>1120</v>
      </c>
      <c r="J560">
        <v>1170</v>
      </c>
      <c r="K560" s="32">
        <v>1</v>
      </c>
    </row>
    <row r="561" spans="1:11" x14ac:dyDescent="0.25">
      <c r="A561" s="78"/>
      <c r="B561" s="78"/>
      <c r="D561" s="78"/>
      <c r="E561" s="78"/>
      <c r="F561"/>
      <c r="G561" s="78"/>
      <c r="H561" s="93"/>
      <c r="I561" s="78" t="s">
        <v>720</v>
      </c>
      <c r="J561">
        <v>1170</v>
      </c>
      <c r="K561" s="32">
        <v>1</v>
      </c>
    </row>
    <row r="562" spans="1:11" x14ac:dyDescent="0.25">
      <c r="A562" s="78"/>
      <c r="B562" s="78"/>
      <c r="D562" s="78"/>
      <c r="E562" s="78"/>
      <c r="F562"/>
      <c r="G562" s="78"/>
      <c r="H562" s="93"/>
      <c r="I562" t="s">
        <v>1073</v>
      </c>
      <c r="J562">
        <v>1170</v>
      </c>
      <c r="K562" s="32">
        <v>1</v>
      </c>
    </row>
    <row r="563" spans="1:11" x14ac:dyDescent="0.25">
      <c r="A563" s="78"/>
      <c r="B563" s="78"/>
      <c r="D563" s="78"/>
      <c r="E563" s="78"/>
      <c r="F563"/>
      <c r="G563" t="s">
        <v>1768</v>
      </c>
      <c r="K563" s="32">
        <v>6</v>
      </c>
    </row>
    <row r="564" spans="1:11" x14ac:dyDescent="0.25">
      <c r="A564" s="78"/>
      <c r="B564" s="78"/>
      <c r="D564" s="78"/>
      <c r="E564" s="78"/>
      <c r="F564"/>
      <c r="G564" s="78" t="s">
        <v>916</v>
      </c>
      <c r="H564" t="s">
        <v>42</v>
      </c>
      <c r="I564" t="s">
        <v>287</v>
      </c>
      <c r="J564">
        <v>1170</v>
      </c>
      <c r="K564" s="32">
        <v>1</v>
      </c>
    </row>
    <row r="565" spans="1:11" x14ac:dyDescent="0.25">
      <c r="A565" s="78"/>
      <c r="B565" s="78"/>
      <c r="D565" s="78"/>
      <c r="E565" s="78"/>
      <c r="F565"/>
      <c r="G565" s="78"/>
      <c r="I565" t="s">
        <v>288</v>
      </c>
      <c r="J565">
        <v>1170</v>
      </c>
      <c r="K565" s="32">
        <v>1</v>
      </c>
    </row>
    <row r="566" spans="1:11" x14ac:dyDescent="0.25">
      <c r="A566" s="78"/>
      <c r="B566" s="78"/>
      <c r="D566" s="78"/>
      <c r="E566" s="78"/>
      <c r="F566"/>
      <c r="G566" s="78"/>
      <c r="I566" t="s">
        <v>289</v>
      </c>
      <c r="J566">
        <v>1170</v>
      </c>
      <c r="K566" s="32">
        <v>1</v>
      </c>
    </row>
    <row r="567" spans="1:11" x14ac:dyDescent="0.25">
      <c r="A567" s="78"/>
      <c r="B567" s="78"/>
      <c r="D567" s="78"/>
      <c r="E567" s="78"/>
      <c r="F567"/>
      <c r="G567" s="78"/>
      <c r="I567" t="s">
        <v>290</v>
      </c>
      <c r="J567">
        <v>1170</v>
      </c>
      <c r="K567" s="32">
        <v>1</v>
      </c>
    </row>
    <row r="568" spans="1:11" x14ac:dyDescent="0.25">
      <c r="A568" s="78"/>
      <c r="B568" s="78"/>
      <c r="D568" s="78"/>
      <c r="E568" s="78"/>
      <c r="F568"/>
      <c r="G568" s="78"/>
      <c r="I568" t="s">
        <v>292</v>
      </c>
      <c r="J568">
        <v>1170</v>
      </c>
      <c r="K568" s="32">
        <v>1</v>
      </c>
    </row>
    <row r="569" spans="1:11" x14ac:dyDescent="0.25">
      <c r="A569" s="78"/>
      <c r="B569" s="78"/>
      <c r="D569" s="78"/>
      <c r="E569" s="78"/>
      <c r="F569"/>
      <c r="G569" s="78"/>
      <c r="I569" t="s">
        <v>295</v>
      </c>
      <c r="J569">
        <v>1170</v>
      </c>
      <c r="K569" s="32">
        <v>1</v>
      </c>
    </row>
    <row r="570" spans="1:11" x14ac:dyDescent="0.25">
      <c r="A570" s="78"/>
      <c r="B570" s="78"/>
      <c r="D570" s="78"/>
      <c r="E570" s="78"/>
      <c r="F570"/>
      <c r="G570" s="78"/>
      <c r="I570" t="s">
        <v>301</v>
      </c>
      <c r="J570">
        <v>1170</v>
      </c>
      <c r="K570" s="32">
        <v>1</v>
      </c>
    </row>
    <row r="571" spans="1:11" x14ac:dyDescent="0.25">
      <c r="A571" s="78"/>
      <c r="B571" s="78"/>
      <c r="D571" s="78"/>
      <c r="E571" s="78"/>
      <c r="F571"/>
      <c r="G571" s="78"/>
      <c r="H571" t="s">
        <v>24</v>
      </c>
      <c r="I571" t="s">
        <v>291</v>
      </c>
      <c r="J571">
        <v>1170</v>
      </c>
      <c r="K571" s="32">
        <v>1</v>
      </c>
    </row>
    <row r="572" spans="1:11" x14ac:dyDescent="0.25">
      <c r="A572" s="78"/>
      <c r="B572" s="78"/>
      <c r="D572" s="78"/>
      <c r="E572" s="78"/>
      <c r="F572"/>
      <c r="G572" t="s">
        <v>1769</v>
      </c>
      <c r="K572" s="32">
        <v>8</v>
      </c>
    </row>
    <row r="573" spans="1:11" x14ac:dyDescent="0.25">
      <c r="A573" s="78"/>
      <c r="B573" s="78"/>
      <c r="D573" s="78"/>
      <c r="E573" s="78" t="s">
        <v>11</v>
      </c>
      <c r="F573" s="78" t="s">
        <v>218</v>
      </c>
      <c r="G573" s="78" t="s">
        <v>915</v>
      </c>
      <c r="H573" s="93" t="s">
        <v>794</v>
      </c>
      <c r="I573" s="78" t="s">
        <v>78</v>
      </c>
      <c r="J573">
        <v>1170</v>
      </c>
      <c r="K573" s="32">
        <v>1</v>
      </c>
    </row>
    <row r="574" spans="1:11" x14ac:dyDescent="0.25">
      <c r="A574" s="78"/>
      <c r="B574" s="78"/>
      <c r="D574" s="78"/>
      <c r="E574" s="78"/>
      <c r="F574" s="78"/>
      <c r="G574" s="78"/>
      <c r="H574" s="93"/>
      <c r="I574" s="78" t="s">
        <v>1075</v>
      </c>
      <c r="J574">
        <v>1170</v>
      </c>
      <c r="K574" s="32">
        <v>1</v>
      </c>
    </row>
    <row r="575" spans="1:11" x14ac:dyDescent="0.25">
      <c r="A575" s="78"/>
      <c r="B575" s="78"/>
      <c r="D575" s="78"/>
      <c r="E575" s="78"/>
      <c r="F575" s="78"/>
      <c r="G575" s="78"/>
      <c r="H575" s="93"/>
      <c r="I575" s="78" t="s">
        <v>1092</v>
      </c>
      <c r="J575">
        <v>1170</v>
      </c>
      <c r="K575" s="32">
        <v>1</v>
      </c>
    </row>
    <row r="576" spans="1:11" x14ac:dyDescent="0.25">
      <c r="A576" s="78"/>
      <c r="B576" s="78"/>
      <c r="D576" s="78"/>
      <c r="E576" s="78"/>
      <c r="F576" s="78"/>
      <c r="G576" s="78"/>
      <c r="H576" s="93"/>
      <c r="I576" s="78" t="s">
        <v>970</v>
      </c>
      <c r="J576">
        <v>1170</v>
      </c>
      <c r="K576" s="32">
        <v>1</v>
      </c>
    </row>
    <row r="577" spans="1:11" x14ac:dyDescent="0.25">
      <c r="A577" s="78"/>
      <c r="B577" s="78"/>
      <c r="D577" s="78"/>
      <c r="E577" s="78"/>
      <c r="F577" s="78"/>
      <c r="G577" s="78"/>
      <c r="H577" s="93"/>
      <c r="I577" s="78" t="s">
        <v>1095</v>
      </c>
      <c r="J577">
        <v>1170</v>
      </c>
      <c r="K577" s="32">
        <v>1</v>
      </c>
    </row>
    <row r="578" spans="1:11" x14ac:dyDescent="0.25">
      <c r="A578" s="78"/>
      <c r="B578" s="78"/>
      <c r="D578" s="78"/>
      <c r="E578" s="78"/>
      <c r="F578" s="78"/>
      <c r="G578" s="78"/>
      <c r="H578" s="93"/>
      <c r="I578" s="78" t="s">
        <v>971</v>
      </c>
      <c r="J578">
        <v>1170</v>
      </c>
      <c r="K578" s="32">
        <v>1</v>
      </c>
    </row>
    <row r="579" spans="1:11" x14ac:dyDescent="0.25">
      <c r="A579" s="78"/>
      <c r="B579" s="78"/>
      <c r="D579" s="78"/>
      <c r="E579" s="78"/>
      <c r="F579" s="78"/>
      <c r="G579" s="78"/>
      <c r="H579" s="93"/>
      <c r="I579" s="78" t="s">
        <v>852</v>
      </c>
      <c r="J579">
        <v>1170</v>
      </c>
      <c r="K579" s="32">
        <v>1</v>
      </c>
    </row>
    <row r="580" spans="1:11" x14ac:dyDescent="0.25">
      <c r="A580" s="78"/>
      <c r="B580" s="78"/>
      <c r="D580" s="78"/>
      <c r="E580" s="78"/>
      <c r="F580" s="78"/>
      <c r="G580" s="78"/>
      <c r="H580" s="93"/>
      <c r="I580" s="78" t="s">
        <v>848</v>
      </c>
      <c r="J580">
        <v>1170</v>
      </c>
      <c r="K580" s="32">
        <v>1</v>
      </c>
    </row>
    <row r="581" spans="1:11" x14ac:dyDescent="0.25">
      <c r="A581" s="78"/>
      <c r="B581" s="78"/>
      <c r="D581" s="78"/>
      <c r="E581" s="78"/>
      <c r="F581" s="78"/>
      <c r="G581" s="78"/>
      <c r="H581" s="93"/>
      <c r="I581" t="s">
        <v>1858</v>
      </c>
      <c r="J581">
        <v>1170</v>
      </c>
      <c r="K581" s="32">
        <v>1</v>
      </c>
    </row>
    <row r="582" spans="1:11" x14ac:dyDescent="0.25">
      <c r="A582" s="78"/>
      <c r="B582" s="78"/>
      <c r="D582" s="78"/>
      <c r="E582" s="78"/>
      <c r="F582" s="78"/>
      <c r="G582" t="s">
        <v>1768</v>
      </c>
      <c r="K582" s="32">
        <v>9</v>
      </c>
    </row>
    <row r="583" spans="1:11" x14ac:dyDescent="0.25">
      <c r="A583" s="78"/>
      <c r="B583" s="78"/>
      <c r="D583" s="78"/>
      <c r="E583" s="78"/>
      <c r="F583" s="78"/>
      <c r="G583" s="78" t="s">
        <v>916</v>
      </c>
      <c r="H583" s="78" t="s">
        <v>30</v>
      </c>
      <c r="I583" s="78" t="s">
        <v>188</v>
      </c>
      <c r="J583">
        <v>1170</v>
      </c>
      <c r="K583" s="32">
        <v>1</v>
      </c>
    </row>
    <row r="584" spans="1:11" x14ac:dyDescent="0.25">
      <c r="A584" s="78"/>
      <c r="B584" s="78"/>
      <c r="D584" s="78"/>
      <c r="E584" s="78"/>
      <c r="F584" s="78"/>
      <c r="G584" t="s">
        <v>1769</v>
      </c>
      <c r="K584" s="32">
        <v>1</v>
      </c>
    </row>
    <row r="585" spans="1:11" x14ac:dyDescent="0.25">
      <c r="A585" s="78"/>
      <c r="B585" s="78"/>
      <c r="D585" s="78"/>
      <c r="E585" s="78"/>
      <c r="F585" t="s">
        <v>794</v>
      </c>
      <c r="G585" t="s">
        <v>916</v>
      </c>
      <c r="H585" t="s">
        <v>53</v>
      </c>
      <c r="I585" t="s">
        <v>664</v>
      </c>
      <c r="J585">
        <v>1170</v>
      </c>
      <c r="K585" s="32">
        <v>1</v>
      </c>
    </row>
    <row r="586" spans="1:11" x14ac:dyDescent="0.25">
      <c r="A586" s="78"/>
      <c r="B586" s="78"/>
      <c r="D586" s="78"/>
      <c r="E586" s="78"/>
      <c r="F586"/>
      <c r="G586" t="s">
        <v>1769</v>
      </c>
      <c r="K586" s="32">
        <v>1</v>
      </c>
    </row>
    <row r="587" spans="1:11" x14ac:dyDescent="0.25">
      <c r="A587" s="78"/>
      <c r="B587" s="78"/>
      <c r="D587" s="78"/>
      <c r="E587" s="78" t="s">
        <v>909</v>
      </c>
      <c r="F587" s="78" t="s">
        <v>219</v>
      </c>
      <c r="G587" s="78" t="s">
        <v>915</v>
      </c>
      <c r="H587" s="93" t="s">
        <v>794</v>
      </c>
      <c r="I587" s="78" t="s">
        <v>160</v>
      </c>
      <c r="J587">
        <v>1170</v>
      </c>
      <c r="K587" s="32">
        <v>1</v>
      </c>
    </row>
    <row r="588" spans="1:11" x14ac:dyDescent="0.25">
      <c r="A588" s="78"/>
      <c r="B588" s="78"/>
      <c r="D588" s="78"/>
      <c r="E588" s="78"/>
      <c r="F588" s="78"/>
      <c r="G588" t="s">
        <v>1768</v>
      </c>
      <c r="K588" s="32">
        <v>1</v>
      </c>
    </row>
    <row r="589" spans="1:11" x14ac:dyDescent="0.25">
      <c r="A589" s="78"/>
      <c r="B589" s="78"/>
      <c r="D589" s="78"/>
      <c r="E589" s="78"/>
      <c r="F589" s="78"/>
      <c r="G589" s="78" t="s">
        <v>916</v>
      </c>
      <c r="H589" t="s">
        <v>17</v>
      </c>
      <c r="I589" t="s">
        <v>99</v>
      </c>
      <c r="J589">
        <v>1170</v>
      </c>
      <c r="K589" s="32">
        <v>1</v>
      </c>
    </row>
    <row r="590" spans="1:11" x14ac:dyDescent="0.25">
      <c r="A590" s="78"/>
      <c r="B590" s="78"/>
      <c r="D590" s="78"/>
      <c r="E590" s="78"/>
      <c r="F590" s="78"/>
      <c r="G590" s="78"/>
      <c r="I590" t="s">
        <v>202</v>
      </c>
      <c r="J590">
        <v>1170</v>
      </c>
      <c r="K590" s="32">
        <v>1</v>
      </c>
    </row>
    <row r="591" spans="1:11" x14ac:dyDescent="0.25">
      <c r="A591" s="78"/>
      <c r="B591" s="78"/>
      <c r="D591" s="78"/>
      <c r="E591" s="78"/>
      <c r="F591" s="78"/>
      <c r="G591" t="s">
        <v>1769</v>
      </c>
      <c r="K591" s="32">
        <v>2</v>
      </c>
    </row>
    <row r="592" spans="1:11" x14ac:dyDescent="0.25">
      <c r="A592" s="78"/>
      <c r="B592" s="78"/>
      <c r="D592" s="78"/>
      <c r="E592" s="78"/>
      <c r="F592" s="78" t="s">
        <v>812</v>
      </c>
      <c r="G592" s="78" t="s">
        <v>915</v>
      </c>
      <c r="H592" s="91" t="s">
        <v>794</v>
      </c>
      <c r="I592" s="78" t="s">
        <v>803</v>
      </c>
      <c r="J592">
        <v>1170</v>
      </c>
      <c r="K592" s="32">
        <v>1</v>
      </c>
    </row>
    <row r="593" spans="1:11" x14ac:dyDescent="0.25">
      <c r="A593" s="78"/>
      <c r="B593" s="78"/>
      <c r="D593" s="78"/>
      <c r="E593" s="78"/>
      <c r="F593" s="78"/>
      <c r="G593" s="78"/>
      <c r="H593" s="91"/>
      <c r="I593" s="78" t="s">
        <v>731</v>
      </c>
      <c r="J593">
        <v>1170</v>
      </c>
      <c r="K593" s="32">
        <v>1</v>
      </c>
    </row>
    <row r="594" spans="1:11" x14ac:dyDescent="0.25">
      <c r="A594" s="78"/>
      <c r="B594" s="78"/>
      <c r="D594" s="78"/>
      <c r="E594" s="78"/>
      <c r="F594" s="78"/>
      <c r="G594" s="78"/>
      <c r="H594" s="91"/>
      <c r="I594" s="78" t="s">
        <v>826</v>
      </c>
      <c r="J594">
        <v>1170</v>
      </c>
      <c r="K594" s="32">
        <v>1</v>
      </c>
    </row>
    <row r="595" spans="1:11" x14ac:dyDescent="0.25">
      <c r="A595" s="78"/>
      <c r="B595" s="78"/>
      <c r="D595" s="78"/>
      <c r="E595" s="78"/>
      <c r="F595" s="78"/>
      <c r="G595" t="s">
        <v>1768</v>
      </c>
      <c r="K595" s="32">
        <v>3</v>
      </c>
    </row>
    <row r="596" spans="1:11" x14ac:dyDescent="0.25">
      <c r="A596" s="78"/>
      <c r="B596" s="78"/>
      <c r="D596" s="78"/>
      <c r="E596" s="78"/>
      <c r="F596" s="78"/>
      <c r="G596" s="78" t="s">
        <v>916</v>
      </c>
      <c r="H596" s="78" t="s">
        <v>60</v>
      </c>
      <c r="I596" s="78" t="s">
        <v>1615</v>
      </c>
      <c r="J596">
        <v>1170</v>
      </c>
      <c r="K596" s="32">
        <v>1</v>
      </c>
    </row>
    <row r="597" spans="1:11" x14ac:dyDescent="0.25">
      <c r="A597" s="78"/>
      <c r="B597" s="78"/>
      <c r="D597" s="78"/>
      <c r="E597" s="78"/>
      <c r="F597" s="78"/>
      <c r="G597" t="s">
        <v>1769</v>
      </c>
      <c r="K597" s="32">
        <v>1</v>
      </c>
    </row>
    <row r="598" spans="1:11" x14ac:dyDescent="0.25">
      <c r="A598" s="78"/>
      <c r="B598" s="78"/>
      <c r="D598" s="78"/>
      <c r="E598" s="78"/>
      <c r="F598" s="78" t="s">
        <v>52</v>
      </c>
      <c r="G598" s="78" t="s">
        <v>915</v>
      </c>
      <c r="H598" s="93" t="s">
        <v>794</v>
      </c>
      <c r="I598" s="78" t="s">
        <v>561</v>
      </c>
      <c r="J598">
        <v>1170</v>
      </c>
      <c r="K598" s="32">
        <v>1</v>
      </c>
    </row>
    <row r="599" spans="1:11" x14ac:dyDescent="0.25">
      <c r="A599" s="78"/>
      <c r="B599" s="78"/>
      <c r="D599" s="78"/>
      <c r="E599" s="78"/>
      <c r="F599" s="78"/>
      <c r="G599" s="78"/>
      <c r="H599" s="93"/>
      <c r="I599" s="78" t="s">
        <v>156</v>
      </c>
      <c r="J599">
        <v>1170</v>
      </c>
      <c r="K599" s="32">
        <v>1</v>
      </c>
    </row>
    <row r="600" spans="1:11" x14ac:dyDescent="0.25">
      <c r="A600" s="78"/>
      <c r="B600" s="78"/>
      <c r="D600" s="78"/>
      <c r="E600" s="78"/>
      <c r="F600" s="78"/>
      <c r="G600" s="78"/>
      <c r="H600" s="93"/>
      <c r="I600" s="78" t="s">
        <v>167</v>
      </c>
      <c r="J600">
        <v>1170</v>
      </c>
      <c r="K600" s="32">
        <v>1</v>
      </c>
    </row>
    <row r="601" spans="1:11" x14ac:dyDescent="0.25">
      <c r="A601" s="78"/>
      <c r="B601" s="78"/>
      <c r="D601" s="78"/>
      <c r="E601" s="78"/>
      <c r="F601" s="78"/>
      <c r="G601" s="78"/>
      <c r="H601" s="93"/>
      <c r="I601" s="78" t="s">
        <v>177</v>
      </c>
      <c r="J601">
        <v>1170</v>
      </c>
      <c r="K601" s="32">
        <v>1</v>
      </c>
    </row>
    <row r="602" spans="1:11" x14ac:dyDescent="0.25">
      <c r="A602" s="78"/>
      <c r="B602" s="78"/>
      <c r="D602" s="78"/>
      <c r="E602" s="78"/>
      <c r="F602" s="78"/>
      <c r="G602" s="78"/>
      <c r="H602" s="93"/>
      <c r="I602" s="78" t="s">
        <v>193</v>
      </c>
      <c r="J602">
        <v>1170</v>
      </c>
      <c r="K602" s="32">
        <v>1</v>
      </c>
    </row>
    <row r="603" spans="1:11" x14ac:dyDescent="0.25">
      <c r="A603" s="78"/>
      <c r="B603" s="78"/>
      <c r="D603" s="78"/>
      <c r="E603" s="78"/>
      <c r="F603" s="78"/>
      <c r="G603" s="78"/>
      <c r="H603" s="93"/>
      <c r="I603" s="78" t="s">
        <v>197</v>
      </c>
      <c r="J603">
        <v>1170</v>
      </c>
      <c r="K603" s="32">
        <v>1</v>
      </c>
    </row>
    <row r="604" spans="1:11" x14ac:dyDescent="0.25">
      <c r="A604" s="78"/>
      <c r="B604" s="78"/>
      <c r="D604" s="78"/>
      <c r="E604" s="78"/>
      <c r="F604" s="78"/>
      <c r="G604" s="78"/>
      <c r="H604" s="93"/>
      <c r="I604" s="78" t="s">
        <v>199</v>
      </c>
      <c r="J604">
        <v>1170</v>
      </c>
      <c r="K604" s="32">
        <v>1</v>
      </c>
    </row>
    <row r="605" spans="1:11" x14ac:dyDescent="0.25">
      <c r="A605" s="78"/>
      <c r="B605" s="78"/>
      <c r="D605" s="78"/>
      <c r="E605" s="78"/>
      <c r="F605" s="78"/>
      <c r="G605" t="s">
        <v>1768</v>
      </c>
      <c r="K605" s="32">
        <v>7</v>
      </c>
    </row>
    <row r="606" spans="1:11" x14ac:dyDescent="0.25">
      <c r="A606" s="78"/>
      <c r="B606" s="78"/>
      <c r="D606" s="78"/>
      <c r="E606" s="78"/>
      <c r="F606" s="78"/>
      <c r="G606" s="78" t="s">
        <v>916</v>
      </c>
      <c r="H606" s="78" t="s">
        <v>17</v>
      </c>
      <c r="I606" s="78" t="s">
        <v>829</v>
      </c>
      <c r="J606">
        <v>1170</v>
      </c>
      <c r="K606" s="32">
        <v>1</v>
      </c>
    </row>
    <row r="607" spans="1:11" x14ac:dyDescent="0.25">
      <c r="A607" s="78"/>
      <c r="B607" s="78"/>
      <c r="D607" s="78"/>
      <c r="E607" s="78"/>
      <c r="F607" s="78"/>
      <c r="G607" t="s">
        <v>1769</v>
      </c>
      <c r="K607" s="32">
        <v>1</v>
      </c>
    </row>
    <row r="608" spans="1:11" x14ac:dyDescent="0.25">
      <c r="A608" s="78"/>
      <c r="B608" s="78"/>
      <c r="D608" s="78"/>
      <c r="E608" s="78"/>
      <c r="F608" s="78" t="s">
        <v>500</v>
      </c>
      <c r="G608" s="78" t="s">
        <v>915</v>
      </c>
      <c r="H608" s="93" t="s">
        <v>794</v>
      </c>
      <c r="I608" s="78" t="s">
        <v>84</v>
      </c>
      <c r="J608">
        <v>1170</v>
      </c>
      <c r="K608" s="32">
        <v>1</v>
      </c>
    </row>
    <row r="609" spans="1:11" x14ac:dyDescent="0.25">
      <c r="A609" s="78"/>
      <c r="B609" s="78"/>
      <c r="D609" s="78"/>
      <c r="E609" s="78"/>
      <c r="F609" s="78"/>
      <c r="G609" s="78"/>
      <c r="H609" s="93"/>
      <c r="I609" s="78" t="s">
        <v>104</v>
      </c>
      <c r="J609">
        <v>1170</v>
      </c>
      <c r="K609" s="32">
        <v>1</v>
      </c>
    </row>
    <row r="610" spans="1:11" x14ac:dyDescent="0.25">
      <c r="A610" s="78"/>
      <c r="B610" s="78"/>
      <c r="D610" s="78"/>
      <c r="E610" s="78"/>
      <c r="F610" s="78"/>
      <c r="G610" s="78"/>
      <c r="H610" s="93"/>
      <c r="I610" s="78" t="s">
        <v>121</v>
      </c>
      <c r="J610">
        <v>1170</v>
      </c>
      <c r="K610" s="32">
        <v>1</v>
      </c>
    </row>
    <row r="611" spans="1:11" x14ac:dyDescent="0.25">
      <c r="A611" s="78"/>
      <c r="B611" s="78"/>
      <c r="D611" s="78"/>
      <c r="E611" s="78"/>
      <c r="F611" s="78"/>
      <c r="G611" s="78"/>
      <c r="H611" s="93"/>
      <c r="I611" s="78" t="s">
        <v>131</v>
      </c>
      <c r="J611">
        <v>1170</v>
      </c>
      <c r="K611" s="32">
        <v>1</v>
      </c>
    </row>
    <row r="612" spans="1:11" x14ac:dyDescent="0.25">
      <c r="A612" s="78"/>
      <c r="B612" s="78"/>
      <c r="D612" s="78"/>
      <c r="E612" s="78"/>
      <c r="F612" s="78"/>
      <c r="G612" s="78"/>
      <c r="H612" s="93"/>
      <c r="I612" s="78" t="s">
        <v>142</v>
      </c>
      <c r="J612">
        <v>1170</v>
      </c>
      <c r="K612" s="32">
        <v>1</v>
      </c>
    </row>
    <row r="613" spans="1:11" x14ac:dyDescent="0.25">
      <c r="A613" s="78"/>
      <c r="B613" s="78"/>
      <c r="D613" s="78"/>
      <c r="E613" s="78"/>
      <c r="F613" s="78"/>
      <c r="G613" s="78"/>
      <c r="H613" s="93"/>
      <c r="I613" s="78" t="s">
        <v>1614</v>
      </c>
      <c r="J613">
        <v>1170</v>
      </c>
      <c r="K613" s="32">
        <v>1</v>
      </c>
    </row>
    <row r="614" spans="1:11" x14ac:dyDescent="0.25">
      <c r="A614" s="78"/>
      <c r="B614" s="78"/>
      <c r="D614" s="78"/>
      <c r="E614" s="78"/>
      <c r="F614" s="78"/>
      <c r="G614" s="78"/>
      <c r="H614" s="93"/>
      <c r="I614" s="78" t="s">
        <v>71</v>
      </c>
      <c r="J614">
        <v>1170</v>
      </c>
      <c r="K614" s="32">
        <v>1</v>
      </c>
    </row>
    <row r="615" spans="1:11" x14ac:dyDescent="0.25">
      <c r="A615" s="78"/>
      <c r="B615" s="78"/>
      <c r="D615" s="78"/>
      <c r="E615" s="78"/>
      <c r="F615" s="78"/>
      <c r="G615" t="s">
        <v>1768</v>
      </c>
      <c r="K615" s="32">
        <v>7</v>
      </c>
    </row>
    <row r="616" spans="1:11" x14ac:dyDescent="0.25">
      <c r="A616" s="78"/>
      <c r="B616" s="78"/>
      <c r="D616" s="78"/>
      <c r="E616" s="78"/>
      <c r="F616" s="78" t="s">
        <v>507</v>
      </c>
      <c r="G616" t="s">
        <v>915</v>
      </c>
      <c r="H616" s="91" t="s">
        <v>794</v>
      </c>
      <c r="I616" s="78" t="s">
        <v>80</v>
      </c>
      <c r="J616">
        <v>1170</v>
      </c>
      <c r="K616" s="32">
        <v>1</v>
      </c>
    </row>
    <row r="617" spans="1:11" x14ac:dyDescent="0.25">
      <c r="A617" s="78"/>
      <c r="B617" s="78"/>
      <c r="D617" s="78"/>
      <c r="E617" s="78"/>
      <c r="F617" s="78"/>
      <c r="H617" s="91"/>
      <c r="I617" s="78" t="s">
        <v>153</v>
      </c>
      <c r="J617">
        <v>1170</v>
      </c>
      <c r="K617" s="32">
        <v>1</v>
      </c>
    </row>
    <row r="618" spans="1:11" x14ac:dyDescent="0.25">
      <c r="A618" s="78"/>
      <c r="B618" s="78"/>
      <c r="D618" s="78"/>
      <c r="E618" s="78"/>
      <c r="F618" s="78"/>
      <c r="H618" s="91"/>
      <c r="I618" s="78" t="s">
        <v>190</v>
      </c>
      <c r="J618">
        <v>1170</v>
      </c>
      <c r="K618" s="32">
        <v>1</v>
      </c>
    </row>
    <row r="619" spans="1:11" x14ac:dyDescent="0.25">
      <c r="A619" s="78"/>
      <c r="B619" s="78"/>
      <c r="D619" s="78"/>
      <c r="E619" s="78"/>
      <c r="F619" s="78"/>
      <c r="H619" s="91"/>
      <c r="I619" s="78" t="s">
        <v>204</v>
      </c>
      <c r="J619">
        <v>1170</v>
      </c>
      <c r="K619" s="32">
        <v>1</v>
      </c>
    </row>
    <row r="620" spans="1:11" x14ac:dyDescent="0.25">
      <c r="A620" s="78"/>
      <c r="B620" s="78"/>
      <c r="D620" s="78"/>
      <c r="E620" s="78"/>
      <c r="F620" s="78"/>
      <c r="H620" s="91"/>
      <c r="I620" s="78" t="s">
        <v>1017</v>
      </c>
      <c r="J620">
        <v>1170</v>
      </c>
      <c r="K620" s="32">
        <v>1</v>
      </c>
    </row>
    <row r="621" spans="1:11" x14ac:dyDescent="0.25">
      <c r="A621" s="78"/>
      <c r="B621" s="78"/>
      <c r="D621" s="78"/>
      <c r="E621" s="78"/>
      <c r="F621" s="78"/>
      <c r="G621" t="s">
        <v>1768</v>
      </c>
      <c r="K621" s="32">
        <v>5</v>
      </c>
    </row>
    <row r="622" spans="1:11" x14ac:dyDescent="0.25">
      <c r="A622" s="78"/>
      <c r="B622" s="78"/>
      <c r="D622" s="78"/>
      <c r="E622" s="78"/>
      <c r="F622" s="78"/>
      <c r="G622" t="s">
        <v>916</v>
      </c>
      <c r="H622" s="78" t="s">
        <v>15</v>
      </c>
      <c r="I622" s="78" t="s">
        <v>681</v>
      </c>
      <c r="J622">
        <v>1170</v>
      </c>
      <c r="K622" s="32">
        <v>1</v>
      </c>
    </row>
    <row r="623" spans="1:11" x14ac:dyDescent="0.25">
      <c r="A623" s="78"/>
      <c r="B623" s="78"/>
      <c r="D623" s="78"/>
      <c r="E623" s="78"/>
      <c r="F623" s="78"/>
      <c r="G623" t="s">
        <v>1769</v>
      </c>
      <c r="K623" s="32">
        <v>1</v>
      </c>
    </row>
    <row r="624" spans="1:11" x14ac:dyDescent="0.25">
      <c r="A624" s="78"/>
      <c r="B624" s="78"/>
      <c r="D624" s="78"/>
      <c r="E624" s="78"/>
      <c r="F624" s="78" t="s">
        <v>811</v>
      </c>
      <c r="G624" s="78" t="s">
        <v>915</v>
      </c>
      <c r="H624" s="93" t="s">
        <v>794</v>
      </c>
      <c r="I624" s="78" t="s">
        <v>79</v>
      </c>
      <c r="J624">
        <v>1170</v>
      </c>
      <c r="K624" s="32">
        <v>1</v>
      </c>
    </row>
    <row r="625" spans="1:11" x14ac:dyDescent="0.25">
      <c r="A625" s="78"/>
      <c r="B625" s="78"/>
      <c r="D625" s="78"/>
      <c r="E625" s="78"/>
      <c r="F625" s="78"/>
      <c r="G625" s="78"/>
      <c r="H625" s="93"/>
      <c r="I625" s="78" t="s">
        <v>83</v>
      </c>
      <c r="J625">
        <v>1170</v>
      </c>
      <c r="K625" s="32">
        <v>1</v>
      </c>
    </row>
    <row r="626" spans="1:11" x14ac:dyDescent="0.25">
      <c r="A626" s="78"/>
      <c r="B626" s="78"/>
      <c r="D626" s="78"/>
      <c r="E626" s="78"/>
      <c r="F626" s="78"/>
      <c r="G626" s="78"/>
      <c r="H626" s="93"/>
      <c r="I626" s="78" t="s">
        <v>106</v>
      </c>
      <c r="J626">
        <v>1170</v>
      </c>
      <c r="K626" s="32">
        <v>1</v>
      </c>
    </row>
    <row r="627" spans="1:11" x14ac:dyDescent="0.25">
      <c r="A627" s="78"/>
      <c r="B627" s="78"/>
      <c r="D627" s="78"/>
      <c r="E627" s="78"/>
      <c r="F627" s="78"/>
      <c r="G627" s="78"/>
      <c r="H627" s="93"/>
      <c r="I627" s="78" t="s">
        <v>133</v>
      </c>
      <c r="J627">
        <v>1170</v>
      </c>
      <c r="K627" s="32">
        <v>1</v>
      </c>
    </row>
    <row r="628" spans="1:11" x14ac:dyDescent="0.25">
      <c r="A628" s="78"/>
      <c r="B628" s="78"/>
      <c r="D628" s="78"/>
      <c r="E628" s="78"/>
      <c r="F628" s="78"/>
      <c r="G628" s="78"/>
      <c r="H628" s="93"/>
      <c r="I628" s="78" t="s">
        <v>135</v>
      </c>
      <c r="J628">
        <v>1170</v>
      </c>
      <c r="K628" s="32">
        <v>1</v>
      </c>
    </row>
    <row r="629" spans="1:11" x14ac:dyDescent="0.25">
      <c r="A629" s="78"/>
      <c r="B629" s="78"/>
      <c r="D629" s="78"/>
      <c r="E629" s="78"/>
      <c r="F629" s="78"/>
      <c r="G629" s="78"/>
      <c r="H629" s="93"/>
      <c r="I629" s="78" t="s">
        <v>152</v>
      </c>
      <c r="J629">
        <v>1170</v>
      </c>
      <c r="K629" s="32">
        <v>1</v>
      </c>
    </row>
    <row r="630" spans="1:11" x14ac:dyDescent="0.25">
      <c r="A630" s="78"/>
      <c r="B630" s="78"/>
      <c r="D630" s="78"/>
      <c r="E630" s="78"/>
      <c r="F630" s="78"/>
      <c r="G630" s="78"/>
      <c r="H630" s="93"/>
      <c r="I630" s="78" t="s">
        <v>159</v>
      </c>
      <c r="J630">
        <v>1170</v>
      </c>
      <c r="K630" s="32">
        <v>1</v>
      </c>
    </row>
    <row r="631" spans="1:11" x14ac:dyDescent="0.25">
      <c r="A631" s="78"/>
      <c r="B631" s="78"/>
      <c r="D631" s="78"/>
      <c r="E631" s="78"/>
      <c r="F631" s="78"/>
      <c r="G631" s="78"/>
      <c r="H631" s="93"/>
      <c r="I631" s="78" t="s">
        <v>163</v>
      </c>
      <c r="J631">
        <v>1170</v>
      </c>
      <c r="K631" s="32">
        <v>1</v>
      </c>
    </row>
    <row r="632" spans="1:11" x14ac:dyDescent="0.25">
      <c r="A632" s="78"/>
      <c r="B632" s="78"/>
      <c r="D632" s="78"/>
      <c r="E632" s="78"/>
      <c r="F632" s="78"/>
      <c r="G632" s="78"/>
      <c r="H632" s="93"/>
      <c r="I632" s="78" t="s">
        <v>196</v>
      </c>
      <c r="J632">
        <v>1170</v>
      </c>
      <c r="K632" s="32">
        <v>1</v>
      </c>
    </row>
    <row r="633" spans="1:11" x14ac:dyDescent="0.25">
      <c r="A633" s="78"/>
      <c r="B633" s="78"/>
      <c r="D633" s="78"/>
      <c r="E633" s="78"/>
      <c r="F633" s="78"/>
      <c r="G633" s="78"/>
      <c r="H633" s="93"/>
      <c r="I633" s="78" t="s">
        <v>200</v>
      </c>
      <c r="J633">
        <v>1170</v>
      </c>
      <c r="K633" s="32">
        <v>1</v>
      </c>
    </row>
    <row r="634" spans="1:11" x14ac:dyDescent="0.25">
      <c r="A634" s="78"/>
      <c r="B634" s="78"/>
      <c r="D634" s="78"/>
      <c r="E634" s="78"/>
      <c r="F634" s="78"/>
      <c r="G634" s="78"/>
      <c r="H634" s="93"/>
      <c r="I634" s="78" t="s">
        <v>206</v>
      </c>
      <c r="J634">
        <v>1170</v>
      </c>
      <c r="K634" s="32">
        <v>1</v>
      </c>
    </row>
    <row r="635" spans="1:11" x14ac:dyDescent="0.25">
      <c r="A635" s="78"/>
      <c r="B635" s="78"/>
      <c r="D635" s="78"/>
      <c r="E635" s="78"/>
      <c r="F635" s="78"/>
      <c r="G635" t="s">
        <v>1768</v>
      </c>
      <c r="K635" s="32">
        <v>11</v>
      </c>
    </row>
    <row r="636" spans="1:11" x14ac:dyDescent="0.25">
      <c r="A636" s="78"/>
      <c r="B636" s="78"/>
      <c r="D636" s="78"/>
      <c r="E636" s="78"/>
      <c r="F636" s="78" t="s">
        <v>813</v>
      </c>
      <c r="G636" t="s">
        <v>915</v>
      </c>
      <c r="H636" s="91" t="s">
        <v>794</v>
      </c>
      <c r="I636" s="78" t="s">
        <v>100</v>
      </c>
      <c r="J636">
        <v>1170</v>
      </c>
      <c r="K636" s="32">
        <v>1</v>
      </c>
    </row>
    <row r="637" spans="1:11" x14ac:dyDescent="0.25">
      <c r="A637" s="78"/>
      <c r="B637" s="78"/>
      <c r="D637" s="78"/>
      <c r="E637" s="78"/>
      <c r="F637" s="78"/>
      <c r="H637" s="91"/>
      <c r="I637" s="78" t="s">
        <v>1052</v>
      </c>
      <c r="J637">
        <v>1170</v>
      </c>
      <c r="K637" s="32">
        <v>1</v>
      </c>
    </row>
    <row r="638" spans="1:11" x14ac:dyDescent="0.25">
      <c r="A638" s="78"/>
      <c r="B638" s="78"/>
      <c r="D638" s="78"/>
      <c r="E638" s="78"/>
      <c r="F638" s="78"/>
      <c r="H638" s="91"/>
      <c r="I638" s="78" t="s">
        <v>182</v>
      </c>
      <c r="J638">
        <v>1170</v>
      </c>
      <c r="K638" s="32">
        <v>1</v>
      </c>
    </row>
    <row r="639" spans="1:11" x14ac:dyDescent="0.25">
      <c r="A639" s="78"/>
      <c r="B639" s="78"/>
      <c r="D639" s="78"/>
      <c r="E639" s="78"/>
      <c r="F639" s="78"/>
      <c r="H639" s="91"/>
      <c r="I639" s="78" t="s">
        <v>185</v>
      </c>
      <c r="J639">
        <v>1170</v>
      </c>
      <c r="K639" s="32">
        <v>1</v>
      </c>
    </row>
    <row r="640" spans="1:11" x14ac:dyDescent="0.25">
      <c r="A640" s="78"/>
      <c r="B640" s="78"/>
      <c r="D640" s="78"/>
      <c r="E640" s="78"/>
      <c r="F640" s="78"/>
      <c r="G640" t="s">
        <v>1768</v>
      </c>
      <c r="K640" s="32">
        <v>4</v>
      </c>
    </row>
    <row r="641" spans="1:11" x14ac:dyDescent="0.25">
      <c r="A641" s="78"/>
      <c r="B641" s="78"/>
      <c r="D641" s="78"/>
      <c r="E641" s="78"/>
      <c r="F641" s="78" t="s">
        <v>524</v>
      </c>
      <c r="G641" t="s">
        <v>915</v>
      </c>
      <c r="H641" s="91" t="s">
        <v>794</v>
      </c>
      <c r="I641" s="78" t="s">
        <v>107</v>
      </c>
      <c r="J641">
        <v>1170</v>
      </c>
      <c r="K641" s="32">
        <v>1</v>
      </c>
    </row>
    <row r="642" spans="1:11" x14ac:dyDescent="0.25">
      <c r="A642" s="78"/>
      <c r="B642" s="78"/>
      <c r="D642" s="78"/>
      <c r="E642" s="78"/>
      <c r="F642" s="78"/>
      <c r="H642" s="91"/>
      <c r="I642" s="78" t="s">
        <v>151</v>
      </c>
      <c r="J642">
        <v>1170</v>
      </c>
      <c r="K642" s="32">
        <v>1</v>
      </c>
    </row>
    <row r="643" spans="1:11" x14ac:dyDescent="0.25">
      <c r="A643" s="78"/>
      <c r="B643" s="78"/>
      <c r="D643" s="78"/>
      <c r="E643" s="78"/>
      <c r="F643" s="78"/>
      <c r="G643" t="s">
        <v>1768</v>
      </c>
      <c r="K643" s="32">
        <v>2</v>
      </c>
    </row>
    <row r="644" spans="1:11" x14ac:dyDescent="0.25">
      <c r="A644" s="78"/>
      <c r="B644" s="78"/>
      <c r="D644" s="78"/>
      <c r="E644" s="78"/>
      <c r="F644" s="78"/>
      <c r="G644" t="s">
        <v>916</v>
      </c>
      <c r="H644" s="78" t="s">
        <v>42</v>
      </c>
      <c r="I644" s="78" t="s">
        <v>175</v>
      </c>
      <c r="J644">
        <v>1170</v>
      </c>
      <c r="K644" s="32">
        <v>1</v>
      </c>
    </row>
    <row r="645" spans="1:11" x14ac:dyDescent="0.25">
      <c r="A645" s="78"/>
      <c r="B645" s="78"/>
      <c r="D645" s="78"/>
      <c r="E645" s="78"/>
      <c r="F645" s="78"/>
      <c r="G645" t="s">
        <v>1769</v>
      </c>
      <c r="K645" s="32">
        <v>1</v>
      </c>
    </row>
    <row r="646" spans="1:11" x14ac:dyDescent="0.25">
      <c r="A646" s="78"/>
      <c r="B646" s="78"/>
      <c r="D646" s="78"/>
      <c r="E646" s="78"/>
      <c r="F646" s="78" t="s">
        <v>23</v>
      </c>
      <c r="G646" s="78" t="s">
        <v>915</v>
      </c>
      <c r="H646" s="93" t="s">
        <v>794</v>
      </c>
      <c r="I646" s="78" t="s">
        <v>88</v>
      </c>
      <c r="J646">
        <v>1170</v>
      </c>
      <c r="K646" s="32">
        <v>1</v>
      </c>
    </row>
    <row r="647" spans="1:11" x14ac:dyDescent="0.25">
      <c r="A647" s="78"/>
      <c r="B647" s="78"/>
      <c r="D647" s="78"/>
      <c r="E647" s="78"/>
      <c r="F647" s="78"/>
      <c r="G647" s="78"/>
      <c r="H647" s="93"/>
      <c r="I647" s="78" t="s">
        <v>93</v>
      </c>
      <c r="J647">
        <v>1170</v>
      </c>
      <c r="K647" s="32">
        <v>1</v>
      </c>
    </row>
    <row r="648" spans="1:11" x14ac:dyDescent="0.25">
      <c r="A648" s="78"/>
      <c r="B648" s="78"/>
      <c r="D648" s="78"/>
      <c r="E648" s="78"/>
      <c r="F648" s="78"/>
      <c r="G648" s="78"/>
      <c r="H648" s="93"/>
      <c r="I648" s="78" t="s">
        <v>102</v>
      </c>
      <c r="J648">
        <v>1170</v>
      </c>
      <c r="K648" s="32">
        <v>1</v>
      </c>
    </row>
    <row r="649" spans="1:11" x14ac:dyDescent="0.25">
      <c r="A649" s="78"/>
      <c r="B649" s="78"/>
      <c r="D649" s="78"/>
      <c r="E649" s="78"/>
      <c r="F649" s="78"/>
      <c r="G649" s="78"/>
      <c r="H649" s="93"/>
      <c r="I649" s="78" t="s">
        <v>103</v>
      </c>
      <c r="J649">
        <v>1170</v>
      </c>
      <c r="K649" s="32">
        <v>1</v>
      </c>
    </row>
    <row r="650" spans="1:11" x14ac:dyDescent="0.25">
      <c r="A650" s="78"/>
      <c r="B650" s="78"/>
      <c r="D650" s="78"/>
      <c r="E650" s="78"/>
      <c r="F650" s="78"/>
      <c r="G650" s="78"/>
      <c r="H650" s="93"/>
      <c r="I650" s="78" t="s">
        <v>619</v>
      </c>
      <c r="J650">
        <v>1170</v>
      </c>
      <c r="K650" s="32">
        <v>1</v>
      </c>
    </row>
    <row r="651" spans="1:11" x14ac:dyDescent="0.25">
      <c r="A651" s="78"/>
      <c r="B651" s="78"/>
      <c r="D651" s="78"/>
      <c r="E651" s="78"/>
      <c r="F651" s="78"/>
      <c r="G651" s="78"/>
      <c r="H651" s="93"/>
      <c r="I651" s="78" t="s">
        <v>111</v>
      </c>
      <c r="J651">
        <v>1170</v>
      </c>
      <c r="K651" s="32">
        <v>1</v>
      </c>
    </row>
    <row r="652" spans="1:11" x14ac:dyDescent="0.25">
      <c r="A652" s="78"/>
      <c r="B652" s="78"/>
      <c r="D652" s="78"/>
      <c r="E652" s="78"/>
      <c r="F652" s="78"/>
      <c r="G652" s="78"/>
      <c r="H652" s="93"/>
      <c r="I652" s="78" t="s">
        <v>114</v>
      </c>
      <c r="J652">
        <v>1170</v>
      </c>
      <c r="K652" s="32">
        <v>1</v>
      </c>
    </row>
    <row r="653" spans="1:11" x14ac:dyDescent="0.25">
      <c r="A653" s="78"/>
      <c r="B653" s="78"/>
      <c r="D653" s="78"/>
      <c r="E653" s="78"/>
      <c r="F653" s="78"/>
      <c r="G653" s="78"/>
      <c r="H653" s="93"/>
      <c r="I653" s="78" t="s">
        <v>1013</v>
      </c>
      <c r="J653">
        <v>1170</v>
      </c>
      <c r="K653" s="32">
        <v>1</v>
      </c>
    </row>
    <row r="654" spans="1:11" x14ac:dyDescent="0.25">
      <c r="A654" s="78"/>
      <c r="B654" s="78"/>
      <c r="D654" s="78"/>
      <c r="E654" s="78"/>
      <c r="F654" s="78"/>
      <c r="G654" s="78"/>
      <c r="H654" s="93"/>
      <c r="I654" s="78" t="s">
        <v>122</v>
      </c>
      <c r="J654">
        <v>1170</v>
      </c>
      <c r="K654" s="32">
        <v>1</v>
      </c>
    </row>
    <row r="655" spans="1:11" x14ac:dyDescent="0.25">
      <c r="A655" s="78"/>
      <c r="B655" s="78"/>
      <c r="D655" s="78"/>
      <c r="E655" s="78"/>
      <c r="F655" s="78"/>
      <c r="G655" s="78"/>
      <c r="H655" s="93"/>
      <c r="I655" s="78" t="s">
        <v>123</v>
      </c>
      <c r="J655">
        <v>1170</v>
      </c>
      <c r="K655" s="32">
        <v>1</v>
      </c>
    </row>
    <row r="656" spans="1:11" x14ac:dyDescent="0.25">
      <c r="A656" s="78"/>
      <c r="B656" s="78"/>
      <c r="D656" s="78"/>
      <c r="E656" s="78"/>
      <c r="F656" s="78"/>
      <c r="G656" s="78"/>
      <c r="H656" s="93"/>
      <c r="I656" s="78" t="s">
        <v>124</v>
      </c>
      <c r="J656">
        <v>1170</v>
      </c>
      <c r="K656" s="32">
        <v>1</v>
      </c>
    </row>
    <row r="657" spans="1:11" x14ac:dyDescent="0.25">
      <c r="A657" s="78"/>
      <c r="B657" s="78"/>
      <c r="D657" s="78"/>
      <c r="E657" s="78"/>
      <c r="F657" s="78"/>
      <c r="G657" s="78"/>
      <c r="H657" s="93"/>
      <c r="I657" s="78" t="s">
        <v>130</v>
      </c>
      <c r="J657">
        <v>1170</v>
      </c>
      <c r="K657" s="32">
        <v>1</v>
      </c>
    </row>
    <row r="658" spans="1:11" x14ac:dyDescent="0.25">
      <c r="A658" s="78"/>
      <c r="B658" s="78"/>
      <c r="D658" s="78"/>
      <c r="E658" s="78"/>
      <c r="F658" s="78"/>
      <c r="G658" s="78"/>
      <c r="H658" s="93"/>
      <c r="I658" s="78" t="s">
        <v>136</v>
      </c>
      <c r="J658">
        <v>1170</v>
      </c>
      <c r="K658" s="32">
        <v>1</v>
      </c>
    </row>
    <row r="659" spans="1:11" x14ac:dyDescent="0.25">
      <c r="A659" s="78"/>
      <c r="B659" s="78"/>
      <c r="D659" s="78"/>
      <c r="E659" s="78"/>
      <c r="F659" s="78"/>
      <c r="G659" s="78"/>
      <c r="H659" s="93"/>
      <c r="I659" s="78" t="s">
        <v>140</v>
      </c>
      <c r="J659">
        <v>1170</v>
      </c>
      <c r="K659" s="32">
        <v>1</v>
      </c>
    </row>
    <row r="660" spans="1:11" x14ac:dyDescent="0.25">
      <c r="A660" s="78"/>
      <c r="B660" s="78"/>
      <c r="D660" s="78"/>
      <c r="E660" s="78"/>
      <c r="F660" s="78"/>
      <c r="G660" s="78"/>
      <c r="H660" s="93"/>
      <c r="I660" s="78" t="s">
        <v>149</v>
      </c>
      <c r="J660">
        <v>1170</v>
      </c>
      <c r="K660" s="32">
        <v>1</v>
      </c>
    </row>
    <row r="661" spans="1:11" x14ac:dyDescent="0.25">
      <c r="A661" s="78"/>
      <c r="B661" s="78"/>
      <c r="D661" s="78"/>
      <c r="E661" s="78"/>
      <c r="F661" s="78"/>
      <c r="G661" s="78"/>
      <c r="H661" s="93"/>
      <c r="I661" s="78" t="s">
        <v>166</v>
      </c>
      <c r="J661">
        <v>1170</v>
      </c>
      <c r="K661" s="32">
        <v>1</v>
      </c>
    </row>
    <row r="662" spans="1:11" x14ac:dyDescent="0.25">
      <c r="A662" s="78"/>
      <c r="B662" s="78"/>
      <c r="D662" s="78"/>
      <c r="E662" s="78"/>
      <c r="F662" s="78"/>
      <c r="G662" s="78"/>
      <c r="H662" s="93"/>
      <c r="I662" s="78" t="s">
        <v>1014</v>
      </c>
      <c r="J662">
        <v>1170</v>
      </c>
      <c r="K662" s="32">
        <v>1</v>
      </c>
    </row>
    <row r="663" spans="1:11" x14ac:dyDescent="0.25">
      <c r="A663" s="78"/>
      <c r="B663" s="78"/>
      <c r="D663" s="78"/>
      <c r="E663" s="78"/>
      <c r="F663" s="78"/>
      <c r="G663" s="78"/>
      <c r="H663" s="93"/>
      <c r="I663" s="78" t="s">
        <v>172</v>
      </c>
      <c r="J663">
        <v>1170</v>
      </c>
      <c r="K663" s="32">
        <v>1</v>
      </c>
    </row>
    <row r="664" spans="1:11" x14ac:dyDescent="0.25">
      <c r="A664" s="78"/>
      <c r="B664" s="78"/>
      <c r="D664" s="78"/>
      <c r="E664" s="78"/>
      <c r="F664" s="78"/>
      <c r="G664" s="78"/>
      <c r="H664" s="93"/>
      <c r="I664" s="78" t="s">
        <v>205</v>
      </c>
      <c r="J664">
        <v>1170</v>
      </c>
      <c r="K664" s="32">
        <v>1</v>
      </c>
    </row>
    <row r="665" spans="1:11" x14ac:dyDescent="0.25">
      <c r="A665" s="78"/>
      <c r="B665" s="78"/>
      <c r="D665" s="78"/>
      <c r="E665" s="78"/>
      <c r="F665" s="78"/>
      <c r="G665" s="78"/>
      <c r="H665" s="93"/>
      <c r="I665" s="78" t="s">
        <v>207</v>
      </c>
      <c r="J665">
        <v>1170</v>
      </c>
      <c r="K665" s="32">
        <v>1</v>
      </c>
    </row>
    <row r="666" spans="1:11" x14ac:dyDescent="0.25">
      <c r="A666" s="78"/>
      <c r="B666" s="78"/>
      <c r="D666" s="78"/>
      <c r="E666" s="78"/>
      <c r="F666" s="78"/>
      <c r="G666" s="78"/>
      <c r="H666" s="93"/>
      <c r="I666" s="78" t="s">
        <v>209</v>
      </c>
      <c r="J666">
        <v>1170</v>
      </c>
      <c r="K666" s="32">
        <v>1</v>
      </c>
    </row>
    <row r="667" spans="1:11" x14ac:dyDescent="0.25">
      <c r="A667" s="78"/>
      <c r="B667" s="78"/>
      <c r="D667" s="78"/>
      <c r="E667" s="78"/>
      <c r="F667" s="78"/>
      <c r="G667" s="78"/>
      <c r="H667" s="93"/>
      <c r="I667" s="78" t="s">
        <v>213</v>
      </c>
      <c r="J667">
        <v>1170</v>
      </c>
      <c r="K667" s="32">
        <v>1</v>
      </c>
    </row>
    <row r="668" spans="1:11" x14ac:dyDescent="0.25">
      <c r="A668" s="78"/>
      <c r="B668" s="78"/>
      <c r="D668" s="78"/>
      <c r="E668" s="78"/>
      <c r="F668" s="78"/>
      <c r="G668" t="s">
        <v>1768</v>
      </c>
      <c r="K668" s="32">
        <v>22</v>
      </c>
    </row>
    <row r="669" spans="1:11" x14ac:dyDescent="0.25">
      <c r="A669" s="78"/>
      <c r="B669" s="78"/>
      <c r="D669" s="78"/>
      <c r="E669" s="78"/>
      <c r="F669" s="78"/>
      <c r="G669" t="s">
        <v>916</v>
      </c>
      <c r="H669" t="s">
        <v>17</v>
      </c>
      <c r="I669" t="s">
        <v>1699</v>
      </c>
      <c r="J669">
        <v>1170</v>
      </c>
      <c r="K669" s="32">
        <v>1</v>
      </c>
    </row>
    <row r="670" spans="1:11" x14ac:dyDescent="0.25">
      <c r="A670" s="78"/>
      <c r="B670" s="78"/>
      <c r="D670" s="78"/>
      <c r="E670" s="78"/>
      <c r="F670" s="78"/>
      <c r="G670" t="s">
        <v>1769</v>
      </c>
      <c r="K670" s="32">
        <v>1</v>
      </c>
    </row>
    <row r="671" spans="1:11" x14ac:dyDescent="0.25">
      <c r="A671" s="78"/>
      <c r="B671" s="78"/>
      <c r="D671" s="78"/>
      <c r="E671" s="78"/>
      <c r="F671" s="78" t="s">
        <v>795</v>
      </c>
      <c r="G671" s="78" t="s">
        <v>916</v>
      </c>
      <c r="H671" s="78" t="s">
        <v>24</v>
      </c>
      <c r="I671" s="78" t="s">
        <v>1038</v>
      </c>
      <c r="J671">
        <v>1170</v>
      </c>
      <c r="K671" s="32">
        <v>1</v>
      </c>
    </row>
    <row r="672" spans="1:11" x14ac:dyDescent="0.25">
      <c r="A672" s="78"/>
      <c r="B672" s="78"/>
      <c r="D672" s="78"/>
      <c r="E672" s="78"/>
      <c r="F672" s="78"/>
      <c r="G672" t="s">
        <v>1769</v>
      </c>
      <c r="K672" s="32">
        <v>1</v>
      </c>
    </row>
    <row r="673" spans="1:11" x14ac:dyDescent="0.25">
      <c r="A673" s="78"/>
      <c r="B673" s="78"/>
      <c r="D673" s="78"/>
      <c r="E673" s="78"/>
      <c r="F673" s="93" t="s">
        <v>794</v>
      </c>
      <c r="G673" s="78" t="s">
        <v>915</v>
      </c>
      <c r="H673" s="93" t="s">
        <v>794</v>
      </c>
      <c r="I673" s="78" t="s">
        <v>1089</v>
      </c>
      <c r="J673">
        <v>1170</v>
      </c>
      <c r="K673" s="32">
        <v>1</v>
      </c>
    </row>
    <row r="674" spans="1:11" x14ac:dyDescent="0.25">
      <c r="A674" s="78"/>
      <c r="B674" s="78"/>
      <c r="D674" s="78"/>
      <c r="E674" s="78"/>
      <c r="F674" s="93"/>
      <c r="G674" s="78"/>
      <c r="H674" s="93"/>
      <c r="I674" s="78" t="s">
        <v>1090</v>
      </c>
      <c r="J674">
        <v>1170</v>
      </c>
      <c r="K674" s="32">
        <v>1</v>
      </c>
    </row>
    <row r="675" spans="1:11" x14ac:dyDescent="0.25">
      <c r="A675" s="78"/>
      <c r="B675" s="78"/>
      <c r="D675" s="78"/>
      <c r="E675" s="78"/>
      <c r="F675" s="93"/>
      <c r="G675" s="78"/>
      <c r="H675" s="93"/>
      <c r="I675" s="78" t="s">
        <v>1091</v>
      </c>
      <c r="J675">
        <v>1170</v>
      </c>
      <c r="K675" s="32">
        <v>1</v>
      </c>
    </row>
    <row r="676" spans="1:11" x14ac:dyDescent="0.25">
      <c r="A676" s="78"/>
      <c r="B676" s="78"/>
      <c r="D676" s="78"/>
      <c r="E676" s="78"/>
      <c r="F676" s="93"/>
      <c r="G676" t="s">
        <v>1768</v>
      </c>
      <c r="K676" s="32">
        <v>3</v>
      </c>
    </row>
    <row r="677" spans="1:11" x14ac:dyDescent="0.25">
      <c r="A677" s="78"/>
      <c r="B677" s="78"/>
      <c r="D677" s="78"/>
      <c r="E677" s="78"/>
      <c r="F677" t="s">
        <v>1704</v>
      </c>
      <c r="G677" t="s">
        <v>916</v>
      </c>
      <c r="H677" t="s">
        <v>15</v>
      </c>
      <c r="I677" t="s">
        <v>1703</v>
      </c>
      <c r="J677">
        <v>1170</v>
      </c>
      <c r="K677" s="32">
        <v>1</v>
      </c>
    </row>
    <row r="678" spans="1:11" x14ac:dyDescent="0.25">
      <c r="A678" s="78"/>
      <c r="B678" s="78"/>
      <c r="D678" s="78"/>
      <c r="E678" s="78"/>
      <c r="F678"/>
      <c r="H678" t="s">
        <v>17</v>
      </c>
      <c r="I678" t="s">
        <v>1700</v>
      </c>
      <c r="J678">
        <v>1170</v>
      </c>
      <c r="K678" s="32">
        <v>1</v>
      </c>
    </row>
    <row r="679" spans="1:11" x14ac:dyDescent="0.25">
      <c r="A679" s="78"/>
      <c r="B679" s="78"/>
      <c r="D679" s="78"/>
      <c r="E679" s="78"/>
      <c r="F679"/>
      <c r="G679" t="s">
        <v>1769</v>
      </c>
      <c r="K679" s="32">
        <v>2</v>
      </c>
    </row>
    <row r="680" spans="1:11" x14ac:dyDescent="0.25">
      <c r="A680" s="78"/>
      <c r="B680" s="78"/>
      <c r="D680" s="78"/>
      <c r="E680" s="78"/>
      <c r="F680" t="s">
        <v>1705</v>
      </c>
      <c r="G680" t="s">
        <v>916</v>
      </c>
      <c r="H680" t="s">
        <v>42</v>
      </c>
      <c r="I680" t="s">
        <v>1701</v>
      </c>
      <c r="J680" s="95" t="s">
        <v>794</v>
      </c>
      <c r="K680" s="100">
        <v>1</v>
      </c>
    </row>
    <row r="681" spans="1:11" x14ac:dyDescent="0.25">
      <c r="A681" s="78"/>
      <c r="B681" s="78"/>
      <c r="D681" s="78"/>
      <c r="E681" s="78"/>
      <c r="F681"/>
      <c r="H681" t="s">
        <v>17</v>
      </c>
      <c r="I681" t="s">
        <v>1702</v>
      </c>
      <c r="J681">
        <v>1170</v>
      </c>
      <c r="K681" s="32">
        <v>1</v>
      </c>
    </row>
    <row r="682" spans="1:11" x14ac:dyDescent="0.25">
      <c r="A682" s="78"/>
      <c r="B682" s="78"/>
      <c r="D682" s="78"/>
      <c r="E682" s="78"/>
      <c r="F682"/>
      <c r="G682" t="s">
        <v>1769</v>
      </c>
      <c r="K682" s="32">
        <v>2</v>
      </c>
    </row>
    <row r="683" spans="1:11" x14ac:dyDescent="0.25">
      <c r="A683" s="78"/>
      <c r="B683" s="78"/>
      <c r="D683" s="78"/>
      <c r="E683" s="78" t="s">
        <v>216</v>
      </c>
      <c r="F683" s="78" t="s">
        <v>1130</v>
      </c>
      <c r="G683" t="s">
        <v>915</v>
      </c>
      <c r="H683" t="s">
        <v>794</v>
      </c>
      <c r="I683" s="78" t="s">
        <v>1129</v>
      </c>
      <c r="J683">
        <v>1170</v>
      </c>
      <c r="K683" s="32">
        <v>1</v>
      </c>
    </row>
    <row r="684" spans="1:11" x14ac:dyDescent="0.25">
      <c r="A684" s="78"/>
      <c r="B684" s="78"/>
      <c r="D684" s="78"/>
      <c r="E684" s="78"/>
      <c r="F684" s="78"/>
      <c r="G684" t="s">
        <v>1768</v>
      </c>
      <c r="K684" s="32">
        <v>1</v>
      </c>
    </row>
    <row r="685" spans="1:11" x14ac:dyDescent="0.25">
      <c r="A685" s="78"/>
      <c r="B685" s="78"/>
      <c r="D685" s="78"/>
      <c r="E685" s="78"/>
      <c r="F685" s="78" t="s">
        <v>503</v>
      </c>
      <c r="G685" t="s">
        <v>915</v>
      </c>
      <c r="H685" t="s">
        <v>794</v>
      </c>
      <c r="I685" s="78" t="s">
        <v>1126</v>
      </c>
      <c r="J685">
        <v>1170</v>
      </c>
      <c r="K685" s="32">
        <v>1</v>
      </c>
    </row>
    <row r="686" spans="1:11" x14ac:dyDescent="0.25">
      <c r="A686" s="78"/>
      <c r="B686" s="78"/>
      <c r="D686" s="78"/>
      <c r="E686" s="78"/>
      <c r="F686" s="78"/>
      <c r="I686" s="78" t="s">
        <v>1136</v>
      </c>
      <c r="J686">
        <v>1170</v>
      </c>
      <c r="K686" s="32">
        <v>1</v>
      </c>
    </row>
    <row r="687" spans="1:11" x14ac:dyDescent="0.25">
      <c r="A687" s="78"/>
      <c r="B687" s="78"/>
      <c r="D687" s="78"/>
      <c r="E687" s="78"/>
      <c r="F687" s="78"/>
      <c r="G687" t="s">
        <v>1768</v>
      </c>
      <c r="K687" s="32">
        <v>2</v>
      </c>
    </row>
    <row r="688" spans="1:11" x14ac:dyDescent="0.25">
      <c r="A688" s="78"/>
      <c r="B688" s="78"/>
      <c r="D688" s="78"/>
      <c r="E688" s="78"/>
      <c r="F688" s="78" t="s">
        <v>1066</v>
      </c>
      <c r="G688" t="s">
        <v>915</v>
      </c>
      <c r="H688" t="s">
        <v>794</v>
      </c>
      <c r="I688" s="78" t="s">
        <v>1082</v>
      </c>
      <c r="J688">
        <v>1170</v>
      </c>
      <c r="K688" s="32">
        <v>1</v>
      </c>
    </row>
    <row r="689" spans="1:11" x14ac:dyDescent="0.25">
      <c r="A689" s="78"/>
      <c r="B689" s="78"/>
      <c r="D689" s="78"/>
      <c r="E689" s="78"/>
      <c r="F689" s="78"/>
      <c r="I689" s="78" t="s">
        <v>1080</v>
      </c>
      <c r="J689">
        <v>1170</v>
      </c>
      <c r="K689" s="32">
        <v>1</v>
      </c>
    </row>
    <row r="690" spans="1:11" x14ac:dyDescent="0.25">
      <c r="A690" s="78"/>
      <c r="B690" s="78"/>
      <c r="D690" s="78"/>
      <c r="E690" s="78"/>
      <c r="F690" s="78"/>
      <c r="I690" s="78" t="s">
        <v>1068</v>
      </c>
      <c r="J690">
        <v>1170</v>
      </c>
      <c r="K690" s="32">
        <v>1</v>
      </c>
    </row>
    <row r="691" spans="1:11" x14ac:dyDescent="0.25">
      <c r="A691" s="78"/>
      <c r="B691" s="78"/>
      <c r="D691" s="78"/>
      <c r="E691" s="78"/>
      <c r="F691" s="78"/>
      <c r="I691" s="78" t="s">
        <v>1084</v>
      </c>
      <c r="J691">
        <v>1170</v>
      </c>
      <c r="K691" s="32">
        <v>1</v>
      </c>
    </row>
    <row r="692" spans="1:11" x14ac:dyDescent="0.25">
      <c r="A692" s="78"/>
      <c r="B692" s="78"/>
      <c r="D692" s="78"/>
      <c r="E692" s="78"/>
      <c r="F692" s="78"/>
      <c r="I692" s="78" t="s">
        <v>1134</v>
      </c>
      <c r="J692">
        <v>1170</v>
      </c>
      <c r="K692" s="32">
        <v>1</v>
      </c>
    </row>
    <row r="693" spans="1:11" x14ac:dyDescent="0.25">
      <c r="A693" s="78"/>
      <c r="B693" s="78"/>
      <c r="D693" s="78"/>
      <c r="E693" s="78"/>
      <c r="F693" s="78"/>
      <c r="I693" s="78" t="s">
        <v>1067</v>
      </c>
      <c r="J693">
        <v>1170</v>
      </c>
      <c r="K693" s="32">
        <v>1</v>
      </c>
    </row>
    <row r="694" spans="1:11" x14ac:dyDescent="0.25">
      <c r="A694" s="78"/>
      <c r="B694" s="78"/>
      <c r="D694" s="78"/>
      <c r="E694" s="78"/>
      <c r="F694" s="78"/>
      <c r="I694" t="s">
        <v>1104</v>
      </c>
      <c r="J694">
        <v>1170</v>
      </c>
      <c r="K694" s="32">
        <v>1</v>
      </c>
    </row>
    <row r="695" spans="1:11" x14ac:dyDescent="0.25">
      <c r="A695" s="78"/>
      <c r="B695" s="78"/>
      <c r="D695" s="78"/>
      <c r="E695" s="78"/>
      <c r="F695" s="78"/>
      <c r="I695" s="78" t="s">
        <v>1069</v>
      </c>
      <c r="J695">
        <v>1170</v>
      </c>
      <c r="K695" s="32">
        <v>1</v>
      </c>
    </row>
    <row r="696" spans="1:11" x14ac:dyDescent="0.25">
      <c r="A696" s="78"/>
      <c r="B696" s="78"/>
      <c r="D696" s="78"/>
      <c r="E696" s="78"/>
      <c r="F696" s="78"/>
      <c r="I696" s="78" t="s">
        <v>1125</v>
      </c>
      <c r="J696">
        <v>1170</v>
      </c>
      <c r="K696" s="32">
        <v>1</v>
      </c>
    </row>
    <row r="697" spans="1:11" x14ac:dyDescent="0.25">
      <c r="A697" s="78"/>
      <c r="B697" s="78"/>
      <c r="D697" s="78"/>
      <c r="E697" s="78"/>
      <c r="F697" s="78"/>
      <c r="I697" s="78" t="s">
        <v>1081</v>
      </c>
      <c r="J697">
        <v>1170</v>
      </c>
      <c r="K697" s="32">
        <v>1</v>
      </c>
    </row>
    <row r="698" spans="1:11" x14ac:dyDescent="0.25">
      <c r="A698" s="78"/>
      <c r="B698" s="78"/>
      <c r="D698" s="78"/>
      <c r="E698" s="78"/>
      <c r="F698" s="78"/>
      <c r="I698" s="78" t="s">
        <v>1076</v>
      </c>
      <c r="J698">
        <v>1170</v>
      </c>
      <c r="K698" s="32">
        <v>1</v>
      </c>
    </row>
    <row r="699" spans="1:11" x14ac:dyDescent="0.25">
      <c r="A699" s="78"/>
      <c r="B699" s="78"/>
      <c r="D699" s="78"/>
      <c r="E699" s="78"/>
      <c r="F699" s="78"/>
      <c r="I699" s="78" t="s">
        <v>1132</v>
      </c>
      <c r="J699">
        <v>1170</v>
      </c>
      <c r="K699" s="32">
        <v>1</v>
      </c>
    </row>
    <row r="700" spans="1:11" x14ac:dyDescent="0.25">
      <c r="A700" s="78"/>
      <c r="B700" s="78"/>
      <c r="D700" s="78"/>
      <c r="E700" s="78"/>
      <c r="F700" s="78"/>
      <c r="I700" s="78" t="s">
        <v>1131</v>
      </c>
      <c r="J700">
        <v>1170</v>
      </c>
      <c r="K700" s="32">
        <v>1</v>
      </c>
    </row>
    <row r="701" spans="1:11" x14ac:dyDescent="0.25">
      <c r="A701" s="78"/>
      <c r="B701" s="78"/>
      <c r="D701" s="78"/>
      <c r="E701" s="78"/>
      <c r="F701" s="78"/>
      <c r="I701" s="78" t="s">
        <v>1133</v>
      </c>
      <c r="J701">
        <v>1170</v>
      </c>
      <c r="K701" s="32">
        <v>1</v>
      </c>
    </row>
    <row r="702" spans="1:11" x14ac:dyDescent="0.25">
      <c r="A702" s="78"/>
      <c r="B702" s="78"/>
      <c r="D702" s="78"/>
      <c r="E702" s="78"/>
      <c r="F702" s="78"/>
      <c r="I702" s="78" t="s">
        <v>1079</v>
      </c>
      <c r="J702">
        <v>1170</v>
      </c>
      <c r="K702" s="32">
        <v>1</v>
      </c>
    </row>
    <row r="703" spans="1:11" x14ac:dyDescent="0.25">
      <c r="A703" s="78"/>
      <c r="B703" s="78"/>
      <c r="D703" s="78"/>
      <c r="E703" s="78"/>
      <c r="F703" s="78"/>
      <c r="I703" s="78" t="s">
        <v>1070</v>
      </c>
      <c r="J703">
        <v>1170</v>
      </c>
      <c r="K703" s="32">
        <v>1</v>
      </c>
    </row>
    <row r="704" spans="1:11" x14ac:dyDescent="0.25">
      <c r="A704" s="78"/>
      <c r="B704" s="78"/>
      <c r="D704" s="78"/>
      <c r="E704" s="78"/>
      <c r="F704" s="78"/>
      <c r="I704" s="78" t="s">
        <v>1137</v>
      </c>
      <c r="J704">
        <v>1170</v>
      </c>
      <c r="K704" s="32">
        <v>1</v>
      </c>
    </row>
    <row r="705" spans="1:11" x14ac:dyDescent="0.25">
      <c r="A705" s="78"/>
      <c r="B705" s="78"/>
      <c r="D705" s="78"/>
      <c r="E705" s="78"/>
      <c r="F705" s="78"/>
      <c r="I705" s="78" t="s">
        <v>1128</v>
      </c>
      <c r="J705">
        <v>1170</v>
      </c>
      <c r="K705" s="32">
        <v>1</v>
      </c>
    </row>
    <row r="706" spans="1:11" x14ac:dyDescent="0.25">
      <c r="A706" s="78"/>
      <c r="B706" s="78"/>
      <c r="D706" s="78"/>
      <c r="E706" s="78"/>
      <c r="F706" s="78"/>
      <c r="I706" s="78" t="s">
        <v>1135</v>
      </c>
      <c r="J706">
        <v>1170</v>
      </c>
      <c r="K706" s="32">
        <v>1</v>
      </c>
    </row>
    <row r="707" spans="1:11" x14ac:dyDescent="0.25">
      <c r="A707" s="78"/>
      <c r="B707" s="78"/>
      <c r="D707" s="78"/>
      <c r="E707" s="78"/>
      <c r="F707" s="78"/>
      <c r="I707" s="78" t="s">
        <v>1626</v>
      </c>
      <c r="J707">
        <v>1170</v>
      </c>
      <c r="K707" s="32">
        <v>1</v>
      </c>
    </row>
    <row r="708" spans="1:11" x14ac:dyDescent="0.25">
      <c r="A708" s="78"/>
      <c r="B708" s="78"/>
      <c r="D708" s="78"/>
      <c r="E708" s="78"/>
      <c r="F708" s="78"/>
      <c r="I708" s="78" t="s">
        <v>1077</v>
      </c>
      <c r="J708">
        <v>1170</v>
      </c>
      <c r="K708" s="32">
        <v>1</v>
      </c>
    </row>
    <row r="709" spans="1:11" x14ac:dyDescent="0.25">
      <c r="A709" s="78"/>
      <c r="B709" s="78"/>
      <c r="D709" s="78"/>
      <c r="E709" s="78"/>
      <c r="F709" s="78"/>
      <c r="I709" s="78" t="s">
        <v>1085</v>
      </c>
      <c r="J709">
        <v>1170</v>
      </c>
      <c r="K709" s="32">
        <v>1</v>
      </c>
    </row>
    <row r="710" spans="1:11" x14ac:dyDescent="0.25">
      <c r="A710" s="78"/>
      <c r="B710" s="78"/>
      <c r="D710" s="78"/>
      <c r="E710" s="78"/>
      <c r="F710" s="78"/>
      <c r="I710" s="78" t="s">
        <v>1078</v>
      </c>
      <c r="J710">
        <v>1170</v>
      </c>
      <c r="K710" s="32">
        <v>1</v>
      </c>
    </row>
    <row r="711" spans="1:11" x14ac:dyDescent="0.25">
      <c r="A711" s="78"/>
      <c r="B711" s="78"/>
      <c r="D711" s="78"/>
      <c r="E711" s="78"/>
      <c r="F711" s="78"/>
      <c r="I711" s="78" t="s">
        <v>1083</v>
      </c>
      <c r="J711">
        <v>1170</v>
      </c>
      <c r="K711" s="32">
        <v>1</v>
      </c>
    </row>
    <row r="712" spans="1:11" x14ac:dyDescent="0.25">
      <c r="A712" s="78"/>
      <c r="B712" s="78"/>
      <c r="D712" s="78"/>
      <c r="E712" s="78"/>
      <c r="F712" s="78"/>
      <c r="I712" s="78" t="s">
        <v>1127</v>
      </c>
      <c r="J712">
        <v>1170</v>
      </c>
      <c r="K712" s="32">
        <v>1</v>
      </c>
    </row>
    <row r="713" spans="1:11" x14ac:dyDescent="0.25">
      <c r="A713" s="78"/>
      <c r="B713" s="78"/>
      <c r="D713" s="78"/>
      <c r="E713" s="78"/>
      <c r="F713" s="78"/>
      <c r="G713" t="s">
        <v>1768</v>
      </c>
      <c r="K713" s="32">
        <v>25</v>
      </c>
    </row>
    <row r="714" spans="1:11" x14ac:dyDescent="0.25">
      <c r="A714" s="78"/>
      <c r="B714" s="78"/>
      <c r="D714" s="78"/>
      <c r="E714" s="78"/>
      <c r="F714" s="93" t="s">
        <v>794</v>
      </c>
      <c r="G714" t="s">
        <v>915</v>
      </c>
      <c r="H714" t="s">
        <v>794</v>
      </c>
      <c r="I714" s="78" t="s">
        <v>562</v>
      </c>
      <c r="J714">
        <v>1170</v>
      </c>
      <c r="K714" s="32">
        <v>1</v>
      </c>
    </row>
    <row r="715" spans="1:11" x14ac:dyDescent="0.25">
      <c r="A715" s="78"/>
      <c r="B715" s="78"/>
      <c r="D715" s="78"/>
      <c r="E715" s="78"/>
      <c r="F715" s="93"/>
      <c r="I715" s="78" t="s">
        <v>86</v>
      </c>
      <c r="J715">
        <v>1170</v>
      </c>
      <c r="K715" s="32">
        <v>1</v>
      </c>
    </row>
    <row r="716" spans="1:11" x14ac:dyDescent="0.25">
      <c r="A716" s="78"/>
      <c r="B716" s="78"/>
      <c r="D716" s="78"/>
      <c r="E716" s="78"/>
      <c r="F716" s="93"/>
      <c r="I716" t="s">
        <v>90</v>
      </c>
      <c r="J716">
        <v>1170</v>
      </c>
      <c r="K716" s="32">
        <v>1</v>
      </c>
    </row>
    <row r="717" spans="1:11" x14ac:dyDescent="0.25">
      <c r="A717" s="78"/>
      <c r="B717" s="78"/>
      <c r="D717" s="78"/>
      <c r="E717" s="78"/>
      <c r="F717" s="93"/>
      <c r="I717" s="78" t="s">
        <v>105</v>
      </c>
      <c r="J717">
        <v>1170</v>
      </c>
      <c r="K717" s="32">
        <v>1</v>
      </c>
    </row>
    <row r="718" spans="1:11" x14ac:dyDescent="0.25">
      <c r="A718" s="78"/>
      <c r="B718" s="78"/>
      <c r="D718" s="78"/>
      <c r="E718" s="78"/>
      <c r="F718" s="93"/>
      <c r="I718" s="78" t="s">
        <v>1138</v>
      </c>
      <c r="J718">
        <v>1170</v>
      </c>
      <c r="K718" s="32">
        <v>1</v>
      </c>
    </row>
    <row r="719" spans="1:11" x14ac:dyDescent="0.25">
      <c r="A719" s="78"/>
      <c r="B719" s="78"/>
      <c r="D719" s="78"/>
      <c r="E719" s="78"/>
      <c r="F719" s="93"/>
      <c r="I719" s="78" t="s">
        <v>132</v>
      </c>
      <c r="J719">
        <v>1170</v>
      </c>
      <c r="K719" s="32">
        <v>1</v>
      </c>
    </row>
    <row r="720" spans="1:11" x14ac:dyDescent="0.25">
      <c r="A720" s="78"/>
      <c r="B720" s="78"/>
      <c r="D720" s="78"/>
      <c r="E720" s="78"/>
      <c r="F720" s="93"/>
      <c r="I720" s="78" t="s">
        <v>879</v>
      </c>
      <c r="J720">
        <v>1170</v>
      </c>
      <c r="K720" s="32">
        <v>1</v>
      </c>
    </row>
    <row r="721" spans="1:11" x14ac:dyDescent="0.25">
      <c r="A721" s="78"/>
      <c r="B721" s="78"/>
      <c r="D721" s="78"/>
      <c r="E721" s="78"/>
      <c r="F721" s="93"/>
      <c r="I721" t="s">
        <v>1027</v>
      </c>
      <c r="J721">
        <v>1170</v>
      </c>
      <c r="K721" s="32">
        <v>1</v>
      </c>
    </row>
    <row r="722" spans="1:11" x14ac:dyDescent="0.25">
      <c r="A722" s="78"/>
      <c r="B722" s="78"/>
      <c r="D722" s="78"/>
      <c r="E722" s="78"/>
      <c r="F722" s="93"/>
      <c r="I722" s="78" t="s">
        <v>713</v>
      </c>
      <c r="J722">
        <v>1170</v>
      </c>
      <c r="K722" s="32">
        <v>1</v>
      </c>
    </row>
    <row r="723" spans="1:11" x14ac:dyDescent="0.25">
      <c r="A723" s="78"/>
      <c r="B723" s="78"/>
      <c r="D723" s="78"/>
      <c r="E723" s="78"/>
      <c r="F723" s="93"/>
      <c r="G723" t="s">
        <v>1768</v>
      </c>
      <c r="K723" s="32">
        <v>9</v>
      </c>
    </row>
    <row r="724" spans="1:11" x14ac:dyDescent="0.25">
      <c r="A724" s="78"/>
      <c r="B724" s="78"/>
      <c r="D724" s="78"/>
      <c r="E724" s="78"/>
      <c r="F724" s="93"/>
      <c r="G724" t="s">
        <v>916</v>
      </c>
      <c r="H724" s="78" t="s">
        <v>33</v>
      </c>
      <c r="I724" s="78" t="s">
        <v>693</v>
      </c>
      <c r="J724">
        <v>1170</v>
      </c>
      <c r="K724" s="32">
        <v>1</v>
      </c>
    </row>
    <row r="725" spans="1:11" x14ac:dyDescent="0.25">
      <c r="A725" s="78"/>
      <c r="B725" s="78"/>
      <c r="D725" s="78"/>
      <c r="E725" s="78"/>
      <c r="F725" s="93"/>
      <c r="H725" s="78" t="s">
        <v>53</v>
      </c>
      <c r="I725" s="78" t="s">
        <v>92</v>
      </c>
      <c r="J725" s="34">
        <v>0</v>
      </c>
      <c r="K725" s="32">
        <v>1</v>
      </c>
    </row>
    <row r="726" spans="1:11" x14ac:dyDescent="0.25">
      <c r="A726" s="78"/>
      <c r="B726" s="78"/>
      <c r="D726" s="78"/>
      <c r="E726" s="78"/>
      <c r="F726" s="93"/>
      <c r="H726" s="78"/>
      <c r="I726" s="78" t="s">
        <v>198</v>
      </c>
      <c r="J726">
        <v>1170</v>
      </c>
      <c r="K726" s="32">
        <v>1</v>
      </c>
    </row>
    <row r="727" spans="1:11" x14ac:dyDescent="0.25">
      <c r="A727" s="78"/>
      <c r="B727" s="78"/>
      <c r="D727" s="78"/>
      <c r="E727" s="78"/>
      <c r="F727" s="93"/>
      <c r="H727" s="78" t="s">
        <v>60</v>
      </c>
      <c r="I727" s="78" t="s">
        <v>176</v>
      </c>
      <c r="J727">
        <v>1170</v>
      </c>
      <c r="K727" s="32">
        <v>1</v>
      </c>
    </row>
    <row r="728" spans="1:11" x14ac:dyDescent="0.25">
      <c r="A728" s="78"/>
      <c r="B728" s="78"/>
      <c r="D728" s="78"/>
      <c r="E728" s="78"/>
      <c r="F728" s="93"/>
      <c r="H728" s="78"/>
      <c r="I728" s="78" t="s">
        <v>203</v>
      </c>
      <c r="J728">
        <v>1170</v>
      </c>
      <c r="K728" s="32">
        <v>1</v>
      </c>
    </row>
    <row r="729" spans="1:11" x14ac:dyDescent="0.25">
      <c r="A729" s="78"/>
      <c r="B729" s="78"/>
      <c r="D729" s="78"/>
      <c r="E729" s="78"/>
      <c r="F729" s="93"/>
      <c r="H729" s="78" t="s">
        <v>15</v>
      </c>
      <c r="I729" s="78" t="s">
        <v>173</v>
      </c>
      <c r="J729">
        <v>1170</v>
      </c>
      <c r="K729" s="32">
        <v>1</v>
      </c>
    </row>
    <row r="730" spans="1:11" x14ac:dyDescent="0.25">
      <c r="A730" s="78"/>
      <c r="B730" s="78"/>
      <c r="D730" s="78"/>
      <c r="E730" s="78"/>
      <c r="F730" s="93"/>
      <c r="H730" s="78" t="s">
        <v>42</v>
      </c>
      <c r="I730" s="78" t="s">
        <v>595</v>
      </c>
      <c r="J730">
        <v>1170</v>
      </c>
      <c r="K730" s="32">
        <v>1</v>
      </c>
    </row>
    <row r="731" spans="1:11" x14ac:dyDescent="0.25">
      <c r="A731" s="78"/>
      <c r="B731" s="78"/>
      <c r="D731" s="78"/>
      <c r="E731" s="78"/>
      <c r="F731" s="93"/>
      <c r="H731" s="78"/>
      <c r="I731" s="78" t="s">
        <v>1064</v>
      </c>
      <c r="J731">
        <v>1170</v>
      </c>
      <c r="K731" s="32">
        <v>1</v>
      </c>
    </row>
    <row r="732" spans="1:11" x14ac:dyDescent="0.25">
      <c r="A732" s="78"/>
      <c r="B732" s="78"/>
      <c r="D732" s="78"/>
      <c r="E732" s="78"/>
      <c r="F732" s="93"/>
      <c r="H732" s="78"/>
      <c r="I732" t="s">
        <v>661</v>
      </c>
      <c r="J732">
        <v>1170</v>
      </c>
      <c r="K732" s="32">
        <v>1</v>
      </c>
    </row>
    <row r="733" spans="1:11" x14ac:dyDescent="0.25">
      <c r="A733" s="78"/>
      <c r="B733" s="78"/>
      <c r="D733" s="78"/>
      <c r="E733" s="78"/>
      <c r="F733" s="93"/>
      <c r="H733" s="78" t="s">
        <v>17</v>
      </c>
      <c r="I733" s="78" t="s">
        <v>827</v>
      </c>
      <c r="J733">
        <v>1170</v>
      </c>
      <c r="K733" s="32">
        <v>1</v>
      </c>
    </row>
    <row r="734" spans="1:11" x14ac:dyDescent="0.25">
      <c r="A734" s="78"/>
      <c r="B734" s="78"/>
      <c r="D734" s="78"/>
      <c r="E734" s="78"/>
      <c r="F734" s="93"/>
      <c r="H734" s="78" t="s">
        <v>67</v>
      </c>
      <c r="I734" s="78" t="s">
        <v>831</v>
      </c>
      <c r="J734">
        <v>1170</v>
      </c>
      <c r="K734" s="32">
        <v>1</v>
      </c>
    </row>
    <row r="735" spans="1:11" x14ac:dyDescent="0.25">
      <c r="A735" s="78"/>
      <c r="B735" s="78"/>
      <c r="D735" s="78"/>
      <c r="E735" s="78"/>
      <c r="F735" s="93"/>
      <c r="G735" t="s">
        <v>1769</v>
      </c>
      <c r="K735" s="32">
        <v>11</v>
      </c>
    </row>
    <row r="736" spans="1:11" x14ac:dyDescent="0.25">
      <c r="A736" s="78"/>
      <c r="B736" s="78"/>
      <c r="D736" s="78"/>
      <c r="E736" s="78" t="s">
        <v>20</v>
      </c>
      <c r="F736" s="78" t="s">
        <v>503</v>
      </c>
      <c r="G736" s="78" t="s">
        <v>915</v>
      </c>
      <c r="H736" s="93" t="s">
        <v>794</v>
      </c>
      <c r="I736" s="78" t="s">
        <v>937</v>
      </c>
      <c r="J736">
        <v>1170</v>
      </c>
      <c r="K736" s="32">
        <v>1</v>
      </c>
    </row>
    <row r="737" spans="1:11" x14ac:dyDescent="0.25">
      <c r="A737" s="78"/>
      <c r="B737" s="78"/>
      <c r="D737" s="78"/>
      <c r="E737" s="78"/>
      <c r="F737" s="78"/>
      <c r="G737" s="78"/>
      <c r="H737" s="93"/>
      <c r="I737" s="78" t="s">
        <v>1096</v>
      </c>
      <c r="J737">
        <v>1170</v>
      </c>
      <c r="K737" s="32">
        <v>1</v>
      </c>
    </row>
    <row r="738" spans="1:11" x14ac:dyDescent="0.25">
      <c r="A738" s="78"/>
      <c r="B738" s="78"/>
      <c r="D738" s="78"/>
      <c r="E738" s="78"/>
      <c r="F738" s="78"/>
      <c r="G738" t="s">
        <v>1768</v>
      </c>
      <c r="K738" s="32">
        <v>2</v>
      </c>
    </row>
    <row r="739" spans="1:11" x14ac:dyDescent="0.25">
      <c r="A739" s="78"/>
      <c r="B739" s="78"/>
      <c r="D739" s="78"/>
      <c r="E739" s="78"/>
      <c r="F739" s="78"/>
      <c r="G739" s="78" t="s">
        <v>916</v>
      </c>
      <c r="H739" s="78" t="s">
        <v>30</v>
      </c>
      <c r="I739" s="78" t="s">
        <v>169</v>
      </c>
      <c r="J739">
        <v>1170</v>
      </c>
      <c r="K739" s="32">
        <v>1</v>
      </c>
    </row>
    <row r="740" spans="1:11" x14ac:dyDescent="0.25">
      <c r="A740" s="78"/>
      <c r="B740" s="78"/>
      <c r="D740" s="78"/>
      <c r="E740" s="78"/>
      <c r="F740" s="78"/>
      <c r="G740" s="78"/>
      <c r="H740" t="s">
        <v>15</v>
      </c>
      <c r="I740" t="s">
        <v>1065</v>
      </c>
      <c r="J740">
        <v>1170</v>
      </c>
      <c r="K740" s="32">
        <v>1</v>
      </c>
    </row>
    <row r="741" spans="1:11" x14ac:dyDescent="0.25">
      <c r="A741" s="78"/>
      <c r="B741" s="78"/>
      <c r="D741" s="78"/>
      <c r="E741" s="78"/>
      <c r="F741" s="78"/>
      <c r="G741" t="s">
        <v>1769</v>
      </c>
      <c r="K741" s="32">
        <v>2</v>
      </c>
    </row>
    <row r="742" spans="1:11" x14ac:dyDescent="0.25">
      <c r="A742" s="78"/>
      <c r="B742" s="78"/>
      <c r="D742" s="78"/>
      <c r="E742" s="78"/>
      <c r="F742" s="93" t="s">
        <v>794</v>
      </c>
      <c r="G742" s="78" t="s">
        <v>915</v>
      </c>
      <c r="H742" s="91" t="s">
        <v>794</v>
      </c>
      <c r="I742" s="78" t="s">
        <v>938</v>
      </c>
      <c r="J742">
        <v>1170</v>
      </c>
      <c r="K742" s="32">
        <v>1</v>
      </c>
    </row>
    <row r="743" spans="1:11" x14ac:dyDescent="0.25">
      <c r="A743" s="78"/>
      <c r="B743" s="78"/>
      <c r="D743" s="78"/>
      <c r="E743" s="78"/>
      <c r="F743" s="93"/>
      <c r="G743" s="78"/>
      <c r="H743" s="91"/>
      <c r="I743" s="78" t="s">
        <v>535</v>
      </c>
      <c r="J743">
        <v>1170</v>
      </c>
      <c r="K743" s="32">
        <v>1</v>
      </c>
    </row>
    <row r="744" spans="1:11" x14ac:dyDescent="0.25">
      <c r="A744" s="78"/>
      <c r="B744" s="78"/>
      <c r="D744" s="78"/>
      <c r="E744" s="78"/>
      <c r="F744" s="93"/>
      <c r="G744" s="78"/>
      <c r="H744" s="91"/>
      <c r="I744" s="78" t="s">
        <v>1088</v>
      </c>
      <c r="J744">
        <v>1170</v>
      </c>
      <c r="K744" s="32">
        <v>1</v>
      </c>
    </row>
    <row r="745" spans="1:11" x14ac:dyDescent="0.25">
      <c r="A745" s="78"/>
      <c r="B745" s="78"/>
      <c r="D745" s="78"/>
      <c r="E745" s="78"/>
      <c r="F745" s="93"/>
      <c r="G745" s="78"/>
      <c r="H745" s="91"/>
      <c r="I745" s="78" t="s">
        <v>850</v>
      </c>
      <c r="J745">
        <v>1170</v>
      </c>
      <c r="K745" s="32">
        <v>1</v>
      </c>
    </row>
    <row r="746" spans="1:11" x14ac:dyDescent="0.25">
      <c r="A746" s="78"/>
      <c r="B746" s="78"/>
      <c r="D746" s="78"/>
      <c r="E746" s="78"/>
      <c r="F746" s="93"/>
      <c r="G746" s="78"/>
      <c r="H746" s="91"/>
      <c r="I746" s="78" t="s">
        <v>941</v>
      </c>
      <c r="J746">
        <v>1170</v>
      </c>
      <c r="K746" s="32">
        <v>1</v>
      </c>
    </row>
    <row r="747" spans="1:11" x14ac:dyDescent="0.25">
      <c r="A747" s="78"/>
      <c r="B747" s="78"/>
      <c r="D747" s="78"/>
      <c r="E747" s="78"/>
      <c r="F747" s="93"/>
      <c r="G747" s="78"/>
      <c r="H747" s="91"/>
      <c r="I747" s="78" t="s">
        <v>1018</v>
      </c>
      <c r="J747">
        <v>1170</v>
      </c>
      <c r="K747" s="32">
        <v>1</v>
      </c>
    </row>
    <row r="748" spans="1:11" x14ac:dyDescent="0.25">
      <c r="A748" s="78"/>
      <c r="B748" s="78"/>
      <c r="D748" s="78"/>
      <c r="E748" s="78"/>
      <c r="F748" s="93"/>
      <c r="G748" s="78"/>
      <c r="H748" s="91"/>
      <c r="I748" s="78" t="s">
        <v>849</v>
      </c>
      <c r="J748">
        <v>1170</v>
      </c>
      <c r="K748" s="32">
        <v>1</v>
      </c>
    </row>
    <row r="749" spans="1:11" x14ac:dyDescent="0.25">
      <c r="A749" s="78"/>
      <c r="B749" s="78"/>
      <c r="D749" s="78"/>
      <c r="E749" s="78"/>
      <c r="F749" s="93"/>
      <c r="G749" s="78"/>
      <c r="H749" s="91"/>
      <c r="I749" s="78" t="s">
        <v>1021</v>
      </c>
      <c r="J749">
        <v>1170</v>
      </c>
      <c r="K749" s="32">
        <v>1</v>
      </c>
    </row>
    <row r="750" spans="1:11" x14ac:dyDescent="0.25">
      <c r="A750" s="78"/>
      <c r="B750" s="78"/>
      <c r="D750" s="78"/>
      <c r="E750" s="78"/>
      <c r="F750" s="93"/>
      <c r="G750" s="78"/>
      <c r="H750" s="91"/>
      <c r="I750" s="78" t="s">
        <v>939</v>
      </c>
      <c r="J750">
        <v>1170</v>
      </c>
      <c r="K750" s="32">
        <v>1</v>
      </c>
    </row>
    <row r="751" spans="1:11" x14ac:dyDescent="0.25">
      <c r="A751" s="78"/>
      <c r="B751" s="78"/>
      <c r="D751" s="78"/>
      <c r="E751" s="78"/>
      <c r="F751" s="93"/>
      <c r="G751" s="78"/>
      <c r="H751" s="91"/>
      <c r="I751" s="78" t="s">
        <v>116</v>
      </c>
      <c r="J751">
        <v>1170</v>
      </c>
      <c r="K751" s="32">
        <v>1</v>
      </c>
    </row>
    <row r="752" spans="1:11" x14ac:dyDescent="0.25">
      <c r="A752" s="78"/>
      <c r="B752" s="78"/>
      <c r="D752" s="78"/>
      <c r="E752" s="78"/>
      <c r="F752" s="93"/>
      <c r="G752" s="78"/>
      <c r="H752" s="91"/>
      <c r="I752" s="78" t="s">
        <v>1020</v>
      </c>
      <c r="J752">
        <v>1170</v>
      </c>
      <c r="K752" s="32">
        <v>1</v>
      </c>
    </row>
    <row r="753" spans="1:11" x14ac:dyDescent="0.25">
      <c r="A753" s="78"/>
      <c r="B753" s="78"/>
      <c r="D753" s="78"/>
      <c r="E753" s="78"/>
      <c r="F753" s="93"/>
      <c r="G753" s="78"/>
      <c r="H753" s="91"/>
      <c r="I753" s="78" t="s">
        <v>1087</v>
      </c>
      <c r="J753">
        <v>1170</v>
      </c>
      <c r="K753" s="32">
        <v>1</v>
      </c>
    </row>
    <row r="754" spans="1:11" x14ac:dyDescent="0.25">
      <c r="A754" s="78"/>
      <c r="B754" s="78"/>
      <c r="D754" s="78"/>
      <c r="E754" s="78"/>
      <c r="F754" s="93"/>
      <c r="G754" s="78"/>
      <c r="H754" s="91"/>
      <c r="I754" s="78" t="s">
        <v>1093</v>
      </c>
      <c r="J754">
        <v>1170</v>
      </c>
      <c r="K754" s="32">
        <v>1</v>
      </c>
    </row>
    <row r="755" spans="1:11" x14ac:dyDescent="0.25">
      <c r="A755" s="78"/>
      <c r="B755" s="78"/>
      <c r="D755" s="78"/>
      <c r="E755" s="78"/>
      <c r="F755" s="93"/>
      <c r="G755" s="78"/>
      <c r="H755" s="91"/>
      <c r="I755" s="78" t="s">
        <v>944</v>
      </c>
      <c r="J755">
        <v>1170</v>
      </c>
      <c r="K755" s="32">
        <v>1</v>
      </c>
    </row>
    <row r="756" spans="1:11" x14ac:dyDescent="0.25">
      <c r="A756" s="78"/>
      <c r="B756" s="78"/>
      <c r="D756" s="78"/>
      <c r="E756" s="78"/>
      <c r="F756" s="93"/>
      <c r="G756" s="78"/>
      <c r="H756" s="91"/>
      <c r="I756" s="78" t="s">
        <v>943</v>
      </c>
      <c r="J756">
        <v>1170</v>
      </c>
      <c r="K756" s="32">
        <v>1</v>
      </c>
    </row>
    <row r="757" spans="1:11" x14ac:dyDescent="0.25">
      <c r="A757" s="78"/>
      <c r="B757" s="78"/>
      <c r="D757" s="78"/>
      <c r="E757" s="78"/>
      <c r="F757" s="93"/>
      <c r="G757" s="78"/>
      <c r="H757" s="91"/>
      <c r="I757" s="78" t="s">
        <v>1139</v>
      </c>
      <c r="J757">
        <v>1170</v>
      </c>
      <c r="K757" s="32">
        <v>1</v>
      </c>
    </row>
    <row r="758" spans="1:11" x14ac:dyDescent="0.25">
      <c r="A758" s="78"/>
      <c r="B758" s="78"/>
      <c r="D758" s="78"/>
      <c r="E758" s="78"/>
      <c r="F758" s="93"/>
      <c r="G758" s="78"/>
      <c r="H758" s="91"/>
      <c r="I758" t="s">
        <v>1072</v>
      </c>
      <c r="J758">
        <v>1170</v>
      </c>
      <c r="K758" s="32">
        <v>1</v>
      </c>
    </row>
    <row r="759" spans="1:11" x14ac:dyDescent="0.25">
      <c r="A759" s="78"/>
      <c r="B759" s="78"/>
      <c r="D759" s="78"/>
      <c r="E759" s="78"/>
      <c r="F759" s="93"/>
      <c r="G759" s="78"/>
      <c r="H759" s="91"/>
      <c r="I759" s="78" t="s">
        <v>536</v>
      </c>
      <c r="J759">
        <v>1170</v>
      </c>
      <c r="K759" s="32">
        <v>1</v>
      </c>
    </row>
    <row r="760" spans="1:11" x14ac:dyDescent="0.25">
      <c r="A760" s="78"/>
      <c r="B760" s="78"/>
      <c r="D760" s="78"/>
      <c r="E760" s="78"/>
      <c r="F760" s="93"/>
      <c r="G760" s="78"/>
      <c r="H760" s="91"/>
      <c r="I760" s="78" t="s">
        <v>851</v>
      </c>
      <c r="J760">
        <v>1170</v>
      </c>
      <c r="K760" s="32">
        <v>1</v>
      </c>
    </row>
    <row r="761" spans="1:11" x14ac:dyDescent="0.25">
      <c r="A761" s="78"/>
      <c r="B761" s="78"/>
      <c r="D761" s="78"/>
      <c r="E761" s="78"/>
      <c r="F761" s="93"/>
      <c r="G761" s="78"/>
      <c r="H761" s="91"/>
      <c r="I761" s="78" t="s">
        <v>537</v>
      </c>
      <c r="J761">
        <v>1170</v>
      </c>
      <c r="K761" s="32">
        <v>1</v>
      </c>
    </row>
    <row r="762" spans="1:11" x14ac:dyDescent="0.25">
      <c r="A762" s="78"/>
      <c r="B762" s="78"/>
      <c r="D762" s="78"/>
      <c r="E762" s="78"/>
      <c r="F762" s="93"/>
      <c r="G762" s="78"/>
      <c r="H762" s="91"/>
      <c r="I762" s="78" t="s">
        <v>1623</v>
      </c>
      <c r="J762">
        <v>1170</v>
      </c>
      <c r="K762" s="32">
        <v>1</v>
      </c>
    </row>
    <row r="763" spans="1:11" x14ac:dyDescent="0.25">
      <c r="A763" s="78"/>
      <c r="B763" s="78"/>
      <c r="D763" s="78"/>
      <c r="E763" s="78"/>
      <c r="F763" s="93"/>
      <c r="G763" s="78"/>
      <c r="H763" s="91"/>
      <c r="I763" s="78" t="s">
        <v>945</v>
      </c>
      <c r="J763">
        <v>1170</v>
      </c>
      <c r="K763" s="32">
        <v>1</v>
      </c>
    </row>
    <row r="764" spans="1:11" x14ac:dyDescent="0.25">
      <c r="A764" s="78"/>
      <c r="B764" s="78"/>
      <c r="D764" s="78"/>
      <c r="E764" s="78"/>
      <c r="F764" s="93"/>
      <c r="G764" s="78"/>
      <c r="H764" s="91"/>
      <c r="I764" t="s">
        <v>1071</v>
      </c>
      <c r="J764">
        <v>1170</v>
      </c>
      <c r="K764" s="32">
        <v>1</v>
      </c>
    </row>
    <row r="765" spans="1:11" x14ac:dyDescent="0.25">
      <c r="A765" s="78"/>
      <c r="B765" s="78"/>
      <c r="D765" s="78"/>
      <c r="E765" s="78"/>
      <c r="F765" s="93"/>
      <c r="G765" s="78"/>
      <c r="H765" s="91"/>
      <c r="I765" s="78" t="s">
        <v>1019</v>
      </c>
      <c r="J765">
        <v>1170</v>
      </c>
      <c r="K765" s="32">
        <v>1</v>
      </c>
    </row>
    <row r="766" spans="1:11" x14ac:dyDescent="0.25">
      <c r="A766" s="78"/>
      <c r="B766" s="78"/>
      <c r="D766" s="78"/>
      <c r="E766" s="78"/>
      <c r="F766" s="93"/>
      <c r="G766" s="78"/>
      <c r="H766" s="91"/>
      <c r="I766" s="78" t="s">
        <v>1022</v>
      </c>
      <c r="J766">
        <v>1170</v>
      </c>
      <c r="K766" s="32">
        <v>1</v>
      </c>
    </row>
    <row r="767" spans="1:11" x14ac:dyDescent="0.25">
      <c r="A767" s="78"/>
      <c r="B767" s="78"/>
      <c r="D767" s="78"/>
      <c r="E767" s="78"/>
      <c r="F767" s="93"/>
      <c r="G767" s="78"/>
      <c r="H767" s="91"/>
      <c r="I767" s="78" t="s">
        <v>954</v>
      </c>
      <c r="J767">
        <v>1170</v>
      </c>
      <c r="K767" s="32">
        <v>1</v>
      </c>
    </row>
    <row r="768" spans="1:11" x14ac:dyDescent="0.25">
      <c r="A768" s="78"/>
      <c r="B768" s="78"/>
      <c r="D768" s="78"/>
      <c r="E768" s="78"/>
      <c r="F768" s="93"/>
      <c r="G768" s="78"/>
      <c r="H768" s="91"/>
      <c r="I768" s="78" t="s">
        <v>738</v>
      </c>
      <c r="J768">
        <v>1170</v>
      </c>
      <c r="K768" s="32">
        <v>1</v>
      </c>
    </row>
    <row r="769" spans="1:11" x14ac:dyDescent="0.25">
      <c r="A769" s="78"/>
      <c r="B769" s="78"/>
      <c r="D769" s="78"/>
      <c r="E769" s="78"/>
      <c r="F769" s="93"/>
      <c r="G769" s="78"/>
      <c r="H769" s="91"/>
      <c r="I769" s="78" t="s">
        <v>940</v>
      </c>
      <c r="J769">
        <v>1170</v>
      </c>
      <c r="K769" s="32">
        <v>1</v>
      </c>
    </row>
    <row r="770" spans="1:11" x14ac:dyDescent="0.25">
      <c r="A770" s="78"/>
      <c r="B770" s="78"/>
      <c r="D770" s="78"/>
      <c r="E770" s="78"/>
      <c r="F770" s="93"/>
      <c r="G770" s="78"/>
      <c r="H770" s="91"/>
      <c r="I770" s="78" t="s">
        <v>972</v>
      </c>
      <c r="J770">
        <v>1170</v>
      </c>
      <c r="K770" s="32">
        <v>1</v>
      </c>
    </row>
    <row r="771" spans="1:11" x14ac:dyDescent="0.25">
      <c r="A771" s="78"/>
      <c r="B771" s="78"/>
      <c r="D771" s="78"/>
      <c r="E771" s="78"/>
      <c r="F771" s="93"/>
      <c r="G771" s="78"/>
      <c r="H771" s="91"/>
      <c r="I771" s="78" t="s">
        <v>942</v>
      </c>
      <c r="J771">
        <v>1170</v>
      </c>
      <c r="K771" s="32">
        <v>1</v>
      </c>
    </row>
    <row r="772" spans="1:11" x14ac:dyDescent="0.25">
      <c r="A772" s="78"/>
      <c r="B772" s="78"/>
      <c r="D772" s="78"/>
      <c r="E772" s="78"/>
      <c r="F772" s="93"/>
      <c r="G772" s="78"/>
      <c r="H772" s="91"/>
      <c r="I772" s="78" t="s">
        <v>1086</v>
      </c>
      <c r="J772">
        <v>1170</v>
      </c>
      <c r="K772" s="32">
        <v>1</v>
      </c>
    </row>
    <row r="773" spans="1:11" x14ac:dyDescent="0.25">
      <c r="A773" s="78"/>
      <c r="B773" s="78"/>
      <c r="D773" s="78"/>
      <c r="E773" s="78"/>
      <c r="F773" s="93"/>
      <c r="G773" t="s">
        <v>1768</v>
      </c>
      <c r="K773" s="32">
        <v>31</v>
      </c>
    </row>
    <row r="774" spans="1:11" x14ac:dyDescent="0.25">
      <c r="A774" s="78"/>
      <c r="B774" s="78"/>
      <c r="D774" s="78"/>
      <c r="E774" s="78"/>
      <c r="F774" s="93"/>
      <c r="G774" s="78" t="s">
        <v>916</v>
      </c>
      <c r="H774" s="78" t="s">
        <v>43</v>
      </c>
      <c r="I774" s="78" t="s">
        <v>82</v>
      </c>
      <c r="J774">
        <v>1170</v>
      </c>
      <c r="K774" s="32">
        <v>1</v>
      </c>
    </row>
    <row r="775" spans="1:11" x14ac:dyDescent="0.25">
      <c r="A775" s="78"/>
      <c r="B775" s="78"/>
      <c r="D775" s="78"/>
      <c r="E775" s="78"/>
      <c r="F775" s="93"/>
      <c r="G775" s="78"/>
      <c r="H775" s="78"/>
      <c r="I775" s="78" t="s">
        <v>109</v>
      </c>
      <c r="J775">
        <v>1170</v>
      </c>
      <c r="K775" s="32">
        <v>1</v>
      </c>
    </row>
    <row r="776" spans="1:11" x14ac:dyDescent="0.25">
      <c r="A776" s="78"/>
      <c r="B776" s="78"/>
      <c r="D776" s="78"/>
      <c r="E776" s="78"/>
      <c r="F776" s="93"/>
      <c r="G776" s="78"/>
      <c r="H776" t="s">
        <v>42</v>
      </c>
      <c r="I776" t="s">
        <v>85</v>
      </c>
      <c r="J776">
        <v>1170</v>
      </c>
      <c r="K776" s="32">
        <v>1</v>
      </c>
    </row>
    <row r="777" spans="1:11" x14ac:dyDescent="0.25">
      <c r="A777" s="78"/>
      <c r="B777" s="78"/>
      <c r="D777" s="78"/>
      <c r="E777" s="78"/>
      <c r="F777" s="93"/>
      <c r="G777" s="78"/>
      <c r="H777" s="78" t="s">
        <v>17</v>
      </c>
      <c r="I777" s="78" t="s">
        <v>81</v>
      </c>
      <c r="J777">
        <v>1170</v>
      </c>
      <c r="K777" s="32">
        <v>1</v>
      </c>
    </row>
    <row r="778" spans="1:11" x14ac:dyDescent="0.25">
      <c r="A778" s="78"/>
      <c r="B778" s="78"/>
      <c r="D778" s="78"/>
      <c r="E778" s="78"/>
      <c r="F778" s="93"/>
      <c r="G778" t="s">
        <v>1769</v>
      </c>
      <c r="K778" s="32">
        <v>4</v>
      </c>
    </row>
    <row r="779" spans="1:11" x14ac:dyDescent="0.25">
      <c r="A779" s="78"/>
      <c r="B779" s="78"/>
      <c r="D779" s="78"/>
      <c r="E779" s="78" t="s">
        <v>503</v>
      </c>
      <c r="F779" t="s">
        <v>1130</v>
      </c>
      <c r="G779" t="s">
        <v>915</v>
      </c>
      <c r="H779" t="s">
        <v>794</v>
      </c>
      <c r="I779" t="s">
        <v>1101</v>
      </c>
      <c r="J779">
        <v>1170</v>
      </c>
      <c r="K779" s="32">
        <v>1</v>
      </c>
    </row>
    <row r="780" spans="1:11" x14ac:dyDescent="0.25">
      <c r="A780" s="78"/>
      <c r="B780" s="78"/>
      <c r="D780" s="78"/>
      <c r="E780" s="78"/>
      <c r="F780"/>
      <c r="I780" t="s">
        <v>1102</v>
      </c>
      <c r="J780">
        <v>1170</v>
      </c>
      <c r="K780" s="32">
        <v>1</v>
      </c>
    </row>
    <row r="781" spans="1:11" x14ac:dyDescent="0.25">
      <c r="A781" s="78"/>
      <c r="B781" s="78"/>
      <c r="D781" s="78"/>
      <c r="E781" s="78"/>
      <c r="F781"/>
      <c r="I781" t="s">
        <v>1100</v>
      </c>
      <c r="J781">
        <v>1170</v>
      </c>
      <c r="K781" s="32">
        <v>1</v>
      </c>
    </row>
    <row r="782" spans="1:11" x14ac:dyDescent="0.25">
      <c r="A782" s="78"/>
      <c r="B782" s="78"/>
      <c r="D782" s="78"/>
      <c r="E782" s="78"/>
      <c r="F782"/>
      <c r="G782" t="s">
        <v>1768</v>
      </c>
      <c r="K782" s="32">
        <v>3</v>
      </c>
    </row>
    <row r="783" spans="1:11" x14ac:dyDescent="0.25">
      <c r="A783" s="78"/>
      <c r="B783" s="78"/>
      <c r="D783" s="78"/>
      <c r="E783" s="78"/>
      <c r="F783" t="s">
        <v>794</v>
      </c>
      <c r="G783" s="78" t="s">
        <v>915</v>
      </c>
      <c r="H783" s="78" t="s">
        <v>794</v>
      </c>
      <c r="I783" s="78" t="s">
        <v>1103</v>
      </c>
      <c r="J783">
        <v>1170</v>
      </c>
      <c r="K783" s="32">
        <v>1</v>
      </c>
    </row>
    <row r="784" spans="1:11" x14ac:dyDescent="0.25">
      <c r="A784" s="78"/>
      <c r="B784" s="78"/>
      <c r="D784" s="78"/>
      <c r="E784" s="78"/>
      <c r="F784"/>
      <c r="G784" s="78"/>
      <c r="H784" s="78"/>
      <c r="I784" s="78" t="s">
        <v>1625</v>
      </c>
      <c r="J784">
        <v>1170</v>
      </c>
      <c r="K784" s="32">
        <v>1</v>
      </c>
    </row>
    <row r="785" spans="1:11" x14ac:dyDescent="0.25">
      <c r="A785" s="78"/>
      <c r="B785" s="78"/>
      <c r="D785" s="78"/>
      <c r="E785" s="78"/>
      <c r="F785"/>
      <c r="G785" s="78"/>
      <c r="H785" s="78"/>
      <c r="I785" t="s">
        <v>1656</v>
      </c>
      <c r="J785">
        <v>1170</v>
      </c>
      <c r="K785" s="32">
        <v>1</v>
      </c>
    </row>
    <row r="786" spans="1:11" x14ac:dyDescent="0.25">
      <c r="A786" s="78"/>
      <c r="B786" s="78"/>
      <c r="D786" s="78"/>
      <c r="E786" s="78"/>
      <c r="F786"/>
      <c r="G786" s="78"/>
      <c r="H786" s="78"/>
      <c r="I786" t="s">
        <v>969</v>
      </c>
      <c r="J786">
        <v>1170</v>
      </c>
      <c r="K786" s="32">
        <v>1</v>
      </c>
    </row>
    <row r="787" spans="1:11" x14ac:dyDescent="0.25">
      <c r="A787" s="78"/>
      <c r="B787" s="78"/>
      <c r="D787" s="78"/>
      <c r="E787" s="78"/>
      <c r="F787"/>
      <c r="G787" s="78"/>
      <c r="H787" s="78"/>
      <c r="I787" t="s">
        <v>1074</v>
      </c>
      <c r="J787">
        <v>1170</v>
      </c>
      <c r="K787" s="32">
        <v>1</v>
      </c>
    </row>
    <row r="788" spans="1:11" x14ac:dyDescent="0.25">
      <c r="A788" s="78"/>
      <c r="B788" s="78"/>
      <c r="D788" s="78"/>
      <c r="E788" s="78"/>
      <c r="F788"/>
      <c r="G788" t="s">
        <v>1768</v>
      </c>
      <c r="K788" s="32">
        <v>5</v>
      </c>
    </row>
    <row r="789" spans="1:11" x14ac:dyDescent="0.25">
      <c r="A789" s="78"/>
      <c r="B789" s="78"/>
      <c r="D789" s="78"/>
      <c r="E789" t="s">
        <v>219</v>
      </c>
      <c r="F789" t="s">
        <v>794</v>
      </c>
      <c r="G789" t="s">
        <v>915</v>
      </c>
      <c r="H789" t="s">
        <v>794</v>
      </c>
      <c r="I789" t="s">
        <v>54</v>
      </c>
      <c r="J789">
        <v>1170</v>
      </c>
      <c r="K789" s="32">
        <v>1</v>
      </c>
    </row>
    <row r="790" spans="1:11" x14ac:dyDescent="0.25">
      <c r="A790" s="78"/>
      <c r="B790" s="78"/>
      <c r="D790" s="78"/>
      <c r="E790"/>
      <c r="F790"/>
      <c r="I790" t="s">
        <v>1031</v>
      </c>
      <c r="J790">
        <v>1170</v>
      </c>
      <c r="K790" s="32">
        <v>1</v>
      </c>
    </row>
    <row r="791" spans="1:11" x14ac:dyDescent="0.25">
      <c r="A791" s="78"/>
      <c r="B791" s="78"/>
      <c r="D791" s="78"/>
      <c r="E791"/>
      <c r="F791"/>
      <c r="I791" t="s">
        <v>894</v>
      </c>
      <c r="J791">
        <v>1170</v>
      </c>
      <c r="K791" s="32">
        <v>1</v>
      </c>
    </row>
    <row r="792" spans="1:11" x14ac:dyDescent="0.25">
      <c r="A792" s="78"/>
      <c r="B792" s="78"/>
      <c r="D792" s="78"/>
      <c r="E792"/>
      <c r="F792"/>
      <c r="I792" t="s">
        <v>1667</v>
      </c>
      <c r="J792">
        <v>1170</v>
      </c>
      <c r="K792" s="32">
        <v>1</v>
      </c>
    </row>
    <row r="793" spans="1:11" x14ac:dyDescent="0.25">
      <c r="A793" s="78"/>
      <c r="B793" s="78"/>
      <c r="D793" s="78"/>
      <c r="E793"/>
      <c r="F793"/>
      <c r="I793" t="s">
        <v>1695</v>
      </c>
      <c r="J793">
        <v>1170</v>
      </c>
      <c r="K793" s="32">
        <v>1</v>
      </c>
    </row>
    <row r="794" spans="1:11" x14ac:dyDescent="0.25">
      <c r="A794" s="78"/>
      <c r="B794" s="78"/>
      <c r="D794" s="78"/>
      <c r="E794"/>
      <c r="F794"/>
      <c r="G794" t="s">
        <v>1768</v>
      </c>
      <c r="K794" s="32">
        <v>5</v>
      </c>
    </row>
    <row r="795" spans="1:11" x14ac:dyDescent="0.25">
      <c r="A795" s="78"/>
      <c r="B795" s="78"/>
      <c r="D795" s="78"/>
      <c r="E795"/>
      <c r="F795"/>
      <c r="G795" t="s">
        <v>916</v>
      </c>
      <c r="H795" t="s">
        <v>30</v>
      </c>
      <c r="I795" t="s">
        <v>187</v>
      </c>
      <c r="J795">
        <v>1170</v>
      </c>
      <c r="K795" s="32">
        <v>1</v>
      </c>
    </row>
    <row r="796" spans="1:11" x14ac:dyDescent="0.25">
      <c r="A796" s="78"/>
      <c r="B796" s="78"/>
      <c r="D796" s="78"/>
      <c r="E796"/>
      <c r="F796"/>
      <c r="G796" t="s">
        <v>1769</v>
      </c>
      <c r="K796" s="32">
        <v>1</v>
      </c>
    </row>
    <row r="797" spans="1:11" x14ac:dyDescent="0.25">
      <c r="A797" s="78"/>
      <c r="B797" s="78"/>
      <c r="D797" s="78"/>
      <c r="E797"/>
      <c r="F797"/>
      <c r="G797" t="s">
        <v>794</v>
      </c>
      <c r="H797" t="s">
        <v>794</v>
      </c>
      <c r="I797" t="s">
        <v>898</v>
      </c>
      <c r="J797" t="s">
        <v>1611</v>
      </c>
      <c r="K797" s="32"/>
    </row>
    <row r="798" spans="1:11" x14ac:dyDescent="0.25">
      <c r="A798" s="78"/>
      <c r="B798" s="78"/>
      <c r="D798" s="78"/>
      <c r="E798"/>
      <c r="F798"/>
      <c r="I798" t="s">
        <v>893</v>
      </c>
      <c r="J798" t="s">
        <v>1611</v>
      </c>
      <c r="K798" s="32"/>
    </row>
    <row r="799" spans="1:11" x14ac:dyDescent="0.25">
      <c r="A799" s="78"/>
      <c r="B799" s="78"/>
      <c r="D799" s="78"/>
      <c r="E799"/>
      <c r="F799"/>
      <c r="G799" t="s">
        <v>816</v>
      </c>
      <c r="K799" s="32"/>
    </row>
    <row r="800" spans="1:11" x14ac:dyDescent="0.25">
      <c r="A800" s="78"/>
      <c r="B800" s="78"/>
      <c r="D800" s="78" t="s">
        <v>800</v>
      </c>
      <c r="E800" s="78" t="s">
        <v>59</v>
      </c>
      <c r="F800" t="s">
        <v>794</v>
      </c>
      <c r="G800" s="78" t="s">
        <v>916</v>
      </c>
      <c r="H800" s="84" t="s">
        <v>30</v>
      </c>
      <c r="I800" t="s">
        <v>255</v>
      </c>
      <c r="J800">
        <v>1170</v>
      </c>
      <c r="K800" s="32">
        <v>1</v>
      </c>
    </row>
    <row r="801" spans="1:11" x14ac:dyDescent="0.25">
      <c r="A801" s="78"/>
      <c r="B801" s="78"/>
      <c r="D801" s="78"/>
      <c r="E801" s="78"/>
      <c r="F801"/>
      <c r="G801" s="78"/>
      <c r="H801" t="s">
        <v>42</v>
      </c>
      <c r="I801" t="s">
        <v>258</v>
      </c>
      <c r="J801">
        <v>1170</v>
      </c>
      <c r="K801" s="32">
        <v>1</v>
      </c>
    </row>
    <row r="802" spans="1:11" x14ac:dyDescent="0.25">
      <c r="A802" s="78"/>
      <c r="B802" s="78"/>
      <c r="D802" s="78"/>
      <c r="E802" s="78"/>
      <c r="F802"/>
      <c r="G802" s="78"/>
      <c r="I802" t="s">
        <v>259</v>
      </c>
      <c r="J802">
        <v>1170</v>
      </c>
      <c r="K802" s="32">
        <v>1</v>
      </c>
    </row>
    <row r="803" spans="1:11" x14ac:dyDescent="0.25">
      <c r="A803" s="78"/>
      <c r="B803" s="78"/>
      <c r="D803" s="78"/>
      <c r="E803" s="78"/>
      <c r="F803"/>
      <c r="G803" s="78"/>
      <c r="H803" t="s">
        <v>17</v>
      </c>
      <c r="I803" t="s">
        <v>256</v>
      </c>
      <c r="J803">
        <v>1170</v>
      </c>
      <c r="K803" s="32">
        <v>1</v>
      </c>
    </row>
    <row r="804" spans="1:11" x14ac:dyDescent="0.25">
      <c r="A804" s="78"/>
      <c r="B804" s="78"/>
      <c r="D804" s="78"/>
      <c r="E804" s="78"/>
      <c r="F804"/>
      <c r="G804" s="78"/>
      <c r="H804" t="s">
        <v>49</v>
      </c>
      <c r="I804" t="s">
        <v>257</v>
      </c>
      <c r="J804">
        <v>1170</v>
      </c>
      <c r="K804" s="32">
        <v>1</v>
      </c>
    </row>
    <row r="805" spans="1:11" x14ac:dyDescent="0.25">
      <c r="A805" s="78"/>
      <c r="B805" s="78"/>
      <c r="D805" s="78"/>
      <c r="E805" s="78"/>
      <c r="F805"/>
      <c r="G805" t="s">
        <v>1769</v>
      </c>
      <c r="K805" s="32">
        <v>5</v>
      </c>
    </row>
    <row r="806" spans="1:11" x14ac:dyDescent="0.25">
      <c r="A806" s="78"/>
      <c r="B806" s="78"/>
      <c r="D806" s="78"/>
      <c r="E806" s="78" t="s">
        <v>480</v>
      </c>
      <c r="F806" t="s">
        <v>794</v>
      </c>
      <c r="G806" s="78" t="s">
        <v>915</v>
      </c>
      <c r="H806" s="93" t="s">
        <v>794</v>
      </c>
      <c r="I806" s="78" t="s">
        <v>260</v>
      </c>
      <c r="J806">
        <v>1170</v>
      </c>
      <c r="K806" s="32">
        <v>1</v>
      </c>
    </row>
    <row r="807" spans="1:11" x14ac:dyDescent="0.25">
      <c r="A807" s="78"/>
      <c r="B807" s="78"/>
      <c r="D807" s="78"/>
      <c r="E807" s="78"/>
      <c r="F807"/>
      <c r="G807" t="s">
        <v>1768</v>
      </c>
      <c r="K807" s="32">
        <v>1</v>
      </c>
    </row>
    <row r="808" spans="1:11" x14ac:dyDescent="0.25">
      <c r="A808" s="78"/>
      <c r="B808" s="78"/>
      <c r="D808" s="78"/>
      <c r="E808" s="78" t="s">
        <v>481</v>
      </c>
      <c r="F808" t="s">
        <v>794</v>
      </c>
      <c r="G808" s="78" t="s">
        <v>916</v>
      </c>
      <c r="H808" t="s">
        <v>53</v>
      </c>
      <c r="I808" t="s">
        <v>261</v>
      </c>
      <c r="J808">
        <v>1170</v>
      </c>
      <c r="K808" s="32">
        <v>1</v>
      </c>
    </row>
    <row r="809" spans="1:11" x14ac:dyDescent="0.25">
      <c r="A809" s="78"/>
      <c r="B809" s="78"/>
      <c r="D809" s="78"/>
      <c r="E809" s="78"/>
      <c r="F809"/>
      <c r="G809" s="78"/>
      <c r="H809" t="s">
        <v>42</v>
      </c>
      <c r="I809" t="s">
        <v>262</v>
      </c>
      <c r="J809">
        <v>1170</v>
      </c>
      <c r="K809" s="32">
        <v>1</v>
      </c>
    </row>
    <row r="810" spans="1:11" x14ac:dyDescent="0.25">
      <c r="A810" s="78"/>
      <c r="B810" s="78"/>
      <c r="D810" s="78"/>
      <c r="E810" s="78"/>
      <c r="F810"/>
      <c r="G810" s="78"/>
      <c r="I810" t="s">
        <v>263</v>
      </c>
      <c r="J810">
        <v>1170</v>
      </c>
      <c r="K810" s="32">
        <v>1</v>
      </c>
    </row>
    <row r="811" spans="1:11" x14ac:dyDescent="0.25">
      <c r="A811" s="78"/>
      <c r="B811" s="78"/>
      <c r="D811" s="78"/>
      <c r="E811" s="78"/>
      <c r="F811"/>
      <c r="G811" t="s">
        <v>1769</v>
      </c>
      <c r="K811" s="32">
        <v>3</v>
      </c>
    </row>
    <row r="812" spans="1:11" x14ac:dyDescent="0.25">
      <c r="A812" s="78"/>
      <c r="B812" s="78"/>
      <c r="D812" s="78"/>
      <c r="E812" s="78" t="s">
        <v>482</v>
      </c>
      <c r="F812" t="s">
        <v>794</v>
      </c>
      <c r="G812" s="78" t="s">
        <v>915</v>
      </c>
      <c r="H812" s="93" t="s">
        <v>794</v>
      </c>
      <c r="I812" s="78" t="s">
        <v>265</v>
      </c>
      <c r="J812">
        <v>1170</v>
      </c>
      <c r="K812" s="32">
        <v>1</v>
      </c>
    </row>
    <row r="813" spans="1:11" x14ac:dyDescent="0.25">
      <c r="A813" s="78"/>
      <c r="B813" s="78"/>
      <c r="D813" s="78"/>
      <c r="E813" s="78"/>
      <c r="F813"/>
      <c r="G813" s="78"/>
      <c r="H813" s="93"/>
      <c r="I813" s="78" t="s">
        <v>266</v>
      </c>
      <c r="J813">
        <v>1170</v>
      </c>
      <c r="K813" s="32">
        <v>1</v>
      </c>
    </row>
    <row r="814" spans="1:11" x14ac:dyDescent="0.25">
      <c r="A814" s="78"/>
      <c r="B814" s="78"/>
      <c r="D814" s="78"/>
      <c r="E814" s="78"/>
      <c r="F814"/>
      <c r="G814" t="s">
        <v>1768</v>
      </c>
      <c r="K814" s="32">
        <v>2</v>
      </c>
    </row>
    <row r="815" spans="1:11" x14ac:dyDescent="0.25">
      <c r="A815" s="78"/>
      <c r="B815" s="78"/>
      <c r="D815" s="78"/>
      <c r="E815" s="78"/>
      <c r="F815"/>
      <c r="G815" s="78" t="s">
        <v>916</v>
      </c>
      <c r="H815" t="s">
        <v>15</v>
      </c>
      <c r="I815" t="s">
        <v>264</v>
      </c>
      <c r="J815">
        <v>1170</v>
      </c>
      <c r="K815" s="32">
        <v>1</v>
      </c>
    </row>
    <row r="816" spans="1:11" x14ac:dyDescent="0.25">
      <c r="A816" s="78"/>
      <c r="B816" s="78"/>
      <c r="D816" s="78"/>
      <c r="E816" s="78"/>
      <c r="F816"/>
      <c r="G816" t="s">
        <v>1769</v>
      </c>
      <c r="K816" s="32">
        <v>1</v>
      </c>
    </row>
    <row r="817" spans="1:11" x14ac:dyDescent="0.25">
      <c r="A817" s="78"/>
      <c r="B817" s="78"/>
      <c r="D817" s="78"/>
      <c r="E817" s="78" t="s">
        <v>483</v>
      </c>
      <c r="F817" t="s">
        <v>794</v>
      </c>
      <c r="G817" t="s">
        <v>916</v>
      </c>
      <c r="H817" t="s">
        <v>17</v>
      </c>
      <c r="I817" t="s">
        <v>267</v>
      </c>
      <c r="J817">
        <v>1170</v>
      </c>
      <c r="K817" s="32">
        <v>1</v>
      </c>
    </row>
    <row r="818" spans="1:11" x14ac:dyDescent="0.25">
      <c r="A818" s="78"/>
      <c r="B818" s="78"/>
      <c r="D818" s="78"/>
      <c r="E818" s="78"/>
      <c r="F818"/>
      <c r="I818" t="s">
        <v>268</v>
      </c>
      <c r="J818">
        <v>1170</v>
      </c>
      <c r="K818" s="32">
        <v>1</v>
      </c>
    </row>
    <row r="819" spans="1:11" x14ac:dyDescent="0.25">
      <c r="A819" s="78"/>
      <c r="B819" s="78"/>
      <c r="D819" s="78"/>
      <c r="E819" s="78"/>
      <c r="F819"/>
      <c r="G819" t="s">
        <v>1769</v>
      </c>
      <c r="K819" s="32">
        <v>2</v>
      </c>
    </row>
    <row r="820" spans="1:11" x14ac:dyDescent="0.25">
      <c r="A820" s="78"/>
      <c r="B820" s="78"/>
      <c r="D820" s="78"/>
      <c r="E820" s="78" t="s">
        <v>484</v>
      </c>
      <c r="F820" t="s">
        <v>794</v>
      </c>
      <c r="G820" s="78" t="s">
        <v>915</v>
      </c>
      <c r="H820" s="93" t="s">
        <v>794</v>
      </c>
      <c r="I820" s="78" t="s">
        <v>276</v>
      </c>
      <c r="J820">
        <v>1170</v>
      </c>
      <c r="K820" s="32">
        <v>1</v>
      </c>
    </row>
    <row r="821" spans="1:11" x14ac:dyDescent="0.25">
      <c r="A821" s="78"/>
      <c r="B821" s="78"/>
      <c r="D821" s="78"/>
      <c r="E821" s="78"/>
      <c r="F821"/>
      <c r="G821" t="s">
        <v>1768</v>
      </c>
      <c r="K821" s="32">
        <v>1</v>
      </c>
    </row>
    <row r="822" spans="1:11" x14ac:dyDescent="0.25">
      <c r="A822" s="78"/>
      <c r="B822" s="78"/>
      <c r="D822" s="78"/>
      <c r="E822" s="78"/>
      <c r="F822"/>
      <c r="G822" s="78" t="s">
        <v>916</v>
      </c>
      <c r="H822" t="s">
        <v>42</v>
      </c>
      <c r="I822" t="s">
        <v>270</v>
      </c>
      <c r="J822">
        <v>1170</v>
      </c>
      <c r="K822" s="32">
        <v>1</v>
      </c>
    </row>
    <row r="823" spans="1:11" x14ac:dyDescent="0.25">
      <c r="A823" s="78"/>
      <c r="B823" s="78"/>
      <c r="D823" s="78"/>
      <c r="E823" s="78"/>
      <c r="F823"/>
      <c r="G823" s="78"/>
      <c r="I823" t="s">
        <v>269</v>
      </c>
      <c r="J823">
        <v>1170</v>
      </c>
      <c r="K823" s="32">
        <v>1</v>
      </c>
    </row>
    <row r="824" spans="1:11" x14ac:dyDescent="0.25">
      <c r="A824" s="78"/>
      <c r="B824" s="78"/>
      <c r="D824" s="78"/>
      <c r="E824" s="78"/>
      <c r="F824"/>
      <c r="G824" s="78"/>
      <c r="I824" t="s">
        <v>273</v>
      </c>
      <c r="J824">
        <v>1170</v>
      </c>
      <c r="K824" s="32">
        <v>1</v>
      </c>
    </row>
    <row r="825" spans="1:11" x14ac:dyDescent="0.25">
      <c r="A825" s="78"/>
      <c r="B825" s="78"/>
      <c r="D825" s="78"/>
      <c r="E825" s="78"/>
      <c r="F825"/>
      <c r="G825" s="78"/>
      <c r="I825" t="s">
        <v>274</v>
      </c>
      <c r="J825">
        <v>1170</v>
      </c>
      <c r="K825" s="32">
        <v>1</v>
      </c>
    </row>
    <row r="826" spans="1:11" x14ac:dyDescent="0.25">
      <c r="A826" s="78"/>
      <c r="B826" s="78"/>
      <c r="D826" s="78"/>
      <c r="E826" s="78"/>
      <c r="F826"/>
      <c r="G826" s="78"/>
      <c r="H826" t="s">
        <v>17</v>
      </c>
      <c r="I826" t="s">
        <v>271</v>
      </c>
      <c r="J826">
        <v>1170</v>
      </c>
      <c r="K826" s="32">
        <v>1</v>
      </c>
    </row>
    <row r="827" spans="1:11" x14ac:dyDescent="0.25">
      <c r="A827" s="78"/>
      <c r="B827" s="78"/>
      <c r="D827" s="78"/>
      <c r="E827" s="78"/>
      <c r="F827"/>
      <c r="G827" s="78"/>
      <c r="I827" t="s">
        <v>272</v>
      </c>
      <c r="J827">
        <v>1170</v>
      </c>
      <c r="K827" s="32">
        <v>1</v>
      </c>
    </row>
    <row r="828" spans="1:11" x14ac:dyDescent="0.25">
      <c r="A828" s="78"/>
      <c r="B828" s="78"/>
      <c r="D828" s="78"/>
      <c r="E828" s="78"/>
      <c r="F828"/>
      <c r="G828" s="78"/>
      <c r="H828" t="s">
        <v>24</v>
      </c>
      <c r="I828" t="s">
        <v>275</v>
      </c>
      <c r="J828">
        <v>1170</v>
      </c>
      <c r="K828" s="32">
        <v>1</v>
      </c>
    </row>
    <row r="829" spans="1:11" x14ac:dyDescent="0.25">
      <c r="A829" s="78"/>
      <c r="B829" s="78"/>
      <c r="D829" s="78"/>
      <c r="E829" s="78"/>
      <c r="F829"/>
      <c r="G829" t="s">
        <v>1769</v>
      </c>
      <c r="K829" s="32">
        <v>7</v>
      </c>
    </row>
    <row r="830" spans="1:11" x14ac:dyDescent="0.25">
      <c r="A830" s="78"/>
      <c r="B830" s="78"/>
      <c r="D830" s="78"/>
      <c r="E830" s="78" t="s">
        <v>485</v>
      </c>
      <c r="F830" t="s">
        <v>794</v>
      </c>
      <c r="G830" s="78" t="s">
        <v>915</v>
      </c>
      <c r="H830" s="93" t="s">
        <v>794</v>
      </c>
      <c r="I830" s="78" t="s">
        <v>575</v>
      </c>
      <c r="J830">
        <v>1170</v>
      </c>
      <c r="K830" s="32">
        <v>1</v>
      </c>
    </row>
    <row r="831" spans="1:11" x14ac:dyDescent="0.25">
      <c r="A831" s="78"/>
      <c r="B831" s="78"/>
      <c r="D831" s="78"/>
      <c r="E831" s="78"/>
      <c r="F831"/>
      <c r="G831" s="78"/>
      <c r="H831" s="93"/>
      <c r="I831" s="78" t="s">
        <v>284</v>
      </c>
      <c r="J831">
        <v>1170</v>
      </c>
      <c r="K831" s="32">
        <v>1</v>
      </c>
    </row>
    <row r="832" spans="1:11" x14ac:dyDescent="0.25">
      <c r="A832" s="78"/>
      <c r="B832" s="78"/>
      <c r="D832" s="78"/>
      <c r="E832" s="78"/>
      <c r="F832"/>
      <c r="G832" s="78"/>
      <c r="H832" s="93"/>
      <c r="I832" s="78" t="s">
        <v>285</v>
      </c>
      <c r="J832">
        <v>1170</v>
      </c>
      <c r="K832" s="32">
        <v>1</v>
      </c>
    </row>
    <row r="833" spans="1:11" x14ac:dyDescent="0.25">
      <c r="A833" s="78"/>
      <c r="B833" s="78"/>
      <c r="D833" s="78"/>
      <c r="E833" s="78"/>
      <c r="F833"/>
      <c r="G833" s="78"/>
      <c r="H833" s="93"/>
      <c r="I833" s="78" t="s">
        <v>286</v>
      </c>
      <c r="J833">
        <v>1170</v>
      </c>
      <c r="K833" s="32">
        <v>1</v>
      </c>
    </row>
    <row r="834" spans="1:11" x14ac:dyDescent="0.25">
      <c r="A834" s="78"/>
      <c r="B834" s="78"/>
      <c r="D834" s="78"/>
      <c r="E834" s="78"/>
      <c r="F834"/>
      <c r="G834" t="s">
        <v>1768</v>
      </c>
      <c r="K834" s="32">
        <v>4</v>
      </c>
    </row>
    <row r="835" spans="1:11" x14ac:dyDescent="0.25">
      <c r="A835" s="78"/>
      <c r="B835" s="78"/>
      <c r="D835" s="78"/>
      <c r="E835" s="78"/>
      <c r="F835"/>
      <c r="G835" s="78" t="s">
        <v>916</v>
      </c>
      <c r="H835" t="s">
        <v>69</v>
      </c>
      <c r="I835" t="s">
        <v>279</v>
      </c>
      <c r="J835">
        <v>1170</v>
      </c>
      <c r="K835" s="32">
        <v>1</v>
      </c>
    </row>
    <row r="836" spans="1:11" x14ac:dyDescent="0.25">
      <c r="A836" s="78"/>
      <c r="B836" s="78"/>
      <c r="D836" s="78"/>
      <c r="E836" s="78"/>
      <c r="F836"/>
      <c r="G836" s="78"/>
      <c r="I836" t="s">
        <v>280</v>
      </c>
      <c r="J836">
        <v>1170</v>
      </c>
      <c r="K836" s="32">
        <v>1</v>
      </c>
    </row>
    <row r="837" spans="1:11" x14ac:dyDescent="0.25">
      <c r="A837" s="78"/>
      <c r="B837" s="78"/>
      <c r="D837" s="78"/>
      <c r="E837" s="78"/>
      <c r="F837"/>
      <c r="G837" s="78"/>
      <c r="H837" t="s">
        <v>42</v>
      </c>
      <c r="I837" t="s">
        <v>277</v>
      </c>
      <c r="J837">
        <v>1170</v>
      </c>
      <c r="K837" s="32">
        <v>1</v>
      </c>
    </row>
    <row r="838" spans="1:11" x14ac:dyDescent="0.25">
      <c r="A838" s="78"/>
      <c r="B838" s="78"/>
      <c r="D838" s="78"/>
      <c r="E838" s="78"/>
      <c r="F838"/>
      <c r="G838" s="78"/>
      <c r="I838" t="s">
        <v>278</v>
      </c>
      <c r="J838">
        <v>1170</v>
      </c>
      <c r="K838" s="32">
        <v>1</v>
      </c>
    </row>
    <row r="839" spans="1:11" x14ac:dyDescent="0.25">
      <c r="A839" s="78"/>
      <c r="B839" s="78"/>
      <c r="D839" s="78"/>
      <c r="E839" s="78"/>
      <c r="F839"/>
      <c r="G839" s="78"/>
      <c r="I839" t="s">
        <v>281</v>
      </c>
      <c r="J839">
        <v>1170</v>
      </c>
      <c r="K839" s="32">
        <v>1</v>
      </c>
    </row>
    <row r="840" spans="1:11" x14ac:dyDescent="0.25">
      <c r="A840" s="78"/>
      <c r="B840" s="78"/>
      <c r="D840" s="78"/>
      <c r="E840" s="78"/>
      <c r="F840"/>
      <c r="G840" s="78"/>
      <c r="I840" t="s">
        <v>282</v>
      </c>
      <c r="J840">
        <v>1170</v>
      </c>
      <c r="K840" s="32">
        <v>1</v>
      </c>
    </row>
    <row r="841" spans="1:11" x14ac:dyDescent="0.25">
      <c r="A841" s="78"/>
      <c r="B841" s="78"/>
      <c r="D841" s="78"/>
      <c r="E841" s="78"/>
      <c r="F841"/>
      <c r="G841" s="78"/>
      <c r="I841" t="s">
        <v>283</v>
      </c>
      <c r="J841">
        <v>1170</v>
      </c>
      <c r="K841" s="32">
        <v>1</v>
      </c>
    </row>
    <row r="842" spans="1:11" x14ac:dyDescent="0.25">
      <c r="A842" s="78"/>
      <c r="B842" s="78"/>
      <c r="D842" s="78"/>
      <c r="E842" s="78"/>
      <c r="F842"/>
      <c r="G842" t="s">
        <v>1769</v>
      </c>
      <c r="K842" s="32">
        <v>7</v>
      </c>
    </row>
    <row r="843" spans="1:11" x14ac:dyDescent="0.25">
      <c r="A843" s="78"/>
      <c r="B843" s="78"/>
      <c r="D843" s="78"/>
      <c r="E843" s="93" t="s">
        <v>794</v>
      </c>
      <c r="F843" t="s">
        <v>794</v>
      </c>
      <c r="G843" s="78" t="s">
        <v>915</v>
      </c>
      <c r="H843" s="93" t="s">
        <v>794</v>
      </c>
      <c r="I843" s="78" t="s">
        <v>1058</v>
      </c>
      <c r="J843">
        <v>1170</v>
      </c>
      <c r="K843" s="32">
        <v>1</v>
      </c>
    </row>
    <row r="844" spans="1:11" x14ac:dyDescent="0.25">
      <c r="A844" s="78"/>
      <c r="B844" s="78"/>
      <c r="D844" s="78"/>
      <c r="E844" s="93"/>
      <c r="F844"/>
      <c r="G844" s="78"/>
      <c r="H844" s="93"/>
      <c r="I844" s="78" t="s">
        <v>1059</v>
      </c>
      <c r="J844">
        <v>1170</v>
      </c>
      <c r="K844" s="32">
        <v>1</v>
      </c>
    </row>
    <row r="845" spans="1:11" x14ac:dyDescent="0.25">
      <c r="A845" s="78"/>
      <c r="B845" s="78"/>
      <c r="D845" s="78"/>
      <c r="E845" s="93"/>
      <c r="F845"/>
      <c r="G845" s="78"/>
      <c r="H845" s="93"/>
      <c r="I845" s="78" t="s">
        <v>906</v>
      </c>
      <c r="J845">
        <v>1170</v>
      </c>
      <c r="K845" s="32">
        <v>1</v>
      </c>
    </row>
    <row r="846" spans="1:11" x14ac:dyDescent="0.25">
      <c r="A846" s="78"/>
      <c r="B846" s="78"/>
      <c r="D846" s="78"/>
      <c r="E846" s="93"/>
      <c r="F846"/>
      <c r="G846" s="78"/>
      <c r="H846" s="93"/>
      <c r="I846" s="78" t="s">
        <v>1034</v>
      </c>
      <c r="J846">
        <v>1170</v>
      </c>
      <c r="K846" s="32">
        <v>1</v>
      </c>
    </row>
    <row r="847" spans="1:11" x14ac:dyDescent="0.25">
      <c r="A847" s="78"/>
      <c r="B847" s="78"/>
      <c r="D847" s="78"/>
      <c r="E847" s="93"/>
      <c r="F847"/>
      <c r="G847" s="78"/>
      <c r="H847" s="93"/>
      <c r="I847" s="78" t="s">
        <v>881</v>
      </c>
      <c r="J847">
        <v>1170</v>
      </c>
      <c r="K847" s="32">
        <v>1</v>
      </c>
    </row>
    <row r="848" spans="1:11" x14ac:dyDescent="0.25">
      <c r="A848" s="78"/>
      <c r="B848" s="78"/>
      <c r="D848" s="78"/>
      <c r="E848" s="93"/>
      <c r="F848"/>
      <c r="G848" s="78"/>
      <c r="H848" s="93"/>
      <c r="I848" s="78" t="s">
        <v>905</v>
      </c>
      <c r="J848">
        <v>1170</v>
      </c>
      <c r="K848" s="32">
        <v>1</v>
      </c>
    </row>
    <row r="849" spans="1:11" x14ac:dyDescent="0.25">
      <c r="A849" s="78"/>
      <c r="B849" s="78"/>
      <c r="D849" s="78"/>
      <c r="E849" s="93"/>
      <c r="F849"/>
      <c r="G849" s="78"/>
      <c r="H849" s="93"/>
      <c r="I849" s="78" t="s">
        <v>882</v>
      </c>
      <c r="J849">
        <v>1170</v>
      </c>
      <c r="K849" s="32">
        <v>1</v>
      </c>
    </row>
    <row r="850" spans="1:11" x14ac:dyDescent="0.25">
      <c r="A850" s="78"/>
      <c r="B850" s="78"/>
      <c r="D850" s="78"/>
      <c r="E850" s="93"/>
      <c r="F850"/>
      <c r="G850" s="78"/>
      <c r="H850" s="93"/>
      <c r="I850" s="78" t="s">
        <v>1047</v>
      </c>
      <c r="J850">
        <v>1170</v>
      </c>
      <c r="K850" s="32">
        <v>1</v>
      </c>
    </row>
    <row r="851" spans="1:11" x14ac:dyDescent="0.25">
      <c r="A851" s="78"/>
      <c r="B851" s="78"/>
      <c r="D851" s="78"/>
      <c r="E851" s="93"/>
      <c r="F851"/>
      <c r="G851" s="78"/>
      <c r="H851" s="93"/>
      <c r="I851" s="78" t="s">
        <v>907</v>
      </c>
      <c r="J851">
        <v>1170</v>
      </c>
      <c r="K851" s="32">
        <v>1</v>
      </c>
    </row>
    <row r="852" spans="1:11" x14ac:dyDescent="0.25">
      <c r="A852" s="78"/>
      <c r="B852" s="78"/>
      <c r="D852" s="78"/>
      <c r="E852" s="93"/>
      <c r="F852"/>
      <c r="G852" s="78"/>
      <c r="H852" s="93"/>
      <c r="I852" s="78" t="s">
        <v>904</v>
      </c>
      <c r="J852">
        <v>1170</v>
      </c>
      <c r="K852" s="32">
        <v>1</v>
      </c>
    </row>
    <row r="853" spans="1:11" x14ac:dyDescent="0.25">
      <c r="A853" s="78"/>
      <c r="B853" s="78"/>
      <c r="D853" s="78"/>
      <c r="E853" s="93"/>
      <c r="F853"/>
      <c r="G853" s="78"/>
      <c r="H853" s="93"/>
      <c r="I853" s="78" t="s">
        <v>903</v>
      </c>
      <c r="J853">
        <v>1170</v>
      </c>
      <c r="K853" s="32">
        <v>1</v>
      </c>
    </row>
    <row r="854" spans="1:11" x14ac:dyDescent="0.25">
      <c r="A854" s="78"/>
      <c r="B854" s="78"/>
      <c r="D854" s="78"/>
      <c r="E854" s="93"/>
      <c r="F854"/>
      <c r="G854" s="78"/>
      <c r="H854" s="93"/>
      <c r="I854" s="78" t="s">
        <v>1060</v>
      </c>
      <c r="J854">
        <v>1170</v>
      </c>
      <c r="K854" s="32">
        <v>1</v>
      </c>
    </row>
    <row r="855" spans="1:11" x14ac:dyDescent="0.25">
      <c r="A855" s="78"/>
      <c r="B855" s="78"/>
      <c r="D855" s="78"/>
      <c r="E855" s="93"/>
      <c r="F855"/>
      <c r="G855" s="78"/>
      <c r="H855" s="93"/>
      <c r="I855" s="78" t="s">
        <v>891</v>
      </c>
      <c r="J855">
        <v>1170</v>
      </c>
      <c r="K855" s="32">
        <v>1</v>
      </c>
    </row>
    <row r="856" spans="1:11" x14ac:dyDescent="0.25">
      <c r="A856" s="78"/>
      <c r="B856" s="78"/>
      <c r="D856" s="78"/>
      <c r="E856" s="93"/>
      <c r="F856"/>
      <c r="G856" s="78"/>
      <c r="H856" s="93"/>
      <c r="I856" s="78" t="s">
        <v>1061</v>
      </c>
      <c r="J856">
        <v>1170</v>
      </c>
      <c r="K856" s="32">
        <v>1</v>
      </c>
    </row>
    <row r="857" spans="1:11" x14ac:dyDescent="0.25">
      <c r="A857" s="78"/>
      <c r="B857" s="78"/>
      <c r="D857" s="78"/>
      <c r="E857" s="93"/>
      <c r="F857"/>
      <c r="G857" s="78"/>
      <c r="H857" s="93"/>
      <c r="I857" s="78" t="s">
        <v>902</v>
      </c>
      <c r="J857">
        <v>1170</v>
      </c>
      <c r="K857" s="32">
        <v>1</v>
      </c>
    </row>
    <row r="858" spans="1:11" x14ac:dyDescent="0.25">
      <c r="A858" s="78"/>
      <c r="B858" s="78"/>
      <c r="D858" s="78"/>
      <c r="E858" s="93"/>
      <c r="F858"/>
      <c r="G858" s="78"/>
      <c r="H858" s="93"/>
      <c r="I858" s="78" t="s">
        <v>1622</v>
      </c>
      <c r="J858">
        <v>1170</v>
      </c>
      <c r="K858" s="32">
        <v>1</v>
      </c>
    </row>
    <row r="859" spans="1:11" x14ac:dyDescent="0.25">
      <c r="A859" s="78"/>
      <c r="B859" s="78"/>
      <c r="D859" s="78"/>
      <c r="E859" s="93"/>
      <c r="F859"/>
      <c r="G859" s="78"/>
      <c r="H859" s="93"/>
      <c r="I859" s="78" t="s">
        <v>1035</v>
      </c>
      <c r="J859">
        <v>1170</v>
      </c>
      <c r="K859" s="32">
        <v>1</v>
      </c>
    </row>
    <row r="860" spans="1:11" x14ac:dyDescent="0.25">
      <c r="A860" s="78"/>
      <c r="B860" s="78"/>
      <c r="D860" s="78"/>
      <c r="E860" s="93"/>
      <c r="F860"/>
      <c r="G860" s="78"/>
      <c r="H860" s="93"/>
      <c r="I860" t="s">
        <v>965</v>
      </c>
      <c r="J860">
        <v>1170</v>
      </c>
      <c r="K860" s="32">
        <v>1</v>
      </c>
    </row>
    <row r="861" spans="1:11" x14ac:dyDescent="0.25">
      <c r="A861" s="78"/>
      <c r="B861" s="78"/>
      <c r="D861" s="78"/>
      <c r="E861" s="93"/>
      <c r="F861"/>
      <c r="G861" s="78"/>
      <c r="H861" s="93"/>
      <c r="I861" s="78" t="s">
        <v>1062</v>
      </c>
      <c r="J861">
        <v>1170</v>
      </c>
      <c r="K861" s="32">
        <v>1</v>
      </c>
    </row>
    <row r="862" spans="1:11" x14ac:dyDescent="0.25">
      <c r="A862" s="78"/>
      <c r="B862" s="78"/>
      <c r="D862" s="78"/>
      <c r="E862" s="93"/>
      <c r="F862"/>
      <c r="G862" s="78"/>
      <c r="H862" s="93"/>
      <c r="I862" s="78" t="s">
        <v>1063</v>
      </c>
      <c r="J862">
        <v>1170</v>
      </c>
      <c r="K862" s="32">
        <v>1</v>
      </c>
    </row>
    <row r="863" spans="1:11" x14ac:dyDescent="0.25">
      <c r="A863" s="78"/>
      <c r="B863" s="78"/>
      <c r="D863" s="78"/>
      <c r="E863" s="93"/>
      <c r="F863"/>
      <c r="G863" s="78"/>
      <c r="H863" s="93"/>
      <c r="I863" t="s">
        <v>1675</v>
      </c>
      <c r="J863">
        <v>1170</v>
      </c>
      <c r="K863" s="32">
        <v>1</v>
      </c>
    </row>
    <row r="864" spans="1:11" x14ac:dyDescent="0.25">
      <c r="A864" s="78"/>
      <c r="B864" s="78"/>
      <c r="D864" s="78"/>
      <c r="E864" s="93"/>
      <c r="F864"/>
      <c r="G864" s="78"/>
      <c r="H864" s="93"/>
      <c r="I864" t="s">
        <v>1676</v>
      </c>
      <c r="J864">
        <v>1170</v>
      </c>
      <c r="K864" s="32">
        <v>1</v>
      </c>
    </row>
    <row r="865" spans="1:11" x14ac:dyDescent="0.25">
      <c r="A865" s="78"/>
      <c r="B865" s="78"/>
      <c r="D865" s="78"/>
      <c r="E865" s="93"/>
      <c r="F865"/>
      <c r="G865" s="78"/>
      <c r="H865" s="93"/>
      <c r="I865" t="s">
        <v>1835</v>
      </c>
      <c r="J865">
        <v>1170</v>
      </c>
      <c r="K865" s="32">
        <v>1</v>
      </c>
    </row>
    <row r="866" spans="1:11" x14ac:dyDescent="0.25">
      <c r="A866" s="78"/>
      <c r="B866" s="78"/>
      <c r="D866" s="78"/>
      <c r="E866" s="93"/>
      <c r="F866"/>
      <c r="G866" s="78"/>
      <c r="H866" s="93"/>
      <c r="I866" t="s">
        <v>1836</v>
      </c>
      <c r="J866">
        <v>1170</v>
      </c>
      <c r="K866" s="32">
        <v>1</v>
      </c>
    </row>
    <row r="867" spans="1:11" x14ac:dyDescent="0.25">
      <c r="A867" s="78"/>
      <c r="B867" s="78"/>
      <c r="D867" s="78"/>
      <c r="E867" s="93"/>
      <c r="F867"/>
      <c r="G867" t="s">
        <v>1768</v>
      </c>
      <c r="K867" s="32">
        <v>24</v>
      </c>
    </row>
    <row r="868" spans="1:11" x14ac:dyDescent="0.25">
      <c r="A868" s="78"/>
      <c r="B868" s="78"/>
      <c r="D868" s="78"/>
      <c r="E868" s="78" t="s">
        <v>11</v>
      </c>
      <c r="F868" t="s">
        <v>794</v>
      </c>
      <c r="G868" s="78" t="s">
        <v>916</v>
      </c>
      <c r="H868" t="s">
        <v>42</v>
      </c>
      <c r="I868" t="s">
        <v>299</v>
      </c>
      <c r="J868">
        <v>1170</v>
      </c>
      <c r="K868" s="32">
        <v>1</v>
      </c>
    </row>
    <row r="869" spans="1:11" x14ac:dyDescent="0.25">
      <c r="A869" s="78"/>
      <c r="B869" s="78"/>
      <c r="D869" s="78"/>
      <c r="E869" s="78"/>
      <c r="F869"/>
      <c r="G869" t="s">
        <v>1769</v>
      </c>
      <c r="K869" s="32">
        <v>1</v>
      </c>
    </row>
    <row r="870" spans="1:11" x14ac:dyDescent="0.25">
      <c r="A870" s="78"/>
      <c r="B870" s="78"/>
      <c r="D870" s="78"/>
      <c r="E870" s="78" t="s">
        <v>487</v>
      </c>
      <c r="F870" t="s">
        <v>794</v>
      </c>
      <c r="G870" t="s">
        <v>915</v>
      </c>
      <c r="H870" t="s">
        <v>794</v>
      </c>
      <c r="I870" s="78" t="s">
        <v>321</v>
      </c>
      <c r="J870">
        <v>1170</v>
      </c>
      <c r="K870" s="32">
        <v>1</v>
      </c>
    </row>
    <row r="871" spans="1:11" x14ac:dyDescent="0.25">
      <c r="A871" s="78"/>
      <c r="B871" s="78"/>
      <c r="D871" s="78"/>
      <c r="E871" s="78"/>
      <c r="F871"/>
      <c r="I871" s="78" t="s">
        <v>556</v>
      </c>
      <c r="J871">
        <v>1170</v>
      </c>
      <c r="K871" s="32">
        <v>1</v>
      </c>
    </row>
    <row r="872" spans="1:11" x14ac:dyDescent="0.25">
      <c r="A872" s="78"/>
      <c r="B872" s="78"/>
      <c r="D872" s="78"/>
      <c r="E872" s="78"/>
      <c r="F872"/>
      <c r="I872" s="78" t="s">
        <v>322</v>
      </c>
      <c r="J872">
        <v>1170</v>
      </c>
      <c r="K872" s="32">
        <v>1</v>
      </c>
    </row>
    <row r="873" spans="1:11" x14ac:dyDescent="0.25">
      <c r="A873" s="78"/>
      <c r="B873" s="78"/>
      <c r="D873" s="78"/>
      <c r="E873" s="78"/>
      <c r="F873"/>
      <c r="I873" s="78" t="s">
        <v>323</v>
      </c>
      <c r="J873">
        <v>1170</v>
      </c>
      <c r="K873" s="32">
        <v>1</v>
      </c>
    </row>
    <row r="874" spans="1:11" x14ac:dyDescent="0.25">
      <c r="A874" s="78"/>
      <c r="B874" s="78"/>
      <c r="D874" s="78"/>
      <c r="E874" s="78"/>
      <c r="F874"/>
      <c r="I874" s="78" t="s">
        <v>324</v>
      </c>
      <c r="J874">
        <v>1170</v>
      </c>
      <c r="K874" s="32">
        <v>1</v>
      </c>
    </row>
    <row r="875" spans="1:11" x14ac:dyDescent="0.25">
      <c r="A875" s="78"/>
      <c r="B875" s="78"/>
      <c r="D875" s="78"/>
      <c r="E875" s="78"/>
      <c r="F875"/>
      <c r="I875" s="78" t="s">
        <v>325</v>
      </c>
      <c r="J875">
        <v>1170</v>
      </c>
      <c r="K875" s="32">
        <v>1</v>
      </c>
    </row>
    <row r="876" spans="1:11" x14ac:dyDescent="0.25">
      <c r="A876" s="78"/>
      <c r="B876" s="78"/>
      <c r="D876" s="78"/>
      <c r="E876" s="78"/>
      <c r="F876"/>
      <c r="I876" s="78" t="s">
        <v>1118</v>
      </c>
      <c r="J876">
        <v>1170</v>
      </c>
      <c r="K876" s="32">
        <v>1</v>
      </c>
    </row>
    <row r="877" spans="1:11" x14ac:dyDescent="0.25">
      <c r="A877" s="78"/>
      <c r="B877" s="78"/>
      <c r="D877" s="78"/>
      <c r="E877" s="78"/>
      <c r="F877"/>
      <c r="I877" s="78" t="s">
        <v>1057</v>
      </c>
      <c r="J877">
        <v>1170</v>
      </c>
      <c r="K877" s="32">
        <v>1</v>
      </c>
    </row>
    <row r="878" spans="1:11" x14ac:dyDescent="0.25">
      <c r="A878" s="78"/>
      <c r="B878" s="78"/>
      <c r="D878" s="78"/>
      <c r="E878" s="78"/>
      <c r="F878"/>
      <c r="I878" t="s">
        <v>1121</v>
      </c>
      <c r="J878">
        <v>1170</v>
      </c>
      <c r="K878" s="32">
        <v>1</v>
      </c>
    </row>
    <row r="879" spans="1:11" x14ac:dyDescent="0.25">
      <c r="A879" s="78"/>
      <c r="B879" s="78"/>
      <c r="D879" s="78"/>
      <c r="E879" s="78"/>
      <c r="F879"/>
      <c r="I879" s="78" t="s">
        <v>326</v>
      </c>
      <c r="J879">
        <v>1170</v>
      </c>
      <c r="K879" s="32">
        <v>1</v>
      </c>
    </row>
    <row r="880" spans="1:11" x14ac:dyDescent="0.25">
      <c r="A880" s="78"/>
      <c r="B880" s="78"/>
      <c r="D880" s="78"/>
      <c r="E880" s="78"/>
      <c r="F880"/>
      <c r="I880" s="78" t="s">
        <v>327</v>
      </c>
      <c r="J880">
        <v>1170</v>
      </c>
      <c r="K880" s="32">
        <v>1</v>
      </c>
    </row>
    <row r="881" spans="1:11" x14ac:dyDescent="0.25">
      <c r="A881" s="78"/>
      <c r="B881" s="78"/>
      <c r="D881" s="78"/>
      <c r="E881" s="78"/>
      <c r="F881"/>
      <c r="I881" t="s">
        <v>1860</v>
      </c>
      <c r="J881">
        <v>1170</v>
      </c>
      <c r="K881" s="32">
        <v>1</v>
      </c>
    </row>
    <row r="882" spans="1:11" x14ac:dyDescent="0.25">
      <c r="A882" s="78"/>
      <c r="B882" s="78"/>
      <c r="D882" s="78"/>
      <c r="E882" s="78"/>
      <c r="F882"/>
      <c r="G882" t="s">
        <v>1768</v>
      </c>
      <c r="K882" s="32">
        <v>12</v>
      </c>
    </row>
    <row r="883" spans="1:11" x14ac:dyDescent="0.25">
      <c r="A883" s="78"/>
      <c r="B883" s="78"/>
      <c r="D883" s="78"/>
      <c r="E883" s="78"/>
      <c r="F883"/>
      <c r="G883" t="s">
        <v>916</v>
      </c>
      <c r="H883" t="s">
        <v>42</v>
      </c>
      <c r="I883" t="s">
        <v>319</v>
      </c>
      <c r="J883">
        <v>1170</v>
      </c>
      <c r="K883" s="32">
        <v>1</v>
      </c>
    </row>
    <row r="884" spans="1:11" x14ac:dyDescent="0.25">
      <c r="A884" s="78"/>
      <c r="B884" s="78"/>
      <c r="D884" s="78"/>
      <c r="E884" s="78"/>
      <c r="F884"/>
      <c r="H884" t="s">
        <v>17</v>
      </c>
      <c r="I884" t="s">
        <v>318</v>
      </c>
      <c r="J884">
        <v>1170</v>
      </c>
      <c r="K884" s="32">
        <v>1</v>
      </c>
    </row>
    <row r="885" spans="1:11" x14ac:dyDescent="0.25">
      <c r="A885" s="78"/>
      <c r="B885" s="78"/>
      <c r="D885" s="78"/>
      <c r="E885" s="78"/>
      <c r="F885"/>
      <c r="I885" t="s">
        <v>320</v>
      </c>
      <c r="J885">
        <v>1170</v>
      </c>
      <c r="K885" s="32">
        <v>1</v>
      </c>
    </row>
    <row r="886" spans="1:11" x14ac:dyDescent="0.25">
      <c r="A886" s="78"/>
      <c r="B886" s="78"/>
      <c r="D886" s="78"/>
      <c r="E886" s="78"/>
      <c r="F886"/>
      <c r="H886" t="s">
        <v>24</v>
      </c>
      <c r="I886" t="s">
        <v>769</v>
      </c>
      <c r="J886">
        <v>1170</v>
      </c>
      <c r="K886" s="32">
        <v>1</v>
      </c>
    </row>
    <row r="887" spans="1:11" x14ac:dyDescent="0.25">
      <c r="A887" s="78"/>
      <c r="B887" s="78"/>
      <c r="D887" s="78"/>
      <c r="E887" s="78"/>
      <c r="F887"/>
      <c r="G887" t="s">
        <v>1769</v>
      </c>
      <c r="K887" s="32">
        <v>4</v>
      </c>
    </row>
    <row r="888" spans="1:11" x14ac:dyDescent="0.25">
      <c r="A888" s="78"/>
      <c r="B888" s="78"/>
      <c r="D888" s="78"/>
      <c r="E888" s="78" t="s">
        <v>488</v>
      </c>
      <c r="F888" t="s">
        <v>794</v>
      </c>
      <c r="G888" s="78" t="s">
        <v>915</v>
      </c>
      <c r="H888" s="78" t="s">
        <v>794</v>
      </c>
      <c r="I888" s="78" t="s">
        <v>328</v>
      </c>
      <c r="J888">
        <v>1170</v>
      </c>
      <c r="K888" s="32">
        <v>1</v>
      </c>
    </row>
    <row r="889" spans="1:11" x14ac:dyDescent="0.25">
      <c r="A889" s="78"/>
      <c r="B889" s="78"/>
      <c r="D889" s="78"/>
      <c r="E889" s="78"/>
      <c r="F889"/>
      <c r="G889" s="78"/>
      <c r="H889" s="78"/>
      <c r="I889" s="78" t="s">
        <v>329</v>
      </c>
      <c r="J889">
        <v>1170</v>
      </c>
      <c r="K889" s="32">
        <v>1</v>
      </c>
    </row>
    <row r="890" spans="1:11" x14ac:dyDescent="0.25">
      <c r="A890" s="78"/>
      <c r="B890" s="78"/>
      <c r="D890" s="78"/>
      <c r="E890" s="78"/>
      <c r="F890"/>
      <c r="G890" s="78"/>
      <c r="H890" s="78"/>
      <c r="I890" s="78" t="s">
        <v>330</v>
      </c>
      <c r="J890">
        <v>1170</v>
      </c>
      <c r="K890" s="32">
        <v>1</v>
      </c>
    </row>
    <row r="891" spans="1:11" x14ac:dyDescent="0.25">
      <c r="A891" s="78"/>
      <c r="B891" s="78"/>
      <c r="D891" s="78"/>
      <c r="E891" s="78"/>
      <c r="F891"/>
      <c r="G891" s="78"/>
      <c r="H891" s="78"/>
      <c r="I891" s="78" t="s">
        <v>331</v>
      </c>
      <c r="J891">
        <v>1170</v>
      </c>
      <c r="K891" s="32">
        <v>1</v>
      </c>
    </row>
    <row r="892" spans="1:11" x14ac:dyDescent="0.25">
      <c r="A892" s="78"/>
      <c r="B892" s="78"/>
      <c r="D892" s="78"/>
      <c r="E892" s="78"/>
      <c r="F892"/>
      <c r="G892" t="s">
        <v>1768</v>
      </c>
      <c r="K892" s="32">
        <v>4</v>
      </c>
    </row>
    <row r="893" spans="1:11" x14ac:dyDescent="0.25">
      <c r="A893" s="78"/>
      <c r="B893" s="78"/>
      <c r="D893" s="78"/>
      <c r="E893" s="78" t="s">
        <v>489</v>
      </c>
      <c r="F893" t="s">
        <v>794</v>
      </c>
      <c r="G893" t="s">
        <v>915</v>
      </c>
      <c r="H893" t="s">
        <v>794</v>
      </c>
      <c r="I893" s="78" t="s">
        <v>351</v>
      </c>
      <c r="J893">
        <v>1170</v>
      </c>
      <c r="K893" s="32">
        <v>1</v>
      </c>
    </row>
    <row r="894" spans="1:11" x14ac:dyDescent="0.25">
      <c r="A894" s="78"/>
      <c r="B894" s="78"/>
      <c r="D894" s="78"/>
      <c r="E894" s="78"/>
      <c r="F894"/>
      <c r="I894" s="78" t="s">
        <v>574</v>
      </c>
      <c r="J894">
        <v>1170</v>
      </c>
      <c r="K894" s="32">
        <v>1</v>
      </c>
    </row>
    <row r="895" spans="1:11" x14ac:dyDescent="0.25">
      <c r="A895" s="78"/>
      <c r="B895" s="78"/>
      <c r="D895" s="78"/>
      <c r="E895" s="78"/>
      <c r="F895"/>
      <c r="I895" s="78" t="s">
        <v>352</v>
      </c>
      <c r="J895">
        <v>1170</v>
      </c>
      <c r="K895" s="32">
        <v>1</v>
      </c>
    </row>
    <row r="896" spans="1:11" x14ac:dyDescent="0.25">
      <c r="A896" s="78"/>
      <c r="B896" s="78"/>
      <c r="D896" s="78"/>
      <c r="E896" s="78"/>
      <c r="F896"/>
      <c r="I896" s="78" t="s">
        <v>353</v>
      </c>
      <c r="J896">
        <v>1170</v>
      </c>
      <c r="K896" s="32">
        <v>1</v>
      </c>
    </row>
    <row r="897" spans="1:11" x14ac:dyDescent="0.25">
      <c r="A897" s="78"/>
      <c r="B897" s="78"/>
      <c r="D897" s="78"/>
      <c r="E897" s="78"/>
      <c r="F897"/>
      <c r="I897" s="78" t="s">
        <v>354</v>
      </c>
      <c r="J897">
        <v>1170</v>
      </c>
      <c r="K897" s="32">
        <v>1</v>
      </c>
    </row>
    <row r="898" spans="1:11" x14ac:dyDescent="0.25">
      <c r="A898" s="78"/>
      <c r="B898" s="78"/>
      <c r="D898" s="78"/>
      <c r="E898" s="78"/>
      <c r="F898"/>
      <c r="I898" s="78" t="s">
        <v>355</v>
      </c>
      <c r="J898">
        <v>1170</v>
      </c>
      <c r="K898" s="32">
        <v>1</v>
      </c>
    </row>
    <row r="899" spans="1:11" x14ac:dyDescent="0.25">
      <c r="A899" s="78"/>
      <c r="B899" s="78"/>
      <c r="D899" s="78"/>
      <c r="E899" s="78"/>
      <c r="F899"/>
      <c r="I899" s="78" t="s">
        <v>356</v>
      </c>
      <c r="J899">
        <v>1170</v>
      </c>
      <c r="K899" s="32">
        <v>1</v>
      </c>
    </row>
    <row r="900" spans="1:11" x14ac:dyDescent="0.25">
      <c r="A900" s="78"/>
      <c r="B900" s="78"/>
      <c r="D900" s="78"/>
      <c r="E900" s="78"/>
      <c r="F900"/>
      <c r="I900" s="78" t="s">
        <v>357</v>
      </c>
      <c r="J900">
        <v>1170</v>
      </c>
      <c r="K900" s="32">
        <v>1</v>
      </c>
    </row>
    <row r="901" spans="1:11" x14ac:dyDescent="0.25">
      <c r="A901" s="78"/>
      <c r="B901" s="78"/>
      <c r="D901" s="78"/>
      <c r="E901" s="78"/>
      <c r="F901"/>
      <c r="I901" s="78" t="s">
        <v>358</v>
      </c>
      <c r="J901">
        <v>1170</v>
      </c>
      <c r="K901" s="32">
        <v>1</v>
      </c>
    </row>
    <row r="902" spans="1:11" x14ac:dyDescent="0.25">
      <c r="A902" s="78"/>
      <c r="B902" s="78"/>
      <c r="D902" s="78"/>
      <c r="E902" s="78"/>
      <c r="F902"/>
      <c r="I902" s="78" t="s">
        <v>359</v>
      </c>
      <c r="J902">
        <v>1170</v>
      </c>
      <c r="K902" s="32">
        <v>1</v>
      </c>
    </row>
    <row r="903" spans="1:11" x14ac:dyDescent="0.25">
      <c r="A903" s="78"/>
      <c r="B903" s="78"/>
      <c r="D903" s="78"/>
      <c r="E903" s="78"/>
      <c r="F903"/>
      <c r="I903" s="78" t="s">
        <v>1658</v>
      </c>
      <c r="J903">
        <v>1170</v>
      </c>
      <c r="K903" s="32">
        <v>1</v>
      </c>
    </row>
    <row r="904" spans="1:11" x14ac:dyDescent="0.25">
      <c r="A904" s="78"/>
      <c r="B904" s="78"/>
      <c r="D904" s="78"/>
      <c r="E904" s="78"/>
      <c r="F904"/>
      <c r="I904" s="78" t="s">
        <v>360</v>
      </c>
      <c r="J904">
        <v>1170</v>
      </c>
      <c r="K904" s="32">
        <v>1</v>
      </c>
    </row>
    <row r="905" spans="1:11" x14ac:dyDescent="0.25">
      <c r="A905" s="78"/>
      <c r="B905" s="78"/>
      <c r="D905" s="78"/>
      <c r="E905" s="78"/>
      <c r="F905"/>
      <c r="I905" s="78" t="s">
        <v>643</v>
      </c>
      <c r="J905">
        <v>1170</v>
      </c>
      <c r="K905" s="32">
        <v>1</v>
      </c>
    </row>
    <row r="906" spans="1:11" x14ac:dyDescent="0.25">
      <c r="A906" s="78"/>
      <c r="B906" s="78"/>
      <c r="D906" s="78"/>
      <c r="E906" s="78"/>
      <c r="F906"/>
      <c r="I906" s="78" t="s">
        <v>361</v>
      </c>
      <c r="J906">
        <v>1170</v>
      </c>
      <c r="K906" s="32">
        <v>1</v>
      </c>
    </row>
    <row r="907" spans="1:11" x14ac:dyDescent="0.25">
      <c r="A907" s="78"/>
      <c r="B907" s="78"/>
      <c r="D907" s="78"/>
      <c r="E907" s="78"/>
      <c r="F907"/>
      <c r="I907" s="78" t="s">
        <v>362</v>
      </c>
      <c r="J907">
        <v>1170</v>
      </c>
      <c r="K907" s="32">
        <v>1</v>
      </c>
    </row>
    <row r="908" spans="1:11" x14ac:dyDescent="0.25">
      <c r="A908" s="78"/>
      <c r="B908" s="78"/>
      <c r="D908" s="78"/>
      <c r="E908" s="78"/>
      <c r="F908"/>
      <c r="I908" s="78" t="s">
        <v>363</v>
      </c>
      <c r="J908">
        <v>1170</v>
      </c>
      <c r="K908" s="32">
        <v>1</v>
      </c>
    </row>
    <row r="909" spans="1:11" x14ac:dyDescent="0.25">
      <c r="A909" s="78"/>
      <c r="B909" s="78"/>
      <c r="D909" s="78"/>
      <c r="E909" s="78"/>
      <c r="F909"/>
      <c r="I909" s="78" t="s">
        <v>364</v>
      </c>
      <c r="J909">
        <v>1170</v>
      </c>
      <c r="K909" s="32">
        <v>1</v>
      </c>
    </row>
    <row r="910" spans="1:11" x14ac:dyDescent="0.25">
      <c r="A910" s="78"/>
      <c r="B910" s="78"/>
      <c r="D910" s="78"/>
      <c r="E910" s="78"/>
      <c r="F910"/>
      <c r="I910" s="78" t="s">
        <v>365</v>
      </c>
      <c r="J910">
        <v>1170</v>
      </c>
      <c r="K910" s="32">
        <v>1</v>
      </c>
    </row>
    <row r="911" spans="1:11" x14ac:dyDescent="0.25">
      <c r="A911" s="78"/>
      <c r="B911" s="78"/>
      <c r="D911" s="78"/>
      <c r="E911" s="78"/>
      <c r="F911"/>
      <c r="I911" s="78" t="s">
        <v>366</v>
      </c>
      <c r="J911">
        <v>1170</v>
      </c>
      <c r="K911" s="32">
        <v>1</v>
      </c>
    </row>
    <row r="912" spans="1:11" x14ac:dyDescent="0.25">
      <c r="A912" s="78"/>
      <c r="B912" s="78"/>
      <c r="D912" s="78"/>
      <c r="E912" s="78"/>
      <c r="F912"/>
      <c r="I912" s="78" t="s">
        <v>367</v>
      </c>
      <c r="J912">
        <v>1170</v>
      </c>
      <c r="K912" s="32">
        <v>1</v>
      </c>
    </row>
    <row r="913" spans="1:11" x14ac:dyDescent="0.25">
      <c r="A913" s="78"/>
      <c r="B913" s="78"/>
      <c r="D913" s="78"/>
      <c r="E913" s="78"/>
      <c r="F913"/>
      <c r="I913" s="78" t="s">
        <v>369</v>
      </c>
      <c r="J913">
        <v>1170</v>
      </c>
      <c r="K913" s="32">
        <v>1</v>
      </c>
    </row>
    <row r="914" spans="1:11" x14ac:dyDescent="0.25">
      <c r="A914" s="78"/>
      <c r="B914" s="78"/>
      <c r="D914" s="78"/>
      <c r="E914" s="78"/>
      <c r="F914"/>
      <c r="I914" s="78" t="s">
        <v>368</v>
      </c>
      <c r="J914">
        <v>1170</v>
      </c>
      <c r="K914" s="32">
        <v>1</v>
      </c>
    </row>
    <row r="915" spans="1:11" x14ac:dyDescent="0.25">
      <c r="A915" s="78"/>
      <c r="B915" s="78"/>
      <c r="D915" s="78"/>
      <c r="E915" s="78"/>
      <c r="F915"/>
      <c r="I915" s="78" t="s">
        <v>370</v>
      </c>
      <c r="J915">
        <v>1170</v>
      </c>
      <c r="K915" s="32">
        <v>1</v>
      </c>
    </row>
    <row r="916" spans="1:11" x14ac:dyDescent="0.25">
      <c r="A916" s="78"/>
      <c r="B916" s="78"/>
      <c r="D916" s="78"/>
      <c r="E916" s="78"/>
      <c r="F916"/>
      <c r="I916" s="78" t="s">
        <v>371</v>
      </c>
      <c r="J916">
        <v>1170</v>
      </c>
      <c r="K916" s="32">
        <v>1</v>
      </c>
    </row>
    <row r="917" spans="1:11" x14ac:dyDescent="0.25">
      <c r="A917" s="78"/>
      <c r="B917" s="78"/>
      <c r="D917" s="78"/>
      <c r="E917" s="78"/>
      <c r="F917"/>
      <c r="I917" t="s">
        <v>1763</v>
      </c>
      <c r="J917">
        <v>1170</v>
      </c>
      <c r="K917" s="32">
        <v>1</v>
      </c>
    </row>
    <row r="918" spans="1:11" x14ac:dyDescent="0.25">
      <c r="A918" s="78"/>
      <c r="B918" s="78"/>
      <c r="D918" s="78"/>
      <c r="E918" s="78"/>
      <c r="F918"/>
      <c r="G918" t="s">
        <v>1768</v>
      </c>
      <c r="K918" s="32">
        <v>25</v>
      </c>
    </row>
    <row r="919" spans="1:11" x14ac:dyDescent="0.25">
      <c r="A919" s="78"/>
      <c r="B919" s="78"/>
      <c r="D919" s="78"/>
      <c r="E919" s="78"/>
      <c r="F919"/>
      <c r="G919" t="s">
        <v>916</v>
      </c>
      <c r="H919" t="s">
        <v>42</v>
      </c>
      <c r="I919" t="s">
        <v>332</v>
      </c>
      <c r="J919">
        <v>1170</v>
      </c>
      <c r="K919" s="32">
        <v>1</v>
      </c>
    </row>
    <row r="920" spans="1:11" x14ac:dyDescent="0.25">
      <c r="A920" s="78"/>
      <c r="B920" s="78"/>
      <c r="D920" s="78"/>
      <c r="E920" s="78"/>
      <c r="F920"/>
      <c r="I920" t="s">
        <v>350</v>
      </c>
      <c r="J920">
        <v>1170</v>
      </c>
      <c r="K920" s="32">
        <v>1</v>
      </c>
    </row>
    <row r="921" spans="1:11" x14ac:dyDescent="0.25">
      <c r="A921" s="78"/>
      <c r="B921" s="78"/>
      <c r="D921" s="78"/>
      <c r="E921" s="78"/>
      <c r="F921"/>
      <c r="H921" t="s">
        <v>24</v>
      </c>
      <c r="I921" t="s">
        <v>552</v>
      </c>
      <c r="J921">
        <v>1170</v>
      </c>
      <c r="K921" s="32">
        <v>1</v>
      </c>
    </row>
    <row r="922" spans="1:11" x14ac:dyDescent="0.25">
      <c r="A922" s="78"/>
      <c r="B922" s="78"/>
      <c r="D922" s="78"/>
      <c r="E922" s="78"/>
      <c r="F922"/>
      <c r="I922" t="s">
        <v>553</v>
      </c>
      <c r="J922">
        <v>1170</v>
      </c>
      <c r="K922" s="32">
        <v>1</v>
      </c>
    </row>
    <row r="923" spans="1:11" x14ac:dyDescent="0.25">
      <c r="A923" s="78"/>
      <c r="B923" s="78"/>
      <c r="D923" s="78"/>
      <c r="E923" s="78"/>
      <c r="F923"/>
      <c r="I923" t="s">
        <v>653</v>
      </c>
      <c r="J923">
        <v>1170</v>
      </c>
      <c r="K923" s="32">
        <v>1</v>
      </c>
    </row>
    <row r="924" spans="1:11" x14ac:dyDescent="0.25">
      <c r="A924" s="78"/>
      <c r="B924" s="78"/>
      <c r="D924" s="78"/>
      <c r="E924" s="78"/>
      <c r="F924"/>
      <c r="I924" t="s">
        <v>655</v>
      </c>
      <c r="J924">
        <v>1170</v>
      </c>
      <c r="K924" s="32">
        <v>1</v>
      </c>
    </row>
    <row r="925" spans="1:11" x14ac:dyDescent="0.25">
      <c r="A925" s="78"/>
      <c r="B925" s="78"/>
      <c r="D925" s="78"/>
      <c r="E925" s="78"/>
      <c r="F925"/>
      <c r="I925" t="s">
        <v>347</v>
      </c>
      <c r="J925">
        <v>1170</v>
      </c>
      <c r="K925" s="32">
        <v>1</v>
      </c>
    </row>
    <row r="926" spans="1:11" x14ac:dyDescent="0.25">
      <c r="A926" s="78"/>
      <c r="B926" s="78"/>
      <c r="D926" s="78"/>
      <c r="E926" s="78"/>
      <c r="F926"/>
      <c r="I926" t="s">
        <v>348</v>
      </c>
      <c r="J926">
        <v>1170</v>
      </c>
      <c r="K926" s="32">
        <v>1</v>
      </c>
    </row>
    <row r="927" spans="1:11" x14ac:dyDescent="0.25">
      <c r="A927" s="78"/>
      <c r="B927" s="78"/>
      <c r="D927" s="78"/>
      <c r="E927" s="78"/>
      <c r="F927"/>
      <c r="H927" t="s">
        <v>49</v>
      </c>
      <c r="I927" t="s">
        <v>333</v>
      </c>
      <c r="J927">
        <v>1170</v>
      </c>
      <c r="K927" s="32">
        <v>1</v>
      </c>
    </row>
    <row r="928" spans="1:11" x14ac:dyDescent="0.25">
      <c r="A928" s="78"/>
      <c r="B928" s="78"/>
      <c r="D928" s="78"/>
      <c r="E928" s="78"/>
      <c r="F928"/>
      <c r="I928" t="s">
        <v>349</v>
      </c>
      <c r="J928">
        <v>1170</v>
      </c>
      <c r="K928" s="32">
        <v>1</v>
      </c>
    </row>
    <row r="929" spans="1:11" x14ac:dyDescent="0.25">
      <c r="A929" s="78"/>
      <c r="B929" s="78"/>
      <c r="D929" s="78"/>
      <c r="E929" s="78"/>
      <c r="F929"/>
      <c r="H929" t="s">
        <v>1817</v>
      </c>
      <c r="I929" t="s">
        <v>346</v>
      </c>
      <c r="J929">
        <v>1170</v>
      </c>
      <c r="K929" s="32">
        <v>1</v>
      </c>
    </row>
    <row r="930" spans="1:11" x14ac:dyDescent="0.25">
      <c r="A930" s="78"/>
      <c r="B930" s="78"/>
      <c r="D930" s="78"/>
      <c r="E930" s="78"/>
      <c r="F930"/>
      <c r="I930" t="s">
        <v>345</v>
      </c>
      <c r="J930">
        <v>1170</v>
      </c>
      <c r="K930" s="32">
        <v>1</v>
      </c>
    </row>
    <row r="931" spans="1:11" x14ac:dyDescent="0.25">
      <c r="A931" s="78"/>
      <c r="B931" s="78"/>
      <c r="D931" s="78"/>
      <c r="E931" s="78"/>
      <c r="F931"/>
      <c r="G931" t="s">
        <v>1769</v>
      </c>
      <c r="K931" s="32">
        <v>12</v>
      </c>
    </row>
    <row r="932" spans="1:11" x14ac:dyDescent="0.25">
      <c r="A932" s="78"/>
      <c r="B932" s="78"/>
      <c r="D932" s="78"/>
      <c r="E932" s="78" t="s">
        <v>490</v>
      </c>
      <c r="F932" t="s">
        <v>794</v>
      </c>
      <c r="G932" t="s">
        <v>916</v>
      </c>
      <c r="H932" t="s">
        <v>42</v>
      </c>
      <c r="I932" t="s">
        <v>334</v>
      </c>
      <c r="J932">
        <v>1170</v>
      </c>
      <c r="K932" s="32">
        <v>1</v>
      </c>
    </row>
    <row r="933" spans="1:11" x14ac:dyDescent="0.25">
      <c r="A933" s="78"/>
      <c r="B933" s="78"/>
      <c r="D933" s="78"/>
      <c r="E933" s="78"/>
      <c r="F933"/>
      <c r="I933" t="s">
        <v>335</v>
      </c>
      <c r="J933">
        <v>1170</v>
      </c>
      <c r="K933" s="32">
        <v>1</v>
      </c>
    </row>
    <row r="934" spans="1:11" x14ac:dyDescent="0.25">
      <c r="A934" s="78"/>
      <c r="B934" s="78"/>
      <c r="D934" s="78"/>
      <c r="E934" s="78"/>
      <c r="F934"/>
      <c r="I934" t="s">
        <v>336</v>
      </c>
      <c r="J934">
        <v>1170</v>
      </c>
      <c r="K934" s="32">
        <v>1</v>
      </c>
    </row>
    <row r="935" spans="1:11" x14ac:dyDescent="0.25">
      <c r="A935" s="78"/>
      <c r="B935" s="78"/>
      <c r="D935" s="78"/>
      <c r="E935" s="78"/>
      <c r="F935"/>
      <c r="I935" t="s">
        <v>338</v>
      </c>
      <c r="J935">
        <v>1170</v>
      </c>
      <c r="K935" s="32">
        <v>1</v>
      </c>
    </row>
    <row r="936" spans="1:11" x14ac:dyDescent="0.25">
      <c r="A936" s="78"/>
      <c r="B936" s="78"/>
      <c r="D936" s="78"/>
      <c r="E936" s="78"/>
      <c r="F936"/>
      <c r="H936" t="s">
        <v>1817</v>
      </c>
      <c r="I936" t="s">
        <v>337</v>
      </c>
      <c r="J936">
        <v>1170</v>
      </c>
      <c r="K936" s="32">
        <v>1</v>
      </c>
    </row>
    <row r="937" spans="1:11" x14ac:dyDescent="0.25">
      <c r="A937" s="78"/>
      <c r="B937" s="78"/>
      <c r="D937" s="78"/>
      <c r="E937" s="78"/>
      <c r="F937"/>
      <c r="G937" t="s">
        <v>1769</v>
      </c>
      <c r="K937" s="32">
        <v>5</v>
      </c>
    </row>
    <row r="938" spans="1:11" x14ac:dyDescent="0.25">
      <c r="A938" s="78"/>
      <c r="B938" s="78"/>
      <c r="D938" s="78"/>
      <c r="E938" s="78" t="s">
        <v>491</v>
      </c>
      <c r="F938" t="s">
        <v>794</v>
      </c>
      <c r="G938" t="s">
        <v>916</v>
      </c>
      <c r="H938" t="s">
        <v>42</v>
      </c>
      <c r="I938" t="s">
        <v>339</v>
      </c>
      <c r="J938">
        <v>1170</v>
      </c>
      <c r="K938" s="32">
        <v>1</v>
      </c>
    </row>
    <row r="939" spans="1:11" x14ac:dyDescent="0.25">
      <c r="A939" s="78"/>
      <c r="B939" s="78"/>
      <c r="D939" s="78"/>
      <c r="E939" s="78"/>
      <c r="F939"/>
      <c r="I939" t="s">
        <v>340</v>
      </c>
      <c r="J939">
        <v>1170</v>
      </c>
      <c r="K939" s="32">
        <v>1</v>
      </c>
    </row>
    <row r="940" spans="1:11" x14ac:dyDescent="0.25">
      <c r="A940" s="78"/>
      <c r="B940" s="78"/>
      <c r="D940" s="78"/>
      <c r="E940" s="78"/>
      <c r="F940"/>
      <c r="G940" t="s">
        <v>1769</v>
      </c>
      <c r="K940" s="32">
        <v>2</v>
      </c>
    </row>
    <row r="941" spans="1:11" x14ac:dyDescent="0.25">
      <c r="A941" s="78"/>
      <c r="B941" s="78"/>
      <c r="D941" s="78"/>
      <c r="E941" s="78" t="s">
        <v>492</v>
      </c>
      <c r="F941" t="s">
        <v>794</v>
      </c>
      <c r="G941" t="s">
        <v>916</v>
      </c>
      <c r="H941" t="s">
        <v>24</v>
      </c>
      <c r="I941" t="s">
        <v>617</v>
      </c>
      <c r="J941">
        <v>1170</v>
      </c>
      <c r="K941" s="32">
        <v>1</v>
      </c>
    </row>
    <row r="942" spans="1:11" x14ac:dyDescent="0.25">
      <c r="A942" s="78"/>
      <c r="B942" s="78"/>
      <c r="D942" s="78"/>
      <c r="E942" s="78"/>
      <c r="F942"/>
      <c r="G942" t="s">
        <v>1769</v>
      </c>
      <c r="K942" s="32">
        <v>1</v>
      </c>
    </row>
    <row r="943" spans="1:11" x14ac:dyDescent="0.25">
      <c r="A943" s="78"/>
      <c r="B943" s="78"/>
      <c r="D943" s="78"/>
      <c r="E943" s="78" t="s">
        <v>493</v>
      </c>
      <c r="F943" t="s">
        <v>794</v>
      </c>
      <c r="G943" t="s">
        <v>916</v>
      </c>
      <c r="H943" t="s">
        <v>42</v>
      </c>
      <c r="I943" t="s">
        <v>341</v>
      </c>
      <c r="J943">
        <v>1170</v>
      </c>
      <c r="K943" s="32">
        <v>1</v>
      </c>
    </row>
    <row r="944" spans="1:11" x14ac:dyDescent="0.25">
      <c r="A944" s="78"/>
      <c r="B944" s="78"/>
      <c r="D944" s="78"/>
      <c r="E944" s="78"/>
      <c r="F944"/>
      <c r="H944" t="s">
        <v>49</v>
      </c>
      <c r="I944" t="s">
        <v>342</v>
      </c>
      <c r="J944">
        <v>1170</v>
      </c>
      <c r="K944" s="32">
        <v>1</v>
      </c>
    </row>
    <row r="945" spans="1:11" x14ac:dyDescent="0.25">
      <c r="A945" s="78"/>
      <c r="B945" s="78"/>
      <c r="D945" s="78"/>
      <c r="E945" s="78"/>
      <c r="F945"/>
      <c r="G945" t="s">
        <v>1769</v>
      </c>
      <c r="K945" s="32">
        <v>2</v>
      </c>
    </row>
    <row r="946" spans="1:11" x14ac:dyDescent="0.25">
      <c r="A946" s="78"/>
      <c r="B946" s="78"/>
      <c r="D946" s="78"/>
      <c r="E946" s="78" t="s">
        <v>541</v>
      </c>
      <c r="F946" t="s">
        <v>794</v>
      </c>
      <c r="G946" s="78" t="s">
        <v>915</v>
      </c>
      <c r="H946" s="78" t="s">
        <v>794</v>
      </c>
      <c r="I946" s="78" t="s">
        <v>573</v>
      </c>
      <c r="J946">
        <v>1170</v>
      </c>
      <c r="K946" s="32">
        <v>1</v>
      </c>
    </row>
    <row r="947" spans="1:11" x14ac:dyDescent="0.25">
      <c r="A947" s="78"/>
      <c r="B947" s="78"/>
      <c r="D947" s="78"/>
      <c r="E947" s="78"/>
      <c r="F947"/>
      <c r="G947" s="78"/>
      <c r="H947" s="78"/>
      <c r="I947" s="78" t="s">
        <v>419</v>
      </c>
      <c r="J947">
        <v>1170</v>
      </c>
      <c r="K947" s="32">
        <v>1</v>
      </c>
    </row>
    <row r="948" spans="1:11" x14ac:dyDescent="0.25">
      <c r="A948" s="78"/>
      <c r="B948" s="78"/>
      <c r="D948" s="78"/>
      <c r="E948" s="78"/>
      <c r="F948"/>
      <c r="G948" s="78"/>
      <c r="H948" s="78"/>
      <c r="I948" s="78" t="s">
        <v>420</v>
      </c>
      <c r="J948">
        <v>1170</v>
      </c>
      <c r="K948" s="32">
        <v>1</v>
      </c>
    </row>
    <row r="949" spans="1:11" x14ac:dyDescent="0.25">
      <c r="A949" s="78"/>
      <c r="B949" s="78"/>
      <c r="D949" s="78"/>
      <c r="E949" s="78"/>
      <c r="F949"/>
      <c r="G949" s="78"/>
      <c r="H949" s="78"/>
      <c r="I949" s="78" t="s">
        <v>421</v>
      </c>
      <c r="J949">
        <v>1170</v>
      </c>
      <c r="K949" s="32">
        <v>1</v>
      </c>
    </row>
    <row r="950" spans="1:11" x14ac:dyDescent="0.25">
      <c r="A950" s="78"/>
      <c r="B950" s="78"/>
      <c r="D950" s="78"/>
      <c r="E950" s="78"/>
      <c r="F950"/>
      <c r="G950" s="78"/>
      <c r="H950" s="78"/>
      <c r="I950" s="78" t="s">
        <v>422</v>
      </c>
      <c r="J950">
        <v>1170</v>
      </c>
      <c r="K950" s="32">
        <v>1</v>
      </c>
    </row>
    <row r="951" spans="1:11" x14ac:dyDescent="0.25">
      <c r="A951" s="78"/>
      <c r="B951" s="78"/>
      <c r="D951" s="78"/>
      <c r="E951" s="78"/>
      <c r="F951"/>
      <c r="G951" s="78"/>
      <c r="H951" s="78"/>
      <c r="I951" s="78" t="s">
        <v>423</v>
      </c>
      <c r="J951">
        <v>1170</v>
      </c>
      <c r="K951" s="32">
        <v>1</v>
      </c>
    </row>
    <row r="952" spans="1:11" x14ac:dyDescent="0.25">
      <c r="A952" s="78"/>
      <c r="B952" s="78"/>
      <c r="D952" s="78"/>
      <c r="E952" s="78"/>
      <c r="F952"/>
      <c r="G952" s="78"/>
      <c r="H952" s="78"/>
      <c r="I952" s="78" t="s">
        <v>424</v>
      </c>
      <c r="J952">
        <v>1170</v>
      </c>
      <c r="K952" s="32">
        <v>1</v>
      </c>
    </row>
    <row r="953" spans="1:11" x14ac:dyDescent="0.25">
      <c r="A953" s="78"/>
      <c r="B953" s="78"/>
      <c r="D953" s="78"/>
      <c r="E953" s="78"/>
      <c r="F953"/>
      <c r="G953" s="78"/>
      <c r="H953" s="78"/>
      <c r="I953" s="78" t="s">
        <v>425</v>
      </c>
      <c r="J953">
        <v>1170</v>
      </c>
      <c r="K953" s="32">
        <v>1</v>
      </c>
    </row>
    <row r="954" spans="1:11" x14ac:dyDescent="0.25">
      <c r="A954" s="78"/>
      <c r="B954" s="78"/>
      <c r="D954" s="78"/>
      <c r="E954" s="78"/>
      <c r="F954"/>
      <c r="G954" s="78"/>
      <c r="H954" s="78"/>
      <c r="I954" s="78" t="s">
        <v>426</v>
      </c>
      <c r="J954">
        <v>1170</v>
      </c>
      <c r="K954" s="32">
        <v>1</v>
      </c>
    </row>
    <row r="955" spans="1:11" x14ac:dyDescent="0.25">
      <c r="A955" s="78"/>
      <c r="B955" s="78"/>
      <c r="D955" s="78"/>
      <c r="E955" s="78"/>
      <c r="F955"/>
      <c r="G955" s="78"/>
      <c r="H955" s="78"/>
      <c r="I955" s="78" t="s">
        <v>721</v>
      </c>
      <c r="J955">
        <v>1170</v>
      </c>
      <c r="K955" s="32">
        <v>1</v>
      </c>
    </row>
    <row r="956" spans="1:11" x14ac:dyDescent="0.25">
      <c r="A956" s="78"/>
      <c r="B956" s="78"/>
      <c r="D956" s="78"/>
      <c r="E956" s="78"/>
      <c r="F956"/>
      <c r="G956" s="78"/>
      <c r="H956" s="78"/>
      <c r="I956" s="78" t="s">
        <v>427</v>
      </c>
      <c r="J956">
        <v>1170</v>
      </c>
      <c r="K956" s="32">
        <v>1</v>
      </c>
    </row>
    <row r="957" spans="1:11" x14ac:dyDescent="0.25">
      <c r="A957" s="78"/>
      <c r="B957" s="78"/>
      <c r="D957" s="78"/>
      <c r="E957" s="78"/>
      <c r="F957"/>
      <c r="G957" s="78"/>
      <c r="H957" s="78"/>
      <c r="I957" s="78" t="s">
        <v>428</v>
      </c>
      <c r="J957">
        <v>1170</v>
      </c>
      <c r="K957" s="32">
        <v>1</v>
      </c>
    </row>
    <row r="958" spans="1:11" x14ac:dyDescent="0.25">
      <c r="A958" s="78"/>
      <c r="B958" s="78"/>
      <c r="D958" s="78"/>
      <c r="E958" s="78"/>
      <c r="F958"/>
      <c r="G958" s="78"/>
      <c r="H958" s="78"/>
      <c r="I958" s="78" t="s">
        <v>429</v>
      </c>
      <c r="J958">
        <v>1170</v>
      </c>
      <c r="K958" s="32">
        <v>1</v>
      </c>
    </row>
    <row r="959" spans="1:11" x14ac:dyDescent="0.25">
      <c r="A959" s="78"/>
      <c r="B959" s="78"/>
      <c r="D959" s="78"/>
      <c r="E959" s="78"/>
      <c r="F959"/>
      <c r="G959" s="78"/>
      <c r="H959" s="78"/>
      <c r="I959" s="78" t="s">
        <v>430</v>
      </c>
      <c r="J959">
        <v>1170</v>
      </c>
      <c r="K959" s="32">
        <v>1</v>
      </c>
    </row>
    <row r="960" spans="1:11" x14ac:dyDescent="0.25">
      <c r="A960" s="78"/>
      <c r="B960" s="78"/>
      <c r="D960" s="78"/>
      <c r="E960" s="78"/>
      <c r="F960"/>
      <c r="G960" s="78"/>
      <c r="H960" s="78"/>
      <c r="I960" s="78" t="s">
        <v>431</v>
      </c>
      <c r="J960">
        <v>1170</v>
      </c>
      <c r="K960" s="32">
        <v>1</v>
      </c>
    </row>
    <row r="961" spans="1:11" x14ac:dyDescent="0.25">
      <c r="A961" s="78"/>
      <c r="B961" s="78"/>
      <c r="D961" s="78"/>
      <c r="E961" s="78"/>
      <c r="F961"/>
      <c r="G961" s="78"/>
      <c r="H961" s="78"/>
      <c r="I961" s="78" t="s">
        <v>1668</v>
      </c>
      <c r="J961">
        <v>1170</v>
      </c>
      <c r="K961" s="32">
        <v>1</v>
      </c>
    </row>
    <row r="962" spans="1:11" x14ac:dyDescent="0.25">
      <c r="A962" s="78"/>
      <c r="B962" s="78"/>
      <c r="D962" s="78"/>
      <c r="E962" s="78"/>
      <c r="F962"/>
      <c r="G962" s="78"/>
      <c r="H962" s="78"/>
      <c r="I962" t="s">
        <v>1692</v>
      </c>
      <c r="J962">
        <v>1170</v>
      </c>
      <c r="K962" s="32">
        <v>1</v>
      </c>
    </row>
    <row r="963" spans="1:11" x14ac:dyDescent="0.25">
      <c r="A963" s="78"/>
      <c r="B963" s="78"/>
      <c r="D963" s="78"/>
      <c r="E963" s="78"/>
      <c r="F963"/>
      <c r="G963" t="s">
        <v>1768</v>
      </c>
      <c r="K963" s="32">
        <v>17</v>
      </c>
    </row>
    <row r="964" spans="1:11" x14ac:dyDescent="0.25">
      <c r="A964" s="78"/>
      <c r="B964" s="78"/>
      <c r="D964" s="78"/>
      <c r="E964" s="78"/>
      <c r="F964"/>
      <c r="G964" s="78" t="s">
        <v>916</v>
      </c>
      <c r="H964" t="s">
        <v>42</v>
      </c>
      <c r="I964" t="s">
        <v>409</v>
      </c>
      <c r="J964">
        <v>1170</v>
      </c>
      <c r="K964" s="32">
        <v>1</v>
      </c>
    </row>
    <row r="965" spans="1:11" x14ac:dyDescent="0.25">
      <c r="A965" s="78"/>
      <c r="B965" s="78"/>
      <c r="D965" s="78"/>
      <c r="E965" s="78"/>
      <c r="F965"/>
      <c r="G965" s="78"/>
      <c r="I965" t="s">
        <v>410</v>
      </c>
      <c r="J965">
        <v>1170</v>
      </c>
      <c r="K965" s="32">
        <v>1</v>
      </c>
    </row>
    <row r="966" spans="1:11" x14ac:dyDescent="0.25">
      <c r="A966" s="78"/>
      <c r="B966" s="78"/>
      <c r="D966" s="78"/>
      <c r="E966" s="78"/>
      <c r="F966"/>
      <c r="G966" s="78"/>
      <c r="I966" t="s">
        <v>433</v>
      </c>
      <c r="J966">
        <v>1170</v>
      </c>
      <c r="K966" s="32">
        <v>1</v>
      </c>
    </row>
    <row r="967" spans="1:11" x14ac:dyDescent="0.25">
      <c r="A967" s="78"/>
      <c r="B967" s="78"/>
      <c r="D967" s="78"/>
      <c r="E967" s="78"/>
      <c r="F967"/>
      <c r="G967" s="78"/>
      <c r="I967" t="s">
        <v>412</v>
      </c>
      <c r="J967">
        <v>1170</v>
      </c>
      <c r="K967" s="32">
        <v>1</v>
      </c>
    </row>
    <row r="968" spans="1:11" x14ac:dyDescent="0.25">
      <c r="A968" s="78"/>
      <c r="B968" s="78"/>
      <c r="D968" s="78"/>
      <c r="E968" s="78"/>
      <c r="F968"/>
      <c r="G968" s="78"/>
      <c r="I968" t="s">
        <v>416</v>
      </c>
      <c r="J968">
        <v>1170</v>
      </c>
      <c r="K968" s="32">
        <v>1</v>
      </c>
    </row>
    <row r="969" spans="1:11" x14ac:dyDescent="0.25">
      <c r="A969" s="78"/>
      <c r="B969" s="78"/>
      <c r="D969" s="78"/>
      <c r="E969" s="78"/>
      <c r="F969"/>
      <c r="G969" s="78"/>
      <c r="I969" t="s">
        <v>418</v>
      </c>
      <c r="J969">
        <v>1170</v>
      </c>
      <c r="K969" s="32">
        <v>1</v>
      </c>
    </row>
    <row r="970" spans="1:11" x14ac:dyDescent="0.25">
      <c r="A970" s="78"/>
      <c r="B970" s="78"/>
      <c r="D970" s="78"/>
      <c r="E970" s="78"/>
      <c r="F970"/>
      <c r="G970" s="78"/>
      <c r="I970" t="s">
        <v>417</v>
      </c>
      <c r="J970">
        <v>1170</v>
      </c>
      <c r="K970" s="32">
        <v>1</v>
      </c>
    </row>
    <row r="971" spans="1:11" x14ac:dyDescent="0.25">
      <c r="A971" s="78"/>
      <c r="B971" s="78"/>
      <c r="D971" s="78"/>
      <c r="E971" s="78"/>
      <c r="F971"/>
      <c r="G971" s="78"/>
      <c r="H971" t="s">
        <v>24</v>
      </c>
      <c r="I971" t="s">
        <v>411</v>
      </c>
      <c r="J971">
        <v>1170</v>
      </c>
      <c r="K971" s="32">
        <v>1</v>
      </c>
    </row>
    <row r="972" spans="1:11" x14ac:dyDescent="0.25">
      <c r="A972" s="78"/>
      <c r="B972" s="78"/>
      <c r="D972" s="78"/>
      <c r="E972" s="78"/>
      <c r="F972"/>
      <c r="G972" s="78"/>
      <c r="I972" t="s">
        <v>415</v>
      </c>
      <c r="J972">
        <v>1170</v>
      </c>
      <c r="K972" s="32">
        <v>1</v>
      </c>
    </row>
    <row r="973" spans="1:11" x14ac:dyDescent="0.25">
      <c r="A973" s="78"/>
      <c r="B973" s="78"/>
      <c r="D973" s="78"/>
      <c r="E973" s="78"/>
      <c r="F973"/>
      <c r="G973" s="78"/>
      <c r="H973" s="78" t="s">
        <v>49</v>
      </c>
      <c r="I973" s="78" t="s">
        <v>414</v>
      </c>
      <c r="J973">
        <v>1170</v>
      </c>
      <c r="K973" s="32">
        <v>1</v>
      </c>
    </row>
    <row r="974" spans="1:11" x14ac:dyDescent="0.25">
      <c r="A974" s="78"/>
      <c r="B974" s="78"/>
      <c r="D974" s="78"/>
      <c r="E974" s="78"/>
      <c r="F974"/>
      <c r="G974" s="78"/>
      <c r="H974" t="s">
        <v>1817</v>
      </c>
      <c r="I974" t="s">
        <v>432</v>
      </c>
      <c r="J974">
        <v>1170</v>
      </c>
      <c r="K974" s="32">
        <v>1</v>
      </c>
    </row>
    <row r="975" spans="1:11" x14ac:dyDescent="0.25">
      <c r="A975" s="78"/>
      <c r="B975" s="78"/>
      <c r="D975" s="78"/>
      <c r="E975" s="78"/>
      <c r="F975"/>
      <c r="G975" s="78"/>
      <c r="I975" t="s">
        <v>413</v>
      </c>
      <c r="J975">
        <v>1170</v>
      </c>
      <c r="K975" s="32">
        <v>1</v>
      </c>
    </row>
    <row r="976" spans="1:11" x14ac:dyDescent="0.25">
      <c r="A976" s="78"/>
      <c r="B976" s="78"/>
      <c r="D976" s="78"/>
      <c r="E976" s="78"/>
      <c r="F976"/>
      <c r="G976" t="s">
        <v>1769</v>
      </c>
      <c r="K976" s="32">
        <v>12</v>
      </c>
    </row>
    <row r="977" spans="1:11" x14ac:dyDescent="0.25">
      <c r="A977" s="78"/>
      <c r="B977" s="78"/>
      <c r="D977" s="78"/>
      <c r="E977" s="78" t="s">
        <v>494</v>
      </c>
      <c r="F977" t="s">
        <v>794</v>
      </c>
      <c r="G977" t="s">
        <v>916</v>
      </c>
      <c r="H977" t="s">
        <v>24</v>
      </c>
      <c r="I977" t="s">
        <v>570</v>
      </c>
      <c r="J977">
        <v>1170</v>
      </c>
      <c r="K977" s="32">
        <v>1</v>
      </c>
    </row>
    <row r="978" spans="1:11" x14ac:dyDescent="0.25">
      <c r="A978" s="78"/>
      <c r="B978" s="78"/>
      <c r="D978" s="78"/>
      <c r="E978" s="78"/>
      <c r="F978"/>
      <c r="H978" t="s">
        <v>49</v>
      </c>
      <c r="I978" t="s">
        <v>343</v>
      </c>
      <c r="J978">
        <v>1170</v>
      </c>
      <c r="K978" s="32">
        <v>1</v>
      </c>
    </row>
    <row r="979" spans="1:11" x14ac:dyDescent="0.25">
      <c r="A979" s="78"/>
      <c r="B979" s="78"/>
      <c r="D979" s="78"/>
      <c r="E979" s="78"/>
      <c r="F979"/>
      <c r="G979" t="s">
        <v>1769</v>
      </c>
      <c r="K979" s="32">
        <v>2</v>
      </c>
    </row>
    <row r="980" spans="1:11" x14ac:dyDescent="0.25">
      <c r="A980" s="78"/>
      <c r="B980" s="78"/>
      <c r="D980" s="78"/>
      <c r="E980" s="78" t="s">
        <v>495</v>
      </c>
      <c r="F980" t="s">
        <v>794</v>
      </c>
      <c r="G980" t="s">
        <v>916</v>
      </c>
      <c r="H980" t="s">
        <v>42</v>
      </c>
      <c r="I980" t="s">
        <v>344</v>
      </c>
      <c r="J980">
        <v>1170</v>
      </c>
      <c r="K980" s="32">
        <v>1</v>
      </c>
    </row>
    <row r="981" spans="1:11" x14ac:dyDescent="0.25">
      <c r="A981" s="78"/>
      <c r="B981" s="78"/>
      <c r="D981" s="78"/>
      <c r="E981" s="78"/>
      <c r="F981"/>
      <c r="G981" t="s">
        <v>1769</v>
      </c>
      <c r="K981" s="32">
        <v>1</v>
      </c>
    </row>
    <row r="982" spans="1:11" x14ac:dyDescent="0.25">
      <c r="A982" s="78"/>
      <c r="B982" s="78"/>
      <c r="D982" s="78"/>
      <c r="E982" s="78" t="s">
        <v>496</v>
      </c>
      <c r="F982" t="s">
        <v>486</v>
      </c>
      <c r="G982" t="s">
        <v>915</v>
      </c>
      <c r="H982" t="s">
        <v>794</v>
      </c>
      <c r="I982" t="s">
        <v>372</v>
      </c>
      <c r="J982">
        <v>1170</v>
      </c>
      <c r="K982" s="32">
        <v>1</v>
      </c>
    </row>
    <row r="983" spans="1:11" x14ac:dyDescent="0.25">
      <c r="A983" s="78"/>
      <c r="B983" s="78"/>
      <c r="D983" s="78"/>
      <c r="E983" s="78"/>
      <c r="F983"/>
      <c r="G983" t="s">
        <v>1768</v>
      </c>
      <c r="K983" s="32">
        <v>1</v>
      </c>
    </row>
    <row r="984" spans="1:11" x14ac:dyDescent="0.25">
      <c r="A984" s="78"/>
      <c r="B984" s="78"/>
      <c r="D984" s="78"/>
      <c r="E984" s="78" t="s">
        <v>497</v>
      </c>
      <c r="F984" t="s">
        <v>794</v>
      </c>
      <c r="G984" t="s">
        <v>915</v>
      </c>
      <c r="H984" t="s">
        <v>794</v>
      </c>
      <c r="I984" s="78" t="s">
        <v>554</v>
      </c>
      <c r="J984">
        <v>1170</v>
      </c>
      <c r="K984" s="32">
        <v>1</v>
      </c>
    </row>
    <row r="985" spans="1:11" x14ac:dyDescent="0.25">
      <c r="A985" s="78"/>
      <c r="B985" s="78"/>
      <c r="D985" s="78"/>
      <c r="E985" s="78"/>
      <c r="F985"/>
      <c r="I985" s="78" t="s">
        <v>380</v>
      </c>
      <c r="J985">
        <v>1170</v>
      </c>
      <c r="K985" s="32">
        <v>1</v>
      </c>
    </row>
    <row r="986" spans="1:11" x14ac:dyDescent="0.25">
      <c r="A986" s="78"/>
      <c r="B986" s="78"/>
      <c r="D986" s="78"/>
      <c r="E986" s="78"/>
      <c r="F986"/>
      <c r="I986" s="78" t="s">
        <v>381</v>
      </c>
      <c r="J986">
        <v>1170</v>
      </c>
      <c r="K986" s="32">
        <v>1</v>
      </c>
    </row>
    <row r="987" spans="1:11" x14ac:dyDescent="0.25">
      <c r="A987" s="78"/>
      <c r="B987" s="78"/>
      <c r="D987" s="78"/>
      <c r="E987" s="78"/>
      <c r="F987"/>
      <c r="I987" s="78" t="s">
        <v>382</v>
      </c>
      <c r="J987">
        <v>1170</v>
      </c>
      <c r="K987" s="32">
        <v>1</v>
      </c>
    </row>
    <row r="988" spans="1:11" x14ac:dyDescent="0.25">
      <c r="A988" s="78"/>
      <c r="B988" s="78"/>
      <c r="D988" s="78"/>
      <c r="E988" s="78"/>
      <c r="F988"/>
      <c r="I988" s="78" t="s">
        <v>383</v>
      </c>
      <c r="J988">
        <v>1170</v>
      </c>
      <c r="K988" s="32">
        <v>1</v>
      </c>
    </row>
    <row r="989" spans="1:11" x14ac:dyDescent="0.25">
      <c r="A989" s="78"/>
      <c r="B989" s="78"/>
      <c r="D989" s="78"/>
      <c r="E989" s="78"/>
      <c r="F989"/>
      <c r="I989" s="78" t="s">
        <v>1659</v>
      </c>
      <c r="J989">
        <v>1170</v>
      </c>
      <c r="K989" s="32">
        <v>1</v>
      </c>
    </row>
    <row r="990" spans="1:11" x14ac:dyDescent="0.25">
      <c r="A990" s="78"/>
      <c r="B990" s="78"/>
      <c r="D990" s="78"/>
      <c r="E990" s="78"/>
      <c r="F990"/>
      <c r="I990" s="78" t="s">
        <v>384</v>
      </c>
      <c r="J990">
        <v>1170</v>
      </c>
      <c r="K990" s="32">
        <v>1</v>
      </c>
    </row>
    <row r="991" spans="1:11" x14ac:dyDescent="0.25">
      <c r="A991" s="78"/>
      <c r="B991" s="78"/>
      <c r="D991" s="78"/>
      <c r="E991" s="78"/>
      <c r="F991"/>
      <c r="I991" s="78" t="s">
        <v>385</v>
      </c>
      <c r="J991">
        <v>1170</v>
      </c>
      <c r="K991" s="32">
        <v>1</v>
      </c>
    </row>
    <row r="992" spans="1:11" x14ac:dyDescent="0.25">
      <c r="A992" s="78"/>
      <c r="B992" s="78"/>
      <c r="D992" s="78"/>
      <c r="E992" s="78"/>
      <c r="F992"/>
      <c r="I992" s="78" t="s">
        <v>386</v>
      </c>
      <c r="J992">
        <v>1170</v>
      </c>
      <c r="K992" s="32">
        <v>1</v>
      </c>
    </row>
    <row r="993" spans="1:11" x14ac:dyDescent="0.25">
      <c r="A993" s="78"/>
      <c r="B993" s="78"/>
      <c r="D993" s="78"/>
      <c r="E993" s="78"/>
      <c r="F993"/>
      <c r="I993" s="78" t="s">
        <v>387</v>
      </c>
      <c r="J993">
        <v>1170</v>
      </c>
      <c r="K993" s="32">
        <v>1</v>
      </c>
    </row>
    <row r="994" spans="1:11" x14ac:dyDescent="0.25">
      <c r="A994" s="78"/>
      <c r="B994" s="78"/>
      <c r="D994" s="78"/>
      <c r="E994" s="78"/>
      <c r="F994"/>
      <c r="I994" s="78" t="s">
        <v>388</v>
      </c>
      <c r="J994">
        <v>1170</v>
      </c>
      <c r="K994" s="32">
        <v>1</v>
      </c>
    </row>
    <row r="995" spans="1:11" x14ac:dyDescent="0.25">
      <c r="A995" s="78"/>
      <c r="B995" s="78"/>
      <c r="D995" s="78"/>
      <c r="E995" s="78"/>
      <c r="F995"/>
      <c r="I995" s="78" t="s">
        <v>389</v>
      </c>
      <c r="J995">
        <v>1170</v>
      </c>
      <c r="K995" s="32">
        <v>1</v>
      </c>
    </row>
    <row r="996" spans="1:11" x14ac:dyDescent="0.25">
      <c r="A996" s="78"/>
      <c r="B996" s="78"/>
      <c r="D996" s="78"/>
      <c r="E996" s="78"/>
      <c r="F996"/>
      <c r="I996" s="78" t="s">
        <v>390</v>
      </c>
      <c r="J996">
        <v>1170</v>
      </c>
      <c r="K996" s="32">
        <v>1</v>
      </c>
    </row>
    <row r="997" spans="1:11" x14ac:dyDescent="0.25">
      <c r="A997" s="78"/>
      <c r="B997" s="78"/>
      <c r="D997" s="78"/>
      <c r="E997" s="78"/>
      <c r="F997"/>
      <c r="I997" s="78" t="s">
        <v>391</v>
      </c>
      <c r="J997">
        <v>1170</v>
      </c>
      <c r="K997" s="32">
        <v>1</v>
      </c>
    </row>
    <row r="998" spans="1:11" x14ac:dyDescent="0.25">
      <c r="A998" s="78"/>
      <c r="B998" s="78"/>
      <c r="D998" s="78"/>
      <c r="E998" s="78"/>
      <c r="F998"/>
      <c r="I998" s="78" t="s">
        <v>392</v>
      </c>
      <c r="J998">
        <v>1170</v>
      </c>
      <c r="K998" s="32">
        <v>1</v>
      </c>
    </row>
    <row r="999" spans="1:11" x14ac:dyDescent="0.25">
      <c r="A999" s="78"/>
      <c r="B999" s="78"/>
      <c r="D999" s="78"/>
      <c r="E999" s="78"/>
      <c r="F999"/>
      <c r="I999" s="78" t="s">
        <v>393</v>
      </c>
      <c r="J999">
        <v>1170</v>
      </c>
      <c r="K999" s="32">
        <v>1</v>
      </c>
    </row>
    <row r="1000" spans="1:11" x14ac:dyDescent="0.25">
      <c r="A1000" s="78"/>
      <c r="B1000" s="78"/>
      <c r="D1000" s="78"/>
      <c r="E1000" s="78"/>
      <c r="F1000"/>
      <c r="I1000" s="78" t="s">
        <v>394</v>
      </c>
      <c r="J1000">
        <v>1170</v>
      </c>
      <c r="K1000" s="32">
        <v>1</v>
      </c>
    </row>
    <row r="1001" spans="1:11" x14ac:dyDescent="0.25">
      <c r="A1001" s="78"/>
      <c r="B1001" s="78"/>
      <c r="D1001" s="78"/>
      <c r="E1001" s="78"/>
      <c r="F1001"/>
      <c r="I1001" s="78" t="s">
        <v>395</v>
      </c>
      <c r="J1001">
        <v>1170</v>
      </c>
      <c r="K1001" s="32">
        <v>1</v>
      </c>
    </row>
    <row r="1002" spans="1:11" x14ac:dyDescent="0.25">
      <c r="A1002" s="78"/>
      <c r="B1002" s="78"/>
      <c r="D1002" s="78"/>
      <c r="E1002" s="78"/>
      <c r="F1002"/>
      <c r="I1002" s="78" t="s">
        <v>396</v>
      </c>
      <c r="J1002">
        <v>1170</v>
      </c>
      <c r="K1002" s="32">
        <v>1</v>
      </c>
    </row>
    <row r="1003" spans="1:11" x14ac:dyDescent="0.25">
      <c r="A1003" s="78"/>
      <c r="B1003" s="78"/>
      <c r="D1003" s="78"/>
      <c r="E1003" s="78"/>
      <c r="F1003"/>
      <c r="I1003" s="78" t="s">
        <v>397</v>
      </c>
      <c r="J1003">
        <v>1170</v>
      </c>
      <c r="K1003" s="32">
        <v>1</v>
      </c>
    </row>
    <row r="1004" spans="1:11" x14ac:dyDescent="0.25">
      <c r="A1004" s="78"/>
      <c r="B1004" s="78"/>
      <c r="D1004" s="78"/>
      <c r="E1004" s="78"/>
      <c r="F1004"/>
      <c r="I1004" s="78" t="s">
        <v>398</v>
      </c>
      <c r="J1004">
        <v>1170</v>
      </c>
      <c r="K1004" s="32">
        <v>1</v>
      </c>
    </row>
    <row r="1005" spans="1:11" x14ac:dyDescent="0.25">
      <c r="A1005" s="78"/>
      <c r="B1005" s="78"/>
      <c r="D1005" s="78"/>
      <c r="E1005" s="78"/>
      <c r="F1005"/>
      <c r="I1005" s="78" t="s">
        <v>399</v>
      </c>
      <c r="J1005">
        <v>1170</v>
      </c>
      <c r="K1005" s="32">
        <v>1</v>
      </c>
    </row>
    <row r="1006" spans="1:11" x14ac:dyDescent="0.25">
      <c r="A1006" s="78"/>
      <c r="B1006" s="78"/>
      <c r="D1006" s="78"/>
      <c r="E1006" s="78"/>
      <c r="F1006"/>
      <c r="I1006" s="78" t="s">
        <v>400</v>
      </c>
      <c r="J1006">
        <v>1170</v>
      </c>
      <c r="K1006" s="32">
        <v>1</v>
      </c>
    </row>
    <row r="1007" spans="1:11" x14ac:dyDescent="0.25">
      <c r="A1007" s="78"/>
      <c r="B1007" s="78"/>
      <c r="D1007" s="78"/>
      <c r="E1007" s="78"/>
      <c r="F1007"/>
      <c r="I1007" t="s">
        <v>1686</v>
      </c>
      <c r="J1007">
        <v>1170</v>
      </c>
      <c r="K1007" s="32">
        <v>1</v>
      </c>
    </row>
    <row r="1008" spans="1:11" x14ac:dyDescent="0.25">
      <c r="A1008" s="78"/>
      <c r="B1008" s="78"/>
      <c r="D1008" s="78"/>
      <c r="E1008" s="78"/>
      <c r="F1008"/>
      <c r="I1008" t="s">
        <v>1690</v>
      </c>
      <c r="J1008">
        <v>1170</v>
      </c>
      <c r="K1008" s="32">
        <v>1</v>
      </c>
    </row>
    <row r="1009" spans="1:11" x14ac:dyDescent="0.25">
      <c r="A1009" s="78"/>
      <c r="B1009" s="78"/>
      <c r="D1009" s="78"/>
      <c r="E1009" s="78"/>
      <c r="F1009"/>
      <c r="I1009" t="s">
        <v>1693</v>
      </c>
      <c r="J1009">
        <v>1170</v>
      </c>
      <c r="K1009" s="32">
        <v>1</v>
      </c>
    </row>
    <row r="1010" spans="1:11" x14ac:dyDescent="0.25">
      <c r="A1010" s="78"/>
      <c r="B1010" s="78"/>
      <c r="D1010" s="78"/>
      <c r="E1010" s="78"/>
      <c r="F1010"/>
      <c r="G1010" t="s">
        <v>1768</v>
      </c>
      <c r="K1010" s="32">
        <v>26</v>
      </c>
    </row>
    <row r="1011" spans="1:11" x14ac:dyDescent="0.25">
      <c r="A1011" s="78"/>
      <c r="B1011" s="78"/>
      <c r="D1011" s="78"/>
      <c r="E1011" s="78"/>
      <c r="F1011"/>
      <c r="G1011" t="s">
        <v>916</v>
      </c>
      <c r="H1011" t="s">
        <v>42</v>
      </c>
      <c r="I1011" t="s">
        <v>373</v>
      </c>
      <c r="J1011">
        <v>1170</v>
      </c>
      <c r="K1011" s="32">
        <v>1</v>
      </c>
    </row>
    <row r="1012" spans="1:11" x14ac:dyDescent="0.25">
      <c r="A1012" s="78"/>
      <c r="B1012" s="78"/>
      <c r="D1012" s="78"/>
      <c r="E1012" s="78"/>
      <c r="F1012"/>
      <c r="I1012" t="s">
        <v>374</v>
      </c>
      <c r="J1012">
        <v>1170</v>
      </c>
      <c r="K1012" s="32">
        <v>1</v>
      </c>
    </row>
    <row r="1013" spans="1:11" x14ac:dyDescent="0.25">
      <c r="A1013" s="78"/>
      <c r="B1013" s="78"/>
      <c r="D1013" s="78"/>
      <c r="E1013" s="78"/>
      <c r="F1013"/>
      <c r="I1013" t="s">
        <v>375</v>
      </c>
      <c r="J1013">
        <v>1170</v>
      </c>
      <c r="K1013" s="32">
        <v>1</v>
      </c>
    </row>
    <row r="1014" spans="1:11" x14ac:dyDescent="0.25">
      <c r="A1014" s="78"/>
      <c r="B1014" s="78"/>
      <c r="D1014" s="78"/>
      <c r="E1014" s="78"/>
      <c r="F1014"/>
      <c r="I1014" t="s">
        <v>377</v>
      </c>
      <c r="J1014">
        <v>1170</v>
      </c>
      <c r="K1014" s="32">
        <v>1</v>
      </c>
    </row>
    <row r="1015" spans="1:11" x14ac:dyDescent="0.25">
      <c r="A1015" s="78"/>
      <c r="B1015" s="78"/>
      <c r="D1015" s="78"/>
      <c r="E1015" s="78"/>
      <c r="F1015"/>
      <c r="H1015" t="s">
        <v>24</v>
      </c>
      <c r="I1015" t="s">
        <v>379</v>
      </c>
      <c r="J1015">
        <v>1170</v>
      </c>
      <c r="K1015" s="32">
        <v>1</v>
      </c>
    </row>
    <row r="1016" spans="1:11" x14ac:dyDescent="0.25">
      <c r="A1016" s="78"/>
      <c r="B1016" s="78"/>
      <c r="D1016" s="78"/>
      <c r="E1016" s="78"/>
      <c r="F1016"/>
      <c r="H1016" t="s">
        <v>49</v>
      </c>
      <c r="I1016" t="s">
        <v>376</v>
      </c>
      <c r="J1016">
        <v>1170</v>
      </c>
      <c r="K1016" s="32">
        <v>1</v>
      </c>
    </row>
    <row r="1017" spans="1:11" x14ac:dyDescent="0.25">
      <c r="A1017" s="78"/>
      <c r="B1017" s="78"/>
      <c r="D1017" s="78"/>
      <c r="E1017" s="78"/>
      <c r="F1017"/>
      <c r="I1017" t="s">
        <v>378</v>
      </c>
      <c r="J1017">
        <v>1170</v>
      </c>
      <c r="K1017" s="32">
        <v>1</v>
      </c>
    </row>
    <row r="1018" spans="1:11" x14ac:dyDescent="0.25">
      <c r="A1018" s="78"/>
      <c r="B1018" s="78"/>
      <c r="D1018" s="78"/>
      <c r="E1018" s="78"/>
      <c r="F1018"/>
      <c r="G1018" t="s">
        <v>1769</v>
      </c>
      <c r="K1018" s="32">
        <v>7</v>
      </c>
    </row>
    <row r="1019" spans="1:11" x14ac:dyDescent="0.25">
      <c r="A1019" s="78"/>
      <c r="B1019" s="78"/>
      <c r="D1019" s="78"/>
      <c r="E1019" s="78" t="s">
        <v>498</v>
      </c>
      <c r="F1019" t="s">
        <v>794</v>
      </c>
      <c r="G1019" s="78" t="s">
        <v>915</v>
      </c>
      <c r="H1019" s="78" t="s">
        <v>794</v>
      </c>
      <c r="I1019" s="78" t="s">
        <v>402</v>
      </c>
      <c r="J1019">
        <v>1170</v>
      </c>
      <c r="K1019" s="32">
        <v>1</v>
      </c>
    </row>
    <row r="1020" spans="1:11" x14ac:dyDescent="0.25">
      <c r="A1020" s="78"/>
      <c r="B1020" s="78"/>
      <c r="D1020" s="78"/>
      <c r="E1020" s="78"/>
      <c r="F1020"/>
      <c r="G1020" t="s">
        <v>1768</v>
      </c>
      <c r="K1020" s="32">
        <v>1</v>
      </c>
    </row>
    <row r="1021" spans="1:11" x14ac:dyDescent="0.25">
      <c r="A1021" s="78"/>
      <c r="B1021" s="78"/>
      <c r="D1021" s="78"/>
      <c r="E1021" s="78"/>
      <c r="F1021"/>
      <c r="G1021" s="78" t="s">
        <v>916</v>
      </c>
      <c r="H1021" t="s">
        <v>24</v>
      </c>
      <c r="I1021" t="s">
        <v>401</v>
      </c>
      <c r="J1021">
        <v>1170</v>
      </c>
      <c r="K1021" s="32">
        <v>1</v>
      </c>
    </row>
    <row r="1022" spans="1:11" x14ac:dyDescent="0.25">
      <c r="A1022" s="78"/>
      <c r="B1022" s="78"/>
      <c r="D1022" s="78"/>
      <c r="E1022" s="78"/>
      <c r="F1022"/>
      <c r="G1022" t="s">
        <v>1769</v>
      </c>
      <c r="K1022" s="32">
        <v>1</v>
      </c>
    </row>
    <row r="1023" spans="1:11" x14ac:dyDescent="0.25">
      <c r="A1023" s="78"/>
      <c r="B1023" s="78"/>
      <c r="D1023" s="78"/>
      <c r="E1023" s="78" t="s">
        <v>499</v>
      </c>
      <c r="F1023" t="s">
        <v>794</v>
      </c>
      <c r="G1023" s="78" t="s">
        <v>915</v>
      </c>
      <c r="H1023" s="78" t="s">
        <v>794</v>
      </c>
      <c r="I1023" s="78" t="s">
        <v>404</v>
      </c>
      <c r="J1023">
        <v>1170</v>
      </c>
      <c r="K1023" s="32">
        <v>1</v>
      </c>
    </row>
    <row r="1024" spans="1:11" x14ac:dyDescent="0.25">
      <c r="A1024" s="78"/>
      <c r="B1024" s="78"/>
      <c r="D1024" s="78"/>
      <c r="E1024" s="78"/>
      <c r="F1024"/>
      <c r="G1024" s="78"/>
      <c r="H1024" s="78"/>
      <c r="I1024" s="78" t="s">
        <v>405</v>
      </c>
      <c r="J1024">
        <v>1170</v>
      </c>
      <c r="K1024" s="32">
        <v>1</v>
      </c>
    </row>
    <row r="1025" spans="1:11" x14ac:dyDescent="0.25">
      <c r="A1025" s="78"/>
      <c r="B1025" s="78"/>
      <c r="D1025" s="78"/>
      <c r="E1025" s="78"/>
      <c r="F1025"/>
      <c r="G1025" s="78"/>
      <c r="H1025" s="78"/>
      <c r="I1025" s="78" t="s">
        <v>406</v>
      </c>
      <c r="J1025">
        <v>1170</v>
      </c>
      <c r="K1025" s="32">
        <v>1</v>
      </c>
    </row>
    <row r="1026" spans="1:11" x14ac:dyDescent="0.25">
      <c r="A1026" s="78"/>
      <c r="B1026" s="78"/>
      <c r="D1026" s="78"/>
      <c r="E1026" s="78"/>
      <c r="F1026"/>
      <c r="G1026" s="78"/>
      <c r="H1026" s="78"/>
      <c r="I1026" s="78" t="s">
        <v>407</v>
      </c>
      <c r="J1026">
        <v>1170</v>
      </c>
      <c r="K1026" s="32">
        <v>1</v>
      </c>
    </row>
    <row r="1027" spans="1:11" x14ac:dyDescent="0.25">
      <c r="A1027" s="78"/>
      <c r="B1027" s="78"/>
      <c r="D1027" s="78"/>
      <c r="E1027" s="78"/>
      <c r="F1027"/>
      <c r="G1027" s="78"/>
      <c r="H1027" s="78"/>
      <c r="I1027" t="s">
        <v>1689</v>
      </c>
      <c r="J1027">
        <v>1170</v>
      </c>
      <c r="K1027" s="32">
        <v>1</v>
      </c>
    </row>
    <row r="1028" spans="1:11" x14ac:dyDescent="0.25">
      <c r="A1028" s="78"/>
      <c r="B1028" s="78"/>
      <c r="D1028" s="78"/>
      <c r="E1028" s="78"/>
      <c r="F1028"/>
      <c r="G1028" t="s">
        <v>1768</v>
      </c>
      <c r="K1028" s="32">
        <v>5</v>
      </c>
    </row>
    <row r="1029" spans="1:11" x14ac:dyDescent="0.25">
      <c r="A1029" s="78"/>
      <c r="B1029" s="78"/>
      <c r="D1029" s="78"/>
      <c r="E1029" s="78"/>
      <c r="F1029"/>
      <c r="G1029" s="78" t="s">
        <v>916</v>
      </c>
      <c r="H1029" t="s">
        <v>42</v>
      </c>
      <c r="I1029" t="s">
        <v>403</v>
      </c>
      <c r="J1029">
        <v>1170</v>
      </c>
      <c r="K1029" s="32">
        <v>1</v>
      </c>
    </row>
    <row r="1030" spans="1:11" x14ac:dyDescent="0.25">
      <c r="A1030" s="78"/>
      <c r="B1030" s="78"/>
      <c r="D1030" s="78"/>
      <c r="E1030" s="78"/>
      <c r="F1030"/>
      <c r="G1030" s="78"/>
      <c r="I1030" t="s">
        <v>408</v>
      </c>
      <c r="J1030">
        <v>1170</v>
      </c>
      <c r="K1030" s="32">
        <v>1</v>
      </c>
    </row>
    <row r="1031" spans="1:11" x14ac:dyDescent="0.25">
      <c r="A1031" s="78"/>
      <c r="B1031" s="78"/>
      <c r="D1031" s="78"/>
      <c r="E1031" s="78"/>
      <c r="F1031"/>
      <c r="G1031" t="s">
        <v>1769</v>
      </c>
      <c r="K1031" s="32">
        <v>2</v>
      </c>
    </row>
    <row r="1032" spans="1:11" x14ac:dyDescent="0.25">
      <c r="A1032" s="78"/>
      <c r="B1032" s="78"/>
      <c r="D1032" s="78"/>
      <c r="E1032" s="78" t="s">
        <v>500</v>
      </c>
      <c r="F1032" t="s">
        <v>794</v>
      </c>
      <c r="G1032" t="s">
        <v>916</v>
      </c>
      <c r="H1032" t="s">
        <v>42</v>
      </c>
      <c r="I1032" t="s">
        <v>434</v>
      </c>
      <c r="J1032">
        <v>1170</v>
      </c>
      <c r="K1032" s="32">
        <v>1</v>
      </c>
    </row>
    <row r="1033" spans="1:11" x14ac:dyDescent="0.25">
      <c r="A1033" s="78"/>
      <c r="B1033" s="78"/>
      <c r="D1033" s="78"/>
      <c r="E1033" s="78"/>
      <c r="F1033"/>
      <c r="I1033" t="s">
        <v>435</v>
      </c>
      <c r="J1033">
        <v>1170</v>
      </c>
      <c r="K1033" s="32">
        <v>1</v>
      </c>
    </row>
    <row r="1034" spans="1:11" x14ac:dyDescent="0.25">
      <c r="A1034" s="78"/>
      <c r="B1034" s="78"/>
      <c r="D1034" s="78"/>
      <c r="E1034" s="78"/>
      <c r="F1034"/>
      <c r="G1034" t="s">
        <v>1769</v>
      </c>
      <c r="K1034" s="32">
        <v>2</v>
      </c>
    </row>
    <row r="1035" spans="1:11" x14ac:dyDescent="0.25">
      <c r="A1035" s="78"/>
      <c r="B1035" s="78"/>
      <c r="D1035" s="78"/>
      <c r="E1035" s="78" t="s">
        <v>501</v>
      </c>
      <c r="F1035" t="s">
        <v>794</v>
      </c>
      <c r="G1035" s="78" t="s">
        <v>915</v>
      </c>
      <c r="H1035" s="78" t="s">
        <v>794</v>
      </c>
      <c r="I1035" s="78" t="s">
        <v>452</v>
      </c>
      <c r="J1035">
        <v>1170</v>
      </c>
      <c r="K1035" s="32">
        <v>1</v>
      </c>
    </row>
    <row r="1036" spans="1:11" x14ac:dyDescent="0.25">
      <c r="A1036" s="78"/>
      <c r="B1036" s="78"/>
      <c r="D1036" s="78"/>
      <c r="E1036" s="78"/>
      <c r="F1036"/>
      <c r="G1036" s="78"/>
      <c r="H1036" s="78"/>
      <c r="I1036" s="78" t="s">
        <v>453</v>
      </c>
      <c r="J1036">
        <v>1170</v>
      </c>
      <c r="K1036" s="32">
        <v>1</v>
      </c>
    </row>
    <row r="1037" spans="1:11" x14ac:dyDescent="0.25">
      <c r="A1037" s="78"/>
      <c r="B1037" s="78"/>
      <c r="D1037" s="78"/>
      <c r="E1037" s="78"/>
      <c r="F1037"/>
      <c r="G1037" s="78"/>
      <c r="H1037" s="78"/>
      <c r="I1037" s="78" t="s">
        <v>454</v>
      </c>
      <c r="J1037">
        <v>1170</v>
      </c>
      <c r="K1037" s="32">
        <v>1</v>
      </c>
    </row>
    <row r="1038" spans="1:11" x14ac:dyDescent="0.25">
      <c r="A1038" s="78"/>
      <c r="B1038" s="78"/>
      <c r="D1038" s="78"/>
      <c r="E1038" s="78"/>
      <c r="F1038"/>
      <c r="G1038" t="s">
        <v>1768</v>
      </c>
      <c r="K1038" s="32">
        <v>3</v>
      </c>
    </row>
    <row r="1039" spans="1:11" x14ac:dyDescent="0.25">
      <c r="A1039" s="78"/>
      <c r="B1039" s="78"/>
      <c r="D1039" s="78"/>
      <c r="E1039" s="78"/>
      <c r="F1039"/>
      <c r="G1039" s="78" t="s">
        <v>916</v>
      </c>
      <c r="H1039" t="s">
        <v>42</v>
      </c>
      <c r="I1039" t="s">
        <v>436</v>
      </c>
      <c r="J1039">
        <v>1170</v>
      </c>
      <c r="K1039" s="32">
        <v>1</v>
      </c>
    </row>
    <row r="1040" spans="1:11" x14ac:dyDescent="0.25">
      <c r="A1040" s="78"/>
      <c r="B1040" s="78"/>
      <c r="D1040" s="78"/>
      <c r="E1040" s="78"/>
      <c r="F1040"/>
      <c r="G1040" s="78"/>
      <c r="I1040" t="s">
        <v>437</v>
      </c>
      <c r="J1040">
        <v>1170</v>
      </c>
      <c r="K1040" s="32">
        <v>1</v>
      </c>
    </row>
    <row r="1041" spans="1:11" x14ac:dyDescent="0.25">
      <c r="A1041" s="78"/>
      <c r="B1041" s="78"/>
      <c r="D1041" s="78"/>
      <c r="E1041" s="78"/>
      <c r="F1041"/>
      <c r="G1041" s="78"/>
      <c r="I1041" t="s">
        <v>439</v>
      </c>
      <c r="J1041">
        <v>1170</v>
      </c>
      <c r="K1041" s="32">
        <v>1</v>
      </c>
    </row>
    <row r="1042" spans="1:11" x14ac:dyDescent="0.25">
      <c r="A1042" s="78"/>
      <c r="B1042" s="78"/>
      <c r="D1042" s="78"/>
      <c r="E1042" s="78"/>
      <c r="F1042"/>
      <c r="G1042" s="78"/>
      <c r="I1042" t="s">
        <v>443</v>
      </c>
      <c r="J1042">
        <v>1170</v>
      </c>
      <c r="K1042" s="32">
        <v>1</v>
      </c>
    </row>
    <row r="1043" spans="1:11" x14ac:dyDescent="0.25">
      <c r="A1043" s="78"/>
      <c r="B1043" s="78"/>
      <c r="D1043" s="78"/>
      <c r="E1043" s="78"/>
      <c r="F1043"/>
      <c r="G1043" s="78"/>
      <c r="I1043" t="s">
        <v>446</v>
      </c>
      <c r="J1043">
        <v>1170</v>
      </c>
      <c r="K1043" s="32">
        <v>1</v>
      </c>
    </row>
    <row r="1044" spans="1:11" x14ac:dyDescent="0.25">
      <c r="A1044" s="78"/>
      <c r="B1044" s="78"/>
      <c r="D1044" s="78"/>
      <c r="E1044" s="78"/>
      <c r="F1044"/>
      <c r="G1044" s="78"/>
      <c r="I1044" t="s">
        <v>448</v>
      </c>
      <c r="J1044">
        <v>1170</v>
      </c>
      <c r="K1044" s="32">
        <v>1</v>
      </c>
    </row>
    <row r="1045" spans="1:11" x14ac:dyDescent="0.25">
      <c r="A1045" s="78"/>
      <c r="B1045" s="78"/>
      <c r="D1045" s="78"/>
      <c r="E1045" s="78"/>
      <c r="F1045"/>
      <c r="G1045" s="78"/>
      <c r="I1045" t="s">
        <v>450</v>
      </c>
      <c r="J1045">
        <v>1170</v>
      </c>
      <c r="K1045" s="32">
        <v>1</v>
      </c>
    </row>
    <row r="1046" spans="1:11" x14ac:dyDescent="0.25">
      <c r="A1046" s="78"/>
      <c r="B1046" s="78"/>
      <c r="D1046" s="78"/>
      <c r="E1046" s="78"/>
      <c r="F1046"/>
      <c r="G1046" s="78"/>
      <c r="I1046" t="s">
        <v>451</v>
      </c>
      <c r="J1046">
        <v>1170</v>
      </c>
      <c r="K1046" s="32">
        <v>1</v>
      </c>
    </row>
    <row r="1047" spans="1:11" x14ac:dyDescent="0.25">
      <c r="A1047" s="78"/>
      <c r="B1047" s="78"/>
      <c r="D1047" s="78"/>
      <c r="E1047" s="78"/>
      <c r="F1047"/>
      <c r="G1047" s="78"/>
      <c r="H1047" s="78" t="s">
        <v>24</v>
      </c>
      <c r="I1047" t="s">
        <v>581</v>
      </c>
      <c r="J1047">
        <v>1170</v>
      </c>
      <c r="K1047" s="32">
        <v>1</v>
      </c>
    </row>
    <row r="1048" spans="1:11" x14ac:dyDescent="0.25">
      <c r="A1048" s="78"/>
      <c r="B1048" s="78"/>
      <c r="D1048" s="78"/>
      <c r="E1048" s="78"/>
      <c r="F1048"/>
      <c r="G1048" s="78"/>
      <c r="H1048" s="78"/>
      <c r="I1048" t="s">
        <v>440</v>
      </c>
      <c r="J1048">
        <v>1170</v>
      </c>
      <c r="K1048" s="32">
        <v>1</v>
      </c>
    </row>
    <row r="1049" spans="1:11" x14ac:dyDescent="0.25">
      <c r="A1049" s="78"/>
      <c r="B1049" s="78"/>
      <c r="D1049" s="78"/>
      <c r="E1049" s="78"/>
      <c r="F1049"/>
      <c r="G1049" s="78"/>
      <c r="H1049" s="78"/>
      <c r="I1049" s="78" t="s">
        <v>449</v>
      </c>
      <c r="J1049">
        <v>1170</v>
      </c>
      <c r="K1049" s="32">
        <v>1</v>
      </c>
    </row>
    <row r="1050" spans="1:11" x14ac:dyDescent="0.25">
      <c r="A1050" s="78"/>
      <c r="B1050" s="78"/>
      <c r="D1050" s="78"/>
      <c r="E1050" s="78"/>
      <c r="F1050"/>
      <c r="G1050" s="78"/>
      <c r="H1050" t="s">
        <v>49</v>
      </c>
      <c r="I1050" t="s">
        <v>438</v>
      </c>
      <c r="J1050">
        <v>1170</v>
      </c>
      <c r="K1050" s="32">
        <v>1</v>
      </c>
    </row>
    <row r="1051" spans="1:11" x14ac:dyDescent="0.25">
      <c r="A1051" s="78"/>
      <c r="B1051" s="78"/>
      <c r="D1051" s="78"/>
      <c r="E1051" s="78"/>
      <c r="F1051"/>
      <c r="G1051" s="78"/>
      <c r="I1051" t="s">
        <v>441</v>
      </c>
      <c r="J1051">
        <v>1170</v>
      </c>
      <c r="K1051" s="32">
        <v>1</v>
      </c>
    </row>
    <row r="1052" spans="1:11" x14ac:dyDescent="0.25">
      <c r="A1052" s="78"/>
      <c r="B1052" s="78"/>
      <c r="D1052" s="78"/>
      <c r="E1052" s="78"/>
      <c r="F1052"/>
      <c r="G1052" s="78"/>
      <c r="I1052" t="s">
        <v>442</v>
      </c>
      <c r="J1052">
        <v>1170</v>
      </c>
      <c r="K1052" s="32">
        <v>1</v>
      </c>
    </row>
    <row r="1053" spans="1:11" x14ac:dyDescent="0.25">
      <c r="A1053" s="78"/>
      <c r="B1053" s="78"/>
      <c r="D1053" s="78"/>
      <c r="E1053" s="78"/>
      <c r="F1053"/>
      <c r="G1053" s="78"/>
      <c r="I1053" t="s">
        <v>444</v>
      </c>
      <c r="J1053">
        <v>1170</v>
      </c>
      <c r="K1053" s="32">
        <v>1</v>
      </c>
    </row>
    <row r="1054" spans="1:11" x14ac:dyDescent="0.25">
      <c r="A1054" s="78"/>
      <c r="B1054" s="78"/>
      <c r="D1054" s="78"/>
      <c r="E1054" s="78"/>
      <c r="F1054"/>
      <c r="G1054" s="78"/>
      <c r="I1054" t="s">
        <v>445</v>
      </c>
      <c r="J1054">
        <v>1170</v>
      </c>
      <c r="K1054" s="32">
        <v>1</v>
      </c>
    </row>
    <row r="1055" spans="1:11" x14ac:dyDescent="0.25">
      <c r="A1055" s="78"/>
      <c r="B1055" s="78"/>
      <c r="D1055" s="78"/>
      <c r="E1055" s="78"/>
      <c r="F1055"/>
      <c r="G1055" s="78"/>
      <c r="I1055" t="s">
        <v>447</v>
      </c>
      <c r="J1055">
        <v>1170</v>
      </c>
      <c r="K1055" s="32">
        <v>1</v>
      </c>
    </row>
    <row r="1056" spans="1:11" x14ac:dyDescent="0.25">
      <c r="A1056" s="78"/>
      <c r="B1056" s="78"/>
      <c r="D1056" s="78"/>
      <c r="E1056" s="78"/>
      <c r="F1056"/>
      <c r="G1056" t="s">
        <v>1769</v>
      </c>
      <c r="K1056" s="32">
        <v>17</v>
      </c>
    </row>
    <row r="1057" spans="1:11" x14ac:dyDescent="0.25">
      <c r="A1057" s="78"/>
      <c r="B1057" s="78"/>
      <c r="D1057" s="78"/>
      <c r="E1057" s="78" t="s">
        <v>502</v>
      </c>
      <c r="F1057" t="s">
        <v>794</v>
      </c>
      <c r="G1057" t="s">
        <v>916</v>
      </c>
      <c r="H1057" t="s">
        <v>17</v>
      </c>
      <c r="I1057" t="s">
        <v>455</v>
      </c>
      <c r="J1057">
        <v>1170</v>
      </c>
      <c r="K1057" s="32">
        <v>1</v>
      </c>
    </row>
    <row r="1058" spans="1:11" x14ac:dyDescent="0.25">
      <c r="A1058" s="78"/>
      <c r="B1058" s="78"/>
      <c r="D1058" s="78"/>
      <c r="E1058" s="78"/>
      <c r="F1058"/>
      <c r="G1058" t="s">
        <v>1769</v>
      </c>
      <c r="K1058" s="32">
        <v>1</v>
      </c>
    </row>
    <row r="1059" spans="1:11" x14ac:dyDescent="0.25">
      <c r="A1059" s="78"/>
      <c r="B1059" s="78"/>
      <c r="D1059" s="78"/>
      <c r="E1059" s="78" t="s">
        <v>20</v>
      </c>
      <c r="F1059" t="s">
        <v>794</v>
      </c>
      <c r="G1059" s="78" t="s">
        <v>915</v>
      </c>
      <c r="H1059" s="93" t="s">
        <v>794</v>
      </c>
      <c r="I1059" s="78" t="s">
        <v>464</v>
      </c>
      <c r="J1059">
        <v>1170</v>
      </c>
      <c r="K1059" s="32">
        <v>1</v>
      </c>
    </row>
    <row r="1060" spans="1:11" x14ac:dyDescent="0.25">
      <c r="A1060" s="78"/>
      <c r="B1060" s="78"/>
      <c r="D1060" s="78"/>
      <c r="E1060" s="78"/>
      <c r="F1060"/>
      <c r="G1060" t="s">
        <v>1768</v>
      </c>
      <c r="K1060" s="32">
        <v>1</v>
      </c>
    </row>
    <row r="1061" spans="1:11" x14ac:dyDescent="0.25">
      <c r="A1061" s="78"/>
      <c r="B1061" s="78"/>
      <c r="D1061" s="78"/>
      <c r="E1061" s="78"/>
      <c r="F1061"/>
      <c r="G1061" s="78" t="s">
        <v>916</v>
      </c>
      <c r="H1061" t="s">
        <v>42</v>
      </c>
      <c r="I1061" t="s">
        <v>457</v>
      </c>
      <c r="J1061">
        <v>1170</v>
      </c>
      <c r="K1061" s="32">
        <v>1</v>
      </c>
    </row>
    <row r="1062" spans="1:11" x14ac:dyDescent="0.25">
      <c r="A1062" s="78"/>
      <c r="B1062" s="78"/>
      <c r="D1062" s="78"/>
      <c r="E1062" s="78"/>
      <c r="F1062"/>
      <c r="G1062" s="78"/>
      <c r="I1062" t="s">
        <v>458</v>
      </c>
      <c r="J1062">
        <v>1170</v>
      </c>
      <c r="K1062" s="32">
        <v>1</v>
      </c>
    </row>
    <row r="1063" spans="1:11" x14ac:dyDescent="0.25">
      <c r="A1063" s="78"/>
      <c r="B1063" s="78"/>
      <c r="D1063" s="78"/>
      <c r="E1063" s="78"/>
      <c r="F1063"/>
      <c r="G1063" s="78"/>
      <c r="I1063" t="s">
        <v>460</v>
      </c>
      <c r="J1063">
        <v>1170</v>
      </c>
      <c r="K1063" s="32">
        <v>1</v>
      </c>
    </row>
    <row r="1064" spans="1:11" x14ac:dyDescent="0.25">
      <c r="A1064" s="78"/>
      <c r="B1064" s="78"/>
      <c r="D1064" s="78"/>
      <c r="E1064" s="78"/>
      <c r="F1064"/>
      <c r="G1064" s="78"/>
      <c r="I1064" t="s">
        <v>461</v>
      </c>
      <c r="J1064">
        <v>1170</v>
      </c>
      <c r="K1064" s="32">
        <v>1</v>
      </c>
    </row>
    <row r="1065" spans="1:11" x14ac:dyDescent="0.25">
      <c r="A1065" s="78"/>
      <c r="B1065" s="78"/>
      <c r="D1065" s="78"/>
      <c r="E1065" s="78"/>
      <c r="F1065"/>
      <c r="G1065" s="78"/>
      <c r="I1065" t="s">
        <v>462</v>
      </c>
      <c r="J1065">
        <v>1170</v>
      </c>
      <c r="K1065" s="32">
        <v>1</v>
      </c>
    </row>
    <row r="1066" spans="1:11" x14ac:dyDescent="0.25">
      <c r="A1066" s="78"/>
      <c r="B1066" s="78"/>
      <c r="D1066" s="78"/>
      <c r="E1066" s="78"/>
      <c r="F1066"/>
      <c r="G1066" s="78"/>
      <c r="I1066" t="s">
        <v>463</v>
      </c>
      <c r="J1066">
        <v>1170</v>
      </c>
      <c r="K1066" s="32">
        <v>1</v>
      </c>
    </row>
    <row r="1067" spans="1:11" x14ac:dyDescent="0.25">
      <c r="A1067" s="78"/>
      <c r="B1067" s="78"/>
      <c r="D1067" s="78"/>
      <c r="E1067" s="78"/>
      <c r="F1067"/>
      <c r="G1067" s="78"/>
      <c r="H1067" t="s">
        <v>17</v>
      </c>
      <c r="I1067" t="s">
        <v>456</v>
      </c>
      <c r="J1067">
        <v>1170</v>
      </c>
      <c r="K1067" s="32">
        <v>1</v>
      </c>
    </row>
    <row r="1068" spans="1:11" x14ac:dyDescent="0.25">
      <c r="A1068" s="78"/>
      <c r="B1068" s="78"/>
      <c r="D1068" s="78"/>
      <c r="E1068" s="78"/>
      <c r="F1068"/>
      <c r="G1068" s="78"/>
      <c r="I1068" t="s">
        <v>459</v>
      </c>
      <c r="J1068">
        <v>1170</v>
      </c>
      <c r="K1068" s="32">
        <v>1</v>
      </c>
    </row>
    <row r="1069" spans="1:11" x14ac:dyDescent="0.25">
      <c r="A1069" s="78"/>
      <c r="B1069" s="78"/>
      <c r="D1069" s="78"/>
      <c r="E1069" s="78"/>
      <c r="F1069"/>
      <c r="G1069" t="s">
        <v>1769</v>
      </c>
      <c r="K1069" s="32">
        <v>8</v>
      </c>
    </row>
    <row r="1070" spans="1:11" x14ac:dyDescent="0.25">
      <c r="A1070" s="78"/>
      <c r="B1070" s="78"/>
      <c r="D1070" s="78"/>
      <c r="E1070" s="78" t="s">
        <v>503</v>
      </c>
      <c r="F1070" t="s">
        <v>794</v>
      </c>
      <c r="G1070" s="78" t="s">
        <v>915</v>
      </c>
      <c r="H1070" s="93" t="s">
        <v>794</v>
      </c>
      <c r="I1070" s="78" t="s">
        <v>807</v>
      </c>
      <c r="J1070">
        <v>1170</v>
      </c>
      <c r="K1070" s="32">
        <v>1</v>
      </c>
    </row>
    <row r="1071" spans="1:11" x14ac:dyDescent="0.25">
      <c r="A1071" s="78"/>
      <c r="B1071" s="78"/>
      <c r="D1071" s="78"/>
      <c r="E1071" s="78"/>
      <c r="F1071"/>
      <c r="G1071" s="78"/>
      <c r="H1071" s="93"/>
      <c r="I1071" s="78" t="s">
        <v>475</v>
      </c>
      <c r="J1071">
        <v>1170</v>
      </c>
      <c r="K1071" s="32">
        <v>1</v>
      </c>
    </row>
    <row r="1072" spans="1:11" x14ac:dyDescent="0.25">
      <c r="A1072" s="78"/>
      <c r="B1072" s="78"/>
      <c r="D1072" s="78"/>
      <c r="E1072" s="78"/>
      <c r="F1072"/>
      <c r="G1072" s="78"/>
      <c r="H1072" s="93"/>
      <c r="I1072" s="78" t="s">
        <v>607</v>
      </c>
      <c r="J1072">
        <v>1170</v>
      </c>
      <c r="K1072" s="32">
        <v>1</v>
      </c>
    </row>
    <row r="1073" spans="1:11" x14ac:dyDescent="0.25">
      <c r="A1073" s="78"/>
      <c r="B1073" s="78"/>
      <c r="D1073" s="78"/>
      <c r="E1073" s="78"/>
      <c r="F1073"/>
      <c r="G1073" s="78"/>
      <c r="H1073" s="93"/>
      <c r="I1073" s="78" t="s">
        <v>476</v>
      </c>
      <c r="J1073">
        <v>1170</v>
      </c>
      <c r="K1073" s="32">
        <v>1</v>
      </c>
    </row>
    <row r="1074" spans="1:11" x14ac:dyDescent="0.25">
      <c r="A1074" s="78"/>
      <c r="B1074" s="78"/>
      <c r="D1074" s="78"/>
      <c r="E1074" s="78"/>
      <c r="F1074"/>
      <c r="G1074" s="78"/>
      <c r="H1074" s="93"/>
      <c r="I1074" s="78" t="s">
        <v>477</v>
      </c>
      <c r="J1074">
        <v>1170</v>
      </c>
      <c r="K1074" s="32">
        <v>1</v>
      </c>
    </row>
    <row r="1075" spans="1:11" x14ac:dyDescent="0.25">
      <c r="A1075" s="78"/>
      <c r="B1075" s="78"/>
      <c r="D1075" s="78"/>
      <c r="E1075" s="78"/>
      <c r="F1075"/>
      <c r="G1075" s="78"/>
      <c r="H1075" s="93"/>
      <c r="I1075" s="78" t="s">
        <v>478</v>
      </c>
      <c r="J1075">
        <v>1170</v>
      </c>
      <c r="K1075" s="32">
        <v>1</v>
      </c>
    </row>
    <row r="1076" spans="1:11" x14ac:dyDescent="0.25">
      <c r="A1076" s="78"/>
      <c r="B1076" s="78"/>
      <c r="D1076" s="78"/>
      <c r="E1076" s="78"/>
      <c r="F1076"/>
      <c r="G1076" t="s">
        <v>1768</v>
      </c>
      <c r="K1076" s="32">
        <v>6</v>
      </c>
    </row>
    <row r="1077" spans="1:11" x14ac:dyDescent="0.25">
      <c r="A1077" s="78"/>
      <c r="B1077" s="78"/>
      <c r="D1077" s="78"/>
      <c r="E1077" s="78"/>
      <c r="F1077"/>
      <c r="G1077" s="78" t="s">
        <v>916</v>
      </c>
      <c r="H1077" t="s">
        <v>42</v>
      </c>
      <c r="I1077" t="s">
        <v>465</v>
      </c>
      <c r="J1077">
        <v>1170</v>
      </c>
      <c r="K1077" s="32">
        <v>1</v>
      </c>
    </row>
    <row r="1078" spans="1:11" x14ac:dyDescent="0.25">
      <c r="A1078" s="78"/>
      <c r="B1078" s="78"/>
      <c r="D1078" s="78"/>
      <c r="E1078" s="78"/>
      <c r="F1078"/>
      <c r="G1078" s="78"/>
      <c r="I1078" t="s">
        <v>466</v>
      </c>
      <c r="J1078">
        <v>1170</v>
      </c>
      <c r="K1078" s="32">
        <v>1</v>
      </c>
    </row>
    <row r="1079" spans="1:11" x14ac:dyDescent="0.25">
      <c r="A1079" s="78"/>
      <c r="B1079" s="78"/>
      <c r="D1079" s="78"/>
      <c r="E1079" s="78"/>
      <c r="F1079"/>
      <c r="G1079" s="78"/>
      <c r="I1079" t="s">
        <v>469</v>
      </c>
      <c r="J1079">
        <v>1170</v>
      </c>
      <c r="K1079" s="32">
        <v>1</v>
      </c>
    </row>
    <row r="1080" spans="1:11" x14ac:dyDescent="0.25">
      <c r="A1080" s="78"/>
      <c r="B1080" s="78"/>
      <c r="D1080" s="78"/>
      <c r="E1080" s="78"/>
      <c r="F1080"/>
      <c r="G1080" s="78"/>
      <c r="I1080" t="s">
        <v>470</v>
      </c>
      <c r="J1080">
        <v>1170</v>
      </c>
      <c r="K1080" s="32">
        <v>1</v>
      </c>
    </row>
    <row r="1081" spans="1:11" x14ac:dyDescent="0.25">
      <c r="A1081" s="78"/>
      <c r="B1081" s="78"/>
      <c r="D1081" s="78"/>
      <c r="E1081" s="78"/>
      <c r="F1081"/>
      <c r="G1081" s="78"/>
      <c r="I1081" t="s">
        <v>471</v>
      </c>
      <c r="J1081">
        <v>1170</v>
      </c>
      <c r="K1081" s="32">
        <v>1</v>
      </c>
    </row>
    <row r="1082" spans="1:11" x14ac:dyDescent="0.25">
      <c r="A1082" s="78"/>
      <c r="B1082" s="78"/>
      <c r="D1082" s="78"/>
      <c r="E1082" s="78"/>
      <c r="F1082"/>
      <c r="G1082" s="78"/>
      <c r="I1082" t="s">
        <v>472</v>
      </c>
      <c r="J1082">
        <v>1170</v>
      </c>
      <c r="K1082" s="32">
        <v>1</v>
      </c>
    </row>
    <row r="1083" spans="1:11" x14ac:dyDescent="0.25">
      <c r="A1083" s="78"/>
      <c r="B1083" s="78"/>
      <c r="D1083" s="78"/>
      <c r="E1083" s="78"/>
      <c r="F1083"/>
      <c r="G1083" s="78"/>
      <c r="I1083" t="s">
        <v>473</v>
      </c>
      <c r="J1083">
        <v>1170</v>
      </c>
      <c r="K1083" s="32">
        <v>1</v>
      </c>
    </row>
    <row r="1084" spans="1:11" x14ac:dyDescent="0.25">
      <c r="A1084" s="78"/>
      <c r="B1084" s="78"/>
      <c r="D1084" s="78"/>
      <c r="E1084" s="78"/>
      <c r="F1084"/>
      <c r="G1084" s="78"/>
      <c r="I1084" t="s">
        <v>474</v>
      </c>
      <c r="J1084">
        <v>1170</v>
      </c>
      <c r="K1084" s="32">
        <v>1</v>
      </c>
    </row>
    <row r="1085" spans="1:11" x14ac:dyDescent="0.25">
      <c r="A1085" s="78"/>
      <c r="B1085" s="78"/>
      <c r="D1085" s="78"/>
      <c r="E1085" s="78"/>
      <c r="F1085"/>
      <c r="G1085" s="78"/>
      <c r="H1085" t="s">
        <v>17</v>
      </c>
      <c r="I1085" t="s">
        <v>467</v>
      </c>
      <c r="J1085">
        <v>1170</v>
      </c>
      <c r="K1085" s="32">
        <v>1</v>
      </c>
    </row>
    <row r="1086" spans="1:11" x14ac:dyDescent="0.25">
      <c r="A1086" s="78"/>
      <c r="B1086" s="78"/>
      <c r="D1086" s="78"/>
      <c r="E1086" s="78"/>
      <c r="F1086"/>
      <c r="G1086" s="78"/>
      <c r="H1086" t="s">
        <v>24</v>
      </c>
      <c r="I1086" t="s">
        <v>468</v>
      </c>
      <c r="J1086">
        <v>1170</v>
      </c>
      <c r="K1086" s="32">
        <v>1</v>
      </c>
    </row>
    <row r="1087" spans="1:11" x14ac:dyDescent="0.25">
      <c r="A1087" s="78"/>
      <c r="B1087" s="78"/>
      <c r="D1087" s="78"/>
      <c r="E1087" s="78"/>
      <c r="F1087"/>
      <c r="G1087" t="s">
        <v>1769</v>
      </c>
      <c r="K1087" s="32">
        <v>10</v>
      </c>
    </row>
    <row r="1088" spans="1:11" x14ac:dyDescent="0.25">
      <c r="A1088" s="78"/>
      <c r="B1088" s="78"/>
      <c r="D1088" s="78"/>
      <c r="E1088" t="s">
        <v>507</v>
      </c>
      <c r="F1088" t="s">
        <v>794</v>
      </c>
      <c r="G1088" t="s">
        <v>915</v>
      </c>
      <c r="H1088" t="s">
        <v>794</v>
      </c>
      <c r="I1088" t="s">
        <v>1123</v>
      </c>
      <c r="J1088">
        <v>1170</v>
      </c>
      <c r="K1088" s="32">
        <v>1</v>
      </c>
    </row>
    <row r="1089" spans="1:11" x14ac:dyDescent="0.25">
      <c r="A1089" s="78"/>
      <c r="B1089" s="78"/>
      <c r="D1089" s="78"/>
      <c r="E1089"/>
      <c r="F1089"/>
      <c r="G1089" t="s">
        <v>1768</v>
      </c>
      <c r="K1089" s="32">
        <v>1</v>
      </c>
    </row>
    <row r="1090" spans="1:11" x14ac:dyDescent="0.25">
      <c r="A1090" s="78"/>
      <c r="B1090" s="78"/>
      <c r="D1090" t="s">
        <v>1820</v>
      </c>
      <c r="E1090" t="s">
        <v>794</v>
      </c>
      <c r="F1090" t="s">
        <v>794</v>
      </c>
      <c r="G1090" s="99" t="s">
        <v>915</v>
      </c>
      <c r="H1090" s="99" t="s">
        <v>794</v>
      </c>
      <c r="I1090" t="s">
        <v>1619</v>
      </c>
      <c r="J1090">
        <v>1170</v>
      </c>
      <c r="K1090" s="32">
        <v>1</v>
      </c>
    </row>
    <row r="1091" spans="1:11" x14ac:dyDescent="0.25">
      <c r="A1091" s="78"/>
      <c r="B1091" s="78"/>
      <c r="D1091"/>
      <c r="E1091"/>
      <c r="F1091"/>
      <c r="G1091" s="99"/>
      <c r="H1091" s="99"/>
      <c r="I1091" t="s">
        <v>1618</v>
      </c>
      <c r="J1091">
        <v>1170</v>
      </c>
      <c r="K1091" s="32">
        <v>1</v>
      </c>
    </row>
    <row r="1092" spans="1:11" x14ac:dyDescent="0.25">
      <c r="A1092" s="78"/>
      <c r="B1092" s="78"/>
      <c r="D1092"/>
      <c r="E1092"/>
      <c r="F1092"/>
      <c r="G1092" s="99"/>
      <c r="H1092" s="99"/>
      <c r="I1092" t="s">
        <v>89</v>
      </c>
      <c r="J1092">
        <v>1170</v>
      </c>
      <c r="K1092" s="32">
        <v>1</v>
      </c>
    </row>
    <row r="1093" spans="1:11" x14ac:dyDescent="0.25">
      <c r="A1093" s="78"/>
      <c r="B1093" s="78"/>
      <c r="D1093"/>
      <c r="E1093"/>
      <c r="F1093"/>
      <c r="G1093" s="99"/>
      <c r="H1093" s="99"/>
      <c r="I1093" t="s">
        <v>839</v>
      </c>
      <c r="J1093">
        <v>1170</v>
      </c>
      <c r="K1093" s="32">
        <v>1</v>
      </c>
    </row>
    <row r="1094" spans="1:11" x14ac:dyDescent="0.25">
      <c r="A1094" s="78"/>
      <c r="B1094" s="78"/>
      <c r="D1094"/>
      <c r="E1094"/>
      <c r="F1094"/>
      <c r="G1094" s="99"/>
      <c r="H1094" s="99"/>
      <c r="I1094" t="s">
        <v>1030</v>
      </c>
      <c r="J1094">
        <v>1170</v>
      </c>
      <c r="K1094" s="32">
        <v>1</v>
      </c>
    </row>
    <row r="1095" spans="1:11" x14ac:dyDescent="0.25">
      <c r="A1095" s="78"/>
      <c r="B1095" s="78"/>
      <c r="D1095"/>
      <c r="E1095"/>
      <c r="F1095"/>
      <c r="G1095" s="99"/>
      <c r="H1095" s="99"/>
      <c r="I1095" t="s">
        <v>1609</v>
      </c>
      <c r="J1095">
        <v>1170</v>
      </c>
      <c r="K1095" s="32">
        <v>1</v>
      </c>
    </row>
    <row r="1096" spans="1:11" x14ac:dyDescent="0.25">
      <c r="A1096" s="78"/>
      <c r="B1096" s="78"/>
      <c r="D1096"/>
      <c r="E1096"/>
      <c r="F1096"/>
      <c r="G1096" s="99"/>
      <c r="H1096" s="99"/>
      <c r="I1096" t="s">
        <v>958</v>
      </c>
      <c r="J1096">
        <v>1170</v>
      </c>
      <c r="K1096" s="32">
        <v>1</v>
      </c>
    </row>
    <row r="1097" spans="1:11" x14ac:dyDescent="0.25">
      <c r="A1097" s="78"/>
      <c r="B1097" s="78"/>
      <c r="D1097"/>
      <c r="E1097"/>
      <c r="F1097"/>
      <c r="G1097" s="99"/>
      <c r="H1097" s="99"/>
      <c r="I1097" t="s">
        <v>961</v>
      </c>
      <c r="J1097">
        <v>1170</v>
      </c>
      <c r="K1097" s="32">
        <v>1</v>
      </c>
    </row>
    <row r="1098" spans="1:11" x14ac:dyDescent="0.25">
      <c r="A1098" s="78"/>
      <c r="B1098" s="78"/>
      <c r="D1098"/>
      <c r="E1098"/>
      <c r="F1098"/>
      <c r="G1098" s="99"/>
      <c r="H1098" s="99"/>
      <c r="I1098" t="s">
        <v>962</v>
      </c>
      <c r="J1098">
        <v>1170</v>
      </c>
      <c r="K1098" s="32">
        <v>1</v>
      </c>
    </row>
    <row r="1099" spans="1:11" x14ac:dyDescent="0.25">
      <c r="A1099" s="78"/>
      <c r="B1099" s="78"/>
      <c r="D1099"/>
      <c r="E1099"/>
      <c r="F1099"/>
      <c r="G1099" s="99"/>
      <c r="H1099" s="99"/>
      <c r="I1099" t="s">
        <v>959</v>
      </c>
      <c r="J1099">
        <v>1170</v>
      </c>
      <c r="K1099" s="32">
        <v>1</v>
      </c>
    </row>
    <row r="1100" spans="1:11" x14ac:dyDescent="0.25">
      <c r="A1100" s="78"/>
      <c r="B1100" s="78"/>
      <c r="D1100"/>
      <c r="E1100"/>
      <c r="F1100"/>
      <c r="G1100" s="99"/>
      <c r="H1100" s="99"/>
      <c r="I1100" t="s">
        <v>841</v>
      </c>
      <c r="J1100">
        <v>1170</v>
      </c>
      <c r="K1100" s="32">
        <v>1</v>
      </c>
    </row>
    <row r="1101" spans="1:11" x14ac:dyDescent="0.25">
      <c r="A1101" s="78"/>
      <c r="B1101" s="78"/>
      <c r="D1101"/>
      <c r="E1101"/>
      <c r="F1101"/>
      <c r="G1101" s="99"/>
      <c r="H1101" s="99"/>
      <c r="I1101" t="s">
        <v>1654</v>
      </c>
      <c r="J1101">
        <v>1170</v>
      </c>
      <c r="K1101" s="32">
        <v>1</v>
      </c>
    </row>
    <row r="1102" spans="1:11" x14ac:dyDescent="0.25">
      <c r="A1102" s="78"/>
      <c r="B1102" s="78"/>
      <c r="D1102"/>
      <c r="E1102"/>
      <c r="F1102"/>
      <c r="G1102" s="99"/>
      <c r="H1102" s="99"/>
      <c r="I1102" t="s">
        <v>168</v>
      </c>
      <c r="J1102">
        <v>1170</v>
      </c>
      <c r="K1102" s="32">
        <v>1</v>
      </c>
    </row>
    <row r="1103" spans="1:11" x14ac:dyDescent="0.25">
      <c r="A1103" s="78"/>
      <c r="B1103" s="78"/>
      <c r="D1103"/>
      <c r="E1103"/>
      <c r="F1103"/>
      <c r="G1103" s="99"/>
      <c r="H1103" s="99"/>
      <c r="I1103" t="s">
        <v>1624</v>
      </c>
      <c r="J1103">
        <v>1170</v>
      </c>
      <c r="K1103" s="32">
        <v>1</v>
      </c>
    </row>
    <row r="1104" spans="1:11" x14ac:dyDescent="0.25">
      <c r="A1104" s="78"/>
      <c r="B1104" s="78"/>
      <c r="D1104"/>
      <c r="E1104"/>
      <c r="F1104"/>
      <c r="G1104" s="99"/>
      <c r="H1104" s="99"/>
      <c r="I1104" t="s">
        <v>840</v>
      </c>
      <c r="J1104">
        <v>1170</v>
      </c>
      <c r="K1104" s="32">
        <v>1</v>
      </c>
    </row>
    <row r="1105" spans="1:11" x14ac:dyDescent="0.25">
      <c r="A1105" s="78"/>
      <c r="B1105" s="78"/>
      <c r="D1105"/>
      <c r="E1105"/>
      <c r="F1105"/>
      <c r="G1105" s="99"/>
      <c r="H1105" s="99"/>
      <c r="I1105" t="s">
        <v>1055</v>
      </c>
      <c r="J1105">
        <v>1170</v>
      </c>
      <c r="K1105" s="32">
        <v>1</v>
      </c>
    </row>
    <row r="1106" spans="1:11" x14ac:dyDescent="0.25">
      <c r="A1106" s="78"/>
      <c r="B1106" s="78"/>
      <c r="D1106"/>
      <c r="E1106"/>
      <c r="F1106"/>
      <c r="G1106" s="99"/>
      <c r="H1106" s="99"/>
      <c r="I1106" t="s">
        <v>170</v>
      </c>
      <c r="J1106">
        <v>1170</v>
      </c>
      <c r="K1106" s="32">
        <v>1</v>
      </c>
    </row>
    <row r="1107" spans="1:11" x14ac:dyDescent="0.25">
      <c r="A1107" s="78"/>
      <c r="B1107" s="78"/>
      <c r="D1107"/>
      <c r="E1107"/>
      <c r="F1107"/>
      <c r="G1107" s="99"/>
      <c r="H1107" s="99"/>
      <c r="I1107" t="s">
        <v>960</v>
      </c>
      <c r="J1107">
        <v>1170</v>
      </c>
      <c r="K1107" s="32">
        <v>1</v>
      </c>
    </row>
    <row r="1108" spans="1:11" x14ac:dyDescent="0.25">
      <c r="A1108" s="78"/>
      <c r="B1108" s="78"/>
      <c r="D1108"/>
      <c r="E1108"/>
      <c r="F1108"/>
      <c r="G1108" s="99"/>
      <c r="H1108" s="99"/>
      <c r="I1108" t="s">
        <v>1056</v>
      </c>
      <c r="J1108">
        <v>1170</v>
      </c>
      <c r="K1108" s="32">
        <v>1</v>
      </c>
    </row>
    <row r="1109" spans="1:11" x14ac:dyDescent="0.25">
      <c r="A1109" s="78"/>
      <c r="B1109" s="78"/>
      <c r="D1109"/>
      <c r="E1109"/>
      <c r="F1109"/>
      <c r="G1109" s="99"/>
      <c r="H1109" s="99"/>
      <c r="I1109" t="s">
        <v>844</v>
      </c>
      <c r="J1109">
        <v>1170</v>
      </c>
      <c r="K1109" s="32">
        <v>1</v>
      </c>
    </row>
    <row r="1110" spans="1:11" x14ac:dyDescent="0.25">
      <c r="A1110" s="78"/>
      <c r="B1110" s="78"/>
      <c r="D1110"/>
      <c r="E1110"/>
      <c r="F1110"/>
      <c r="G1110" s="99"/>
      <c r="H1110" s="99"/>
      <c r="I1110" t="s">
        <v>1053</v>
      </c>
      <c r="J1110">
        <v>1170</v>
      </c>
      <c r="K1110" s="32">
        <v>1</v>
      </c>
    </row>
    <row r="1111" spans="1:11" x14ac:dyDescent="0.25">
      <c r="A1111" s="78"/>
      <c r="B1111" s="78"/>
      <c r="D1111"/>
      <c r="E1111"/>
      <c r="F1111"/>
      <c r="G1111" s="99"/>
      <c r="H1111" s="99"/>
      <c r="I1111" t="s">
        <v>1110</v>
      </c>
      <c r="J1111">
        <v>1170</v>
      </c>
      <c r="K1111" s="32">
        <v>1</v>
      </c>
    </row>
    <row r="1112" spans="1:11" x14ac:dyDescent="0.25">
      <c r="A1112" s="78"/>
      <c r="B1112" s="78"/>
      <c r="D1112"/>
      <c r="E1112"/>
      <c r="F1112"/>
      <c r="G1112" s="99"/>
      <c r="H1112" s="99"/>
      <c r="I1112" t="s">
        <v>1113</v>
      </c>
      <c r="J1112">
        <v>1170</v>
      </c>
      <c r="K1112" s="32">
        <v>1</v>
      </c>
    </row>
    <row r="1113" spans="1:11" x14ac:dyDescent="0.25">
      <c r="A1113" s="78"/>
      <c r="B1113" s="78"/>
      <c r="D1113"/>
      <c r="E1113"/>
      <c r="F1113"/>
      <c r="G1113" s="99"/>
      <c r="H1113" s="99"/>
      <c r="I1113" t="s">
        <v>843</v>
      </c>
      <c r="J1113">
        <v>1170</v>
      </c>
      <c r="K1113" s="32">
        <v>1</v>
      </c>
    </row>
    <row r="1114" spans="1:11" x14ac:dyDescent="0.25">
      <c r="A1114" s="78"/>
      <c r="B1114" s="78"/>
      <c r="D1114"/>
      <c r="E1114"/>
      <c r="F1114"/>
      <c r="G1114" s="99"/>
      <c r="H1114" s="99"/>
      <c r="I1114" t="s">
        <v>1677</v>
      </c>
      <c r="J1114">
        <v>1170</v>
      </c>
      <c r="K1114" s="32">
        <v>1</v>
      </c>
    </row>
    <row r="1115" spans="1:11" x14ac:dyDescent="0.25">
      <c r="A1115" s="78"/>
      <c r="B1115" s="78"/>
      <c r="D1115"/>
      <c r="E1115"/>
      <c r="F1115"/>
      <c r="G1115" s="99"/>
      <c r="H1115" s="99"/>
      <c r="I1115" t="s">
        <v>1678</v>
      </c>
      <c r="J1115">
        <v>1170</v>
      </c>
      <c r="K1115" s="32">
        <v>1</v>
      </c>
    </row>
    <row r="1116" spans="1:11" x14ac:dyDescent="0.25">
      <c r="A1116" s="78"/>
      <c r="B1116" s="78"/>
      <c r="D1116"/>
      <c r="E1116"/>
      <c r="F1116"/>
      <c r="G1116" s="99"/>
      <c r="H1116" s="99"/>
      <c r="I1116" t="s">
        <v>1800</v>
      </c>
      <c r="J1116">
        <v>1170</v>
      </c>
      <c r="K1116" s="32">
        <v>1</v>
      </c>
    </row>
    <row r="1117" spans="1:11" x14ac:dyDescent="0.25">
      <c r="A1117" s="78"/>
      <c r="B1117" s="78"/>
      <c r="D1117"/>
      <c r="E1117"/>
      <c r="F1117"/>
      <c r="G1117" s="84"/>
      <c r="H1117" s="84"/>
      <c r="I1117" t="s">
        <v>1822</v>
      </c>
      <c r="J1117">
        <v>1170</v>
      </c>
      <c r="K1117" s="32">
        <v>1</v>
      </c>
    </row>
    <row r="1118" spans="1:11" x14ac:dyDescent="0.25">
      <c r="A1118" s="78"/>
      <c r="B1118" s="78"/>
      <c r="D1118"/>
      <c r="E1118"/>
      <c r="F1118"/>
      <c r="G1118" t="s">
        <v>1768</v>
      </c>
      <c r="K1118" s="32">
        <v>28</v>
      </c>
    </row>
    <row r="1119" spans="1:11" x14ac:dyDescent="0.25">
      <c r="A1119" s="78"/>
      <c r="B1119" s="78"/>
      <c r="D1119"/>
      <c r="E1119"/>
      <c r="F1119"/>
      <c r="G1119" s="99" t="s">
        <v>916</v>
      </c>
      <c r="H1119" t="s">
        <v>43</v>
      </c>
      <c r="I1119" t="s">
        <v>745</v>
      </c>
      <c r="J1119">
        <v>1170</v>
      </c>
      <c r="K1119" s="32">
        <v>1</v>
      </c>
    </row>
    <row r="1120" spans="1:11" x14ac:dyDescent="0.25">
      <c r="A1120" s="78"/>
      <c r="B1120" s="78"/>
      <c r="D1120"/>
      <c r="E1120"/>
      <c r="F1120"/>
      <c r="G1120" s="99"/>
      <c r="H1120" s="84" t="s">
        <v>30</v>
      </c>
      <c r="I1120" t="s">
        <v>174</v>
      </c>
      <c r="J1120">
        <v>1170</v>
      </c>
      <c r="K1120" s="32">
        <v>1</v>
      </c>
    </row>
    <row r="1121" spans="1:11" x14ac:dyDescent="0.25">
      <c r="A1121" s="78"/>
      <c r="B1121" s="78"/>
      <c r="D1121"/>
      <c r="E1121"/>
      <c r="F1121"/>
      <c r="G1121" s="84"/>
      <c r="H1121" t="s">
        <v>17</v>
      </c>
      <c r="I1121" t="s">
        <v>801</v>
      </c>
      <c r="J1121">
        <v>1170</v>
      </c>
      <c r="K1121" s="32">
        <v>1</v>
      </c>
    </row>
    <row r="1122" spans="1:11" x14ac:dyDescent="0.25">
      <c r="A1122" s="78"/>
      <c r="B1122" s="78"/>
      <c r="D1122"/>
      <c r="E1122"/>
      <c r="F1122"/>
      <c r="G1122" t="s">
        <v>1769</v>
      </c>
      <c r="K1122" s="32">
        <v>3</v>
      </c>
    </row>
    <row r="1123" spans="1:11" x14ac:dyDescent="0.25">
      <c r="A1123" s="78"/>
      <c r="B1123" s="78" t="s">
        <v>1098</v>
      </c>
      <c r="C1123" s="93" t="s">
        <v>794</v>
      </c>
      <c r="D1123" t="s">
        <v>1833</v>
      </c>
      <c r="E1123" t="s">
        <v>794</v>
      </c>
      <c r="F1123" t="s">
        <v>794</v>
      </c>
      <c r="G1123" t="s">
        <v>915</v>
      </c>
      <c r="H1123" t="s">
        <v>794</v>
      </c>
      <c r="I1123" t="s">
        <v>845</v>
      </c>
      <c r="J1123">
        <v>1170</v>
      </c>
      <c r="K1123" s="32">
        <v>1</v>
      </c>
    </row>
    <row r="1124" spans="1:11" x14ac:dyDescent="0.25">
      <c r="A1124" s="78"/>
      <c r="B1124" s="78"/>
      <c r="C1124" s="93"/>
      <c r="D1124"/>
      <c r="E1124"/>
      <c r="F1124"/>
      <c r="I1124" t="s">
        <v>1627</v>
      </c>
      <c r="J1124">
        <v>1170</v>
      </c>
      <c r="K1124" s="32">
        <v>1</v>
      </c>
    </row>
    <row r="1125" spans="1:11" x14ac:dyDescent="0.25">
      <c r="A1125" s="78"/>
      <c r="B1125" s="78"/>
      <c r="C1125" s="93"/>
      <c r="D1125"/>
      <c r="E1125"/>
      <c r="F1125"/>
      <c r="I1125" t="s">
        <v>1629</v>
      </c>
      <c r="J1125">
        <v>1170</v>
      </c>
      <c r="K1125" s="32">
        <v>1</v>
      </c>
    </row>
    <row r="1126" spans="1:11" x14ac:dyDescent="0.25">
      <c r="A1126" s="78"/>
      <c r="B1126" s="78"/>
      <c r="C1126" s="93"/>
      <c r="D1126"/>
      <c r="E1126"/>
      <c r="F1126"/>
      <c r="I1126" t="s">
        <v>846</v>
      </c>
      <c r="J1126">
        <v>1170</v>
      </c>
      <c r="K1126" s="32">
        <v>1</v>
      </c>
    </row>
    <row r="1127" spans="1:11" x14ac:dyDescent="0.25">
      <c r="A1127" s="78"/>
      <c r="B1127" s="78"/>
      <c r="C1127" s="93"/>
      <c r="D1127"/>
      <c r="E1127"/>
      <c r="F1127"/>
      <c r="I1127" t="s">
        <v>1630</v>
      </c>
      <c r="J1127">
        <v>1170</v>
      </c>
      <c r="K1127" s="32">
        <v>1</v>
      </c>
    </row>
    <row r="1128" spans="1:11" x14ac:dyDescent="0.25">
      <c r="A1128" s="78"/>
      <c r="B1128" s="78"/>
      <c r="C1128" s="93"/>
      <c r="D1128"/>
      <c r="E1128"/>
      <c r="F1128"/>
      <c r="I1128" t="s">
        <v>1628</v>
      </c>
      <c r="J1128">
        <v>1170</v>
      </c>
      <c r="K1128" s="32">
        <v>1</v>
      </c>
    </row>
    <row r="1129" spans="1:11" x14ac:dyDescent="0.25">
      <c r="A1129" s="78"/>
      <c r="B1129" s="78"/>
      <c r="C1129" s="93"/>
      <c r="D1129"/>
      <c r="E1129"/>
      <c r="F1129"/>
      <c r="I1129" t="s">
        <v>511</v>
      </c>
      <c r="J1129">
        <v>1170</v>
      </c>
      <c r="K1129" s="32">
        <v>1</v>
      </c>
    </row>
    <row r="1130" spans="1:11" x14ac:dyDescent="0.25">
      <c r="A1130" s="78"/>
      <c r="B1130" s="78"/>
      <c r="C1130" s="93"/>
      <c r="D1130"/>
      <c r="E1130"/>
      <c r="F1130"/>
      <c r="G1130" t="s">
        <v>1768</v>
      </c>
      <c r="K1130" s="32">
        <v>7</v>
      </c>
    </row>
    <row r="1131" spans="1:11" x14ac:dyDescent="0.25">
      <c r="A1131" s="78"/>
      <c r="B1131" s="78"/>
      <c r="C1131" s="93"/>
      <c r="D1131"/>
      <c r="E1131"/>
      <c r="F1131"/>
      <c r="G1131" t="s">
        <v>916</v>
      </c>
      <c r="H1131" t="s">
        <v>33</v>
      </c>
      <c r="I1131" t="s">
        <v>594</v>
      </c>
      <c r="J1131">
        <v>1170</v>
      </c>
      <c r="K1131" s="32">
        <v>1</v>
      </c>
    </row>
    <row r="1132" spans="1:11" x14ac:dyDescent="0.25">
      <c r="A1132" s="78"/>
      <c r="B1132" s="78"/>
      <c r="C1132" s="93"/>
      <c r="D1132"/>
      <c r="E1132"/>
      <c r="F1132"/>
      <c r="G1132" t="s">
        <v>1769</v>
      </c>
      <c r="K1132" s="32">
        <v>1</v>
      </c>
    </row>
    <row r="1133" spans="1:11" x14ac:dyDescent="0.25">
      <c r="A1133" s="34" t="s">
        <v>1663</v>
      </c>
      <c r="B1133" s="34"/>
      <c r="C1133" s="34"/>
      <c r="D1133" s="34"/>
      <c r="E1133" s="34"/>
      <c r="F1133" s="34"/>
      <c r="G1133" s="34"/>
      <c r="H1133" s="34"/>
      <c r="I1133" s="34"/>
      <c r="J1133" s="34"/>
      <c r="K1133" s="32">
        <v>991</v>
      </c>
    </row>
    <row r="1134" spans="1:11" x14ac:dyDescent="0.25">
      <c r="A1134" s="34" t="s">
        <v>252</v>
      </c>
      <c r="B1134" s="34"/>
      <c r="C1134" s="34"/>
      <c r="D1134" s="34"/>
      <c r="E1134" s="34"/>
      <c r="F1134" s="34"/>
      <c r="G1134" s="34"/>
      <c r="H1134" s="34"/>
      <c r="I1134" s="34"/>
      <c r="J1134" s="34"/>
      <c r="K1134" s="32">
        <v>991</v>
      </c>
    </row>
    <row r="1135" spans="1:11" x14ac:dyDescent="0.25">
      <c r="D1135"/>
      <c r="E1135"/>
      <c r="F1135"/>
    </row>
    <row r="1136" spans="1:11" x14ac:dyDescent="0.25">
      <c r="D1136"/>
      <c r="E1136"/>
      <c r="F1136"/>
    </row>
    <row r="1137" spans="4:9" x14ac:dyDescent="0.25">
      <c r="D1137"/>
      <c r="E1137"/>
      <c r="F1137"/>
    </row>
    <row r="1138" spans="4:9" x14ac:dyDescent="0.25">
      <c r="D1138"/>
      <c r="E1138"/>
      <c r="F1138"/>
    </row>
    <row r="1139" spans="4:9" x14ac:dyDescent="0.25">
      <c r="D1139"/>
      <c r="E1139"/>
      <c r="F1139"/>
    </row>
    <row r="1140" spans="4:9" x14ac:dyDescent="0.25">
      <c r="D1140"/>
      <c r="E1140"/>
      <c r="F1140"/>
    </row>
    <row r="1141" spans="4:9" x14ac:dyDescent="0.25">
      <c r="I1141" s="40"/>
    </row>
    <row r="1142" spans="4:9" x14ac:dyDescent="0.25">
      <c r="I1142" s="40"/>
    </row>
    <row r="1143" spans="4:9" x14ac:dyDescent="0.25">
      <c r="I1143" s="40"/>
    </row>
    <row r="1144" spans="4:9" x14ac:dyDescent="0.25">
      <c r="I1144" s="40"/>
    </row>
    <row r="1145" spans="4:9" x14ac:dyDescent="0.25">
      <c r="I1145" s="40"/>
    </row>
    <row r="1146" spans="4:9" x14ac:dyDescent="0.25">
      <c r="I1146" s="40"/>
    </row>
    <row r="1147" spans="4:9" x14ac:dyDescent="0.25">
      <c r="I1147" s="40"/>
    </row>
    <row r="1148" spans="4:9" x14ac:dyDescent="0.25">
      <c r="I1148" s="40"/>
    </row>
    <row r="1149" spans="4:9" x14ac:dyDescent="0.25">
      <c r="I1149" s="40"/>
    </row>
    <row r="1150" spans="4:9" x14ac:dyDescent="0.25">
      <c r="I1150" s="40"/>
    </row>
    <row r="1151" spans="4:9" x14ac:dyDescent="0.25">
      <c r="I1151" s="40"/>
    </row>
    <row r="1152" spans="4:9" x14ac:dyDescent="0.25">
      <c r="I1152" s="40"/>
    </row>
    <row r="1153" spans="9:9" x14ac:dyDescent="0.25">
      <c r="I1153" s="40"/>
    </row>
    <row r="1154" spans="9:9" x14ac:dyDescent="0.25">
      <c r="I1154" s="40"/>
    </row>
    <row r="1155" spans="9:9" x14ac:dyDescent="0.25">
      <c r="I1155" s="40"/>
    </row>
    <row r="1156" spans="9:9" x14ac:dyDescent="0.25">
      <c r="I1156" s="40"/>
    </row>
    <row r="1157" spans="9:9" x14ac:dyDescent="0.25">
      <c r="I1157" s="40"/>
    </row>
    <row r="1158" spans="9:9" x14ac:dyDescent="0.25">
      <c r="I1158" s="40"/>
    </row>
    <row r="1159" spans="9:9" x14ac:dyDescent="0.25">
      <c r="I1159" s="40"/>
    </row>
    <row r="1160" spans="9:9" x14ac:dyDescent="0.25">
      <c r="I1160" s="40"/>
    </row>
    <row r="1161" spans="9:9" x14ac:dyDescent="0.25">
      <c r="I1161" s="40"/>
    </row>
    <row r="1162" spans="9:9" x14ac:dyDescent="0.25">
      <c r="I1162" s="40"/>
    </row>
    <row r="1163" spans="9:9" x14ac:dyDescent="0.25">
      <c r="I1163" s="40"/>
    </row>
    <row r="1164" spans="9:9" x14ac:dyDescent="0.25">
      <c r="I1164" s="40"/>
    </row>
    <row r="1165" spans="9:9" x14ac:dyDescent="0.25">
      <c r="I1165" s="40"/>
    </row>
    <row r="1166" spans="9:9" x14ac:dyDescent="0.25">
      <c r="I1166" s="40"/>
    </row>
    <row r="1167" spans="9:9" x14ac:dyDescent="0.25">
      <c r="I1167" s="40"/>
    </row>
    <row r="1168" spans="9:9" x14ac:dyDescent="0.25">
      <c r="I1168" s="40"/>
    </row>
    <row r="1169" spans="9:9" x14ac:dyDescent="0.25">
      <c r="I1169" s="40"/>
    </row>
    <row r="1170" spans="9:9" x14ac:dyDescent="0.25">
      <c r="I1170" s="40"/>
    </row>
    <row r="1171" spans="9:9" x14ac:dyDescent="0.25">
      <c r="I1171" s="40"/>
    </row>
    <row r="1172" spans="9:9" x14ac:dyDescent="0.25">
      <c r="I1172" s="40"/>
    </row>
    <row r="1173" spans="9:9" x14ac:dyDescent="0.25">
      <c r="I1173" s="40"/>
    </row>
    <row r="1174" spans="9:9" x14ac:dyDescent="0.25">
      <c r="I1174" s="40"/>
    </row>
    <row r="1175" spans="9:9" x14ac:dyDescent="0.25">
      <c r="I1175" s="40"/>
    </row>
    <row r="1176" spans="9:9" x14ac:dyDescent="0.25">
      <c r="I1176" s="40"/>
    </row>
    <row r="1177" spans="9:9" x14ac:dyDescent="0.25">
      <c r="I1177" s="40"/>
    </row>
    <row r="1178" spans="9:9" x14ac:dyDescent="0.25">
      <c r="I1178" s="40"/>
    </row>
    <row r="1179" spans="9:9" x14ac:dyDescent="0.25">
      <c r="I1179" s="40"/>
    </row>
    <row r="1180" spans="9:9" x14ac:dyDescent="0.25">
      <c r="I1180" s="40"/>
    </row>
    <row r="1181" spans="9:9" x14ac:dyDescent="0.25">
      <c r="I1181" s="40"/>
    </row>
    <row r="1182" spans="9:9" x14ac:dyDescent="0.25">
      <c r="I1182" s="40"/>
    </row>
    <row r="1183" spans="9:9" x14ac:dyDescent="0.25">
      <c r="I1183" s="40"/>
    </row>
    <row r="1184" spans="9:9" x14ac:dyDescent="0.25">
      <c r="I1184" s="40"/>
    </row>
    <row r="1185" spans="9:9" x14ac:dyDescent="0.25">
      <c r="I1185" s="40"/>
    </row>
    <row r="1186" spans="9:9" x14ac:dyDescent="0.25">
      <c r="I1186" s="40"/>
    </row>
    <row r="1187" spans="9:9" x14ac:dyDescent="0.25">
      <c r="I1187" s="40"/>
    </row>
    <row r="1188" spans="9:9" x14ac:dyDescent="0.25">
      <c r="I1188" s="40"/>
    </row>
    <row r="1189" spans="9:9" x14ac:dyDescent="0.25">
      <c r="I1189" s="40"/>
    </row>
    <row r="1190" spans="9:9" x14ac:dyDescent="0.25">
      <c r="I1190" s="40"/>
    </row>
    <row r="1191" spans="9:9" x14ac:dyDescent="0.25">
      <c r="I1191" s="40"/>
    </row>
    <row r="1192" spans="9:9" x14ac:dyDescent="0.25">
      <c r="I1192" s="40"/>
    </row>
    <row r="1193" spans="9:9" x14ac:dyDescent="0.25">
      <c r="I1193" s="40"/>
    </row>
    <row r="1194" spans="9:9" x14ac:dyDescent="0.25">
      <c r="I1194" s="40"/>
    </row>
    <row r="1195" spans="9:9" x14ac:dyDescent="0.25">
      <c r="I1195" s="40"/>
    </row>
    <row r="1196" spans="9:9" x14ac:dyDescent="0.25">
      <c r="I1196" s="40"/>
    </row>
    <row r="1197" spans="9:9" x14ac:dyDescent="0.25">
      <c r="I1197" s="40"/>
    </row>
    <row r="1198" spans="9:9" x14ac:dyDescent="0.25">
      <c r="I1198" s="40"/>
    </row>
    <row r="1199" spans="9:9" x14ac:dyDescent="0.25">
      <c r="I1199" s="40"/>
    </row>
    <row r="1200" spans="9:9" x14ac:dyDescent="0.25">
      <c r="I1200" s="40"/>
    </row>
    <row r="1201" spans="9:9" x14ac:dyDescent="0.25">
      <c r="I1201" s="40"/>
    </row>
    <row r="1202" spans="9:9" x14ac:dyDescent="0.25">
      <c r="I1202" s="40"/>
    </row>
    <row r="1203" spans="9:9" x14ac:dyDescent="0.25">
      <c r="I1203" s="40"/>
    </row>
    <row r="1204" spans="9:9" x14ac:dyDescent="0.25">
      <c r="I1204" s="40"/>
    </row>
    <row r="1205" spans="9:9" x14ac:dyDescent="0.25">
      <c r="I1205" s="40"/>
    </row>
    <row r="1206" spans="9:9" x14ac:dyDescent="0.25">
      <c r="I1206" s="40"/>
    </row>
    <row r="1207" spans="9:9" x14ac:dyDescent="0.25">
      <c r="I1207" s="40"/>
    </row>
    <row r="1208" spans="9:9" x14ac:dyDescent="0.25">
      <c r="I1208" s="40"/>
    </row>
    <row r="1209" spans="9:9" x14ac:dyDescent="0.25">
      <c r="I1209" s="40"/>
    </row>
    <row r="1210" spans="9:9" x14ac:dyDescent="0.25">
      <c r="I1210" s="40"/>
    </row>
    <row r="1211" spans="9:9" x14ac:dyDescent="0.25">
      <c r="I1211" s="40"/>
    </row>
    <row r="1212" spans="9:9" x14ac:dyDescent="0.25">
      <c r="I1212" s="40"/>
    </row>
    <row r="1213" spans="9:9" x14ac:dyDescent="0.25">
      <c r="I1213" s="40"/>
    </row>
    <row r="1214" spans="9:9" x14ac:dyDescent="0.25">
      <c r="I1214" s="40"/>
    </row>
    <row r="1215" spans="9:9" x14ac:dyDescent="0.25">
      <c r="I1215" s="40"/>
    </row>
    <row r="1216" spans="9:9" x14ac:dyDescent="0.25">
      <c r="I1216" s="40"/>
    </row>
    <row r="1217" spans="9:9" x14ac:dyDescent="0.25">
      <c r="I1217" s="40"/>
    </row>
    <row r="1218" spans="9:9" x14ac:dyDescent="0.25">
      <c r="I1218" s="40"/>
    </row>
    <row r="1219" spans="9:9" x14ac:dyDescent="0.25">
      <c r="I1219" s="40"/>
    </row>
    <row r="1220" spans="9:9" x14ac:dyDescent="0.25">
      <c r="I1220" s="40"/>
    </row>
    <row r="1221" spans="9:9" x14ac:dyDescent="0.25">
      <c r="I1221" s="40"/>
    </row>
    <row r="1222" spans="9:9" x14ac:dyDescent="0.25">
      <c r="I1222" s="40"/>
    </row>
    <row r="1223" spans="9:9" x14ac:dyDescent="0.25">
      <c r="I1223" s="40"/>
    </row>
    <row r="1224" spans="9:9" x14ac:dyDescent="0.25">
      <c r="I1224" s="40"/>
    </row>
    <row r="1225" spans="9:9" x14ac:dyDescent="0.25">
      <c r="I1225" s="40"/>
    </row>
    <row r="1226" spans="9:9" x14ac:dyDescent="0.25">
      <c r="I1226" s="40"/>
    </row>
    <row r="1227" spans="9:9" x14ac:dyDescent="0.25">
      <c r="I1227" s="40"/>
    </row>
    <row r="1228" spans="9:9" x14ac:dyDescent="0.25">
      <c r="I1228" s="40"/>
    </row>
    <row r="1229" spans="9:9" x14ac:dyDescent="0.25">
      <c r="I1229" s="40"/>
    </row>
    <row r="1230" spans="9:9" x14ac:dyDescent="0.25">
      <c r="I1230" s="40"/>
    </row>
    <row r="1231" spans="9:9" x14ac:dyDescent="0.25">
      <c r="I1231" s="40"/>
    </row>
    <row r="1232" spans="9:9" x14ac:dyDescent="0.25">
      <c r="I1232" s="40"/>
    </row>
    <row r="1233" spans="9:9" x14ac:dyDescent="0.25">
      <c r="I1233" s="40"/>
    </row>
    <row r="1234" spans="9:9" x14ac:dyDescent="0.25">
      <c r="I1234" s="40"/>
    </row>
    <row r="1235" spans="9:9" x14ac:dyDescent="0.25">
      <c r="I1235" s="40"/>
    </row>
    <row r="1236" spans="9:9" x14ac:dyDescent="0.25">
      <c r="I1236" s="40"/>
    </row>
    <row r="1237" spans="9:9" x14ac:dyDescent="0.25">
      <c r="I1237" s="40"/>
    </row>
    <row r="1238" spans="9:9" x14ac:dyDescent="0.25">
      <c r="I1238" s="40"/>
    </row>
    <row r="1239" spans="9:9" x14ac:dyDescent="0.25">
      <c r="I1239" s="40"/>
    </row>
    <row r="1240" spans="9:9" x14ac:dyDescent="0.25">
      <c r="I1240" s="40"/>
    </row>
    <row r="1241" spans="9:9" x14ac:dyDescent="0.25">
      <c r="I1241" s="40"/>
    </row>
    <row r="1242" spans="9:9" x14ac:dyDescent="0.25">
      <c r="I1242" s="40"/>
    </row>
    <row r="1243" spans="9:9" x14ac:dyDescent="0.25">
      <c r="I1243" s="40"/>
    </row>
    <row r="1244" spans="9:9" x14ac:dyDescent="0.25">
      <c r="I1244" s="40"/>
    </row>
    <row r="1245" spans="9:9" x14ac:dyDescent="0.25">
      <c r="I1245" s="40"/>
    </row>
    <row r="1246" spans="9:9" x14ac:dyDescent="0.25">
      <c r="I1246" s="40"/>
    </row>
    <row r="1247" spans="9:9" x14ac:dyDescent="0.25">
      <c r="I1247" s="40"/>
    </row>
    <row r="1248" spans="9:9" x14ac:dyDescent="0.25">
      <c r="I1248" s="40"/>
    </row>
    <row r="1249" spans="9:9" x14ac:dyDescent="0.25">
      <c r="I1249" s="40"/>
    </row>
    <row r="1250" spans="9:9" x14ac:dyDescent="0.25">
      <c r="I1250" s="40"/>
    </row>
    <row r="1251" spans="9:9" x14ac:dyDescent="0.25">
      <c r="I1251" s="40"/>
    </row>
    <row r="1252" spans="9:9" x14ac:dyDescent="0.25">
      <c r="I1252" s="40"/>
    </row>
    <row r="1253" spans="9:9" x14ac:dyDescent="0.25">
      <c r="I1253" s="40"/>
    </row>
    <row r="1254" spans="9:9" x14ac:dyDescent="0.25">
      <c r="I1254" s="40"/>
    </row>
    <row r="1255" spans="9:9" x14ac:dyDescent="0.25">
      <c r="I1255" s="40"/>
    </row>
    <row r="1256" spans="9:9" x14ac:dyDescent="0.25">
      <c r="I1256" s="40"/>
    </row>
    <row r="1257" spans="9:9" x14ac:dyDescent="0.25">
      <c r="I1257" s="40"/>
    </row>
    <row r="1258" spans="9:9" x14ac:dyDescent="0.25">
      <c r="I1258" s="40"/>
    </row>
    <row r="1259" spans="9:9" x14ac:dyDescent="0.25">
      <c r="I1259" s="40"/>
    </row>
    <row r="1260" spans="9:9" x14ac:dyDescent="0.25">
      <c r="I1260" s="40"/>
    </row>
    <row r="1261" spans="9:9" x14ac:dyDescent="0.25">
      <c r="I1261" s="40"/>
    </row>
    <row r="1262" spans="9:9" x14ac:dyDescent="0.25">
      <c r="I1262" s="40"/>
    </row>
    <row r="1263" spans="9:9" x14ac:dyDescent="0.25">
      <c r="I1263" s="40"/>
    </row>
    <row r="1264" spans="9:9" x14ac:dyDescent="0.25">
      <c r="I1264" s="40"/>
    </row>
    <row r="1265" spans="9:9" x14ac:dyDescent="0.25">
      <c r="I1265" s="40"/>
    </row>
    <row r="1266" spans="9:9" x14ac:dyDescent="0.25">
      <c r="I1266" s="40"/>
    </row>
    <row r="1267" spans="9:9" x14ac:dyDescent="0.25">
      <c r="I1267" s="40"/>
    </row>
    <row r="1268" spans="9:9" x14ac:dyDescent="0.25">
      <c r="I1268" s="40"/>
    </row>
    <row r="1269" spans="9:9" x14ac:dyDescent="0.25">
      <c r="I1269" s="40"/>
    </row>
    <row r="1270" spans="9:9" x14ac:dyDescent="0.25">
      <c r="I1270" s="40"/>
    </row>
    <row r="1271" spans="9:9" x14ac:dyDescent="0.25">
      <c r="I1271" s="40"/>
    </row>
    <row r="1272" spans="9:9" x14ac:dyDescent="0.25">
      <c r="I1272" s="40"/>
    </row>
    <row r="1273" spans="9:9" x14ac:dyDescent="0.25">
      <c r="I1273" s="40"/>
    </row>
    <row r="1274" spans="9:9" x14ac:dyDescent="0.25">
      <c r="I1274" s="40"/>
    </row>
    <row r="1275" spans="9:9" x14ac:dyDescent="0.25">
      <c r="I1275" s="40"/>
    </row>
    <row r="1276" spans="9:9" x14ac:dyDescent="0.25">
      <c r="I1276" s="40"/>
    </row>
    <row r="1277" spans="9:9" x14ac:dyDescent="0.25">
      <c r="I1277" s="40"/>
    </row>
    <row r="1278" spans="9:9" x14ac:dyDescent="0.25">
      <c r="I1278" s="40"/>
    </row>
    <row r="1279" spans="9:9" x14ac:dyDescent="0.25">
      <c r="I1279" s="40"/>
    </row>
    <row r="1280" spans="9:9" x14ac:dyDescent="0.25">
      <c r="I1280" s="40"/>
    </row>
    <row r="1281" spans="9:9" x14ac:dyDescent="0.25">
      <c r="I1281" s="40"/>
    </row>
    <row r="1282" spans="9:9" x14ac:dyDescent="0.25">
      <c r="I1282" s="40"/>
    </row>
    <row r="1283" spans="9:9" x14ac:dyDescent="0.25">
      <c r="I1283" s="40"/>
    </row>
    <row r="1284" spans="9:9" x14ac:dyDescent="0.25">
      <c r="I1284" s="40"/>
    </row>
    <row r="1285" spans="9:9" x14ac:dyDescent="0.25">
      <c r="I1285" s="40"/>
    </row>
    <row r="1286" spans="9:9" x14ac:dyDescent="0.25">
      <c r="I1286" s="40"/>
    </row>
    <row r="1287" spans="9:9" x14ac:dyDescent="0.25">
      <c r="I1287" s="40"/>
    </row>
    <row r="1288" spans="9:9" x14ac:dyDescent="0.25">
      <c r="I1288" s="40"/>
    </row>
    <row r="1289" spans="9:9" x14ac:dyDescent="0.25">
      <c r="I1289" s="40"/>
    </row>
    <row r="1290" spans="9:9" x14ac:dyDescent="0.25">
      <c r="I1290" s="40"/>
    </row>
    <row r="1291" spans="9:9" x14ac:dyDescent="0.25">
      <c r="I1291" s="40"/>
    </row>
    <row r="1292" spans="9:9" x14ac:dyDescent="0.25">
      <c r="I1292" s="40"/>
    </row>
    <row r="1293" spans="9:9" x14ac:dyDescent="0.25">
      <c r="I1293" s="40"/>
    </row>
    <row r="1294" spans="9:9" x14ac:dyDescent="0.25">
      <c r="I1294" s="40"/>
    </row>
    <row r="1295" spans="9:9" x14ac:dyDescent="0.25">
      <c r="I1295" s="40"/>
    </row>
    <row r="1296" spans="9:9" x14ac:dyDescent="0.25">
      <c r="I1296" s="40"/>
    </row>
    <row r="1297" spans="9:9" x14ac:dyDescent="0.25">
      <c r="I1297" s="40"/>
    </row>
    <row r="1298" spans="9:9" x14ac:dyDescent="0.25">
      <c r="I1298" s="40"/>
    </row>
    <row r="1299" spans="9:9" x14ac:dyDescent="0.25">
      <c r="I1299" s="40"/>
    </row>
    <row r="1300" spans="9:9" x14ac:dyDescent="0.25">
      <c r="I1300" s="40"/>
    </row>
    <row r="1301" spans="9:9" x14ac:dyDescent="0.25">
      <c r="I1301" s="40"/>
    </row>
    <row r="1302" spans="9:9" x14ac:dyDescent="0.25">
      <c r="I1302" s="40"/>
    </row>
    <row r="1303" spans="9:9" x14ac:dyDescent="0.25">
      <c r="I1303" s="40"/>
    </row>
    <row r="1304" spans="9:9" x14ac:dyDescent="0.25">
      <c r="I1304" s="40"/>
    </row>
    <row r="1305" spans="9:9" x14ac:dyDescent="0.25">
      <c r="I1305" s="40"/>
    </row>
    <row r="1306" spans="9:9" x14ac:dyDescent="0.25">
      <c r="I1306" s="40"/>
    </row>
    <row r="1307" spans="9:9" x14ac:dyDescent="0.25">
      <c r="I1307" s="40"/>
    </row>
    <row r="1308" spans="9:9" x14ac:dyDescent="0.25">
      <c r="I1308" s="40"/>
    </row>
    <row r="1309" spans="9:9" x14ac:dyDescent="0.25">
      <c r="I1309" s="40"/>
    </row>
    <row r="1310" spans="9:9" x14ac:dyDescent="0.25">
      <c r="I1310" s="40"/>
    </row>
    <row r="1311" spans="9:9" x14ac:dyDescent="0.25">
      <c r="I1311" s="40"/>
    </row>
    <row r="1312" spans="9:9" x14ac:dyDescent="0.25">
      <c r="I1312" s="40"/>
    </row>
    <row r="1313" spans="9:9" x14ac:dyDescent="0.25">
      <c r="I1313" s="40"/>
    </row>
    <row r="1314" spans="9:9" x14ac:dyDescent="0.25">
      <c r="I1314" s="40"/>
    </row>
    <row r="1315" spans="9:9" x14ac:dyDescent="0.25">
      <c r="I1315" s="40"/>
    </row>
    <row r="1316" spans="9:9" x14ac:dyDescent="0.25">
      <c r="I1316" s="40"/>
    </row>
    <row r="1317" spans="9:9" x14ac:dyDescent="0.25">
      <c r="I1317" s="40"/>
    </row>
    <row r="1318" spans="9:9" x14ac:dyDescent="0.25">
      <c r="I1318" s="40"/>
    </row>
    <row r="1319" spans="9:9" x14ac:dyDescent="0.25">
      <c r="I1319" s="40"/>
    </row>
    <row r="1320" spans="9:9" x14ac:dyDescent="0.25">
      <c r="I1320" s="40"/>
    </row>
    <row r="1321" spans="9:9" x14ac:dyDescent="0.25">
      <c r="I1321" s="40"/>
    </row>
    <row r="1322" spans="9:9" x14ac:dyDescent="0.25">
      <c r="I1322" s="40"/>
    </row>
    <row r="1323" spans="9:9" x14ac:dyDescent="0.25">
      <c r="I1323" s="40"/>
    </row>
    <row r="1324" spans="9:9" x14ac:dyDescent="0.25">
      <c r="I1324" s="40"/>
    </row>
    <row r="1325" spans="9:9" x14ac:dyDescent="0.25">
      <c r="I1325" s="40"/>
    </row>
    <row r="1326" spans="9:9" x14ac:dyDescent="0.25">
      <c r="I1326" s="40"/>
    </row>
    <row r="1327" spans="9:9" x14ac:dyDescent="0.25">
      <c r="I1327" s="40"/>
    </row>
    <row r="1328" spans="9:9" x14ac:dyDescent="0.25">
      <c r="I1328" s="40"/>
    </row>
    <row r="1329" spans="9:9" x14ac:dyDescent="0.25">
      <c r="I1329" s="40"/>
    </row>
    <row r="1330" spans="9:9" x14ac:dyDescent="0.25">
      <c r="I1330" s="40"/>
    </row>
    <row r="1331" spans="9:9" x14ac:dyDescent="0.25">
      <c r="I1331" s="40"/>
    </row>
    <row r="1332" spans="9:9" x14ac:dyDescent="0.25">
      <c r="I1332" s="40"/>
    </row>
    <row r="1333" spans="9:9" x14ac:dyDescent="0.25">
      <c r="I1333" s="40"/>
    </row>
    <row r="1334" spans="9:9" x14ac:dyDescent="0.25">
      <c r="I1334" s="40"/>
    </row>
    <row r="1335" spans="9:9" x14ac:dyDescent="0.25">
      <c r="I1335" s="40"/>
    </row>
    <row r="1336" spans="9:9" x14ac:dyDescent="0.25">
      <c r="I1336" s="40"/>
    </row>
    <row r="1337" spans="9:9" x14ac:dyDescent="0.25">
      <c r="I1337" s="40"/>
    </row>
    <row r="1338" spans="9:9" x14ac:dyDescent="0.25">
      <c r="I1338" s="40"/>
    </row>
    <row r="1339" spans="9:9" x14ac:dyDescent="0.25">
      <c r="I1339" s="40"/>
    </row>
    <row r="1340" spans="9:9" x14ac:dyDescent="0.25">
      <c r="I1340" s="40"/>
    </row>
    <row r="1341" spans="9:9" x14ac:dyDescent="0.25">
      <c r="I1341" s="40"/>
    </row>
    <row r="1342" spans="9:9" x14ac:dyDescent="0.25">
      <c r="I1342" s="40"/>
    </row>
    <row r="1343" spans="9:9" x14ac:dyDescent="0.25">
      <c r="I1343" s="40"/>
    </row>
    <row r="1344" spans="9:9" x14ac:dyDescent="0.25">
      <c r="I1344" s="40"/>
    </row>
    <row r="1345" spans="9:9" x14ac:dyDescent="0.25">
      <c r="I1345" s="40"/>
    </row>
    <row r="1346" spans="9:9" x14ac:dyDescent="0.25">
      <c r="I1346" s="40"/>
    </row>
    <row r="1347" spans="9:9" x14ac:dyDescent="0.25">
      <c r="I1347" s="40"/>
    </row>
    <row r="1348" spans="9:9" x14ac:dyDescent="0.25">
      <c r="I1348" s="40"/>
    </row>
    <row r="1349" spans="9:9" x14ac:dyDescent="0.25">
      <c r="I1349" s="40"/>
    </row>
    <row r="1350" spans="9:9" x14ac:dyDescent="0.25">
      <c r="I1350" s="40"/>
    </row>
    <row r="1351" spans="9:9" x14ac:dyDescent="0.25">
      <c r="I1351" s="40"/>
    </row>
    <row r="1352" spans="9:9" x14ac:dyDescent="0.25">
      <c r="I1352" s="40"/>
    </row>
    <row r="1353" spans="9:9" x14ac:dyDescent="0.25">
      <c r="I1353" s="40"/>
    </row>
    <row r="1354" spans="9:9" x14ac:dyDescent="0.25">
      <c r="I1354" s="40"/>
    </row>
    <row r="1355" spans="9:9" x14ac:dyDescent="0.25">
      <c r="I1355" s="40"/>
    </row>
    <row r="1356" spans="9:9" x14ac:dyDescent="0.25">
      <c r="I1356" s="40"/>
    </row>
    <row r="1357" spans="9:9" x14ac:dyDescent="0.25">
      <c r="I1357" s="40"/>
    </row>
    <row r="1358" spans="9:9" x14ac:dyDescent="0.25">
      <c r="I1358" s="40"/>
    </row>
    <row r="1359" spans="9:9" x14ac:dyDescent="0.25">
      <c r="I1359" s="40"/>
    </row>
    <row r="1360" spans="9:9" x14ac:dyDescent="0.25">
      <c r="I1360" s="40"/>
    </row>
    <row r="1361" spans="9:9" x14ac:dyDescent="0.25">
      <c r="I1361" s="40"/>
    </row>
    <row r="1362" spans="9:9" x14ac:dyDescent="0.25">
      <c r="I1362" s="40"/>
    </row>
    <row r="1363" spans="9:9" x14ac:dyDescent="0.25">
      <c r="I1363" s="40"/>
    </row>
    <row r="1364" spans="9:9" x14ac:dyDescent="0.25">
      <c r="I1364" s="40"/>
    </row>
    <row r="1365" spans="9:9" x14ac:dyDescent="0.25">
      <c r="I1365" s="40"/>
    </row>
    <row r="1366" spans="9:9" x14ac:dyDescent="0.25">
      <c r="I1366" s="40"/>
    </row>
    <row r="1367" spans="9:9" x14ac:dyDescent="0.25">
      <c r="I1367" s="40"/>
    </row>
    <row r="1368" spans="9:9" x14ac:dyDescent="0.25">
      <c r="I1368" s="40"/>
    </row>
    <row r="1369" spans="9:9" x14ac:dyDescent="0.25">
      <c r="I1369" s="40"/>
    </row>
    <row r="1370" spans="9:9" x14ac:dyDescent="0.25">
      <c r="I1370" s="40"/>
    </row>
    <row r="1371" spans="9:9" x14ac:dyDescent="0.25">
      <c r="I1371" s="40"/>
    </row>
    <row r="1372" spans="9:9" x14ac:dyDescent="0.25">
      <c r="I1372" s="40"/>
    </row>
    <row r="1373" spans="9:9" x14ac:dyDescent="0.25">
      <c r="I1373" s="40"/>
    </row>
    <row r="1374" spans="9:9" x14ac:dyDescent="0.25">
      <c r="I1374" s="40"/>
    </row>
    <row r="1375" spans="9:9" x14ac:dyDescent="0.25">
      <c r="I1375" s="40"/>
    </row>
    <row r="1376" spans="9:9" x14ac:dyDescent="0.25">
      <c r="I1376" s="40"/>
    </row>
    <row r="1377" spans="9:9" x14ac:dyDescent="0.25">
      <c r="I1377" s="40"/>
    </row>
    <row r="1378" spans="9:9" x14ac:dyDescent="0.25">
      <c r="I1378" s="40"/>
    </row>
    <row r="1379" spans="9:9" x14ac:dyDescent="0.25">
      <c r="I1379" s="40"/>
    </row>
    <row r="1380" spans="9:9" x14ac:dyDescent="0.25">
      <c r="I1380" s="40"/>
    </row>
    <row r="1381" spans="9:9" x14ac:dyDescent="0.25">
      <c r="I1381" s="40"/>
    </row>
    <row r="1382" spans="9:9" x14ac:dyDescent="0.25">
      <c r="I1382" s="40"/>
    </row>
    <row r="1383" spans="9:9" x14ac:dyDescent="0.25">
      <c r="I1383" s="40"/>
    </row>
    <row r="1384" spans="9:9" x14ac:dyDescent="0.25">
      <c r="I1384" s="40"/>
    </row>
    <row r="1385" spans="9:9" x14ac:dyDescent="0.25">
      <c r="I1385" s="40"/>
    </row>
    <row r="1386" spans="9:9" x14ac:dyDescent="0.25">
      <c r="I1386" s="40"/>
    </row>
    <row r="1387" spans="9:9" x14ac:dyDescent="0.25">
      <c r="I1387" s="40"/>
    </row>
    <row r="1388" spans="9:9" x14ac:dyDescent="0.25">
      <c r="I1388" s="40"/>
    </row>
    <row r="1389" spans="9:9" x14ac:dyDescent="0.25">
      <c r="I1389" s="40"/>
    </row>
    <row r="1390" spans="9:9" x14ac:dyDescent="0.25">
      <c r="I1390" s="40"/>
    </row>
    <row r="1391" spans="9:9" x14ac:dyDescent="0.25">
      <c r="I1391" s="40"/>
    </row>
    <row r="1392" spans="9:9" x14ac:dyDescent="0.25">
      <c r="I1392" s="40"/>
    </row>
    <row r="1393" spans="9:9" x14ac:dyDescent="0.25">
      <c r="I1393" s="40"/>
    </row>
    <row r="1394" spans="9:9" x14ac:dyDescent="0.25">
      <c r="I1394" s="40"/>
    </row>
    <row r="1395" spans="9:9" x14ac:dyDescent="0.25">
      <c r="I1395" s="40"/>
    </row>
    <row r="1396" spans="9:9" x14ac:dyDescent="0.25">
      <c r="I1396" s="40"/>
    </row>
    <row r="1397" spans="9:9" x14ac:dyDescent="0.25">
      <c r="I1397" s="40"/>
    </row>
    <row r="1398" spans="9:9" x14ac:dyDescent="0.25">
      <c r="I1398" s="40"/>
    </row>
    <row r="1399" spans="9:9" x14ac:dyDescent="0.25">
      <c r="I1399" s="40"/>
    </row>
    <row r="1400" spans="9:9" x14ac:dyDescent="0.25">
      <c r="I1400" s="40"/>
    </row>
    <row r="1401" spans="9:9" x14ac:dyDescent="0.25">
      <c r="I1401" s="40"/>
    </row>
    <row r="1402" spans="9:9" x14ac:dyDescent="0.25">
      <c r="I1402" s="40"/>
    </row>
    <row r="1403" spans="9:9" x14ac:dyDescent="0.25">
      <c r="I1403" s="40"/>
    </row>
    <row r="1404" spans="9:9" x14ac:dyDescent="0.25">
      <c r="I1404" s="40"/>
    </row>
    <row r="1405" spans="9:9" x14ac:dyDescent="0.25">
      <c r="I1405" s="40"/>
    </row>
    <row r="1406" spans="9:9" x14ac:dyDescent="0.25">
      <c r="I1406" s="40"/>
    </row>
    <row r="1407" spans="9:9" x14ac:dyDescent="0.25">
      <c r="I1407" s="40"/>
    </row>
    <row r="1408" spans="9:9" x14ac:dyDescent="0.25">
      <c r="I1408" s="40"/>
    </row>
    <row r="1409" spans="9:9" x14ac:dyDescent="0.25">
      <c r="I1409" s="40"/>
    </row>
    <row r="1410" spans="9:9" x14ac:dyDescent="0.25">
      <c r="I1410" s="40"/>
    </row>
    <row r="1411" spans="9:9" x14ac:dyDescent="0.25">
      <c r="I1411" s="40"/>
    </row>
    <row r="1412" spans="9:9" x14ac:dyDescent="0.25">
      <c r="I1412" s="40"/>
    </row>
    <row r="1413" spans="9:9" x14ac:dyDescent="0.25">
      <c r="I1413" s="40"/>
    </row>
    <row r="1414" spans="9:9" x14ac:dyDescent="0.25">
      <c r="I1414" s="40"/>
    </row>
    <row r="1415" spans="9:9" x14ac:dyDescent="0.25">
      <c r="I1415" s="40"/>
    </row>
    <row r="1416" spans="9:9" x14ac:dyDescent="0.25">
      <c r="I1416" s="40"/>
    </row>
    <row r="1417" spans="9:9" x14ac:dyDescent="0.25">
      <c r="I1417" s="40"/>
    </row>
    <row r="1418" spans="9:9" x14ac:dyDescent="0.25">
      <c r="I1418" s="40"/>
    </row>
    <row r="1419" spans="9:9" x14ac:dyDescent="0.25">
      <c r="I1419" s="40"/>
    </row>
    <row r="1420" spans="9:9" x14ac:dyDescent="0.25">
      <c r="I1420" s="40"/>
    </row>
    <row r="1421" spans="9:9" x14ac:dyDescent="0.25">
      <c r="I1421" s="40"/>
    </row>
    <row r="1422" spans="9:9" x14ac:dyDescent="0.25">
      <c r="I1422" s="40"/>
    </row>
    <row r="1423" spans="9:9" x14ac:dyDescent="0.25">
      <c r="I1423" s="40"/>
    </row>
    <row r="1424" spans="9:9" x14ac:dyDescent="0.25">
      <c r="I1424" s="40"/>
    </row>
    <row r="1425" spans="9:9" x14ac:dyDescent="0.25">
      <c r="I1425" s="40"/>
    </row>
    <row r="1426" spans="9:9" x14ac:dyDescent="0.25">
      <c r="I1426" s="40"/>
    </row>
    <row r="1427" spans="9:9" x14ac:dyDescent="0.25">
      <c r="I1427" s="40"/>
    </row>
    <row r="1428" spans="9:9" x14ac:dyDescent="0.25">
      <c r="I1428" s="40"/>
    </row>
    <row r="1429" spans="9:9" x14ac:dyDescent="0.25">
      <c r="I1429" s="40"/>
    </row>
    <row r="1430" spans="9:9" x14ac:dyDescent="0.25">
      <c r="I1430" s="40"/>
    </row>
    <row r="1431" spans="9:9" x14ac:dyDescent="0.25">
      <c r="I1431" s="40"/>
    </row>
    <row r="1432" spans="9:9" x14ac:dyDescent="0.25">
      <c r="I1432" s="40"/>
    </row>
    <row r="1433" spans="9:9" x14ac:dyDescent="0.25">
      <c r="I1433" s="40"/>
    </row>
    <row r="1434" spans="9:9" x14ac:dyDescent="0.25">
      <c r="I1434" s="40"/>
    </row>
    <row r="1435" spans="9:9" x14ac:dyDescent="0.25">
      <c r="I1435" s="40"/>
    </row>
    <row r="1436" spans="9:9" x14ac:dyDescent="0.25">
      <c r="I1436" s="40"/>
    </row>
    <row r="1437" spans="9:9" x14ac:dyDescent="0.25">
      <c r="I1437" s="40"/>
    </row>
    <row r="1438" spans="9:9" x14ac:dyDescent="0.25">
      <c r="I1438" s="40"/>
    </row>
    <row r="1439" spans="9:9" x14ac:dyDescent="0.25">
      <c r="I1439" s="40"/>
    </row>
    <row r="1440" spans="9:9" x14ac:dyDescent="0.25">
      <c r="I1440" s="40"/>
    </row>
    <row r="1441" spans="9:9" x14ac:dyDescent="0.25">
      <c r="I1441" s="40"/>
    </row>
    <row r="1442" spans="9:9" x14ac:dyDescent="0.25">
      <c r="I1442" s="40"/>
    </row>
    <row r="1443" spans="9:9" x14ac:dyDescent="0.25">
      <c r="I1443" s="40"/>
    </row>
    <row r="1444" spans="9:9" x14ac:dyDescent="0.25">
      <c r="I1444" s="40"/>
    </row>
    <row r="1445" spans="9:9" x14ac:dyDescent="0.25">
      <c r="I1445" s="40"/>
    </row>
    <row r="1446" spans="9:9" x14ac:dyDescent="0.25">
      <c r="I1446" s="40"/>
    </row>
    <row r="1447" spans="9:9" x14ac:dyDescent="0.25">
      <c r="I1447" s="40"/>
    </row>
    <row r="1448" spans="9:9" x14ac:dyDescent="0.25">
      <c r="I1448" s="40"/>
    </row>
    <row r="1449" spans="9:9" x14ac:dyDescent="0.25">
      <c r="I1449" s="40"/>
    </row>
    <row r="1450" spans="9:9" x14ac:dyDescent="0.25">
      <c r="I1450" s="40"/>
    </row>
    <row r="1451" spans="9:9" x14ac:dyDescent="0.25">
      <c r="I1451" s="40"/>
    </row>
    <row r="1452" spans="9:9" x14ac:dyDescent="0.25">
      <c r="I1452" s="40"/>
    </row>
    <row r="1453" spans="9:9" x14ac:dyDescent="0.25">
      <c r="I1453" s="40"/>
    </row>
    <row r="1454" spans="9:9" x14ac:dyDescent="0.25">
      <c r="I1454" s="40"/>
    </row>
    <row r="1455" spans="9:9" x14ac:dyDescent="0.25">
      <c r="I1455" s="40"/>
    </row>
    <row r="1456" spans="9:9" x14ac:dyDescent="0.25">
      <c r="I1456" s="40"/>
    </row>
    <row r="1457" spans="9:9" x14ac:dyDescent="0.25">
      <c r="I1457" s="40"/>
    </row>
    <row r="1458" spans="9:9" x14ac:dyDescent="0.25">
      <c r="I1458" s="40"/>
    </row>
    <row r="1459" spans="9:9" x14ac:dyDescent="0.25">
      <c r="I1459" s="40"/>
    </row>
    <row r="1460" spans="9:9" x14ac:dyDescent="0.25">
      <c r="I1460" s="40"/>
    </row>
    <row r="1461" spans="9:9" x14ac:dyDescent="0.25">
      <c r="I1461" s="40"/>
    </row>
    <row r="1462" spans="9:9" x14ac:dyDescent="0.25">
      <c r="I1462" s="40"/>
    </row>
    <row r="1463" spans="9:9" x14ac:dyDescent="0.25">
      <c r="I1463" s="40"/>
    </row>
    <row r="1464" spans="9:9" x14ac:dyDescent="0.25">
      <c r="I1464" s="40"/>
    </row>
    <row r="1465" spans="9:9" x14ac:dyDescent="0.25">
      <c r="I1465" s="40"/>
    </row>
    <row r="1466" spans="9:9" x14ac:dyDescent="0.25">
      <c r="I1466" s="40"/>
    </row>
    <row r="1467" spans="9:9" x14ac:dyDescent="0.25">
      <c r="I1467" s="40"/>
    </row>
    <row r="1468" spans="9:9" x14ac:dyDescent="0.25">
      <c r="I1468" s="40"/>
    </row>
    <row r="1469" spans="9:9" x14ac:dyDescent="0.25">
      <c r="I1469" s="40"/>
    </row>
    <row r="1470" spans="9:9" x14ac:dyDescent="0.25">
      <c r="I1470" s="40"/>
    </row>
    <row r="1471" spans="9:9" x14ac:dyDescent="0.25">
      <c r="I1471" s="40"/>
    </row>
    <row r="1472" spans="9:9" x14ac:dyDescent="0.25">
      <c r="I1472" s="40"/>
    </row>
    <row r="1473" spans="9:9" x14ac:dyDescent="0.25">
      <c r="I1473" s="40"/>
    </row>
    <row r="1474" spans="9:9" x14ac:dyDescent="0.25">
      <c r="I1474" s="40"/>
    </row>
    <row r="1475" spans="9:9" x14ac:dyDescent="0.25">
      <c r="I1475" s="40"/>
    </row>
    <row r="1476" spans="9:9" x14ac:dyDescent="0.25">
      <c r="I1476" s="40"/>
    </row>
    <row r="1477" spans="9:9" x14ac:dyDescent="0.25">
      <c r="I1477" s="40"/>
    </row>
    <row r="1478" spans="9:9" x14ac:dyDescent="0.25">
      <c r="I1478" s="40"/>
    </row>
    <row r="1479" spans="9:9" x14ac:dyDescent="0.25">
      <c r="I1479" s="40"/>
    </row>
    <row r="1480" spans="9:9" x14ac:dyDescent="0.25">
      <c r="I1480" s="40"/>
    </row>
    <row r="1481" spans="9:9" x14ac:dyDescent="0.25">
      <c r="I1481" s="40"/>
    </row>
    <row r="1482" spans="9:9" x14ac:dyDescent="0.25">
      <c r="I1482" s="40"/>
    </row>
    <row r="1483" spans="9:9" x14ac:dyDescent="0.25">
      <c r="I1483" s="40"/>
    </row>
    <row r="1484" spans="9:9" x14ac:dyDescent="0.25">
      <c r="I1484" s="40"/>
    </row>
    <row r="1485" spans="9:9" x14ac:dyDescent="0.25">
      <c r="I1485" s="40"/>
    </row>
    <row r="1486" spans="9:9" x14ac:dyDescent="0.25">
      <c r="I1486" s="40"/>
    </row>
    <row r="1487" spans="9:9" x14ac:dyDescent="0.25">
      <c r="I1487" s="40"/>
    </row>
    <row r="1488" spans="9:9" x14ac:dyDescent="0.25">
      <c r="I1488" s="40"/>
    </row>
    <row r="1489" spans="9:9" x14ac:dyDescent="0.25">
      <c r="I1489" s="40"/>
    </row>
    <row r="1490" spans="9:9" x14ac:dyDescent="0.25">
      <c r="I1490" s="40"/>
    </row>
    <row r="1491" spans="9:9" x14ac:dyDescent="0.25">
      <c r="I1491" s="40"/>
    </row>
    <row r="1492" spans="9:9" x14ac:dyDescent="0.25">
      <c r="I1492" s="40"/>
    </row>
    <row r="1493" spans="9:9" x14ac:dyDescent="0.25">
      <c r="I1493" s="40"/>
    </row>
    <row r="1494" spans="9:9" x14ac:dyDescent="0.25">
      <c r="I1494" s="40"/>
    </row>
    <row r="1495" spans="9:9" x14ac:dyDescent="0.25">
      <c r="I1495" s="40"/>
    </row>
    <row r="1496" spans="9:9" x14ac:dyDescent="0.25">
      <c r="I1496" s="40"/>
    </row>
    <row r="1497" spans="9:9" x14ac:dyDescent="0.25">
      <c r="I1497" s="40"/>
    </row>
    <row r="1498" spans="9:9" x14ac:dyDescent="0.25">
      <c r="I1498" s="40"/>
    </row>
    <row r="1499" spans="9:9" x14ac:dyDescent="0.25">
      <c r="I1499" s="40"/>
    </row>
    <row r="1500" spans="9:9" x14ac:dyDescent="0.25">
      <c r="I1500" s="40"/>
    </row>
    <row r="1501" spans="9:9" x14ac:dyDescent="0.25">
      <c r="I1501" s="40"/>
    </row>
    <row r="1502" spans="9:9" x14ac:dyDescent="0.25">
      <c r="I1502" s="40"/>
    </row>
    <row r="1503" spans="9:9" x14ac:dyDescent="0.25">
      <c r="I1503" s="40"/>
    </row>
    <row r="1504" spans="9:9" x14ac:dyDescent="0.25">
      <c r="I1504" s="40"/>
    </row>
    <row r="1505" spans="9:9" x14ac:dyDescent="0.25">
      <c r="I1505" s="40"/>
    </row>
    <row r="1506" spans="9:9" x14ac:dyDescent="0.25">
      <c r="I1506" s="40"/>
    </row>
    <row r="1507" spans="9:9" x14ac:dyDescent="0.25">
      <c r="I1507" s="40"/>
    </row>
    <row r="1508" spans="9:9" x14ac:dyDescent="0.25">
      <c r="I1508" s="40"/>
    </row>
    <row r="1509" spans="9:9" x14ac:dyDescent="0.25">
      <c r="I1509" s="40"/>
    </row>
    <row r="1510" spans="9:9" x14ac:dyDescent="0.25">
      <c r="I1510" s="40"/>
    </row>
    <row r="1511" spans="9:9" x14ac:dyDescent="0.25">
      <c r="I1511" s="40"/>
    </row>
    <row r="1512" spans="9:9" x14ac:dyDescent="0.25">
      <c r="I1512" s="40"/>
    </row>
    <row r="1513" spans="9:9" x14ac:dyDescent="0.25">
      <c r="I1513" s="40"/>
    </row>
    <row r="1514" spans="9:9" x14ac:dyDescent="0.25">
      <c r="I1514" s="40"/>
    </row>
    <row r="1515" spans="9:9" x14ac:dyDescent="0.25">
      <c r="I1515" s="40"/>
    </row>
    <row r="1516" spans="9:9" x14ac:dyDescent="0.25">
      <c r="I1516" s="40"/>
    </row>
    <row r="1517" spans="9:9" x14ac:dyDescent="0.25">
      <c r="I1517" s="40"/>
    </row>
    <row r="1518" spans="9:9" x14ac:dyDescent="0.25">
      <c r="I1518" s="40"/>
    </row>
    <row r="1519" spans="9:9" x14ac:dyDescent="0.25">
      <c r="I1519" s="40"/>
    </row>
    <row r="1520" spans="9:9" x14ac:dyDescent="0.25">
      <c r="I1520" s="40"/>
    </row>
    <row r="1521" spans="9:9" x14ac:dyDescent="0.25">
      <c r="I1521" s="40"/>
    </row>
    <row r="1522" spans="9:9" x14ac:dyDescent="0.25">
      <c r="I1522" s="40"/>
    </row>
  </sheetData>
  <pageMargins left="0" right="0" top="0.15748031496062992" bottom="7.874015748031496E-2" header="0.31496062992125984" footer="0.31496062992125984"/>
  <pageSetup paperSize="9" scale="6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3:AD849"/>
  <sheetViews>
    <sheetView workbookViewId="0">
      <selection activeCell="A5" sqref="A5"/>
    </sheetView>
  </sheetViews>
  <sheetFormatPr baseColWidth="10" defaultRowHeight="15" x14ac:dyDescent="0.25"/>
  <cols>
    <col min="1" max="1" width="31.140625" customWidth="1"/>
    <col min="2" max="3" width="5.42578125" customWidth="1"/>
    <col min="4" max="4" width="5.42578125" bestFit="1" customWidth="1"/>
  </cols>
  <sheetData>
    <row r="3" spans="1:2" x14ac:dyDescent="0.25">
      <c r="A3" s="11" t="s">
        <v>785</v>
      </c>
    </row>
    <row r="4" spans="1:2" x14ac:dyDescent="0.25">
      <c r="A4" s="11" t="s">
        <v>917</v>
      </c>
      <c r="B4" t="s">
        <v>253</v>
      </c>
    </row>
    <row r="5" spans="1:2" x14ac:dyDescent="0.25">
      <c r="A5" t="s">
        <v>915</v>
      </c>
      <c r="B5" s="32">
        <v>720</v>
      </c>
    </row>
    <row r="6" spans="1:2" x14ac:dyDescent="0.25">
      <c r="A6" t="s">
        <v>916</v>
      </c>
      <c r="B6" s="32">
        <v>271</v>
      </c>
    </row>
    <row r="7" spans="1:2" x14ac:dyDescent="0.25">
      <c r="A7" t="s">
        <v>794</v>
      </c>
      <c r="B7" s="32">
        <v>3</v>
      </c>
    </row>
    <row r="8" spans="1:2" x14ac:dyDescent="0.25">
      <c r="A8" t="s">
        <v>1698</v>
      </c>
      <c r="B8" s="32">
        <v>21</v>
      </c>
    </row>
    <row r="9" spans="1:2" x14ac:dyDescent="0.25">
      <c r="A9" t="s">
        <v>252</v>
      </c>
      <c r="B9" s="32">
        <v>1015</v>
      </c>
    </row>
    <row r="846" spans="9:27" x14ac:dyDescent="0.25">
      <c r="I846" t="s">
        <v>1043</v>
      </c>
      <c r="K846">
        <v>3243932</v>
      </c>
      <c r="R846" t="s">
        <v>1046</v>
      </c>
      <c r="AA846">
        <v>18000</v>
      </c>
    </row>
    <row r="847" spans="9:27" x14ac:dyDescent="0.25">
      <c r="I847" t="s">
        <v>1044</v>
      </c>
      <c r="K847">
        <v>29194068</v>
      </c>
      <c r="R847" t="s">
        <v>17</v>
      </c>
      <c r="AA847">
        <v>18000</v>
      </c>
    </row>
    <row r="848" spans="9:27" x14ac:dyDescent="0.25">
      <c r="I848" t="s">
        <v>1045</v>
      </c>
      <c r="K848">
        <v>30762932</v>
      </c>
      <c r="R848" t="s">
        <v>17</v>
      </c>
      <c r="AA848">
        <v>23000</v>
      </c>
    </row>
    <row r="849" spans="9:30" x14ac:dyDescent="0.25">
      <c r="I849" s="54"/>
      <c r="J849" s="54"/>
      <c r="K849" s="54"/>
      <c r="L849" s="54"/>
      <c r="M849" s="54"/>
      <c r="N849" s="54"/>
      <c r="AC849" t="s">
        <v>1041</v>
      </c>
      <c r="AD849" t="s">
        <v>1042</v>
      </c>
    </row>
  </sheetData>
  <pageMargins left="0.11811023622047245" right="0.11811023622047245" top="0.15748031496062992" bottom="0.15748031496062992" header="0.31496062992125984" footer="0.31496062992125984"/>
  <pageSetup paperSize="9" scale="85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AD837"/>
  <sheetViews>
    <sheetView workbookViewId="0">
      <selection activeCell="A9" sqref="A7:A9"/>
    </sheetView>
  </sheetViews>
  <sheetFormatPr baseColWidth="10" defaultRowHeight="15" x14ac:dyDescent="0.25"/>
  <cols>
    <col min="1" max="1" width="31.140625" customWidth="1"/>
    <col min="2" max="2" width="5.42578125" customWidth="1"/>
    <col min="5" max="5" width="25.5703125" customWidth="1"/>
    <col min="6" max="6" width="15.140625" customWidth="1"/>
    <col min="7" max="17" width="5" customWidth="1"/>
    <col min="18" max="18" width="8" customWidth="1"/>
    <col min="19" max="32" width="5" customWidth="1"/>
    <col min="33" max="33" width="8" customWidth="1"/>
    <col min="34" max="35" width="5" customWidth="1"/>
    <col min="36" max="38" width="8" customWidth="1"/>
    <col min="39" max="48" width="6" customWidth="1"/>
    <col min="49" max="49" width="9" customWidth="1"/>
    <col min="50" max="52" width="6" customWidth="1"/>
    <col min="53" max="53" width="9" customWidth="1"/>
    <col min="54" max="55" width="6" customWidth="1"/>
    <col min="56" max="56" width="9" customWidth="1"/>
    <col min="57" max="65" width="6" customWidth="1"/>
    <col min="66" max="66" width="9" customWidth="1"/>
    <col min="67" max="68" width="6" customWidth="1"/>
    <col min="69" max="70" width="9" customWidth="1"/>
    <col min="71" max="71" width="6" customWidth="1"/>
    <col min="72" max="72" width="9" customWidth="1"/>
    <col min="73" max="73" width="8" customWidth="1"/>
    <col min="74" max="76" width="6" customWidth="1"/>
    <col min="77" max="77" width="8" customWidth="1"/>
    <col min="78" max="78" width="6" customWidth="1"/>
    <col min="79" max="79" width="8" customWidth="1"/>
    <col min="80" max="80" width="9" customWidth="1"/>
    <col min="81" max="83" width="6" customWidth="1"/>
    <col min="84" max="84" width="9" customWidth="1"/>
    <col min="85" max="86" width="6" customWidth="1"/>
    <col min="87" max="87" width="8" customWidth="1"/>
    <col min="88" max="88" width="9" customWidth="1"/>
    <col min="89" max="90" width="6" customWidth="1"/>
    <col min="91" max="91" width="9" customWidth="1"/>
    <col min="92" max="92" width="6" customWidth="1"/>
    <col min="93" max="93" width="8" customWidth="1"/>
    <col min="94" max="94" width="9" customWidth="1"/>
    <col min="95" max="95" width="6" customWidth="1"/>
    <col min="96" max="96" width="8" customWidth="1"/>
    <col min="97" max="100" width="6" customWidth="1"/>
    <col min="101" max="102" width="9" customWidth="1"/>
    <col min="103" max="104" width="6" customWidth="1"/>
    <col min="105" max="109" width="9" customWidth="1"/>
    <col min="110" max="111" width="6" customWidth="1"/>
    <col min="112" max="115" width="9" customWidth="1"/>
    <col min="116" max="116" width="8" customWidth="1"/>
    <col min="117" max="120" width="6" customWidth="1"/>
    <col min="121" max="121" width="8" customWidth="1"/>
    <col min="122" max="122" width="6" customWidth="1"/>
    <col min="123" max="123" width="9" customWidth="1"/>
    <col min="124" max="124" width="6" customWidth="1"/>
    <col min="125" max="128" width="9" customWidth="1"/>
    <col min="129" max="129" width="6" customWidth="1"/>
    <col min="130" max="131" width="9" customWidth="1"/>
    <col min="132" max="135" width="6" customWidth="1"/>
    <col min="136" max="136" width="9" customWidth="1"/>
    <col min="137" max="137" width="8" customWidth="1"/>
    <col min="138" max="140" width="9" customWidth="1"/>
    <col min="141" max="143" width="6" customWidth="1"/>
    <col min="144" max="146" width="9" customWidth="1"/>
    <col min="147" max="149" width="6" customWidth="1"/>
    <col min="150" max="151" width="9" customWidth="1"/>
    <col min="152" max="152" width="6" customWidth="1"/>
    <col min="153" max="155" width="9" customWidth="1"/>
    <col min="156" max="157" width="8" customWidth="1"/>
    <col min="158" max="159" width="6" customWidth="1"/>
    <col min="160" max="160" width="8" customWidth="1"/>
    <col min="161" max="161" width="9" customWidth="1"/>
    <col min="162" max="162" width="8" customWidth="1"/>
    <col min="163" max="166" width="6" customWidth="1"/>
    <col min="167" max="167" width="9" customWidth="1"/>
    <col min="168" max="175" width="6" customWidth="1"/>
    <col min="176" max="177" width="9" customWidth="1"/>
    <col min="178" max="178" width="6" customWidth="1"/>
    <col min="179" max="180" width="9" customWidth="1"/>
    <col min="181" max="182" width="6" customWidth="1"/>
    <col min="183" max="185" width="9" customWidth="1"/>
    <col min="186" max="186" width="6" customWidth="1"/>
    <col min="187" max="188" width="9" customWidth="1"/>
    <col min="189" max="189" width="6" customWidth="1"/>
    <col min="190" max="191" width="9" customWidth="1"/>
    <col min="192" max="193" width="6" customWidth="1"/>
    <col min="194" max="194" width="9" customWidth="1"/>
    <col min="195" max="196" width="6" customWidth="1"/>
    <col min="197" max="197" width="9" customWidth="1"/>
    <col min="198" max="198" width="6" customWidth="1"/>
    <col min="199" max="200" width="9" customWidth="1"/>
    <col min="201" max="204" width="6" customWidth="1"/>
    <col min="205" max="205" width="9" customWidth="1"/>
    <col min="206" max="206" width="6" customWidth="1"/>
    <col min="207" max="207" width="9" customWidth="1"/>
    <col min="208" max="212" width="6" customWidth="1"/>
    <col min="213" max="216" width="9" customWidth="1"/>
    <col min="217" max="219" width="6" customWidth="1"/>
    <col min="220" max="224" width="9" customWidth="1"/>
    <col min="225" max="225" width="8" customWidth="1"/>
    <col min="226" max="229" width="6" customWidth="1"/>
    <col min="230" max="231" width="9" customWidth="1"/>
    <col min="232" max="233" width="6" customWidth="1"/>
    <col min="234" max="236" width="9" customWidth="1"/>
    <col min="237" max="237" width="6" customWidth="1"/>
    <col min="238" max="238" width="9" customWidth="1"/>
    <col min="239" max="239" width="6" customWidth="1"/>
    <col min="240" max="242" width="9" customWidth="1"/>
    <col min="243" max="243" width="10" customWidth="1"/>
    <col min="244" max="246" width="9" customWidth="1"/>
    <col min="247" max="249" width="6" customWidth="1"/>
    <col min="250" max="250" width="8" customWidth="1"/>
    <col min="251" max="251" width="6" customWidth="1"/>
    <col min="252" max="252" width="9" customWidth="1"/>
    <col min="253" max="255" width="6" customWidth="1"/>
    <col min="256" max="256" width="8" customWidth="1"/>
    <col min="257" max="257" width="6" customWidth="1"/>
    <col min="258" max="259" width="9" customWidth="1"/>
    <col min="260" max="261" width="6" customWidth="1"/>
    <col min="262" max="262" width="9" customWidth="1"/>
    <col min="263" max="264" width="6" customWidth="1"/>
    <col min="265" max="266" width="9" customWidth="1"/>
    <col min="267" max="273" width="6" customWidth="1"/>
    <col min="274" max="274" width="9" customWidth="1"/>
    <col min="275" max="279" width="6" customWidth="1"/>
    <col min="280" max="284" width="9" customWidth="1"/>
    <col min="285" max="285" width="6" customWidth="1"/>
    <col min="286" max="286" width="9" customWidth="1"/>
    <col min="287" max="287" width="6" customWidth="1"/>
    <col min="288" max="289" width="9" customWidth="1"/>
    <col min="290" max="290" width="6" customWidth="1"/>
    <col min="291" max="291" width="9" customWidth="1"/>
    <col min="292" max="293" width="6" customWidth="1"/>
    <col min="294" max="298" width="9" customWidth="1"/>
    <col min="299" max="299" width="6" customWidth="1"/>
    <col min="300" max="300" width="9" customWidth="1"/>
    <col min="301" max="303" width="6" customWidth="1"/>
    <col min="304" max="304" width="9" customWidth="1"/>
    <col min="305" max="306" width="6" customWidth="1"/>
    <col min="307" max="307" width="8" customWidth="1"/>
    <col min="308" max="308" width="6" customWidth="1"/>
    <col min="309" max="312" width="9" customWidth="1"/>
    <col min="313" max="314" width="6" customWidth="1"/>
    <col min="315" max="316" width="9" customWidth="1"/>
    <col min="317" max="317" width="6" customWidth="1"/>
    <col min="318" max="319" width="9" customWidth="1"/>
    <col min="320" max="321" width="6" customWidth="1"/>
    <col min="322" max="322" width="9" customWidth="1"/>
    <col min="323" max="323" width="6" customWidth="1"/>
    <col min="324" max="324" width="9" customWidth="1"/>
    <col min="325" max="330" width="6" customWidth="1"/>
    <col min="331" max="332" width="9" customWidth="1"/>
    <col min="333" max="343" width="6" customWidth="1"/>
    <col min="344" max="344" width="10" customWidth="1"/>
    <col min="345" max="348" width="3.140625" customWidth="1"/>
    <col min="349" max="349" width="22.140625" bestFit="1" customWidth="1"/>
    <col min="350" max="350" width="11" customWidth="1"/>
    <col min="351" max="351" width="12.5703125" bestFit="1" customWidth="1"/>
  </cols>
  <sheetData>
    <row r="3" spans="1:11" x14ac:dyDescent="0.25">
      <c r="A3" s="30" t="s">
        <v>786</v>
      </c>
    </row>
    <row r="5" spans="1:11" x14ac:dyDescent="0.25">
      <c r="A5" s="11" t="s">
        <v>785</v>
      </c>
    </row>
    <row r="6" spans="1:11" x14ac:dyDescent="0.25">
      <c r="A6" s="11" t="s">
        <v>0</v>
      </c>
      <c r="B6" t="s">
        <v>253</v>
      </c>
      <c r="E6" s="11" t="s">
        <v>0</v>
      </c>
    </row>
    <row r="7" spans="1:11" x14ac:dyDescent="0.25">
      <c r="A7" t="s">
        <v>794</v>
      </c>
      <c r="B7" s="32">
        <v>167</v>
      </c>
      <c r="E7" t="s">
        <v>822</v>
      </c>
      <c r="F7" s="34"/>
      <c r="G7" s="34"/>
      <c r="H7" s="34"/>
      <c r="I7" s="34"/>
      <c r="J7" s="34"/>
      <c r="K7" s="34"/>
    </row>
    <row r="8" spans="1:11" x14ac:dyDescent="0.25">
      <c r="A8" t="s">
        <v>822</v>
      </c>
      <c r="B8" s="32">
        <v>839</v>
      </c>
      <c r="E8" t="s">
        <v>794</v>
      </c>
      <c r="F8" s="34"/>
      <c r="G8" s="34"/>
      <c r="H8" s="34"/>
      <c r="I8" s="34"/>
      <c r="J8" s="34"/>
      <c r="K8" s="34"/>
    </row>
    <row r="9" spans="1:11" x14ac:dyDescent="0.25">
      <c r="A9" t="s">
        <v>1098</v>
      </c>
      <c r="B9" s="32">
        <v>8</v>
      </c>
      <c r="E9" t="s">
        <v>1098</v>
      </c>
      <c r="F9" s="34"/>
      <c r="G9" s="34"/>
      <c r="H9" s="34"/>
      <c r="I9" s="34"/>
      <c r="J9" s="34"/>
      <c r="K9" s="34"/>
    </row>
    <row r="10" spans="1:11" x14ac:dyDescent="0.25">
      <c r="A10" t="s">
        <v>252</v>
      </c>
      <c r="B10" s="32">
        <v>1014</v>
      </c>
      <c r="E10" t="s">
        <v>252</v>
      </c>
      <c r="F10" s="34"/>
      <c r="G10" s="34"/>
      <c r="H10" s="34"/>
      <c r="I10" s="34"/>
      <c r="J10" s="34"/>
      <c r="K10" s="34"/>
    </row>
    <row r="834" spans="9:30" x14ac:dyDescent="0.25">
      <c r="I834" t="s">
        <v>1043</v>
      </c>
      <c r="K834">
        <v>3243932</v>
      </c>
      <c r="R834" t="s">
        <v>1046</v>
      </c>
      <c r="AA834">
        <v>18000</v>
      </c>
    </row>
    <row r="835" spans="9:30" x14ac:dyDescent="0.25">
      <c r="I835" t="s">
        <v>1044</v>
      </c>
      <c r="K835">
        <v>29194068</v>
      </c>
      <c r="R835" t="s">
        <v>17</v>
      </c>
      <c r="AA835">
        <v>18000</v>
      </c>
    </row>
    <row r="836" spans="9:30" x14ac:dyDescent="0.25">
      <c r="I836" t="s">
        <v>1045</v>
      </c>
      <c r="K836">
        <v>30762932</v>
      </c>
      <c r="R836" t="s">
        <v>17</v>
      </c>
      <c r="AA836">
        <v>23000</v>
      </c>
    </row>
    <row r="837" spans="9:30" x14ac:dyDescent="0.25">
      <c r="AC837" t="s">
        <v>1041</v>
      </c>
      <c r="AD837" t="s">
        <v>1042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849"/>
  <sheetViews>
    <sheetView workbookViewId="0">
      <selection activeCell="B8" sqref="B8"/>
    </sheetView>
  </sheetViews>
  <sheetFormatPr baseColWidth="10" defaultRowHeight="15" x14ac:dyDescent="0.25"/>
  <cols>
    <col min="1" max="1" width="43.28515625" customWidth="1"/>
    <col min="2" max="2" width="31.140625" customWidth="1"/>
    <col min="3" max="3" width="20.140625" customWidth="1"/>
    <col min="4" max="4" width="20.140625" bestFit="1" customWidth="1"/>
  </cols>
  <sheetData>
    <row r="1" spans="1:3" x14ac:dyDescent="0.25">
      <c r="A1" s="11" t="s">
        <v>797</v>
      </c>
      <c r="B1" t="s">
        <v>802</v>
      </c>
    </row>
    <row r="3" spans="1:3" x14ac:dyDescent="0.25">
      <c r="B3" s="11" t="s">
        <v>935</v>
      </c>
    </row>
    <row r="4" spans="1:3" x14ac:dyDescent="0.25">
      <c r="A4" s="11" t="s">
        <v>1</v>
      </c>
      <c r="B4" t="s">
        <v>785</v>
      </c>
      <c r="C4" t="s">
        <v>1650</v>
      </c>
    </row>
    <row r="5" spans="1:3" x14ac:dyDescent="0.25">
      <c r="A5" t="s">
        <v>820</v>
      </c>
      <c r="B5" s="32">
        <v>133</v>
      </c>
      <c r="C5" s="32">
        <v>128</v>
      </c>
    </row>
    <row r="6" spans="1:3" x14ac:dyDescent="0.25">
      <c r="A6" t="s">
        <v>808</v>
      </c>
      <c r="B6" s="32">
        <v>223</v>
      </c>
      <c r="C6" s="32">
        <v>222</v>
      </c>
    </row>
    <row r="7" spans="1:3" x14ac:dyDescent="0.25">
      <c r="A7" t="s">
        <v>825</v>
      </c>
      <c r="B7" s="32">
        <v>231</v>
      </c>
      <c r="C7" s="32">
        <v>231</v>
      </c>
    </row>
    <row r="8" spans="1:3" x14ac:dyDescent="0.25">
      <c r="A8" t="s">
        <v>800</v>
      </c>
      <c r="B8" s="32">
        <v>270</v>
      </c>
      <c r="C8" s="32">
        <v>270</v>
      </c>
    </row>
    <row r="9" spans="1:3" x14ac:dyDescent="0.25">
      <c r="A9" t="s">
        <v>819</v>
      </c>
      <c r="B9" s="32">
        <v>29</v>
      </c>
      <c r="C9" s="32">
        <v>29</v>
      </c>
    </row>
    <row r="10" spans="1:3" x14ac:dyDescent="0.25">
      <c r="A10" t="s">
        <v>794</v>
      </c>
      <c r="B10" s="32">
        <v>7</v>
      </c>
      <c r="C10" s="32">
        <v>5</v>
      </c>
    </row>
    <row r="11" spans="1:3" x14ac:dyDescent="0.25">
      <c r="A11" t="s">
        <v>928</v>
      </c>
      <c r="B11" s="32">
        <v>20</v>
      </c>
      <c r="C11" s="32">
        <v>20</v>
      </c>
    </row>
    <row r="12" spans="1:3" x14ac:dyDescent="0.25">
      <c r="A12" t="s">
        <v>1106</v>
      </c>
      <c r="B12" s="32">
        <v>3</v>
      </c>
      <c r="C12" s="32">
        <v>3</v>
      </c>
    </row>
    <row r="13" spans="1:3" x14ac:dyDescent="0.25">
      <c r="A13" t="s">
        <v>956</v>
      </c>
      <c r="B13" s="32">
        <v>35</v>
      </c>
      <c r="C13" s="32">
        <v>20</v>
      </c>
    </row>
    <row r="14" spans="1:3" x14ac:dyDescent="0.25">
      <c r="A14" t="s">
        <v>1820</v>
      </c>
      <c r="B14" s="32">
        <v>31</v>
      </c>
      <c r="C14" s="32">
        <v>31</v>
      </c>
    </row>
    <row r="15" spans="1:3" x14ac:dyDescent="0.25">
      <c r="A15" t="s">
        <v>1833</v>
      </c>
      <c r="B15" s="32">
        <v>33</v>
      </c>
      <c r="C15" s="32">
        <v>33</v>
      </c>
    </row>
    <row r="16" spans="1:3" x14ac:dyDescent="0.25">
      <c r="A16" t="s">
        <v>252</v>
      </c>
      <c r="B16" s="32">
        <v>1015</v>
      </c>
      <c r="C16" s="32">
        <v>992</v>
      </c>
    </row>
    <row r="19" spans="2:2" x14ac:dyDescent="0.25">
      <c r="B19" t="e">
        <f>+GETPIVOTDATA("APELLIDO Y NOMBRE/S",$A$3,"DIRECCIÓN/ÁREA","DIR GRAL TECNICA ADMINISTRATIVA Y LEGAL")+GETPIVOTDATA("APELLIDO Y NOMBRE/S",$A$3,"DIRECCIÓN/ÁREA","DIR NAC EXPRESIONES FEDERALES")+GETPIVOTDATA("APELLIDO Y NOMBRE/S",$A$3,"DIRECCIÓN/ÁREA","DIR NAC GENERACION DE CONTENIDOS")+GETPIVOTDATA("APELLIDO Y NOMBRE/S",$A$3,"DIRECCIÓN/ÁREA","DIRECCIÓN GESIÓN DE CONVENIOS")+GETPIVOTDATA("APELLIDO Y NOMBRE/S",$A$3,"DIRECCIÓN/ÁREA","UNIDAD DE MINISTRO")+GETPIVOTDATA("APELLIDO Y NOMBRE/S",$A$3,"DIRECCIÓN/ÁREA","SUB SEC CENTROS TEMATICOS Y EXP FEDERALES")+GETPIVOTDATA("APELLIDO Y NOMBRE/S",$A$3,"DIRECCIÓN/ÁREA",)</f>
        <v>#REF!</v>
      </c>
    </row>
    <row r="846" spans="9:27" x14ac:dyDescent="0.25">
      <c r="I846" t="s">
        <v>1043</v>
      </c>
      <c r="K846">
        <v>3243932</v>
      </c>
      <c r="R846" t="s">
        <v>1046</v>
      </c>
      <c r="AA846">
        <v>18000</v>
      </c>
    </row>
    <row r="847" spans="9:27" x14ac:dyDescent="0.25">
      <c r="I847" t="s">
        <v>1044</v>
      </c>
      <c r="K847">
        <v>29194068</v>
      </c>
      <c r="R847" t="s">
        <v>17</v>
      </c>
      <c r="AA847">
        <v>18000</v>
      </c>
    </row>
    <row r="848" spans="9:27" x14ac:dyDescent="0.25">
      <c r="I848" t="s">
        <v>1045</v>
      </c>
      <c r="K848">
        <v>30762932</v>
      </c>
      <c r="R848" t="s">
        <v>17</v>
      </c>
      <c r="AA848">
        <v>23000</v>
      </c>
    </row>
    <row r="849" spans="29:30" x14ac:dyDescent="0.25">
      <c r="AC849" t="s">
        <v>1041</v>
      </c>
      <c r="AD849" t="s">
        <v>1042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3:AD849"/>
  <sheetViews>
    <sheetView workbookViewId="0">
      <selection activeCell="D41" sqref="D41"/>
    </sheetView>
  </sheetViews>
  <sheetFormatPr baseColWidth="10" defaultRowHeight="15" x14ac:dyDescent="0.25"/>
  <cols>
    <col min="1" max="1" width="65.5703125" bestFit="1" customWidth="1"/>
    <col min="2" max="3" width="5.42578125" customWidth="1"/>
  </cols>
  <sheetData>
    <row r="3" spans="1:2" ht="18.75" x14ac:dyDescent="0.3">
      <c r="A3" s="94" t="s">
        <v>799</v>
      </c>
    </row>
    <row r="4" spans="1:2" x14ac:dyDescent="0.25">
      <c r="A4" s="11" t="s">
        <v>0</v>
      </c>
      <c r="B4" t="s">
        <v>253</v>
      </c>
    </row>
    <row r="5" spans="1:2" x14ac:dyDescent="0.25">
      <c r="A5" t="s">
        <v>822</v>
      </c>
      <c r="B5" s="32">
        <v>839</v>
      </c>
    </row>
    <row r="6" spans="1:2" x14ac:dyDescent="0.25">
      <c r="A6" t="s">
        <v>794</v>
      </c>
      <c r="B6" s="32">
        <v>168</v>
      </c>
    </row>
    <row r="7" spans="1:2" x14ac:dyDescent="0.25">
      <c r="A7" t="s">
        <v>1098</v>
      </c>
      <c r="B7" s="32">
        <v>8</v>
      </c>
    </row>
    <row r="8" spans="1:2" x14ac:dyDescent="0.25">
      <c r="A8" t="s">
        <v>252</v>
      </c>
      <c r="B8" s="32">
        <v>1015</v>
      </c>
    </row>
    <row r="846" spans="9:27" x14ac:dyDescent="0.25">
      <c r="I846" t="s">
        <v>1043</v>
      </c>
      <c r="K846">
        <v>3243932</v>
      </c>
      <c r="R846" t="s">
        <v>1046</v>
      </c>
      <c r="AA846">
        <v>18000</v>
      </c>
    </row>
    <row r="847" spans="9:27" x14ac:dyDescent="0.25">
      <c r="I847" t="s">
        <v>1044</v>
      </c>
      <c r="K847">
        <v>29194068</v>
      </c>
      <c r="R847" t="s">
        <v>17</v>
      </c>
      <c r="AA847">
        <v>18000</v>
      </c>
    </row>
    <row r="848" spans="9:27" x14ac:dyDescent="0.25">
      <c r="I848" t="s">
        <v>1045</v>
      </c>
      <c r="K848">
        <v>30762932</v>
      </c>
      <c r="R848" t="s">
        <v>17</v>
      </c>
      <c r="AA848">
        <v>23000</v>
      </c>
    </row>
    <row r="849" spans="29:30" x14ac:dyDescent="0.25">
      <c r="AC849" t="s">
        <v>1041</v>
      </c>
      <c r="AD849" t="s">
        <v>1042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AD849"/>
  <sheetViews>
    <sheetView topLeftCell="A4" workbookViewId="0">
      <selection activeCell="A12" sqref="A6:A16"/>
    </sheetView>
  </sheetViews>
  <sheetFormatPr baseColWidth="10" defaultRowHeight="15" x14ac:dyDescent="0.25"/>
  <cols>
    <col min="1" max="1" width="43.28515625" customWidth="1"/>
    <col min="2" max="2" width="9.85546875" customWidth="1"/>
    <col min="3" max="3" width="31.140625" style="40" customWidth="1"/>
    <col min="4" max="4" width="31.140625" bestFit="1" customWidth="1"/>
    <col min="7" max="7" width="15" bestFit="1" customWidth="1"/>
  </cols>
  <sheetData>
    <row r="2" spans="1:7" x14ac:dyDescent="0.25">
      <c r="A2" s="11" t="s">
        <v>797</v>
      </c>
      <c r="B2" t="s">
        <v>802</v>
      </c>
    </row>
    <row r="4" spans="1:7" x14ac:dyDescent="0.25">
      <c r="A4" s="11" t="s">
        <v>785</v>
      </c>
      <c r="B4" s="34"/>
      <c r="C4"/>
    </row>
    <row r="5" spans="1:7" x14ac:dyDescent="0.25">
      <c r="A5" s="11" t="s">
        <v>1</v>
      </c>
      <c r="B5" t="s">
        <v>253</v>
      </c>
      <c r="C5"/>
    </row>
    <row r="6" spans="1:7" x14ac:dyDescent="0.25">
      <c r="A6" t="s">
        <v>794</v>
      </c>
      <c r="B6" s="34">
        <v>7</v>
      </c>
      <c r="C6"/>
    </row>
    <row r="7" spans="1:7" x14ac:dyDescent="0.25">
      <c r="A7" t="s">
        <v>808</v>
      </c>
      <c r="B7" s="34">
        <v>223</v>
      </c>
      <c r="C7"/>
    </row>
    <row r="8" spans="1:7" x14ac:dyDescent="0.25">
      <c r="A8" t="s">
        <v>800</v>
      </c>
      <c r="B8" s="34">
        <v>270</v>
      </c>
      <c r="C8"/>
    </row>
    <row r="9" spans="1:7" x14ac:dyDescent="0.25">
      <c r="A9" t="s">
        <v>820</v>
      </c>
      <c r="B9" s="34">
        <v>133</v>
      </c>
      <c r="C9"/>
    </row>
    <row r="10" spans="1:7" x14ac:dyDescent="0.25">
      <c r="A10" t="s">
        <v>819</v>
      </c>
      <c r="B10" s="34">
        <v>29</v>
      </c>
      <c r="C10"/>
    </row>
    <row r="11" spans="1:7" x14ac:dyDescent="0.25">
      <c r="A11" t="s">
        <v>825</v>
      </c>
      <c r="B11" s="34">
        <v>231</v>
      </c>
      <c r="C11"/>
    </row>
    <row r="12" spans="1:7" x14ac:dyDescent="0.25">
      <c r="A12" t="s">
        <v>928</v>
      </c>
      <c r="B12" s="34">
        <v>20</v>
      </c>
      <c r="C12"/>
    </row>
    <row r="13" spans="1:7" x14ac:dyDescent="0.25">
      <c r="A13" t="s">
        <v>956</v>
      </c>
      <c r="B13" s="34">
        <v>35</v>
      </c>
      <c r="C13"/>
    </row>
    <row r="14" spans="1:7" x14ac:dyDescent="0.25">
      <c r="A14" t="s">
        <v>1106</v>
      </c>
      <c r="B14" s="34">
        <v>3</v>
      </c>
      <c r="C14"/>
      <c r="G14" s="40"/>
    </row>
    <row r="15" spans="1:7" x14ac:dyDescent="0.25">
      <c r="A15" t="s">
        <v>1820</v>
      </c>
      <c r="B15" s="34">
        <v>31</v>
      </c>
      <c r="C15"/>
      <c r="G15" s="40"/>
    </row>
    <row r="16" spans="1:7" x14ac:dyDescent="0.25">
      <c r="A16" t="s">
        <v>1833</v>
      </c>
      <c r="B16" s="34">
        <v>33</v>
      </c>
      <c r="C16"/>
      <c r="G16" s="40"/>
    </row>
    <row r="17" spans="1:7" x14ac:dyDescent="0.25">
      <c r="A17" t="s">
        <v>252</v>
      </c>
      <c r="B17" s="34">
        <v>1015</v>
      </c>
      <c r="C17"/>
      <c r="G17" s="40"/>
    </row>
    <row r="18" spans="1:7" x14ac:dyDescent="0.25">
      <c r="C18"/>
      <c r="G18" s="40"/>
    </row>
    <row r="19" spans="1:7" x14ac:dyDescent="0.25">
      <c r="C19"/>
      <c r="G19" s="40"/>
    </row>
    <row r="20" spans="1:7" x14ac:dyDescent="0.25">
      <c r="C20"/>
      <c r="G20" s="40"/>
    </row>
    <row r="21" spans="1:7" x14ac:dyDescent="0.25">
      <c r="C21"/>
      <c r="G21" s="40"/>
    </row>
    <row r="22" spans="1:7" x14ac:dyDescent="0.25">
      <c r="C22"/>
      <c r="G22" s="40"/>
    </row>
    <row r="23" spans="1:7" x14ac:dyDescent="0.25">
      <c r="C23"/>
      <c r="G23" s="40"/>
    </row>
    <row r="24" spans="1:7" x14ac:dyDescent="0.25">
      <c r="C24"/>
      <c r="G24" s="40"/>
    </row>
    <row r="25" spans="1:7" x14ac:dyDescent="0.25">
      <c r="C25"/>
    </row>
    <row r="26" spans="1:7" x14ac:dyDescent="0.25">
      <c r="C26"/>
    </row>
    <row r="27" spans="1:7" x14ac:dyDescent="0.25">
      <c r="C27"/>
    </row>
    <row r="28" spans="1:7" x14ac:dyDescent="0.25">
      <c r="C28"/>
    </row>
    <row r="29" spans="1:7" x14ac:dyDescent="0.25">
      <c r="C29"/>
    </row>
    <row r="30" spans="1:7" x14ac:dyDescent="0.25">
      <c r="C30"/>
    </row>
    <row r="31" spans="1:7" x14ac:dyDescent="0.25">
      <c r="C31"/>
    </row>
    <row r="32" spans="1:7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846" spans="9:27" x14ac:dyDescent="0.25">
      <c r="I846" t="s">
        <v>1043</v>
      </c>
      <c r="K846">
        <v>3243932</v>
      </c>
      <c r="R846" t="s">
        <v>1046</v>
      </c>
      <c r="AA846">
        <v>18000</v>
      </c>
    </row>
    <row r="847" spans="9:27" x14ac:dyDescent="0.25">
      <c r="I847" t="s">
        <v>1044</v>
      </c>
      <c r="K847">
        <v>29194068</v>
      </c>
      <c r="R847" t="s">
        <v>17</v>
      </c>
      <c r="AA847">
        <v>18000</v>
      </c>
    </row>
    <row r="848" spans="9:27" x14ac:dyDescent="0.25">
      <c r="I848" t="s">
        <v>1045</v>
      </c>
      <c r="K848">
        <v>30762932</v>
      </c>
      <c r="R848" t="s">
        <v>17</v>
      </c>
      <c r="AA848">
        <v>23000</v>
      </c>
    </row>
    <row r="849" spans="29:30" x14ac:dyDescent="0.25">
      <c r="AC849" t="s">
        <v>1041</v>
      </c>
      <c r="AD849" t="s">
        <v>1042</v>
      </c>
    </row>
  </sheetData>
  <pageMargins left="0.7" right="0.7" top="0.75" bottom="0.75" header="0.3" footer="0.3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D849"/>
  <sheetViews>
    <sheetView topLeftCell="A55" workbookViewId="0">
      <selection activeCell="A236" sqref="A236"/>
    </sheetView>
  </sheetViews>
  <sheetFormatPr baseColWidth="10" defaultRowHeight="15" x14ac:dyDescent="0.25"/>
  <cols>
    <col min="1" max="1" width="47.5703125" customWidth="1"/>
    <col min="2" max="2" width="34.140625" customWidth="1"/>
    <col min="3" max="3" width="32.28515625" customWidth="1"/>
    <col min="4" max="4" width="32" customWidth="1"/>
    <col min="5" max="5" width="6.28515625" style="40" customWidth="1"/>
    <col min="6" max="6" width="34.28515625" style="40" bestFit="1" customWidth="1"/>
    <col min="7" max="7" width="11.140625" hidden="1" customWidth="1"/>
    <col min="8" max="8" width="14.85546875" hidden="1" customWidth="1"/>
    <col min="9" max="9" width="5.42578125" bestFit="1" customWidth="1"/>
  </cols>
  <sheetData>
    <row r="1" spans="1:9" x14ac:dyDescent="0.25">
      <c r="A1" s="11" t="s">
        <v>0</v>
      </c>
      <c r="B1" t="s">
        <v>802</v>
      </c>
      <c r="E1"/>
      <c r="F1"/>
    </row>
    <row r="2" spans="1:9" x14ac:dyDescent="0.25">
      <c r="E2"/>
      <c r="F2"/>
    </row>
    <row r="3" spans="1:9" x14ac:dyDescent="0.25">
      <c r="A3" s="11" t="s">
        <v>785</v>
      </c>
      <c r="E3"/>
      <c r="F3"/>
    </row>
    <row r="4" spans="1:9" x14ac:dyDescent="0.25">
      <c r="A4" s="11" t="s">
        <v>821</v>
      </c>
      <c r="B4" s="11" t="s">
        <v>1</v>
      </c>
      <c r="C4" s="11" t="s">
        <v>513</v>
      </c>
      <c r="D4" s="11" t="s">
        <v>514</v>
      </c>
      <c r="E4" s="11" t="s">
        <v>917</v>
      </c>
      <c r="F4" s="11" t="s">
        <v>2</v>
      </c>
      <c r="G4" s="51" t="s">
        <v>918</v>
      </c>
      <c r="H4" s="51" t="s">
        <v>919</v>
      </c>
      <c r="I4" t="s">
        <v>253</v>
      </c>
    </row>
    <row r="5" spans="1:9" x14ac:dyDescent="0.25">
      <c r="A5" t="s">
        <v>823</v>
      </c>
      <c r="B5" t="s">
        <v>808</v>
      </c>
      <c r="C5" t="s">
        <v>59</v>
      </c>
      <c r="D5" t="s">
        <v>794</v>
      </c>
      <c r="E5" t="s">
        <v>915</v>
      </c>
      <c r="F5" t="s">
        <v>118</v>
      </c>
      <c r="G5">
        <v>16000</v>
      </c>
      <c r="H5">
        <v>17000</v>
      </c>
      <c r="I5" s="32">
        <v>1</v>
      </c>
    </row>
    <row r="6" spans="1:9" x14ac:dyDescent="0.25">
      <c r="E6"/>
      <c r="F6" t="s">
        <v>632</v>
      </c>
      <c r="G6">
        <v>12500</v>
      </c>
      <c r="H6">
        <v>12000</v>
      </c>
      <c r="I6" s="32">
        <v>1</v>
      </c>
    </row>
    <row r="7" spans="1:9" x14ac:dyDescent="0.25">
      <c r="E7"/>
      <c r="F7" t="s">
        <v>155</v>
      </c>
      <c r="G7">
        <v>14000</v>
      </c>
      <c r="H7">
        <v>17000</v>
      </c>
      <c r="I7" s="32">
        <v>1</v>
      </c>
    </row>
    <row r="8" spans="1:9" x14ac:dyDescent="0.25">
      <c r="E8"/>
      <c r="F8" t="s">
        <v>161</v>
      </c>
      <c r="G8">
        <v>20000</v>
      </c>
      <c r="H8">
        <v>20000</v>
      </c>
      <c r="I8" s="32">
        <v>1</v>
      </c>
    </row>
    <row r="9" spans="1:9" x14ac:dyDescent="0.25">
      <c r="E9"/>
      <c r="F9" t="s">
        <v>540</v>
      </c>
      <c r="G9">
        <v>14000</v>
      </c>
      <c r="H9">
        <v>13500</v>
      </c>
      <c r="I9" s="32">
        <v>1</v>
      </c>
    </row>
    <row r="10" spans="1:9" x14ac:dyDescent="0.25">
      <c r="E10"/>
      <c r="F10" t="s">
        <v>194</v>
      </c>
      <c r="G10">
        <v>26000</v>
      </c>
      <c r="H10">
        <v>26000</v>
      </c>
      <c r="I10" s="32">
        <v>1</v>
      </c>
    </row>
    <row r="11" spans="1:9" x14ac:dyDescent="0.25">
      <c r="E11" t="s">
        <v>916</v>
      </c>
      <c r="F11" t="s">
        <v>832</v>
      </c>
      <c r="G11">
        <v>17107</v>
      </c>
      <c r="H11" t="s">
        <v>910</v>
      </c>
      <c r="I11" s="32">
        <v>1</v>
      </c>
    </row>
    <row r="12" spans="1:9" x14ac:dyDescent="0.25">
      <c r="E12"/>
      <c r="F12" t="s">
        <v>181</v>
      </c>
      <c r="G12">
        <v>20266</v>
      </c>
      <c r="H12" t="s">
        <v>914</v>
      </c>
      <c r="I12" s="32">
        <v>1</v>
      </c>
    </row>
    <row r="13" spans="1:9" x14ac:dyDescent="0.25">
      <c r="C13" t="s">
        <v>11</v>
      </c>
      <c r="D13" t="s">
        <v>218</v>
      </c>
      <c r="E13" t="s">
        <v>915</v>
      </c>
      <c r="F13" t="s">
        <v>78</v>
      </c>
      <c r="G13">
        <v>17102</v>
      </c>
      <c r="H13">
        <v>17102</v>
      </c>
      <c r="I13" s="32">
        <v>1</v>
      </c>
    </row>
    <row r="14" spans="1:9" x14ac:dyDescent="0.25">
      <c r="E14"/>
      <c r="F14" t="s">
        <v>852</v>
      </c>
      <c r="G14">
        <v>15000</v>
      </c>
      <c r="H14">
        <v>17000</v>
      </c>
      <c r="I14" s="32">
        <v>1</v>
      </c>
    </row>
    <row r="15" spans="1:9" x14ac:dyDescent="0.25">
      <c r="E15"/>
      <c r="F15" t="s">
        <v>848</v>
      </c>
      <c r="G15">
        <v>20000</v>
      </c>
      <c r="H15">
        <v>20000</v>
      </c>
      <c r="I15" s="32">
        <v>1</v>
      </c>
    </row>
    <row r="16" spans="1:9" x14ac:dyDescent="0.25">
      <c r="E16"/>
      <c r="F16" t="s">
        <v>1075</v>
      </c>
      <c r="G16">
        <v>17000</v>
      </c>
      <c r="H16" t="s">
        <v>794</v>
      </c>
      <c r="I16" s="32">
        <v>1</v>
      </c>
    </row>
    <row r="17" spans="3:9" x14ac:dyDescent="0.25">
      <c r="E17"/>
      <c r="F17" t="s">
        <v>1092</v>
      </c>
      <c r="G17" t="s">
        <v>794</v>
      </c>
      <c r="H17" t="s">
        <v>794</v>
      </c>
      <c r="I17" s="32">
        <v>1</v>
      </c>
    </row>
    <row r="18" spans="3:9" x14ac:dyDescent="0.25">
      <c r="E18"/>
      <c r="F18" t="s">
        <v>970</v>
      </c>
      <c r="G18">
        <v>17000</v>
      </c>
      <c r="H18" t="s">
        <v>794</v>
      </c>
      <c r="I18" s="32">
        <v>1</v>
      </c>
    </row>
    <row r="19" spans="3:9" x14ac:dyDescent="0.25">
      <c r="E19"/>
      <c r="F19" t="s">
        <v>1095</v>
      </c>
      <c r="G19" t="s">
        <v>794</v>
      </c>
      <c r="H19" t="s">
        <v>794</v>
      </c>
      <c r="I19" s="32">
        <v>1</v>
      </c>
    </row>
    <row r="20" spans="3:9" x14ac:dyDescent="0.25">
      <c r="E20"/>
      <c r="F20" t="s">
        <v>971</v>
      </c>
      <c r="G20">
        <v>20000</v>
      </c>
      <c r="H20" t="s">
        <v>794</v>
      </c>
      <c r="I20" s="32">
        <v>1</v>
      </c>
    </row>
    <row r="21" spans="3:9" x14ac:dyDescent="0.25">
      <c r="E21"/>
      <c r="F21" t="s">
        <v>1858</v>
      </c>
      <c r="G21" t="s">
        <v>794</v>
      </c>
      <c r="H21" t="s">
        <v>794</v>
      </c>
      <c r="I21" s="32">
        <v>1</v>
      </c>
    </row>
    <row r="22" spans="3:9" x14ac:dyDescent="0.25">
      <c r="E22" t="s">
        <v>916</v>
      </c>
      <c r="F22" t="s">
        <v>188</v>
      </c>
      <c r="G22">
        <v>20266</v>
      </c>
      <c r="H22" t="s">
        <v>914</v>
      </c>
      <c r="I22" s="32">
        <v>1</v>
      </c>
    </row>
    <row r="23" spans="3:9" x14ac:dyDescent="0.25">
      <c r="D23" t="s">
        <v>794</v>
      </c>
      <c r="E23" t="s">
        <v>916</v>
      </c>
      <c r="F23" t="s">
        <v>664</v>
      </c>
      <c r="G23">
        <v>17107</v>
      </c>
      <c r="H23" t="s">
        <v>914</v>
      </c>
      <c r="I23" s="32">
        <v>1</v>
      </c>
    </row>
    <row r="24" spans="3:9" x14ac:dyDescent="0.25">
      <c r="C24" t="s">
        <v>216</v>
      </c>
      <c r="D24" t="s">
        <v>794</v>
      </c>
      <c r="E24" t="s">
        <v>915</v>
      </c>
      <c r="F24" t="s">
        <v>562</v>
      </c>
      <c r="G24">
        <v>12500</v>
      </c>
      <c r="H24">
        <v>15000</v>
      </c>
      <c r="I24" s="32">
        <v>1</v>
      </c>
    </row>
    <row r="25" spans="3:9" x14ac:dyDescent="0.25">
      <c r="E25"/>
      <c r="F25" t="s">
        <v>86</v>
      </c>
      <c r="G25">
        <v>12500</v>
      </c>
      <c r="H25">
        <v>15000</v>
      </c>
      <c r="I25" s="32">
        <v>1</v>
      </c>
    </row>
    <row r="26" spans="3:9" x14ac:dyDescent="0.25">
      <c r="E26"/>
      <c r="F26" t="s">
        <v>90</v>
      </c>
      <c r="G26">
        <v>14000</v>
      </c>
      <c r="H26">
        <v>16000</v>
      </c>
      <c r="I26" s="32">
        <v>1</v>
      </c>
    </row>
    <row r="27" spans="3:9" x14ac:dyDescent="0.25">
      <c r="E27"/>
      <c r="F27" t="s">
        <v>105</v>
      </c>
      <c r="G27">
        <v>13500</v>
      </c>
      <c r="H27">
        <v>15000</v>
      </c>
      <c r="I27" s="32">
        <v>1</v>
      </c>
    </row>
    <row r="28" spans="3:9" x14ac:dyDescent="0.25">
      <c r="E28"/>
      <c r="F28" t="s">
        <v>132</v>
      </c>
      <c r="G28">
        <v>18500</v>
      </c>
      <c r="H28">
        <v>18500</v>
      </c>
      <c r="I28" s="32">
        <v>1</v>
      </c>
    </row>
    <row r="29" spans="3:9" x14ac:dyDescent="0.25">
      <c r="E29"/>
      <c r="F29" t="s">
        <v>879</v>
      </c>
      <c r="G29">
        <v>19000</v>
      </c>
      <c r="H29">
        <v>26000</v>
      </c>
      <c r="I29" s="32">
        <v>1</v>
      </c>
    </row>
    <row r="30" spans="3:9" x14ac:dyDescent="0.25">
      <c r="E30"/>
      <c r="F30" t="s">
        <v>713</v>
      </c>
      <c r="G30">
        <v>12500</v>
      </c>
      <c r="H30">
        <v>15000</v>
      </c>
      <c r="I30" s="32">
        <v>1</v>
      </c>
    </row>
    <row r="31" spans="3:9" x14ac:dyDescent="0.25">
      <c r="E31"/>
      <c r="F31" t="s">
        <v>1027</v>
      </c>
      <c r="G31">
        <v>15000</v>
      </c>
      <c r="H31" t="s">
        <v>794</v>
      </c>
      <c r="I31" s="32">
        <v>1</v>
      </c>
    </row>
    <row r="32" spans="3:9" x14ac:dyDescent="0.25">
      <c r="E32"/>
      <c r="F32" t="s">
        <v>1138</v>
      </c>
      <c r="G32" t="s">
        <v>794</v>
      </c>
      <c r="H32" t="s">
        <v>794</v>
      </c>
      <c r="I32" s="32">
        <v>1</v>
      </c>
    </row>
    <row r="33" spans="4:9" x14ac:dyDescent="0.25">
      <c r="E33" t="s">
        <v>916</v>
      </c>
      <c r="F33" t="s">
        <v>827</v>
      </c>
      <c r="G33">
        <v>11730</v>
      </c>
      <c r="H33" t="s">
        <v>914</v>
      </c>
      <c r="I33" s="32">
        <v>1</v>
      </c>
    </row>
    <row r="34" spans="4:9" x14ac:dyDescent="0.25">
      <c r="E34"/>
      <c r="F34" t="s">
        <v>92</v>
      </c>
      <c r="G34">
        <v>22590</v>
      </c>
      <c r="H34" t="s">
        <v>914</v>
      </c>
      <c r="I34" s="32">
        <v>1</v>
      </c>
    </row>
    <row r="35" spans="4:9" x14ac:dyDescent="0.25">
      <c r="E35"/>
      <c r="F35" t="s">
        <v>595</v>
      </c>
      <c r="G35">
        <v>12000</v>
      </c>
      <c r="H35" t="s">
        <v>910</v>
      </c>
      <c r="I35" s="32">
        <v>1</v>
      </c>
    </row>
    <row r="36" spans="4:9" x14ac:dyDescent="0.25">
      <c r="E36"/>
      <c r="F36" t="s">
        <v>1064</v>
      </c>
      <c r="G36" t="s">
        <v>794</v>
      </c>
      <c r="H36" t="s">
        <v>794</v>
      </c>
      <c r="I36" s="32">
        <v>1</v>
      </c>
    </row>
    <row r="37" spans="4:9" x14ac:dyDescent="0.25">
      <c r="E37"/>
      <c r="F37" t="s">
        <v>661</v>
      </c>
      <c r="G37">
        <v>12000</v>
      </c>
      <c r="H37" t="s">
        <v>914</v>
      </c>
      <c r="I37" s="32">
        <v>1</v>
      </c>
    </row>
    <row r="38" spans="4:9" x14ac:dyDescent="0.25">
      <c r="E38"/>
      <c r="F38" t="s">
        <v>693</v>
      </c>
      <c r="G38">
        <v>26237</v>
      </c>
      <c r="H38" t="s">
        <v>914</v>
      </c>
      <c r="I38" s="32">
        <v>1</v>
      </c>
    </row>
    <row r="39" spans="4:9" x14ac:dyDescent="0.25">
      <c r="E39"/>
      <c r="F39" t="s">
        <v>173</v>
      </c>
      <c r="G39">
        <v>22828</v>
      </c>
      <c r="H39" t="s">
        <v>914</v>
      </c>
      <c r="I39" s="32">
        <v>1</v>
      </c>
    </row>
    <row r="40" spans="4:9" x14ac:dyDescent="0.25">
      <c r="E40"/>
      <c r="F40" t="s">
        <v>176</v>
      </c>
      <c r="G40">
        <v>19528</v>
      </c>
      <c r="H40" t="s">
        <v>914</v>
      </c>
      <c r="I40" s="32">
        <v>1</v>
      </c>
    </row>
    <row r="41" spans="4:9" x14ac:dyDescent="0.25">
      <c r="E41"/>
      <c r="F41" t="s">
        <v>831</v>
      </c>
      <c r="G41">
        <v>12142</v>
      </c>
      <c r="H41" t="s">
        <v>914</v>
      </c>
      <c r="I41" s="32">
        <v>1</v>
      </c>
    </row>
    <row r="42" spans="4:9" x14ac:dyDescent="0.25">
      <c r="E42"/>
      <c r="F42" t="s">
        <v>198</v>
      </c>
      <c r="G42">
        <v>19096</v>
      </c>
      <c r="H42" t="s">
        <v>914</v>
      </c>
      <c r="I42" s="32">
        <v>1</v>
      </c>
    </row>
    <row r="43" spans="4:9" x14ac:dyDescent="0.25">
      <c r="E43"/>
      <c r="F43" t="s">
        <v>203</v>
      </c>
      <c r="G43">
        <v>21517</v>
      </c>
      <c r="H43" t="s">
        <v>914</v>
      </c>
      <c r="I43" s="32">
        <v>1</v>
      </c>
    </row>
    <row r="44" spans="4:9" x14ac:dyDescent="0.25">
      <c r="D44" t="s">
        <v>1066</v>
      </c>
      <c r="E44" t="s">
        <v>915</v>
      </c>
      <c r="F44" t="s">
        <v>1082</v>
      </c>
      <c r="G44" t="s">
        <v>794</v>
      </c>
      <c r="H44" t="s">
        <v>794</v>
      </c>
      <c r="I44" s="32">
        <v>1</v>
      </c>
    </row>
    <row r="45" spans="4:9" x14ac:dyDescent="0.25">
      <c r="E45"/>
      <c r="F45" t="s">
        <v>1080</v>
      </c>
      <c r="G45" t="s">
        <v>794</v>
      </c>
      <c r="H45" t="s">
        <v>794</v>
      </c>
      <c r="I45" s="32">
        <v>1</v>
      </c>
    </row>
    <row r="46" spans="4:9" x14ac:dyDescent="0.25">
      <c r="E46"/>
      <c r="F46" t="s">
        <v>1068</v>
      </c>
      <c r="G46" t="s">
        <v>794</v>
      </c>
      <c r="H46" t="s">
        <v>794</v>
      </c>
      <c r="I46" s="32">
        <v>1</v>
      </c>
    </row>
    <row r="47" spans="4:9" x14ac:dyDescent="0.25">
      <c r="E47"/>
      <c r="F47" t="s">
        <v>1084</v>
      </c>
      <c r="G47" t="s">
        <v>794</v>
      </c>
      <c r="H47" t="s">
        <v>794</v>
      </c>
      <c r="I47" s="32">
        <v>1</v>
      </c>
    </row>
    <row r="48" spans="4:9" x14ac:dyDescent="0.25">
      <c r="E48"/>
      <c r="F48" t="s">
        <v>1067</v>
      </c>
      <c r="G48" t="s">
        <v>794</v>
      </c>
      <c r="H48" t="s">
        <v>794</v>
      </c>
      <c r="I48" s="32">
        <v>1</v>
      </c>
    </row>
    <row r="49" spans="5:9" x14ac:dyDescent="0.25">
      <c r="E49"/>
      <c r="F49" t="s">
        <v>1069</v>
      </c>
      <c r="G49" t="s">
        <v>794</v>
      </c>
      <c r="H49" t="s">
        <v>794</v>
      </c>
      <c r="I49" s="32">
        <v>1</v>
      </c>
    </row>
    <row r="50" spans="5:9" x14ac:dyDescent="0.25">
      <c r="E50"/>
      <c r="F50" t="s">
        <v>1081</v>
      </c>
      <c r="G50" t="s">
        <v>794</v>
      </c>
      <c r="H50" t="s">
        <v>794</v>
      </c>
      <c r="I50" s="32">
        <v>1</v>
      </c>
    </row>
    <row r="51" spans="5:9" x14ac:dyDescent="0.25">
      <c r="E51"/>
      <c r="F51" t="s">
        <v>1076</v>
      </c>
      <c r="G51" t="s">
        <v>794</v>
      </c>
      <c r="H51" t="s">
        <v>794</v>
      </c>
      <c r="I51" s="32">
        <v>1</v>
      </c>
    </row>
    <row r="52" spans="5:9" x14ac:dyDescent="0.25">
      <c r="E52"/>
      <c r="F52" t="s">
        <v>1079</v>
      </c>
      <c r="G52" t="s">
        <v>794</v>
      </c>
      <c r="H52" t="s">
        <v>794</v>
      </c>
      <c r="I52" s="32">
        <v>1</v>
      </c>
    </row>
    <row r="53" spans="5:9" x14ac:dyDescent="0.25">
      <c r="E53"/>
      <c r="F53" t="s">
        <v>1070</v>
      </c>
      <c r="G53" t="s">
        <v>794</v>
      </c>
      <c r="H53" t="s">
        <v>794</v>
      </c>
      <c r="I53" s="32">
        <v>1</v>
      </c>
    </row>
    <row r="54" spans="5:9" x14ac:dyDescent="0.25">
      <c r="E54"/>
      <c r="F54" t="s">
        <v>1077</v>
      </c>
      <c r="G54" t="s">
        <v>794</v>
      </c>
      <c r="H54" t="s">
        <v>794</v>
      </c>
      <c r="I54" s="32">
        <v>1</v>
      </c>
    </row>
    <row r="55" spans="5:9" x14ac:dyDescent="0.25">
      <c r="E55"/>
      <c r="F55" t="s">
        <v>1085</v>
      </c>
      <c r="G55" t="s">
        <v>794</v>
      </c>
      <c r="H55" t="s">
        <v>794</v>
      </c>
      <c r="I55" s="32">
        <v>1</v>
      </c>
    </row>
    <row r="56" spans="5:9" x14ac:dyDescent="0.25">
      <c r="E56"/>
      <c r="F56" t="s">
        <v>1078</v>
      </c>
      <c r="G56" t="s">
        <v>794</v>
      </c>
      <c r="H56" t="s">
        <v>794</v>
      </c>
      <c r="I56" s="32">
        <v>1</v>
      </c>
    </row>
    <row r="57" spans="5:9" x14ac:dyDescent="0.25">
      <c r="E57"/>
      <c r="F57" t="s">
        <v>1083</v>
      </c>
      <c r="G57" t="s">
        <v>794</v>
      </c>
      <c r="H57" t="s">
        <v>794</v>
      </c>
      <c r="I57" s="32">
        <v>1</v>
      </c>
    </row>
    <row r="58" spans="5:9" x14ac:dyDescent="0.25">
      <c r="E58"/>
      <c r="F58" t="s">
        <v>1104</v>
      </c>
      <c r="G58" t="s">
        <v>794</v>
      </c>
      <c r="H58" t="s">
        <v>794</v>
      </c>
      <c r="I58" s="32">
        <v>1</v>
      </c>
    </row>
    <row r="59" spans="5:9" x14ac:dyDescent="0.25">
      <c r="E59"/>
      <c r="F59" t="s">
        <v>1134</v>
      </c>
      <c r="G59" t="s">
        <v>794</v>
      </c>
      <c r="H59" t="s">
        <v>794</v>
      </c>
      <c r="I59" s="32">
        <v>1</v>
      </c>
    </row>
    <row r="60" spans="5:9" x14ac:dyDescent="0.25">
      <c r="E60"/>
      <c r="F60" t="s">
        <v>1125</v>
      </c>
      <c r="G60" t="s">
        <v>794</v>
      </c>
      <c r="H60" t="s">
        <v>794</v>
      </c>
      <c r="I60" s="32">
        <v>1</v>
      </c>
    </row>
    <row r="61" spans="5:9" x14ac:dyDescent="0.25">
      <c r="E61"/>
      <c r="F61" t="s">
        <v>1132</v>
      </c>
      <c r="G61" t="s">
        <v>794</v>
      </c>
      <c r="H61" t="s">
        <v>794</v>
      </c>
      <c r="I61" s="32">
        <v>1</v>
      </c>
    </row>
    <row r="62" spans="5:9" x14ac:dyDescent="0.25">
      <c r="E62"/>
      <c r="F62" t="s">
        <v>1131</v>
      </c>
      <c r="G62" t="s">
        <v>794</v>
      </c>
      <c r="H62" t="s">
        <v>794</v>
      </c>
      <c r="I62" s="32">
        <v>1</v>
      </c>
    </row>
    <row r="63" spans="5:9" x14ac:dyDescent="0.25">
      <c r="E63"/>
      <c r="F63" t="s">
        <v>1133</v>
      </c>
      <c r="G63" t="s">
        <v>794</v>
      </c>
      <c r="H63" t="s">
        <v>794</v>
      </c>
      <c r="I63" s="32">
        <v>1</v>
      </c>
    </row>
    <row r="64" spans="5:9" x14ac:dyDescent="0.25">
      <c r="E64"/>
      <c r="F64" t="s">
        <v>1137</v>
      </c>
      <c r="G64" t="s">
        <v>794</v>
      </c>
      <c r="H64" t="s">
        <v>794</v>
      </c>
      <c r="I64" s="32">
        <v>1</v>
      </c>
    </row>
    <row r="65" spans="3:9" x14ac:dyDescent="0.25">
      <c r="E65"/>
      <c r="F65" t="s">
        <v>1128</v>
      </c>
      <c r="G65" t="s">
        <v>794</v>
      </c>
      <c r="H65" t="s">
        <v>794</v>
      </c>
      <c r="I65" s="32">
        <v>1</v>
      </c>
    </row>
    <row r="66" spans="3:9" x14ac:dyDescent="0.25">
      <c r="E66"/>
      <c r="F66" t="s">
        <v>1135</v>
      </c>
      <c r="G66" t="s">
        <v>794</v>
      </c>
      <c r="H66" t="s">
        <v>794</v>
      </c>
      <c r="I66" s="32">
        <v>1</v>
      </c>
    </row>
    <row r="67" spans="3:9" x14ac:dyDescent="0.25">
      <c r="E67"/>
      <c r="F67" t="s">
        <v>1626</v>
      </c>
      <c r="G67" t="s">
        <v>794</v>
      </c>
      <c r="H67" t="s">
        <v>794</v>
      </c>
      <c r="I67" s="32">
        <v>1</v>
      </c>
    </row>
    <row r="68" spans="3:9" x14ac:dyDescent="0.25">
      <c r="E68"/>
      <c r="F68" t="s">
        <v>1127</v>
      </c>
      <c r="G68" t="s">
        <v>794</v>
      </c>
      <c r="H68" t="s">
        <v>794</v>
      </c>
      <c r="I68" s="32">
        <v>1</v>
      </c>
    </row>
    <row r="69" spans="3:9" x14ac:dyDescent="0.25">
      <c r="D69" t="s">
        <v>503</v>
      </c>
      <c r="E69" t="s">
        <v>915</v>
      </c>
      <c r="F69" t="s">
        <v>1126</v>
      </c>
      <c r="G69" t="s">
        <v>794</v>
      </c>
      <c r="H69" t="s">
        <v>794</v>
      </c>
      <c r="I69" s="32">
        <v>1</v>
      </c>
    </row>
    <row r="70" spans="3:9" x14ac:dyDescent="0.25">
      <c r="E70"/>
      <c r="F70" t="s">
        <v>1136</v>
      </c>
      <c r="G70" t="s">
        <v>794</v>
      </c>
      <c r="H70" t="s">
        <v>794</v>
      </c>
      <c r="I70" s="32">
        <v>1</v>
      </c>
    </row>
    <row r="71" spans="3:9" x14ac:dyDescent="0.25">
      <c r="D71" t="s">
        <v>1130</v>
      </c>
      <c r="E71" t="s">
        <v>915</v>
      </c>
      <c r="F71" t="s">
        <v>1129</v>
      </c>
      <c r="G71" t="s">
        <v>794</v>
      </c>
      <c r="H71" t="s">
        <v>794</v>
      </c>
      <c r="I71" s="32">
        <v>1</v>
      </c>
    </row>
    <row r="72" spans="3:9" x14ac:dyDescent="0.25">
      <c r="C72" t="s">
        <v>20</v>
      </c>
      <c r="D72" t="s">
        <v>794</v>
      </c>
      <c r="E72" t="s">
        <v>915</v>
      </c>
      <c r="F72" t="s">
        <v>535</v>
      </c>
      <c r="G72">
        <v>16000</v>
      </c>
      <c r="H72">
        <v>20000</v>
      </c>
      <c r="I72" s="32">
        <v>1</v>
      </c>
    </row>
    <row r="73" spans="3:9" x14ac:dyDescent="0.25">
      <c r="E73"/>
      <c r="F73" t="s">
        <v>850</v>
      </c>
      <c r="G73">
        <v>18000</v>
      </c>
      <c r="H73">
        <v>18000</v>
      </c>
      <c r="I73" s="32">
        <v>1</v>
      </c>
    </row>
    <row r="74" spans="3:9" x14ac:dyDescent="0.25">
      <c r="E74"/>
      <c r="F74" t="s">
        <v>849</v>
      </c>
      <c r="G74">
        <v>30000</v>
      </c>
      <c r="H74">
        <v>30000</v>
      </c>
      <c r="I74" s="32">
        <v>1</v>
      </c>
    </row>
    <row r="75" spans="3:9" x14ac:dyDescent="0.25">
      <c r="E75"/>
      <c r="F75" t="s">
        <v>116</v>
      </c>
      <c r="G75">
        <v>21255</v>
      </c>
      <c r="H75">
        <v>21255</v>
      </c>
      <c r="I75" s="32">
        <v>1</v>
      </c>
    </row>
    <row r="76" spans="3:9" x14ac:dyDescent="0.25">
      <c r="E76"/>
      <c r="F76" t="s">
        <v>536</v>
      </c>
      <c r="G76">
        <v>14000</v>
      </c>
      <c r="H76">
        <v>17000</v>
      </c>
      <c r="I76" s="32">
        <v>1</v>
      </c>
    </row>
    <row r="77" spans="3:9" x14ac:dyDescent="0.25">
      <c r="E77"/>
      <c r="F77" t="s">
        <v>851</v>
      </c>
      <c r="G77">
        <v>18000</v>
      </c>
      <c r="H77">
        <v>18000</v>
      </c>
      <c r="I77" s="32">
        <v>1</v>
      </c>
    </row>
    <row r="78" spans="3:9" x14ac:dyDescent="0.25">
      <c r="E78"/>
      <c r="F78" t="s">
        <v>537</v>
      </c>
      <c r="G78">
        <v>14000</v>
      </c>
      <c r="H78">
        <v>17000</v>
      </c>
      <c r="I78" s="32">
        <v>1</v>
      </c>
    </row>
    <row r="79" spans="3:9" x14ac:dyDescent="0.25">
      <c r="E79"/>
      <c r="F79" t="s">
        <v>738</v>
      </c>
      <c r="G79">
        <v>14000</v>
      </c>
      <c r="H79">
        <v>20000</v>
      </c>
      <c r="I79" s="32">
        <v>1</v>
      </c>
    </row>
    <row r="80" spans="3:9" x14ac:dyDescent="0.25">
      <c r="E80"/>
      <c r="F80" t="s">
        <v>938</v>
      </c>
      <c r="G80" t="s">
        <v>914</v>
      </c>
      <c r="H80" t="s">
        <v>794</v>
      </c>
      <c r="I80" s="32">
        <v>1</v>
      </c>
    </row>
    <row r="81" spans="5:9" x14ac:dyDescent="0.25">
      <c r="E81"/>
      <c r="F81" t="s">
        <v>941</v>
      </c>
      <c r="G81" t="s">
        <v>914</v>
      </c>
      <c r="H81" t="s">
        <v>794</v>
      </c>
      <c r="I81" s="32">
        <v>1</v>
      </c>
    </row>
    <row r="82" spans="5:9" x14ac:dyDescent="0.25">
      <c r="E82"/>
      <c r="F82" t="s">
        <v>939</v>
      </c>
      <c r="G82" t="s">
        <v>914</v>
      </c>
      <c r="H82" t="s">
        <v>794</v>
      </c>
      <c r="I82" s="32">
        <v>1</v>
      </c>
    </row>
    <row r="83" spans="5:9" x14ac:dyDescent="0.25">
      <c r="E83"/>
      <c r="F83" t="s">
        <v>944</v>
      </c>
      <c r="G83" t="s">
        <v>914</v>
      </c>
      <c r="H83" t="s">
        <v>794</v>
      </c>
      <c r="I83" s="32">
        <v>1</v>
      </c>
    </row>
    <row r="84" spans="5:9" x14ac:dyDescent="0.25">
      <c r="E84"/>
      <c r="F84" t="s">
        <v>943</v>
      </c>
      <c r="G84" t="s">
        <v>914</v>
      </c>
      <c r="H84" t="s">
        <v>794</v>
      </c>
      <c r="I84" s="32">
        <v>1</v>
      </c>
    </row>
    <row r="85" spans="5:9" x14ac:dyDescent="0.25">
      <c r="E85"/>
      <c r="F85" t="s">
        <v>945</v>
      </c>
      <c r="G85" t="s">
        <v>914</v>
      </c>
      <c r="H85" t="s">
        <v>794</v>
      </c>
      <c r="I85" s="32">
        <v>1</v>
      </c>
    </row>
    <row r="86" spans="5:9" x14ac:dyDescent="0.25">
      <c r="E86"/>
      <c r="F86" t="s">
        <v>940</v>
      </c>
      <c r="G86" t="s">
        <v>914</v>
      </c>
      <c r="H86" t="s">
        <v>794</v>
      </c>
      <c r="I86" s="32">
        <v>1</v>
      </c>
    </row>
    <row r="87" spans="5:9" x14ac:dyDescent="0.25">
      <c r="E87"/>
      <c r="F87" t="s">
        <v>942</v>
      </c>
      <c r="G87" t="s">
        <v>914</v>
      </c>
      <c r="H87" t="s">
        <v>794</v>
      </c>
      <c r="I87" s="32">
        <v>1</v>
      </c>
    </row>
    <row r="88" spans="5:9" x14ac:dyDescent="0.25">
      <c r="E88"/>
      <c r="F88" t="s">
        <v>1088</v>
      </c>
      <c r="G88" t="s">
        <v>794</v>
      </c>
      <c r="H88" t="s">
        <v>794</v>
      </c>
      <c r="I88" s="32">
        <v>1</v>
      </c>
    </row>
    <row r="89" spans="5:9" x14ac:dyDescent="0.25">
      <c r="E89"/>
      <c r="F89" t="s">
        <v>1018</v>
      </c>
      <c r="G89" t="s">
        <v>794</v>
      </c>
      <c r="H89" t="s">
        <v>794</v>
      </c>
      <c r="I89" s="32">
        <v>1</v>
      </c>
    </row>
    <row r="90" spans="5:9" x14ac:dyDescent="0.25">
      <c r="E90"/>
      <c r="F90" t="s">
        <v>1021</v>
      </c>
      <c r="G90" t="s">
        <v>794</v>
      </c>
      <c r="H90" t="s">
        <v>794</v>
      </c>
      <c r="I90" s="32">
        <v>1</v>
      </c>
    </row>
    <row r="91" spans="5:9" x14ac:dyDescent="0.25">
      <c r="E91"/>
      <c r="F91" t="s">
        <v>1020</v>
      </c>
      <c r="G91" t="s">
        <v>794</v>
      </c>
      <c r="H91" t="s">
        <v>794</v>
      </c>
      <c r="I91" s="32">
        <v>1</v>
      </c>
    </row>
    <row r="92" spans="5:9" x14ac:dyDescent="0.25">
      <c r="E92"/>
      <c r="F92" t="s">
        <v>1087</v>
      </c>
      <c r="G92" t="s">
        <v>794</v>
      </c>
      <c r="H92" t="s">
        <v>794</v>
      </c>
      <c r="I92" s="32">
        <v>1</v>
      </c>
    </row>
    <row r="93" spans="5:9" x14ac:dyDescent="0.25">
      <c r="E93"/>
      <c r="F93" t="s">
        <v>1093</v>
      </c>
      <c r="G93" t="s">
        <v>794</v>
      </c>
      <c r="H93" t="s">
        <v>794</v>
      </c>
      <c r="I93" s="32">
        <v>1</v>
      </c>
    </row>
    <row r="94" spans="5:9" x14ac:dyDescent="0.25">
      <c r="E94"/>
      <c r="F94" t="s">
        <v>1072</v>
      </c>
      <c r="G94" t="s">
        <v>794</v>
      </c>
      <c r="H94" t="s">
        <v>794</v>
      </c>
      <c r="I94" s="32">
        <v>1</v>
      </c>
    </row>
    <row r="95" spans="5:9" x14ac:dyDescent="0.25">
      <c r="E95"/>
      <c r="F95" t="s">
        <v>1071</v>
      </c>
      <c r="G95" t="s">
        <v>794</v>
      </c>
      <c r="H95" t="s">
        <v>794</v>
      </c>
      <c r="I95" s="32">
        <v>1</v>
      </c>
    </row>
    <row r="96" spans="5:9" x14ac:dyDescent="0.25">
      <c r="E96"/>
      <c r="F96" t="s">
        <v>1019</v>
      </c>
      <c r="G96" t="s">
        <v>794</v>
      </c>
      <c r="H96" t="s">
        <v>794</v>
      </c>
      <c r="I96" s="32">
        <v>1</v>
      </c>
    </row>
    <row r="97" spans="3:9" x14ac:dyDescent="0.25">
      <c r="E97"/>
      <c r="F97" t="s">
        <v>1022</v>
      </c>
      <c r="G97" t="s">
        <v>794</v>
      </c>
      <c r="H97" t="s">
        <v>794</v>
      </c>
      <c r="I97" s="32">
        <v>1</v>
      </c>
    </row>
    <row r="98" spans="3:9" x14ac:dyDescent="0.25">
      <c r="E98"/>
      <c r="F98" t="s">
        <v>954</v>
      </c>
      <c r="G98" t="s">
        <v>794</v>
      </c>
      <c r="H98" t="s">
        <v>794</v>
      </c>
      <c r="I98" s="32">
        <v>1</v>
      </c>
    </row>
    <row r="99" spans="3:9" x14ac:dyDescent="0.25">
      <c r="E99"/>
      <c r="F99" t="s">
        <v>972</v>
      </c>
      <c r="G99" t="s">
        <v>794</v>
      </c>
      <c r="H99" t="s">
        <v>794</v>
      </c>
      <c r="I99" s="32">
        <v>1</v>
      </c>
    </row>
    <row r="100" spans="3:9" x14ac:dyDescent="0.25">
      <c r="E100"/>
      <c r="F100" t="s">
        <v>1086</v>
      </c>
      <c r="G100" t="s">
        <v>794</v>
      </c>
      <c r="H100" t="s">
        <v>794</v>
      </c>
      <c r="I100" s="32">
        <v>1</v>
      </c>
    </row>
    <row r="101" spans="3:9" x14ac:dyDescent="0.25">
      <c r="E101"/>
      <c r="F101" t="s">
        <v>1623</v>
      </c>
      <c r="G101" t="s">
        <v>794</v>
      </c>
      <c r="H101" t="s">
        <v>794</v>
      </c>
      <c r="I101" s="32">
        <v>1</v>
      </c>
    </row>
    <row r="102" spans="3:9" x14ac:dyDescent="0.25">
      <c r="E102"/>
      <c r="F102" t="s">
        <v>1139</v>
      </c>
      <c r="G102" t="s">
        <v>794</v>
      </c>
      <c r="H102" t="s">
        <v>794</v>
      </c>
      <c r="I102" s="32">
        <v>1</v>
      </c>
    </row>
    <row r="103" spans="3:9" x14ac:dyDescent="0.25">
      <c r="E103" t="s">
        <v>916</v>
      </c>
      <c r="F103" t="s">
        <v>81</v>
      </c>
      <c r="G103">
        <v>12274</v>
      </c>
      <c r="H103" t="s">
        <v>914</v>
      </c>
      <c r="I103" s="32">
        <v>1</v>
      </c>
    </row>
    <row r="104" spans="3:9" x14ac:dyDescent="0.25">
      <c r="E104"/>
      <c r="F104" t="s">
        <v>82</v>
      </c>
      <c r="G104">
        <v>24523</v>
      </c>
      <c r="H104" t="s">
        <v>914</v>
      </c>
      <c r="I104" s="32">
        <v>1</v>
      </c>
    </row>
    <row r="105" spans="3:9" x14ac:dyDescent="0.25">
      <c r="E105"/>
      <c r="F105" t="s">
        <v>85</v>
      </c>
      <c r="G105">
        <v>12003</v>
      </c>
      <c r="H105" t="s">
        <v>914</v>
      </c>
      <c r="I105" s="32">
        <v>1</v>
      </c>
    </row>
    <row r="106" spans="3:9" x14ac:dyDescent="0.25">
      <c r="E106"/>
      <c r="F106" t="s">
        <v>109</v>
      </c>
      <c r="G106">
        <v>24516</v>
      </c>
      <c r="H106" t="s">
        <v>914</v>
      </c>
      <c r="I106" s="32">
        <v>1</v>
      </c>
    </row>
    <row r="107" spans="3:9" x14ac:dyDescent="0.25">
      <c r="D107" t="s">
        <v>503</v>
      </c>
      <c r="E107" t="s">
        <v>915</v>
      </c>
      <c r="F107" t="s">
        <v>937</v>
      </c>
      <c r="G107" t="s">
        <v>914</v>
      </c>
      <c r="H107" t="s">
        <v>794</v>
      </c>
      <c r="I107" s="32">
        <v>1</v>
      </c>
    </row>
    <row r="108" spans="3:9" x14ac:dyDescent="0.25">
      <c r="E108"/>
      <c r="F108" t="s">
        <v>1096</v>
      </c>
      <c r="G108" t="s">
        <v>794</v>
      </c>
      <c r="H108" t="s">
        <v>794</v>
      </c>
      <c r="I108" s="32">
        <v>1</v>
      </c>
    </row>
    <row r="109" spans="3:9" x14ac:dyDescent="0.25">
      <c r="E109" t="s">
        <v>916</v>
      </c>
      <c r="F109" t="s">
        <v>169</v>
      </c>
      <c r="G109">
        <v>20266</v>
      </c>
      <c r="H109" t="s">
        <v>914</v>
      </c>
      <c r="I109" s="32">
        <v>1</v>
      </c>
    </row>
    <row r="110" spans="3:9" x14ac:dyDescent="0.25">
      <c r="E110"/>
      <c r="F110" t="s">
        <v>1065</v>
      </c>
      <c r="G110" t="s">
        <v>794</v>
      </c>
      <c r="H110" t="s">
        <v>794</v>
      </c>
      <c r="I110" s="32">
        <v>1</v>
      </c>
    </row>
    <row r="111" spans="3:9" x14ac:dyDescent="0.25">
      <c r="C111" t="s">
        <v>503</v>
      </c>
      <c r="D111" t="s">
        <v>794</v>
      </c>
      <c r="E111" t="s">
        <v>915</v>
      </c>
      <c r="F111" t="s">
        <v>969</v>
      </c>
      <c r="G111">
        <v>15000</v>
      </c>
      <c r="H111" t="s">
        <v>794</v>
      </c>
      <c r="I111" s="32">
        <v>1</v>
      </c>
    </row>
    <row r="112" spans="3:9" x14ac:dyDescent="0.25">
      <c r="E112"/>
      <c r="F112" t="s">
        <v>1074</v>
      </c>
      <c r="G112" t="s">
        <v>794</v>
      </c>
      <c r="H112" t="s">
        <v>794</v>
      </c>
      <c r="I112" s="32">
        <v>1</v>
      </c>
    </row>
    <row r="113" spans="3:9" x14ac:dyDescent="0.25">
      <c r="E113"/>
      <c r="F113" t="s">
        <v>1103</v>
      </c>
      <c r="G113" t="s">
        <v>794</v>
      </c>
      <c r="H113" t="s">
        <v>794</v>
      </c>
      <c r="I113" s="32">
        <v>1</v>
      </c>
    </row>
    <row r="114" spans="3:9" x14ac:dyDescent="0.25">
      <c r="E114"/>
      <c r="F114" t="s">
        <v>1625</v>
      </c>
      <c r="G114" t="s">
        <v>794</v>
      </c>
      <c r="H114" t="s">
        <v>794</v>
      </c>
      <c r="I114" s="32">
        <v>1</v>
      </c>
    </row>
    <row r="115" spans="3:9" x14ac:dyDescent="0.25">
      <c r="E115"/>
      <c r="F115" t="s">
        <v>1656</v>
      </c>
      <c r="G115">
        <v>15000</v>
      </c>
      <c r="H115" t="s">
        <v>794</v>
      </c>
      <c r="I115" s="32">
        <v>1</v>
      </c>
    </row>
    <row r="116" spans="3:9" x14ac:dyDescent="0.25">
      <c r="D116" t="s">
        <v>1130</v>
      </c>
      <c r="E116" t="s">
        <v>915</v>
      </c>
      <c r="F116" t="s">
        <v>1101</v>
      </c>
      <c r="G116" t="s">
        <v>794</v>
      </c>
      <c r="H116" t="s">
        <v>794</v>
      </c>
      <c r="I116" s="32">
        <v>1</v>
      </c>
    </row>
    <row r="117" spans="3:9" x14ac:dyDescent="0.25">
      <c r="E117"/>
      <c r="F117" t="s">
        <v>1102</v>
      </c>
      <c r="G117" t="s">
        <v>794</v>
      </c>
      <c r="H117" t="s">
        <v>794</v>
      </c>
      <c r="I117" s="32">
        <v>1</v>
      </c>
    </row>
    <row r="118" spans="3:9" x14ac:dyDescent="0.25">
      <c r="E118"/>
      <c r="F118" t="s">
        <v>1100</v>
      </c>
      <c r="G118" t="s">
        <v>794</v>
      </c>
      <c r="H118" t="s">
        <v>794</v>
      </c>
      <c r="I118" s="32">
        <v>1</v>
      </c>
    </row>
    <row r="119" spans="3:9" x14ac:dyDescent="0.25">
      <c r="C119" t="s">
        <v>794</v>
      </c>
      <c r="D119" t="s">
        <v>794</v>
      </c>
      <c r="E119" t="s">
        <v>915</v>
      </c>
      <c r="F119" t="s">
        <v>150</v>
      </c>
      <c r="G119">
        <v>16292</v>
      </c>
      <c r="H119">
        <v>16292</v>
      </c>
      <c r="I119" s="32">
        <v>1</v>
      </c>
    </row>
    <row r="120" spans="3:9" x14ac:dyDescent="0.25">
      <c r="E120"/>
      <c r="F120" t="s">
        <v>1094</v>
      </c>
      <c r="G120" t="s">
        <v>794</v>
      </c>
      <c r="H120" t="s">
        <v>794</v>
      </c>
      <c r="I120" s="32">
        <v>1</v>
      </c>
    </row>
    <row r="121" spans="3:9" x14ac:dyDescent="0.25">
      <c r="E121"/>
      <c r="F121" t="s">
        <v>1631</v>
      </c>
      <c r="G121" t="s">
        <v>794</v>
      </c>
      <c r="H121" t="s">
        <v>794</v>
      </c>
      <c r="I121" s="32">
        <v>1</v>
      </c>
    </row>
    <row r="122" spans="3:9" x14ac:dyDescent="0.25">
      <c r="E122"/>
      <c r="F122" t="s">
        <v>1632</v>
      </c>
      <c r="G122" t="s">
        <v>794</v>
      </c>
      <c r="H122" t="s">
        <v>794</v>
      </c>
      <c r="I122" s="32">
        <v>1</v>
      </c>
    </row>
    <row r="123" spans="3:9" x14ac:dyDescent="0.25">
      <c r="E123"/>
      <c r="F123" t="s">
        <v>1633</v>
      </c>
      <c r="G123" t="s">
        <v>794</v>
      </c>
      <c r="H123" t="s">
        <v>794</v>
      </c>
      <c r="I123" s="32">
        <v>1</v>
      </c>
    </row>
    <row r="124" spans="3:9" x14ac:dyDescent="0.25">
      <c r="E124"/>
      <c r="F124" t="s">
        <v>1634</v>
      </c>
      <c r="G124" t="s">
        <v>794</v>
      </c>
      <c r="H124" t="s">
        <v>794</v>
      </c>
      <c r="I124" s="32">
        <v>1</v>
      </c>
    </row>
    <row r="125" spans="3:9" x14ac:dyDescent="0.25">
      <c r="E125"/>
      <c r="F125" t="s">
        <v>1635</v>
      </c>
      <c r="G125" t="s">
        <v>794</v>
      </c>
      <c r="H125" t="s">
        <v>794</v>
      </c>
      <c r="I125" s="32">
        <v>1</v>
      </c>
    </row>
    <row r="126" spans="3:9" x14ac:dyDescent="0.25">
      <c r="E126"/>
      <c r="F126" t="s">
        <v>1636</v>
      </c>
      <c r="G126" t="s">
        <v>794</v>
      </c>
      <c r="H126" t="s">
        <v>794</v>
      </c>
      <c r="I126" s="32">
        <v>1</v>
      </c>
    </row>
    <row r="127" spans="3:9" x14ac:dyDescent="0.25">
      <c r="C127" t="s">
        <v>517</v>
      </c>
      <c r="D127" t="s">
        <v>794</v>
      </c>
      <c r="E127" t="s">
        <v>915</v>
      </c>
      <c r="F127" t="s">
        <v>302</v>
      </c>
      <c r="G127">
        <v>16731</v>
      </c>
      <c r="H127" t="s">
        <v>914</v>
      </c>
      <c r="I127" s="32">
        <v>1</v>
      </c>
    </row>
    <row r="128" spans="3:9" x14ac:dyDescent="0.25">
      <c r="E128"/>
      <c r="F128" t="s">
        <v>560</v>
      </c>
      <c r="G128">
        <v>20413</v>
      </c>
      <c r="H128">
        <v>20413</v>
      </c>
      <c r="I128" s="32">
        <v>1</v>
      </c>
    </row>
    <row r="129" spans="3:9" x14ac:dyDescent="0.25">
      <c r="E129"/>
      <c r="F129" t="s">
        <v>127</v>
      </c>
      <c r="G129">
        <v>24333</v>
      </c>
      <c r="H129">
        <v>25000</v>
      </c>
      <c r="I129" s="32">
        <v>1</v>
      </c>
    </row>
    <row r="130" spans="3:9" x14ac:dyDescent="0.25">
      <c r="E130"/>
      <c r="F130" t="s">
        <v>720</v>
      </c>
      <c r="G130">
        <v>13531.11</v>
      </c>
      <c r="H130" t="s">
        <v>914</v>
      </c>
      <c r="I130" s="32">
        <v>1</v>
      </c>
    </row>
    <row r="131" spans="3:9" x14ac:dyDescent="0.25">
      <c r="E131"/>
      <c r="F131" t="s">
        <v>1073</v>
      </c>
      <c r="G131" t="s">
        <v>794</v>
      </c>
      <c r="H131" t="s">
        <v>794</v>
      </c>
      <c r="I131" s="32">
        <v>1</v>
      </c>
    </row>
    <row r="132" spans="3:9" x14ac:dyDescent="0.25">
      <c r="E132"/>
      <c r="F132" t="s">
        <v>1120</v>
      </c>
      <c r="G132" t="s">
        <v>794</v>
      </c>
      <c r="H132" t="s">
        <v>794</v>
      </c>
      <c r="I132" s="32">
        <v>1</v>
      </c>
    </row>
    <row r="133" spans="3:9" x14ac:dyDescent="0.25">
      <c r="E133" t="s">
        <v>916</v>
      </c>
      <c r="F133" t="s">
        <v>287</v>
      </c>
      <c r="G133">
        <v>17751</v>
      </c>
      <c r="H133" t="s">
        <v>914</v>
      </c>
      <c r="I133" s="32">
        <v>1</v>
      </c>
    </row>
    <row r="134" spans="3:9" x14ac:dyDescent="0.25">
      <c r="E134"/>
      <c r="F134" t="s">
        <v>288</v>
      </c>
      <c r="G134">
        <v>21133.05</v>
      </c>
      <c r="H134" t="s">
        <v>914</v>
      </c>
      <c r="I134" s="32">
        <v>1</v>
      </c>
    </row>
    <row r="135" spans="3:9" x14ac:dyDescent="0.25">
      <c r="E135"/>
      <c r="F135" t="s">
        <v>289</v>
      </c>
      <c r="G135">
        <v>22174</v>
      </c>
      <c r="H135" t="s">
        <v>914</v>
      </c>
      <c r="I135" s="32">
        <v>1</v>
      </c>
    </row>
    <row r="136" spans="3:9" x14ac:dyDescent="0.25">
      <c r="E136"/>
      <c r="F136" t="s">
        <v>290</v>
      </c>
      <c r="G136">
        <v>28848.48</v>
      </c>
      <c r="H136" t="s">
        <v>914</v>
      </c>
      <c r="I136" s="32">
        <v>1</v>
      </c>
    </row>
    <row r="137" spans="3:9" x14ac:dyDescent="0.25">
      <c r="E137"/>
      <c r="F137" t="s">
        <v>291</v>
      </c>
      <c r="G137">
        <v>18724.21</v>
      </c>
      <c r="H137" t="s">
        <v>914</v>
      </c>
      <c r="I137" s="32">
        <v>1</v>
      </c>
    </row>
    <row r="138" spans="3:9" x14ac:dyDescent="0.25">
      <c r="E138"/>
      <c r="F138" t="s">
        <v>292</v>
      </c>
      <c r="G138">
        <v>22118.560000000001</v>
      </c>
      <c r="H138" t="s">
        <v>914</v>
      </c>
      <c r="I138" s="32">
        <v>1</v>
      </c>
    </row>
    <row r="139" spans="3:9" x14ac:dyDescent="0.25">
      <c r="E139"/>
      <c r="F139" t="s">
        <v>295</v>
      </c>
      <c r="G139">
        <v>25021.33</v>
      </c>
      <c r="H139" t="s">
        <v>914</v>
      </c>
      <c r="I139" s="32">
        <v>1</v>
      </c>
    </row>
    <row r="140" spans="3:9" x14ac:dyDescent="0.25">
      <c r="E140"/>
      <c r="F140" t="s">
        <v>301</v>
      </c>
      <c r="G140">
        <v>24220.959999999999</v>
      </c>
      <c r="H140" t="s">
        <v>914</v>
      </c>
      <c r="I140" s="32">
        <v>1</v>
      </c>
    </row>
    <row r="141" spans="3:9" x14ac:dyDescent="0.25">
      <c r="C141" t="s">
        <v>895</v>
      </c>
      <c r="D141" t="s">
        <v>794</v>
      </c>
      <c r="E141" t="s">
        <v>915</v>
      </c>
      <c r="F141" t="s">
        <v>847</v>
      </c>
      <c r="G141">
        <v>36000</v>
      </c>
      <c r="H141">
        <v>36000</v>
      </c>
      <c r="I141" s="32">
        <v>1</v>
      </c>
    </row>
    <row r="142" spans="3:9" x14ac:dyDescent="0.25">
      <c r="E142"/>
      <c r="F142" t="s">
        <v>923</v>
      </c>
      <c r="G142">
        <v>20000</v>
      </c>
      <c r="H142">
        <v>20000</v>
      </c>
      <c r="I142" s="32">
        <v>1</v>
      </c>
    </row>
    <row r="143" spans="3:9" x14ac:dyDescent="0.25">
      <c r="C143" t="s">
        <v>909</v>
      </c>
      <c r="D143" t="s">
        <v>219</v>
      </c>
      <c r="E143" t="s">
        <v>915</v>
      </c>
      <c r="F143" t="s">
        <v>160</v>
      </c>
      <c r="G143">
        <v>27000</v>
      </c>
      <c r="H143">
        <v>30000</v>
      </c>
      <c r="I143" s="32">
        <v>1</v>
      </c>
    </row>
    <row r="144" spans="3:9" x14ac:dyDescent="0.25">
      <c r="E144" t="s">
        <v>916</v>
      </c>
      <c r="F144" t="s">
        <v>99</v>
      </c>
      <c r="G144">
        <v>29784</v>
      </c>
      <c r="H144" t="s">
        <v>914</v>
      </c>
      <c r="I144" s="32">
        <v>1</v>
      </c>
    </row>
    <row r="145" spans="4:9" x14ac:dyDescent="0.25">
      <c r="E145"/>
      <c r="F145" t="s">
        <v>202</v>
      </c>
      <c r="G145">
        <v>27850</v>
      </c>
      <c r="H145" t="s">
        <v>914</v>
      </c>
      <c r="I145" s="32">
        <v>1</v>
      </c>
    </row>
    <row r="146" spans="4:9" x14ac:dyDescent="0.25">
      <c r="D146" t="s">
        <v>812</v>
      </c>
      <c r="E146" t="s">
        <v>915</v>
      </c>
      <c r="F146" t="s">
        <v>803</v>
      </c>
      <c r="G146">
        <v>30145</v>
      </c>
      <c r="H146">
        <v>30145</v>
      </c>
      <c r="I146" s="32">
        <v>1</v>
      </c>
    </row>
    <row r="147" spans="4:9" x14ac:dyDescent="0.25">
      <c r="E147"/>
      <c r="F147" t="s">
        <v>731</v>
      </c>
      <c r="G147">
        <v>30145</v>
      </c>
      <c r="H147">
        <v>30145</v>
      </c>
      <c r="I147" s="32">
        <v>1</v>
      </c>
    </row>
    <row r="148" spans="4:9" x14ac:dyDescent="0.25">
      <c r="E148"/>
      <c r="F148" t="s">
        <v>826</v>
      </c>
      <c r="G148">
        <v>30145</v>
      </c>
      <c r="H148">
        <v>30145</v>
      </c>
      <c r="I148" s="32">
        <v>1</v>
      </c>
    </row>
    <row r="149" spans="4:9" x14ac:dyDescent="0.25">
      <c r="E149" t="s">
        <v>916</v>
      </c>
      <c r="F149" t="s">
        <v>1615</v>
      </c>
      <c r="G149" t="s">
        <v>794</v>
      </c>
      <c r="H149" t="s">
        <v>794</v>
      </c>
      <c r="I149" s="32">
        <v>1</v>
      </c>
    </row>
    <row r="150" spans="4:9" x14ac:dyDescent="0.25">
      <c r="D150" t="s">
        <v>52</v>
      </c>
      <c r="E150" t="s">
        <v>915</v>
      </c>
      <c r="F150" t="s">
        <v>561</v>
      </c>
      <c r="G150">
        <v>11500</v>
      </c>
      <c r="H150">
        <v>14000</v>
      </c>
      <c r="I150" s="32">
        <v>1</v>
      </c>
    </row>
    <row r="151" spans="4:9" x14ac:dyDescent="0.25">
      <c r="E151"/>
      <c r="F151" t="s">
        <v>156</v>
      </c>
      <c r="G151">
        <v>12500</v>
      </c>
      <c r="H151">
        <v>15000</v>
      </c>
      <c r="I151" s="32">
        <v>1</v>
      </c>
    </row>
    <row r="152" spans="4:9" x14ac:dyDescent="0.25">
      <c r="E152"/>
      <c r="F152" t="s">
        <v>167</v>
      </c>
      <c r="G152">
        <v>15732</v>
      </c>
      <c r="H152">
        <v>15732</v>
      </c>
      <c r="I152" s="32">
        <v>1</v>
      </c>
    </row>
    <row r="153" spans="4:9" x14ac:dyDescent="0.25">
      <c r="E153"/>
      <c r="F153" t="s">
        <v>177</v>
      </c>
      <c r="G153">
        <v>12500</v>
      </c>
      <c r="H153">
        <v>15000</v>
      </c>
      <c r="I153" s="32">
        <v>1</v>
      </c>
    </row>
    <row r="154" spans="4:9" x14ac:dyDescent="0.25">
      <c r="E154"/>
      <c r="F154" t="s">
        <v>193</v>
      </c>
      <c r="G154">
        <v>25480</v>
      </c>
      <c r="H154">
        <v>25480</v>
      </c>
      <c r="I154" s="32">
        <v>1</v>
      </c>
    </row>
    <row r="155" spans="4:9" x14ac:dyDescent="0.25">
      <c r="E155"/>
      <c r="F155" t="s">
        <v>197</v>
      </c>
      <c r="G155">
        <v>13500</v>
      </c>
      <c r="H155">
        <v>14000</v>
      </c>
      <c r="I155" s="32">
        <v>1</v>
      </c>
    </row>
    <row r="156" spans="4:9" x14ac:dyDescent="0.25">
      <c r="E156"/>
      <c r="F156" t="s">
        <v>199</v>
      </c>
      <c r="G156">
        <v>12500</v>
      </c>
      <c r="H156">
        <v>14000</v>
      </c>
      <c r="I156" s="32">
        <v>1</v>
      </c>
    </row>
    <row r="157" spans="4:9" x14ac:dyDescent="0.25">
      <c r="E157" t="s">
        <v>916</v>
      </c>
      <c r="F157" t="s">
        <v>829</v>
      </c>
      <c r="G157">
        <v>13500</v>
      </c>
      <c r="H157" t="s">
        <v>914</v>
      </c>
      <c r="I157" s="32">
        <v>1</v>
      </c>
    </row>
    <row r="158" spans="4:9" x14ac:dyDescent="0.25">
      <c r="D158" t="s">
        <v>500</v>
      </c>
      <c r="E158" t="s">
        <v>915</v>
      </c>
      <c r="F158" t="s">
        <v>84</v>
      </c>
      <c r="G158">
        <v>12500</v>
      </c>
      <c r="H158">
        <v>14000</v>
      </c>
      <c r="I158" s="32">
        <v>1</v>
      </c>
    </row>
    <row r="159" spans="4:9" x14ac:dyDescent="0.25">
      <c r="E159"/>
      <c r="F159" t="s">
        <v>104</v>
      </c>
      <c r="G159">
        <v>12500</v>
      </c>
      <c r="H159">
        <v>14000</v>
      </c>
      <c r="I159" s="32">
        <v>1</v>
      </c>
    </row>
    <row r="160" spans="4:9" x14ac:dyDescent="0.25">
      <c r="E160"/>
      <c r="F160" t="s">
        <v>121</v>
      </c>
      <c r="G160">
        <v>13500</v>
      </c>
      <c r="H160">
        <v>14000</v>
      </c>
      <c r="I160" s="32">
        <v>1</v>
      </c>
    </row>
    <row r="161" spans="4:9" x14ac:dyDescent="0.25">
      <c r="E161"/>
      <c r="F161" t="s">
        <v>131</v>
      </c>
      <c r="G161">
        <v>14000</v>
      </c>
      <c r="H161">
        <v>14000</v>
      </c>
      <c r="I161" s="32">
        <v>1</v>
      </c>
    </row>
    <row r="162" spans="4:9" x14ac:dyDescent="0.25">
      <c r="E162"/>
      <c r="F162" t="s">
        <v>142</v>
      </c>
      <c r="G162">
        <v>12500</v>
      </c>
      <c r="H162">
        <v>14000</v>
      </c>
      <c r="I162" s="32">
        <v>1</v>
      </c>
    </row>
    <row r="163" spans="4:9" x14ac:dyDescent="0.25">
      <c r="E163"/>
      <c r="F163" t="s">
        <v>71</v>
      </c>
      <c r="G163">
        <v>20000</v>
      </c>
      <c r="H163">
        <v>23000</v>
      </c>
      <c r="I163" s="32">
        <v>1</v>
      </c>
    </row>
    <row r="164" spans="4:9" x14ac:dyDescent="0.25">
      <c r="E164"/>
      <c r="F164" t="s">
        <v>1614</v>
      </c>
      <c r="G164" t="s">
        <v>794</v>
      </c>
      <c r="H164" t="s">
        <v>794</v>
      </c>
      <c r="I164" s="32">
        <v>1</v>
      </c>
    </row>
    <row r="165" spans="4:9" x14ac:dyDescent="0.25">
      <c r="D165" t="s">
        <v>507</v>
      </c>
      <c r="E165" t="s">
        <v>915</v>
      </c>
      <c r="F165" t="s">
        <v>80</v>
      </c>
      <c r="G165">
        <v>12500</v>
      </c>
      <c r="H165">
        <v>12000</v>
      </c>
      <c r="I165" s="32">
        <v>1</v>
      </c>
    </row>
    <row r="166" spans="4:9" x14ac:dyDescent="0.25">
      <c r="E166"/>
      <c r="F166" t="s">
        <v>153</v>
      </c>
      <c r="G166">
        <v>15730</v>
      </c>
      <c r="H166">
        <v>15730</v>
      </c>
      <c r="I166" s="32">
        <v>1</v>
      </c>
    </row>
    <row r="167" spans="4:9" x14ac:dyDescent="0.25">
      <c r="E167"/>
      <c r="F167" t="s">
        <v>190</v>
      </c>
      <c r="G167">
        <v>12500</v>
      </c>
      <c r="H167">
        <v>12000</v>
      </c>
      <c r="I167" s="32">
        <v>1</v>
      </c>
    </row>
    <row r="168" spans="4:9" x14ac:dyDescent="0.25">
      <c r="E168"/>
      <c r="F168" t="s">
        <v>204</v>
      </c>
      <c r="G168">
        <v>12500</v>
      </c>
      <c r="H168">
        <v>12000</v>
      </c>
      <c r="I168" s="32">
        <v>1</v>
      </c>
    </row>
    <row r="169" spans="4:9" x14ac:dyDescent="0.25">
      <c r="E169"/>
      <c r="F169" t="s">
        <v>1017</v>
      </c>
      <c r="G169" t="s">
        <v>794</v>
      </c>
      <c r="H169" t="s">
        <v>794</v>
      </c>
      <c r="I169" s="32">
        <v>1</v>
      </c>
    </row>
    <row r="170" spans="4:9" x14ac:dyDescent="0.25">
      <c r="E170" t="s">
        <v>916</v>
      </c>
      <c r="F170" t="s">
        <v>681</v>
      </c>
      <c r="G170">
        <v>20839</v>
      </c>
      <c r="H170" t="s">
        <v>914</v>
      </c>
      <c r="I170" s="32">
        <v>1</v>
      </c>
    </row>
    <row r="171" spans="4:9" x14ac:dyDescent="0.25">
      <c r="D171" t="s">
        <v>811</v>
      </c>
      <c r="E171" t="s">
        <v>915</v>
      </c>
      <c r="F171" t="s">
        <v>79</v>
      </c>
      <c r="G171">
        <v>12500</v>
      </c>
      <c r="H171">
        <v>12000</v>
      </c>
      <c r="I171" s="32">
        <v>1</v>
      </c>
    </row>
    <row r="172" spans="4:9" x14ac:dyDescent="0.25">
      <c r="E172"/>
      <c r="F172" t="s">
        <v>83</v>
      </c>
      <c r="G172">
        <v>12500</v>
      </c>
      <c r="H172">
        <v>13000</v>
      </c>
      <c r="I172" s="32">
        <v>1</v>
      </c>
    </row>
    <row r="173" spans="4:9" x14ac:dyDescent="0.25">
      <c r="E173"/>
      <c r="F173" t="s">
        <v>106</v>
      </c>
      <c r="G173">
        <v>12500</v>
      </c>
      <c r="H173">
        <v>12000</v>
      </c>
      <c r="I173" s="32">
        <v>1</v>
      </c>
    </row>
    <row r="174" spans="4:9" x14ac:dyDescent="0.25">
      <c r="E174"/>
      <c r="F174" t="s">
        <v>133</v>
      </c>
      <c r="G174">
        <v>14000</v>
      </c>
      <c r="H174">
        <v>12500</v>
      </c>
      <c r="I174" s="32">
        <v>1</v>
      </c>
    </row>
    <row r="175" spans="4:9" x14ac:dyDescent="0.25">
      <c r="E175"/>
      <c r="F175" t="s">
        <v>135</v>
      </c>
      <c r="G175">
        <v>12500</v>
      </c>
      <c r="H175">
        <v>12000</v>
      </c>
      <c r="I175" s="32">
        <v>1</v>
      </c>
    </row>
    <row r="176" spans="4:9" x14ac:dyDescent="0.25">
      <c r="E176"/>
      <c r="F176" t="s">
        <v>152</v>
      </c>
      <c r="G176">
        <v>12500</v>
      </c>
      <c r="H176">
        <v>12000</v>
      </c>
      <c r="I176" s="32">
        <v>1</v>
      </c>
    </row>
    <row r="177" spans="4:9" x14ac:dyDescent="0.25">
      <c r="E177"/>
      <c r="F177" t="s">
        <v>159</v>
      </c>
      <c r="G177">
        <v>12500</v>
      </c>
      <c r="H177">
        <v>12000</v>
      </c>
      <c r="I177" s="32">
        <v>1</v>
      </c>
    </row>
    <row r="178" spans="4:9" x14ac:dyDescent="0.25">
      <c r="E178"/>
      <c r="F178" t="s">
        <v>163</v>
      </c>
      <c r="G178">
        <v>12500</v>
      </c>
      <c r="H178">
        <v>12000</v>
      </c>
      <c r="I178" s="32">
        <v>1</v>
      </c>
    </row>
    <row r="179" spans="4:9" x14ac:dyDescent="0.25">
      <c r="E179"/>
      <c r="F179" t="s">
        <v>196</v>
      </c>
      <c r="G179">
        <v>17000</v>
      </c>
      <c r="H179">
        <v>17000</v>
      </c>
      <c r="I179" s="32">
        <v>1</v>
      </c>
    </row>
    <row r="180" spans="4:9" x14ac:dyDescent="0.25">
      <c r="E180"/>
      <c r="F180" t="s">
        <v>200</v>
      </c>
      <c r="G180">
        <v>12500</v>
      </c>
      <c r="H180">
        <v>12000</v>
      </c>
      <c r="I180" s="32">
        <v>1</v>
      </c>
    </row>
    <row r="181" spans="4:9" x14ac:dyDescent="0.25">
      <c r="E181"/>
      <c r="F181" t="s">
        <v>206</v>
      </c>
      <c r="G181">
        <v>12500</v>
      </c>
      <c r="H181">
        <v>12000</v>
      </c>
      <c r="I181" s="32">
        <v>1</v>
      </c>
    </row>
    <row r="182" spans="4:9" x14ac:dyDescent="0.25">
      <c r="D182" t="s">
        <v>813</v>
      </c>
      <c r="E182" t="s">
        <v>915</v>
      </c>
      <c r="F182" t="s">
        <v>100</v>
      </c>
      <c r="G182">
        <v>30000</v>
      </c>
      <c r="H182">
        <v>30000</v>
      </c>
      <c r="I182" s="32">
        <v>1</v>
      </c>
    </row>
    <row r="183" spans="4:9" x14ac:dyDescent="0.25">
      <c r="E183"/>
      <c r="F183" t="s">
        <v>182</v>
      </c>
      <c r="G183">
        <v>15732</v>
      </c>
      <c r="H183">
        <v>12000</v>
      </c>
      <c r="I183" s="32">
        <v>1</v>
      </c>
    </row>
    <row r="184" spans="4:9" x14ac:dyDescent="0.25">
      <c r="E184"/>
      <c r="F184" t="s">
        <v>185</v>
      </c>
      <c r="G184">
        <v>12500</v>
      </c>
      <c r="H184">
        <v>12000</v>
      </c>
      <c r="I184" s="32">
        <v>1</v>
      </c>
    </row>
    <row r="185" spans="4:9" x14ac:dyDescent="0.25">
      <c r="E185"/>
      <c r="F185" t="s">
        <v>1052</v>
      </c>
      <c r="G185">
        <v>12500</v>
      </c>
      <c r="H185">
        <v>12000</v>
      </c>
      <c r="I185" s="32">
        <v>1</v>
      </c>
    </row>
    <row r="186" spans="4:9" x14ac:dyDescent="0.25">
      <c r="D186" t="s">
        <v>524</v>
      </c>
      <c r="E186" t="s">
        <v>915</v>
      </c>
      <c r="F186" t="s">
        <v>107</v>
      </c>
      <c r="G186">
        <v>12500</v>
      </c>
      <c r="H186">
        <v>14000</v>
      </c>
      <c r="I186" s="32">
        <v>1</v>
      </c>
    </row>
    <row r="187" spans="4:9" x14ac:dyDescent="0.25">
      <c r="E187"/>
      <c r="F187" t="s">
        <v>151</v>
      </c>
      <c r="G187">
        <v>27366</v>
      </c>
      <c r="H187">
        <v>27366</v>
      </c>
      <c r="I187" s="32">
        <v>1</v>
      </c>
    </row>
    <row r="188" spans="4:9" x14ac:dyDescent="0.25">
      <c r="E188" t="s">
        <v>916</v>
      </c>
      <c r="F188" t="s">
        <v>175</v>
      </c>
      <c r="G188">
        <v>11456</v>
      </c>
      <c r="H188" t="s">
        <v>914</v>
      </c>
      <c r="I188" s="32">
        <v>1</v>
      </c>
    </row>
    <row r="189" spans="4:9" x14ac:dyDescent="0.25">
      <c r="D189" t="s">
        <v>23</v>
      </c>
      <c r="E189" t="s">
        <v>915</v>
      </c>
      <c r="F189" t="s">
        <v>88</v>
      </c>
      <c r="G189">
        <v>12500</v>
      </c>
      <c r="H189">
        <v>12000</v>
      </c>
      <c r="I189" s="32">
        <v>1</v>
      </c>
    </row>
    <row r="190" spans="4:9" x14ac:dyDescent="0.25">
      <c r="E190"/>
      <c r="F190" t="s">
        <v>93</v>
      </c>
      <c r="G190">
        <v>12500</v>
      </c>
      <c r="H190">
        <v>12000</v>
      </c>
      <c r="I190" s="32">
        <v>1</v>
      </c>
    </row>
    <row r="191" spans="4:9" x14ac:dyDescent="0.25">
      <c r="E191"/>
      <c r="F191" t="s">
        <v>102</v>
      </c>
      <c r="G191">
        <v>12500</v>
      </c>
      <c r="H191">
        <v>12000</v>
      </c>
      <c r="I191" s="32">
        <v>1</v>
      </c>
    </row>
    <row r="192" spans="4:9" x14ac:dyDescent="0.25">
      <c r="E192"/>
      <c r="F192" t="s">
        <v>103</v>
      </c>
      <c r="G192">
        <v>12500</v>
      </c>
      <c r="H192">
        <v>12000</v>
      </c>
      <c r="I192" s="32">
        <v>1</v>
      </c>
    </row>
    <row r="193" spans="5:9" x14ac:dyDescent="0.25">
      <c r="E193"/>
      <c r="F193" t="s">
        <v>619</v>
      </c>
      <c r="G193">
        <v>15732</v>
      </c>
      <c r="H193">
        <v>15732</v>
      </c>
      <c r="I193" s="32">
        <v>1</v>
      </c>
    </row>
    <row r="194" spans="5:9" x14ac:dyDescent="0.25">
      <c r="E194"/>
      <c r="F194" t="s">
        <v>111</v>
      </c>
      <c r="G194">
        <v>12500</v>
      </c>
      <c r="H194">
        <v>12000</v>
      </c>
      <c r="I194" s="32">
        <v>1</v>
      </c>
    </row>
    <row r="195" spans="5:9" x14ac:dyDescent="0.25">
      <c r="E195"/>
      <c r="F195" t="s">
        <v>114</v>
      </c>
      <c r="G195">
        <v>12500</v>
      </c>
      <c r="H195">
        <v>12000</v>
      </c>
      <c r="I195" s="32">
        <v>1</v>
      </c>
    </row>
    <row r="196" spans="5:9" x14ac:dyDescent="0.25">
      <c r="E196"/>
      <c r="F196" t="s">
        <v>1013</v>
      </c>
      <c r="G196" t="s">
        <v>794</v>
      </c>
      <c r="H196" t="s">
        <v>794</v>
      </c>
      <c r="I196" s="32">
        <v>1</v>
      </c>
    </row>
    <row r="197" spans="5:9" x14ac:dyDescent="0.25">
      <c r="E197"/>
      <c r="F197" t="s">
        <v>122</v>
      </c>
      <c r="G197">
        <v>12500</v>
      </c>
      <c r="H197">
        <v>12000</v>
      </c>
      <c r="I197" s="32">
        <v>1</v>
      </c>
    </row>
    <row r="198" spans="5:9" x14ac:dyDescent="0.25">
      <c r="E198"/>
      <c r="F198" t="s">
        <v>123</v>
      </c>
      <c r="G198">
        <v>13500</v>
      </c>
      <c r="H198">
        <v>14000</v>
      </c>
      <c r="I198" s="32">
        <v>1</v>
      </c>
    </row>
    <row r="199" spans="5:9" x14ac:dyDescent="0.25">
      <c r="E199"/>
      <c r="F199" t="s">
        <v>124</v>
      </c>
      <c r="G199">
        <v>12500</v>
      </c>
      <c r="H199">
        <v>14000</v>
      </c>
      <c r="I199" s="32">
        <v>1</v>
      </c>
    </row>
    <row r="200" spans="5:9" x14ac:dyDescent="0.25">
      <c r="E200"/>
      <c r="F200" t="s">
        <v>130</v>
      </c>
      <c r="G200">
        <v>12500</v>
      </c>
      <c r="H200">
        <v>12000</v>
      </c>
      <c r="I200" s="32">
        <v>1</v>
      </c>
    </row>
    <row r="201" spans="5:9" x14ac:dyDescent="0.25">
      <c r="E201"/>
      <c r="F201" t="s">
        <v>136</v>
      </c>
      <c r="G201">
        <v>12500</v>
      </c>
      <c r="H201">
        <v>12000</v>
      </c>
      <c r="I201" s="32">
        <v>1</v>
      </c>
    </row>
    <row r="202" spans="5:9" x14ac:dyDescent="0.25">
      <c r="E202"/>
      <c r="F202" t="s">
        <v>140</v>
      </c>
      <c r="G202">
        <v>12500</v>
      </c>
      <c r="H202">
        <v>12000</v>
      </c>
      <c r="I202" s="32">
        <v>1</v>
      </c>
    </row>
    <row r="203" spans="5:9" x14ac:dyDescent="0.25">
      <c r="E203"/>
      <c r="F203" t="s">
        <v>149</v>
      </c>
      <c r="G203">
        <v>12500</v>
      </c>
      <c r="H203">
        <v>12000</v>
      </c>
      <c r="I203" s="32">
        <v>1</v>
      </c>
    </row>
    <row r="204" spans="5:9" x14ac:dyDescent="0.25">
      <c r="E204"/>
      <c r="F204" t="s">
        <v>166</v>
      </c>
      <c r="G204">
        <v>19000</v>
      </c>
      <c r="H204">
        <v>19000</v>
      </c>
      <c r="I204" s="32">
        <v>1</v>
      </c>
    </row>
    <row r="205" spans="5:9" x14ac:dyDescent="0.25">
      <c r="E205"/>
      <c r="F205" t="s">
        <v>1014</v>
      </c>
      <c r="G205" t="s">
        <v>794</v>
      </c>
      <c r="H205" t="s">
        <v>794</v>
      </c>
      <c r="I205" s="32">
        <v>1</v>
      </c>
    </row>
    <row r="206" spans="5:9" x14ac:dyDescent="0.25">
      <c r="E206"/>
      <c r="F206" t="s">
        <v>172</v>
      </c>
      <c r="G206">
        <v>12500</v>
      </c>
      <c r="H206">
        <v>12000</v>
      </c>
      <c r="I206" s="32">
        <v>1</v>
      </c>
    </row>
    <row r="207" spans="5:9" x14ac:dyDescent="0.25">
      <c r="E207"/>
      <c r="F207" t="s">
        <v>205</v>
      </c>
      <c r="G207">
        <v>12500</v>
      </c>
      <c r="H207">
        <v>12000</v>
      </c>
      <c r="I207" s="32">
        <v>1</v>
      </c>
    </row>
    <row r="208" spans="5:9" x14ac:dyDescent="0.25">
      <c r="E208"/>
      <c r="F208" t="s">
        <v>207</v>
      </c>
      <c r="G208">
        <v>12500</v>
      </c>
      <c r="H208">
        <v>12000</v>
      </c>
      <c r="I208" s="32">
        <v>1</v>
      </c>
    </row>
    <row r="209" spans="3:9" x14ac:dyDescent="0.25">
      <c r="E209"/>
      <c r="F209" t="s">
        <v>209</v>
      </c>
      <c r="G209">
        <v>12500</v>
      </c>
      <c r="H209">
        <v>12000</v>
      </c>
      <c r="I209" s="32">
        <v>1</v>
      </c>
    </row>
    <row r="210" spans="3:9" x14ac:dyDescent="0.25">
      <c r="E210"/>
      <c r="F210" t="s">
        <v>213</v>
      </c>
      <c r="G210">
        <v>18000</v>
      </c>
      <c r="H210">
        <v>17200</v>
      </c>
      <c r="I210" s="32">
        <v>1</v>
      </c>
    </row>
    <row r="211" spans="3:9" x14ac:dyDescent="0.25">
      <c r="E211" t="s">
        <v>916</v>
      </c>
      <c r="F211" t="s">
        <v>1699</v>
      </c>
      <c r="G211" t="s">
        <v>794</v>
      </c>
      <c r="H211" t="s">
        <v>794</v>
      </c>
      <c r="I211" s="32">
        <v>1</v>
      </c>
    </row>
    <row r="212" spans="3:9" x14ac:dyDescent="0.25">
      <c r="D212" t="s">
        <v>794</v>
      </c>
      <c r="E212" t="s">
        <v>915</v>
      </c>
      <c r="F212" t="s">
        <v>1089</v>
      </c>
      <c r="G212" t="s">
        <v>794</v>
      </c>
      <c r="H212" t="s">
        <v>794</v>
      </c>
      <c r="I212" s="32">
        <v>1</v>
      </c>
    </row>
    <row r="213" spans="3:9" x14ac:dyDescent="0.25">
      <c r="E213"/>
      <c r="F213" t="s">
        <v>1090</v>
      </c>
      <c r="G213" t="s">
        <v>794</v>
      </c>
      <c r="H213" t="s">
        <v>794</v>
      </c>
      <c r="I213" s="32">
        <v>1</v>
      </c>
    </row>
    <row r="214" spans="3:9" x14ac:dyDescent="0.25">
      <c r="E214"/>
      <c r="F214" t="s">
        <v>1091</v>
      </c>
      <c r="G214" t="s">
        <v>794</v>
      </c>
      <c r="H214" t="s">
        <v>794</v>
      </c>
      <c r="I214" s="32">
        <v>1</v>
      </c>
    </row>
    <row r="215" spans="3:9" x14ac:dyDescent="0.25">
      <c r="D215" t="s">
        <v>795</v>
      </c>
      <c r="E215" t="s">
        <v>916</v>
      </c>
      <c r="F215" t="s">
        <v>1038</v>
      </c>
      <c r="G215" t="s">
        <v>794</v>
      </c>
      <c r="H215" t="s">
        <v>794</v>
      </c>
      <c r="I215" s="32">
        <v>1</v>
      </c>
    </row>
    <row r="216" spans="3:9" x14ac:dyDescent="0.25">
      <c r="D216" t="s">
        <v>1704</v>
      </c>
      <c r="E216" t="s">
        <v>916</v>
      </c>
      <c r="F216" t="s">
        <v>1700</v>
      </c>
      <c r="G216" t="s">
        <v>794</v>
      </c>
      <c r="H216" t="s">
        <v>794</v>
      </c>
      <c r="I216" s="32">
        <v>1</v>
      </c>
    </row>
    <row r="217" spans="3:9" x14ac:dyDescent="0.25">
      <c r="E217"/>
      <c r="F217" t="s">
        <v>1703</v>
      </c>
      <c r="G217" t="s">
        <v>794</v>
      </c>
      <c r="H217" t="s">
        <v>794</v>
      </c>
      <c r="I217" s="32">
        <v>1</v>
      </c>
    </row>
    <row r="218" spans="3:9" x14ac:dyDescent="0.25">
      <c r="D218" t="s">
        <v>1705</v>
      </c>
      <c r="E218" t="s">
        <v>916</v>
      </c>
      <c r="F218" t="s">
        <v>1701</v>
      </c>
      <c r="G218" t="s">
        <v>794</v>
      </c>
      <c r="H218" t="s">
        <v>794</v>
      </c>
      <c r="I218" s="32">
        <v>1</v>
      </c>
    </row>
    <row r="219" spans="3:9" x14ac:dyDescent="0.25">
      <c r="E219"/>
      <c r="F219" t="s">
        <v>1702</v>
      </c>
      <c r="G219" t="s">
        <v>794</v>
      </c>
      <c r="H219" t="s">
        <v>794</v>
      </c>
      <c r="I219" s="32">
        <v>1</v>
      </c>
    </row>
    <row r="220" spans="3:9" x14ac:dyDescent="0.25">
      <c r="C220" t="s">
        <v>219</v>
      </c>
      <c r="D220" t="s">
        <v>794</v>
      </c>
      <c r="E220" t="s">
        <v>915</v>
      </c>
      <c r="F220" t="s">
        <v>54</v>
      </c>
      <c r="G220">
        <v>14000</v>
      </c>
      <c r="H220">
        <v>16000</v>
      </c>
      <c r="I220" s="32">
        <v>1</v>
      </c>
    </row>
    <row r="221" spans="3:9" x14ac:dyDescent="0.25">
      <c r="E221"/>
      <c r="F221" t="s">
        <v>894</v>
      </c>
      <c r="G221">
        <v>20000</v>
      </c>
      <c r="H221">
        <v>20000</v>
      </c>
      <c r="I221" s="32">
        <v>1</v>
      </c>
    </row>
    <row r="222" spans="3:9" x14ac:dyDescent="0.25">
      <c r="E222"/>
      <c r="F222" t="s">
        <v>1031</v>
      </c>
      <c r="G222">
        <v>28000</v>
      </c>
      <c r="H222">
        <v>28000</v>
      </c>
      <c r="I222" s="32">
        <v>1</v>
      </c>
    </row>
    <row r="223" spans="3:9" x14ac:dyDescent="0.25">
      <c r="E223"/>
      <c r="F223" t="s">
        <v>1667</v>
      </c>
      <c r="G223" t="s">
        <v>794</v>
      </c>
      <c r="H223" t="s">
        <v>794</v>
      </c>
      <c r="I223" s="32">
        <v>1</v>
      </c>
    </row>
    <row r="224" spans="3:9" x14ac:dyDescent="0.25">
      <c r="E224"/>
      <c r="F224" t="s">
        <v>1695</v>
      </c>
      <c r="G224">
        <v>28000</v>
      </c>
      <c r="H224">
        <v>28000</v>
      </c>
      <c r="I224" s="32">
        <v>1</v>
      </c>
    </row>
    <row r="225" spans="2:9" x14ac:dyDescent="0.25">
      <c r="E225" t="s">
        <v>916</v>
      </c>
      <c r="F225" t="s">
        <v>187</v>
      </c>
      <c r="G225">
        <v>18277</v>
      </c>
      <c r="H225" t="s">
        <v>914</v>
      </c>
      <c r="I225" s="32">
        <v>1</v>
      </c>
    </row>
    <row r="226" spans="2:9" x14ac:dyDescent="0.25">
      <c r="E226" t="s">
        <v>794</v>
      </c>
      <c r="F226" t="s">
        <v>893</v>
      </c>
      <c r="G226" t="s">
        <v>914</v>
      </c>
      <c r="H226" t="s">
        <v>914</v>
      </c>
      <c r="I226" s="32">
        <v>1</v>
      </c>
    </row>
    <row r="227" spans="2:9" x14ac:dyDescent="0.25">
      <c r="E227"/>
      <c r="F227" t="s">
        <v>898</v>
      </c>
      <c r="G227" t="s">
        <v>914</v>
      </c>
      <c r="H227" t="s">
        <v>914</v>
      </c>
      <c r="I227" s="32">
        <v>1</v>
      </c>
    </row>
    <row r="228" spans="2:9" x14ac:dyDescent="0.25">
      <c r="B228" t="s">
        <v>800</v>
      </c>
      <c r="E228"/>
      <c r="F228"/>
      <c r="I228" s="32">
        <v>270</v>
      </c>
    </row>
    <row r="229" spans="2:9" x14ac:dyDescent="0.25">
      <c r="B229" t="s">
        <v>794</v>
      </c>
      <c r="E229"/>
      <c r="F229"/>
      <c r="I229" s="32">
        <v>1</v>
      </c>
    </row>
    <row r="230" spans="2:9" x14ac:dyDescent="0.25">
      <c r="B230" t="s">
        <v>1820</v>
      </c>
      <c r="C230" t="s">
        <v>794</v>
      </c>
      <c r="D230" t="s">
        <v>794</v>
      </c>
      <c r="E230" t="s">
        <v>915</v>
      </c>
      <c r="F230" t="s">
        <v>89</v>
      </c>
      <c r="G230">
        <v>14000</v>
      </c>
      <c r="H230">
        <v>16000</v>
      </c>
      <c r="I230" s="32">
        <v>1</v>
      </c>
    </row>
    <row r="231" spans="2:9" x14ac:dyDescent="0.25">
      <c r="E231"/>
      <c r="F231" t="s">
        <v>839</v>
      </c>
      <c r="G231">
        <v>35000</v>
      </c>
      <c r="H231">
        <v>35000</v>
      </c>
      <c r="I231" s="32">
        <v>1</v>
      </c>
    </row>
    <row r="232" spans="2:9" x14ac:dyDescent="0.25">
      <c r="E232"/>
      <c r="F232" t="s">
        <v>841</v>
      </c>
      <c r="G232">
        <v>19000</v>
      </c>
      <c r="H232">
        <v>19000</v>
      </c>
      <c r="I232" s="32">
        <v>1</v>
      </c>
    </row>
    <row r="233" spans="2:9" x14ac:dyDescent="0.25">
      <c r="E233"/>
      <c r="F233" t="s">
        <v>168</v>
      </c>
      <c r="G233">
        <v>14000</v>
      </c>
      <c r="H233">
        <v>16000</v>
      </c>
      <c r="I233" s="32">
        <v>1</v>
      </c>
    </row>
    <row r="234" spans="2:9" x14ac:dyDescent="0.25">
      <c r="E234"/>
      <c r="F234" t="s">
        <v>840</v>
      </c>
      <c r="G234">
        <v>27370</v>
      </c>
      <c r="H234">
        <v>27370</v>
      </c>
      <c r="I234" s="32">
        <v>1</v>
      </c>
    </row>
    <row r="235" spans="2:9" x14ac:dyDescent="0.25">
      <c r="E235"/>
      <c r="F235" t="s">
        <v>170</v>
      </c>
      <c r="G235">
        <v>14000</v>
      </c>
      <c r="H235">
        <v>16000</v>
      </c>
      <c r="I235" s="32">
        <v>1</v>
      </c>
    </row>
    <row r="236" spans="2:9" x14ac:dyDescent="0.25">
      <c r="E236"/>
      <c r="F236" t="s">
        <v>844</v>
      </c>
      <c r="G236">
        <v>15000</v>
      </c>
      <c r="H236">
        <v>15000</v>
      </c>
      <c r="I236" s="32">
        <v>1</v>
      </c>
    </row>
    <row r="237" spans="2:9" x14ac:dyDescent="0.25">
      <c r="E237"/>
      <c r="F237" t="s">
        <v>843</v>
      </c>
      <c r="G237">
        <v>19925</v>
      </c>
      <c r="H237">
        <v>19925</v>
      </c>
      <c r="I237" s="32">
        <v>1</v>
      </c>
    </row>
    <row r="238" spans="2:9" x14ac:dyDescent="0.25">
      <c r="E238"/>
      <c r="F238" t="s">
        <v>1030</v>
      </c>
      <c r="G238" t="s">
        <v>794</v>
      </c>
      <c r="H238" t="s">
        <v>794</v>
      </c>
      <c r="I238" s="32">
        <v>1</v>
      </c>
    </row>
    <row r="239" spans="2:9" x14ac:dyDescent="0.25">
      <c r="E239"/>
      <c r="F239" t="s">
        <v>958</v>
      </c>
      <c r="G239" t="s">
        <v>794</v>
      </c>
      <c r="H239" t="s">
        <v>794</v>
      </c>
      <c r="I239" s="32">
        <v>1</v>
      </c>
    </row>
    <row r="240" spans="2:9" x14ac:dyDescent="0.25">
      <c r="E240"/>
      <c r="F240" t="s">
        <v>961</v>
      </c>
      <c r="G240" t="s">
        <v>794</v>
      </c>
      <c r="H240" t="s">
        <v>794</v>
      </c>
      <c r="I240" s="32">
        <v>1</v>
      </c>
    </row>
    <row r="241" spans="5:9" x14ac:dyDescent="0.25">
      <c r="E241"/>
      <c r="F241" t="s">
        <v>962</v>
      </c>
      <c r="G241" t="s">
        <v>794</v>
      </c>
      <c r="H241" t="s">
        <v>794</v>
      </c>
      <c r="I241" s="32">
        <v>1</v>
      </c>
    </row>
    <row r="242" spans="5:9" x14ac:dyDescent="0.25">
      <c r="E242"/>
      <c r="F242" t="s">
        <v>959</v>
      </c>
      <c r="G242" t="s">
        <v>794</v>
      </c>
      <c r="H242" t="s">
        <v>794</v>
      </c>
      <c r="I242" s="32">
        <v>1</v>
      </c>
    </row>
    <row r="243" spans="5:9" x14ac:dyDescent="0.25">
      <c r="E243"/>
      <c r="F243" t="s">
        <v>1055</v>
      </c>
      <c r="G243" t="s">
        <v>794</v>
      </c>
      <c r="H243" t="s">
        <v>794</v>
      </c>
      <c r="I243" s="32">
        <v>1</v>
      </c>
    </row>
    <row r="244" spans="5:9" x14ac:dyDescent="0.25">
      <c r="E244"/>
      <c r="F244" t="s">
        <v>960</v>
      </c>
      <c r="G244" t="s">
        <v>794</v>
      </c>
      <c r="H244" t="s">
        <v>794</v>
      </c>
      <c r="I244" s="32">
        <v>1</v>
      </c>
    </row>
    <row r="245" spans="5:9" x14ac:dyDescent="0.25">
      <c r="E245"/>
      <c r="F245" t="s">
        <v>1056</v>
      </c>
      <c r="G245" t="s">
        <v>794</v>
      </c>
      <c r="H245" t="s">
        <v>794</v>
      </c>
      <c r="I245" s="32">
        <v>1</v>
      </c>
    </row>
    <row r="246" spans="5:9" x14ac:dyDescent="0.25">
      <c r="E246"/>
      <c r="F246" t="s">
        <v>1053</v>
      </c>
      <c r="G246" t="s">
        <v>794</v>
      </c>
      <c r="H246" t="s">
        <v>794</v>
      </c>
      <c r="I246" s="32">
        <v>1</v>
      </c>
    </row>
    <row r="247" spans="5:9" x14ac:dyDescent="0.25">
      <c r="E247"/>
      <c r="F247" t="s">
        <v>1618</v>
      </c>
      <c r="G247" t="s">
        <v>794</v>
      </c>
      <c r="H247" t="s">
        <v>794</v>
      </c>
      <c r="I247" s="32">
        <v>1</v>
      </c>
    </row>
    <row r="248" spans="5:9" x14ac:dyDescent="0.25">
      <c r="E248"/>
      <c r="F248" t="s">
        <v>1619</v>
      </c>
      <c r="G248" t="s">
        <v>794</v>
      </c>
      <c r="H248" t="s">
        <v>794</v>
      </c>
      <c r="I248" s="32">
        <v>1</v>
      </c>
    </row>
    <row r="249" spans="5:9" x14ac:dyDescent="0.25">
      <c r="E249"/>
      <c r="F249" t="s">
        <v>1624</v>
      </c>
      <c r="G249" t="s">
        <v>794</v>
      </c>
      <c r="H249" t="s">
        <v>794</v>
      </c>
      <c r="I249" s="32">
        <v>1</v>
      </c>
    </row>
    <row r="250" spans="5:9" x14ac:dyDescent="0.25">
      <c r="E250"/>
      <c r="F250" t="s">
        <v>1609</v>
      </c>
      <c r="G250" t="s">
        <v>794</v>
      </c>
      <c r="H250" t="s">
        <v>794</v>
      </c>
      <c r="I250" s="32">
        <v>1</v>
      </c>
    </row>
    <row r="251" spans="5:9" x14ac:dyDescent="0.25">
      <c r="E251"/>
      <c r="F251" t="s">
        <v>1110</v>
      </c>
      <c r="G251" t="s">
        <v>794</v>
      </c>
      <c r="H251" t="s">
        <v>794</v>
      </c>
      <c r="I251" s="32">
        <v>1</v>
      </c>
    </row>
    <row r="252" spans="5:9" x14ac:dyDescent="0.25">
      <c r="E252"/>
      <c r="F252" t="s">
        <v>1113</v>
      </c>
      <c r="G252" t="s">
        <v>794</v>
      </c>
      <c r="H252" t="s">
        <v>794</v>
      </c>
      <c r="I252" s="32">
        <v>1</v>
      </c>
    </row>
    <row r="253" spans="5:9" x14ac:dyDescent="0.25">
      <c r="E253"/>
      <c r="F253" t="s">
        <v>1822</v>
      </c>
      <c r="G253">
        <v>24294</v>
      </c>
      <c r="H253">
        <v>24294</v>
      </c>
      <c r="I253" s="32">
        <v>1</v>
      </c>
    </row>
    <row r="254" spans="5:9" x14ac:dyDescent="0.25">
      <c r="E254"/>
      <c r="F254" t="s">
        <v>1800</v>
      </c>
      <c r="G254" t="s">
        <v>794</v>
      </c>
      <c r="H254" t="s">
        <v>794</v>
      </c>
      <c r="I254" s="32">
        <v>1</v>
      </c>
    </row>
    <row r="255" spans="5:9" x14ac:dyDescent="0.25">
      <c r="E255"/>
      <c r="F255" t="s">
        <v>1654</v>
      </c>
      <c r="G255" t="s">
        <v>794</v>
      </c>
      <c r="H255" t="s">
        <v>794</v>
      </c>
      <c r="I255" s="32">
        <v>1</v>
      </c>
    </row>
    <row r="256" spans="5:9" x14ac:dyDescent="0.25">
      <c r="E256"/>
      <c r="F256" t="s">
        <v>1678</v>
      </c>
      <c r="G256" t="s">
        <v>794</v>
      </c>
      <c r="H256" t="s">
        <v>794</v>
      </c>
      <c r="I256" s="32">
        <v>1</v>
      </c>
    </row>
    <row r="257" spans="1:9" x14ac:dyDescent="0.25">
      <c r="E257"/>
      <c r="F257" t="s">
        <v>1677</v>
      </c>
      <c r="G257" t="s">
        <v>794</v>
      </c>
      <c r="H257" t="s">
        <v>794</v>
      </c>
      <c r="I257" s="32">
        <v>1</v>
      </c>
    </row>
    <row r="258" spans="1:9" x14ac:dyDescent="0.25">
      <c r="E258" t="s">
        <v>916</v>
      </c>
      <c r="F258" t="s">
        <v>801</v>
      </c>
      <c r="G258">
        <v>13638.95</v>
      </c>
      <c r="H258" t="s">
        <v>914</v>
      </c>
      <c r="I258" s="32">
        <v>1</v>
      </c>
    </row>
    <row r="259" spans="1:9" x14ac:dyDescent="0.25">
      <c r="E259"/>
      <c r="F259" t="s">
        <v>174</v>
      </c>
      <c r="G259">
        <v>20266</v>
      </c>
      <c r="H259" t="s">
        <v>914</v>
      </c>
      <c r="I259" s="32">
        <v>1</v>
      </c>
    </row>
    <row r="260" spans="1:9" x14ac:dyDescent="0.25">
      <c r="E260"/>
      <c r="F260" t="s">
        <v>745</v>
      </c>
      <c r="G260">
        <v>27374</v>
      </c>
      <c r="H260" t="s">
        <v>914</v>
      </c>
      <c r="I260" s="32">
        <v>1</v>
      </c>
    </row>
    <row r="261" spans="1:9" x14ac:dyDescent="0.25">
      <c r="A261" t="s">
        <v>922</v>
      </c>
      <c r="E261"/>
      <c r="F261"/>
      <c r="I261" s="32">
        <v>525</v>
      </c>
    </row>
    <row r="262" spans="1:9" x14ac:dyDescent="0.25">
      <c r="A262" t="s">
        <v>794</v>
      </c>
      <c r="B262" t="s">
        <v>820</v>
      </c>
      <c r="C262" t="s">
        <v>912</v>
      </c>
      <c r="D262" t="s">
        <v>794</v>
      </c>
      <c r="E262" t="s">
        <v>915</v>
      </c>
      <c r="F262" t="s">
        <v>108</v>
      </c>
      <c r="G262">
        <v>14000</v>
      </c>
      <c r="H262">
        <v>16000</v>
      </c>
      <c r="I262" s="32">
        <v>1</v>
      </c>
    </row>
    <row r="263" spans="1:9" x14ac:dyDescent="0.25">
      <c r="E263"/>
      <c r="F263" t="s">
        <v>110</v>
      </c>
      <c r="G263">
        <v>14000</v>
      </c>
      <c r="H263">
        <v>16000</v>
      </c>
      <c r="I263" s="32">
        <v>1</v>
      </c>
    </row>
    <row r="264" spans="1:9" x14ac:dyDescent="0.25">
      <c r="E264"/>
      <c r="F264" t="s">
        <v>134</v>
      </c>
      <c r="G264">
        <v>14000</v>
      </c>
      <c r="H264">
        <v>16000</v>
      </c>
      <c r="I264" s="32">
        <v>1</v>
      </c>
    </row>
    <row r="265" spans="1:9" x14ac:dyDescent="0.25">
      <c r="C265" t="s">
        <v>47</v>
      </c>
      <c r="D265" t="s">
        <v>794</v>
      </c>
      <c r="E265" t="s">
        <v>916</v>
      </c>
      <c r="F265" t="s">
        <v>76</v>
      </c>
      <c r="G265">
        <v>10190</v>
      </c>
      <c r="H265" t="s">
        <v>910</v>
      </c>
      <c r="I265" s="32">
        <v>1</v>
      </c>
    </row>
    <row r="266" spans="1:9" x14ac:dyDescent="0.25">
      <c r="E266" t="s">
        <v>794</v>
      </c>
      <c r="F266" t="s">
        <v>794</v>
      </c>
      <c r="G266" t="s">
        <v>794</v>
      </c>
      <c r="H266" t="s">
        <v>794</v>
      </c>
      <c r="I266" s="32"/>
    </row>
    <row r="267" spans="1:9" x14ac:dyDescent="0.25">
      <c r="C267" t="s">
        <v>817</v>
      </c>
      <c r="D267" t="s">
        <v>794</v>
      </c>
      <c r="E267" t="s">
        <v>915</v>
      </c>
      <c r="F267" t="s">
        <v>627</v>
      </c>
      <c r="G267">
        <v>14000</v>
      </c>
      <c r="H267" t="s">
        <v>914</v>
      </c>
      <c r="I267" s="32">
        <v>1</v>
      </c>
    </row>
    <row r="268" spans="1:9" x14ac:dyDescent="0.25">
      <c r="E268"/>
      <c r="F268" t="s">
        <v>139</v>
      </c>
      <c r="G268">
        <v>12500</v>
      </c>
      <c r="H268">
        <v>12000</v>
      </c>
      <c r="I268" s="32">
        <v>1</v>
      </c>
    </row>
    <row r="269" spans="1:9" x14ac:dyDescent="0.25">
      <c r="E269"/>
      <c r="F269" t="s">
        <v>842</v>
      </c>
      <c r="G269">
        <v>27000</v>
      </c>
      <c r="H269">
        <v>27000</v>
      </c>
      <c r="I269" s="32">
        <v>1</v>
      </c>
    </row>
    <row r="270" spans="1:9" x14ac:dyDescent="0.25">
      <c r="E270"/>
      <c r="F270" t="s">
        <v>689</v>
      </c>
      <c r="G270">
        <v>17102</v>
      </c>
      <c r="H270" t="s">
        <v>914</v>
      </c>
      <c r="I270" s="32">
        <v>1</v>
      </c>
    </row>
    <row r="271" spans="1:9" x14ac:dyDescent="0.25">
      <c r="E271"/>
      <c r="F271" t="s">
        <v>756</v>
      </c>
      <c r="G271">
        <v>12500</v>
      </c>
      <c r="H271">
        <v>12000</v>
      </c>
      <c r="I271" s="32">
        <v>1</v>
      </c>
    </row>
    <row r="272" spans="1:9" x14ac:dyDescent="0.25">
      <c r="E272"/>
      <c r="F272" t="s">
        <v>931</v>
      </c>
      <c r="G272">
        <v>15000</v>
      </c>
      <c r="H272" t="s">
        <v>794</v>
      </c>
      <c r="I272" s="32">
        <v>1</v>
      </c>
    </row>
    <row r="273" spans="5:9" x14ac:dyDescent="0.25">
      <c r="E273"/>
      <c r="F273" t="s">
        <v>933</v>
      </c>
      <c r="G273">
        <v>16000</v>
      </c>
      <c r="H273" t="s">
        <v>794</v>
      </c>
      <c r="I273" s="32">
        <v>1</v>
      </c>
    </row>
    <row r="274" spans="5:9" x14ac:dyDescent="0.25">
      <c r="E274"/>
      <c r="F274" t="s">
        <v>930</v>
      </c>
      <c r="G274">
        <v>18000</v>
      </c>
      <c r="H274" t="s">
        <v>794</v>
      </c>
      <c r="I274" s="32">
        <v>1</v>
      </c>
    </row>
    <row r="275" spans="5:9" x14ac:dyDescent="0.25">
      <c r="E275"/>
      <c r="F275" t="s">
        <v>932</v>
      </c>
      <c r="G275">
        <v>10000</v>
      </c>
      <c r="H275" t="s">
        <v>794</v>
      </c>
      <c r="I275" s="32">
        <v>1</v>
      </c>
    </row>
    <row r="276" spans="5:9" x14ac:dyDescent="0.25">
      <c r="E276"/>
      <c r="F276" t="s">
        <v>1026</v>
      </c>
      <c r="G276">
        <v>10910</v>
      </c>
      <c r="H276" t="s">
        <v>794</v>
      </c>
      <c r="I276" s="32">
        <v>1</v>
      </c>
    </row>
    <row r="277" spans="5:9" x14ac:dyDescent="0.25">
      <c r="E277"/>
      <c r="F277" t="s">
        <v>1039</v>
      </c>
      <c r="G277" t="s">
        <v>794</v>
      </c>
      <c r="H277" t="s">
        <v>794</v>
      </c>
      <c r="I277" s="32">
        <v>1</v>
      </c>
    </row>
    <row r="278" spans="5:9" x14ac:dyDescent="0.25">
      <c r="E278"/>
      <c r="F278" t="s">
        <v>1655</v>
      </c>
      <c r="G278" t="s">
        <v>794</v>
      </c>
      <c r="H278" t="s">
        <v>794</v>
      </c>
      <c r="I278" s="32">
        <v>1</v>
      </c>
    </row>
    <row r="279" spans="5:9" x14ac:dyDescent="0.25">
      <c r="E279"/>
      <c r="F279" t="s">
        <v>1660</v>
      </c>
      <c r="G279" t="s">
        <v>794</v>
      </c>
      <c r="H279" t="s">
        <v>794</v>
      </c>
      <c r="I279" s="32">
        <v>1</v>
      </c>
    </row>
    <row r="280" spans="5:9" x14ac:dyDescent="0.25">
      <c r="E280"/>
      <c r="F280" t="s">
        <v>1844</v>
      </c>
      <c r="G280">
        <v>19000</v>
      </c>
      <c r="H280" t="s">
        <v>794</v>
      </c>
      <c r="I280" s="32">
        <v>1</v>
      </c>
    </row>
    <row r="281" spans="5:9" x14ac:dyDescent="0.25">
      <c r="E281" t="s">
        <v>916</v>
      </c>
      <c r="F281" t="s">
        <v>91</v>
      </c>
      <c r="G281">
        <v>20266</v>
      </c>
      <c r="H281" t="s">
        <v>914</v>
      </c>
      <c r="I281" s="32">
        <v>1</v>
      </c>
    </row>
    <row r="282" spans="5:9" x14ac:dyDescent="0.25">
      <c r="E282"/>
      <c r="F282" t="s">
        <v>113</v>
      </c>
      <c r="G282">
        <v>12500</v>
      </c>
      <c r="H282" t="s">
        <v>914</v>
      </c>
      <c r="I282" s="32">
        <v>1</v>
      </c>
    </row>
    <row r="283" spans="5:9" x14ac:dyDescent="0.25">
      <c r="E283"/>
      <c r="F283" t="s">
        <v>129</v>
      </c>
      <c r="G283">
        <v>13500</v>
      </c>
      <c r="H283" t="s">
        <v>914</v>
      </c>
      <c r="I283" s="32">
        <v>1</v>
      </c>
    </row>
    <row r="284" spans="5:9" x14ac:dyDescent="0.25">
      <c r="E284"/>
      <c r="F284" t="s">
        <v>504</v>
      </c>
      <c r="G284">
        <v>32195</v>
      </c>
      <c r="H284" t="s">
        <v>914</v>
      </c>
      <c r="I284" s="32">
        <v>1</v>
      </c>
    </row>
    <row r="285" spans="5:9" x14ac:dyDescent="0.25">
      <c r="E285"/>
      <c r="F285" t="s">
        <v>146</v>
      </c>
      <c r="G285">
        <v>11730</v>
      </c>
      <c r="H285" t="s">
        <v>914</v>
      </c>
      <c r="I285" s="32">
        <v>1</v>
      </c>
    </row>
    <row r="286" spans="5:9" x14ac:dyDescent="0.25">
      <c r="E286"/>
      <c r="F286" t="s">
        <v>164</v>
      </c>
      <c r="G286">
        <v>10190</v>
      </c>
      <c r="H286" t="s">
        <v>914</v>
      </c>
      <c r="I286" s="32">
        <v>1</v>
      </c>
    </row>
    <row r="287" spans="5:9" x14ac:dyDescent="0.25">
      <c r="E287"/>
      <c r="F287" t="s">
        <v>165</v>
      </c>
      <c r="G287">
        <v>20266</v>
      </c>
      <c r="H287" t="s">
        <v>914</v>
      </c>
      <c r="I287" s="32">
        <v>1</v>
      </c>
    </row>
    <row r="288" spans="5:9" x14ac:dyDescent="0.25">
      <c r="E288"/>
      <c r="F288" t="s">
        <v>195</v>
      </c>
      <c r="G288">
        <v>12274</v>
      </c>
      <c r="H288" t="s">
        <v>914</v>
      </c>
      <c r="I288" s="32">
        <v>1</v>
      </c>
    </row>
    <row r="289" spans="3:9" x14ac:dyDescent="0.25">
      <c r="C289" t="s">
        <v>818</v>
      </c>
      <c r="D289" t="s">
        <v>794</v>
      </c>
      <c r="E289" t="s">
        <v>915</v>
      </c>
      <c r="F289" t="s">
        <v>97</v>
      </c>
      <c r="G289">
        <v>11500</v>
      </c>
      <c r="H289">
        <v>14000</v>
      </c>
      <c r="I289" s="32">
        <v>1</v>
      </c>
    </row>
    <row r="290" spans="3:9" x14ac:dyDescent="0.25">
      <c r="E290"/>
      <c r="F290" t="s">
        <v>598</v>
      </c>
      <c r="G290">
        <v>14014</v>
      </c>
      <c r="H290">
        <v>14014</v>
      </c>
      <c r="I290" s="32">
        <v>1</v>
      </c>
    </row>
    <row r="291" spans="3:9" x14ac:dyDescent="0.25">
      <c r="E291"/>
      <c r="F291" t="s">
        <v>119</v>
      </c>
      <c r="G291">
        <v>12500</v>
      </c>
      <c r="H291">
        <v>12000</v>
      </c>
      <c r="I291" s="32">
        <v>1</v>
      </c>
    </row>
    <row r="292" spans="3:9" x14ac:dyDescent="0.25">
      <c r="E292"/>
      <c r="F292" t="s">
        <v>128</v>
      </c>
      <c r="G292">
        <v>14000</v>
      </c>
      <c r="H292">
        <v>14000</v>
      </c>
      <c r="I292" s="32">
        <v>1</v>
      </c>
    </row>
    <row r="293" spans="3:9" x14ac:dyDescent="0.25">
      <c r="E293"/>
      <c r="F293" t="s">
        <v>143</v>
      </c>
      <c r="G293">
        <v>14000</v>
      </c>
      <c r="H293">
        <v>14000</v>
      </c>
      <c r="I293" s="32">
        <v>1</v>
      </c>
    </row>
    <row r="294" spans="3:9" x14ac:dyDescent="0.25">
      <c r="E294"/>
      <c r="F294" t="s">
        <v>157</v>
      </c>
      <c r="G294">
        <v>11500</v>
      </c>
      <c r="H294">
        <v>12000</v>
      </c>
      <c r="I294" s="32">
        <v>1</v>
      </c>
    </row>
    <row r="295" spans="3:9" x14ac:dyDescent="0.25">
      <c r="E295"/>
      <c r="F295" t="s">
        <v>178</v>
      </c>
      <c r="G295">
        <v>11500</v>
      </c>
      <c r="H295">
        <v>12000</v>
      </c>
      <c r="I295" s="32">
        <v>1</v>
      </c>
    </row>
    <row r="296" spans="3:9" x14ac:dyDescent="0.25">
      <c r="E296"/>
      <c r="F296" t="s">
        <v>183</v>
      </c>
      <c r="G296">
        <v>11500</v>
      </c>
      <c r="H296">
        <v>12000</v>
      </c>
      <c r="I296" s="32">
        <v>1</v>
      </c>
    </row>
    <row r="297" spans="3:9" x14ac:dyDescent="0.25">
      <c r="E297"/>
      <c r="F297" t="s">
        <v>186</v>
      </c>
      <c r="G297">
        <v>12500</v>
      </c>
      <c r="H297">
        <v>14000</v>
      </c>
      <c r="I297" s="32">
        <v>1</v>
      </c>
    </row>
    <row r="298" spans="3:9" x14ac:dyDescent="0.25">
      <c r="E298"/>
      <c r="F298" t="s">
        <v>208</v>
      </c>
      <c r="G298">
        <v>12500</v>
      </c>
      <c r="H298">
        <v>12000</v>
      </c>
      <c r="I298" s="32">
        <v>1</v>
      </c>
    </row>
    <row r="299" spans="3:9" x14ac:dyDescent="0.25">
      <c r="E299" t="s">
        <v>916</v>
      </c>
      <c r="F299" t="s">
        <v>892</v>
      </c>
      <c r="G299">
        <v>11730</v>
      </c>
      <c r="H299" t="s">
        <v>914</v>
      </c>
      <c r="I299" s="32">
        <v>1</v>
      </c>
    </row>
    <row r="300" spans="3:9" x14ac:dyDescent="0.25">
      <c r="E300"/>
      <c r="F300" t="s">
        <v>94</v>
      </c>
      <c r="G300">
        <v>18277</v>
      </c>
      <c r="H300" t="s">
        <v>914</v>
      </c>
      <c r="I300" s="32">
        <v>1</v>
      </c>
    </row>
    <row r="301" spans="3:9" x14ac:dyDescent="0.25">
      <c r="E301"/>
      <c r="F301" t="s">
        <v>605</v>
      </c>
      <c r="G301">
        <v>18277</v>
      </c>
      <c r="H301" t="s">
        <v>914</v>
      </c>
      <c r="I301" s="32">
        <v>1</v>
      </c>
    </row>
    <row r="302" spans="3:9" x14ac:dyDescent="0.25">
      <c r="E302"/>
      <c r="F302" t="s">
        <v>115</v>
      </c>
      <c r="G302">
        <v>19528</v>
      </c>
      <c r="H302" t="s">
        <v>914</v>
      </c>
      <c r="I302" s="32">
        <v>1</v>
      </c>
    </row>
    <row r="303" spans="3:9" x14ac:dyDescent="0.25">
      <c r="E303"/>
      <c r="F303" t="s">
        <v>684</v>
      </c>
      <c r="G303">
        <v>17107</v>
      </c>
      <c r="H303" t="s">
        <v>914</v>
      </c>
      <c r="I303" s="32">
        <v>1</v>
      </c>
    </row>
    <row r="304" spans="3:9" x14ac:dyDescent="0.25">
      <c r="E304"/>
      <c r="F304" t="s">
        <v>180</v>
      </c>
      <c r="G304">
        <v>11730</v>
      </c>
      <c r="H304" t="s">
        <v>914</v>
      </c>
      <c r="I304" s="32">
        <v>1</v>
      </c>
    </row>
    <row r="305" spans="3:9" x14ac:dyDescent="0.25">
      <c r="E305"/>
      <c r="F305" t="s">
        <v>750</v>
      </c>
      <c r="G305">
        <v>20266</v>
      </c>
      <c r="H305" t="s">
        <v>914</v>
      </c>
      <c r="I305" s="32">
        <v>1</v>
      </c>
    </row>
    <row r="306" spans="3:9" x14ac:dyDescent="0.25">
      <c r="E306"/>
      <c r="F306" t="s">
        <v>201</v>
      </c>
      <c r="G306">
        <v>12274</v>
      </c>
      <c r="H306" t="s">
        <v>914</v>
      </c>
      <c r="I306" s="32">
        <v>1</v>
      </c>
    </row>
    <row r="307" spans="3:9" x14ac:dyDescent="0.25">
      <c r="C307" t="s">
        <v>837</v>
      </c>
      <c r="D307" t="s">
        <v>794</v>
      </c>
      <c r="E307" t="s">
        <v>915</v>
      </c>
      <c r="F307" t="s">
        <v>565</v>
      </c>
      <c r="G307">
        <v>14000</v>
      </c>
      <c r="H307">
        <v>14000</v>
      </c>
      <c r="I307" s="32">
        <v>1</v>
      </c>
    </row>
    <row r="308" spans="3:9" x14ac:dyDescent="0.25">
      <c r="E308"/>
      <c r="F308" t="s">
        <v>509</v>
      </c>
      <c r="G308">
        <v>12500</v>
      </c>
      <c r="H308">
        <v>13000</v>
      </c>
      <c r="I308" s="32">
        <v>1</v>
      </c>
    </row>
    <row r="309" spans="3:9" x14ac:dyDescent="0.25">
      <c r="E309"/>
      <c r="F309" t="s">
        <v>65</v>
      </c>
      <c r="G309">
        <v>14000</v>
      </c>
      <c r="H309">
        <v>14000</v>
      </c>
      <c r="I309" s="32">
        <v>1</v>
      </c>
    </row>
    <row r="310" spans="3:9" x14ac:dyDescent="0.25">
      <c r="E310"/>
      <c r="F310" t="s">
        <v>1613</v>
      </c>
      <c r="G310" t="s">
        <v>794</v>
      </c>
      <c r="H310" t="s">
        <v>794</v>
      </c>
      <c r="I310" s="32">
        <v>1</v>
      </c>
    </row>
    <row r="311" spans="3:9" x14ac:dyDescent="0.25">
      <c r="E311"/>
      <c r="F311" t="s">
        <v>1657</v>
      </c>
      <c r="G311" t="s">
        <v>794</v>
      </c>
      <c r="H311" t="s">
        <v>794</v>
      </c>
      <c r="I311" s="32">
        <v>1</v>
      </c>
    </row>
    <row r="312" spans="3:9" x14ac:dyDescent="0.25">
      <c r="E312" t="s">
        <v>916</v>
      </c>
      <c r="F312" t="s">
        <v>567</v>
      </c>
      <c r="G312">
        <v>29089</v>
      </c>
      <c r="H312" t="s">
        <v>914</v>
      </c>
      <c r="I312" s="32">
        <v>1</v>
      </c>
    </row>
    <row r="313" spans="3:9" x14ac:dyDescent="0.25">
      <c r="E313"/>
      <c r="F313" t="s">
        <v>510</v>
      </c>
      <c r="G313">
        <v>19096</v>
      </c>
      <c r="H313" t="s">
        <v>914</v>
      </c>
      <c r="I313" s="32">
        <v>1</v>
      </c>
    </row>
    <row r="314" spans="3:9" x14ac:dyDescent="0.25">
      <c r="E314"/>
      <c r="F314" t="s">
        <v>101</v>
      </c>
      <c r="G314">
        <v>18334</v>
      </c>
      <c r="H314" t="s">
        <v>914</v>
      </c>
      <c r="I314" s="32">
        <v>1</v>
      </c>
    </row>
    <row r="315" spans="3:9" x14ac:dyDescent="0.25">
      <c r="E315"/>
      <c r="F315" t="s">
        <v>125</v>
      </c>
      <c r="G315">
        <v>19096</v>
      </c>
      <c r="H315" t="s">
        <v>914</v>
      </c>
      <c r="I315" s="32">
        <v>1</v>
      </c>
    </row>
    <row r="316" spans="3:9" x14ac:dyDescent="0.25">
      <c r="E316"/>
      <c r="F316" t="s">
        <v>508</v>
      </c>
      <c r="G316">
        <v>17107</v>
      </c>
      <c r="H316" t="s">
        <v>914</v>
      </c>
      <c r="I316" s="32">
        <v>1</v>
      </c>
    </row>
    <row r="317" spans="3:9" x14ac:dyDescent="0.25">
      <c r="C317" t="s">
        <v>809</v>
      </c>
      <c r="D317" t="s">
        <v>794</v>
      </c>
      <c r="E317" t="s">
        <v>915</v>
      </c>
      <c r="F317" t="s">
        <v>41</v>
      </c>
      <c r="G317">
        <v>13500</v>
      </c>
      <c r="H317">
        <v>13000</v>
      </c>
      <c r="I317" s="32">
        <v>1</v>
      </c>
    </row>
    <row r="318" spans="3:9" x14ac:dyDescent="0.25">
      <c r="E318"/>
      <c r="F318" t="s">
        <v>87</v>
      </c>
      <c r="G318">
        <v>17105</v>
      </c>
      <c r="H318">
        <v>17105</v>
      </c>
      <c r="I318" s="32">
        <v>1</v>
      </c>
    </row>
    <row r="319" spans="3:9" x14ac:dyDescent="0.25">
      <c r="E319"/>
      <c r="F319" t="s">
        <v>171</v>
      </c>
      <c r="G319">
        <v>27000</v>
      </c>
      <c r="H319">
        <v>26000</v>
      </c>
      <c r="I319" s="32">
        <v>1</v>
      </c>
    </row>
    <row r="320" spans="3:9" x14ac:dyDescent="0.25">
      <c r="E320"/>
      <c r="F320" t="s">
        <v>1040</v>
      </c>
      <c r="G320" t="s">
        <v>794</v>
      </c>
      <c r="H320" t="s">
        <v>794</v>
      </c>
      <c r="I320" s="32">
        <v>1</v>
      </c>
    </row>
    <row r="321" spans="3:9" x14ac:dyDescent="0.25">
      <c r="E321"/>
      <c r="F321" t="s">
        <v>1115</v>
      </c>
      <c r="G321" t="s">
        <v>794</v>
      </c>
      <c r="H321" t="s">
        <v>794</v>
      </c>
      <c r="I321" s="32">
        <v>1</v>
      </c>
    </row>
    <row r="322" spans="3:9" x14ac:dyDescent="0.25">
      <c r="E322" t="s">
        <v>916</v>
      </c>
      <c r="F322" t="s">
        <v>96</v>
      </c>
      <c r="G322">
        <v>10190</v>
      </c>
      <c r="H322" t="s">
        <v>914</v>
      </c>
      <c r="I322" s="32">
        <v>1</v>
      </c>
    </row>
    <row r="323" spans="3:9" x14ac:dyDescent="0.25">
      <c r="E323"/>
      <c r="F323" t="s">
        <v>145</v>
      </c>
      <c r="G323">
        <v>10190</v>
      </c>
      <c r="H323" t="s">
        <v>914</v>
      </c>
      <c r="I323" s="32">
        <v>1</v>
      </c>
    </row>
    <row r="324" spans="3:9" x14ac:dyDescent="0.25">
      <c r="C324" t="s">
        <v>63</v>
      </c>
      <c r="D324" t="s">
        <v>794</v>
      </c>
      <c r="E324" t="s">
        <v>915</v>
      </c>
      <c r="F324" t="s">
        <v>836</v>
      </c>
      <c r="G324">
        <v>17102</v>
      </c>
      <c r="H324">
        <v>17107</v>
      </c>
      <c r="I324" s="32">
        <v>1</v>
      </c>
    </row>
    <row r="325" spans="3:9" x14ac:dyDescent="0.25">
      <c r="E325"/>
      <c r="F325" t="s">
        <v>835</v>
      </c>
      <c r="G325">
        <v>17101</v>
      </c>
      <c r="H325">
        <v>17101</v>
      </c>
      <c r="I325" s="32">
        <v>1</v>
      </c>
    </row>
    <row r="326" spans="3:9" x14ac:dyDescent="0.25">
      <c r="E326"/>
      <c r="F326" t="s">
        <v>926</v>
      </c>
      <c r="G326">
        <v>12500</v>
      </c>
      <c r="H326" t="s">
        <v>914</v>
      </c>
      <c r="I326" s="32">
        <v>1</v>
      </c>
    </row>
    <row r="327" spans="3:9" x14ac:dyDescent="0.25">
      <c r="E327"/>
      <c r="F327" t="s">
        <v>1050</v>
      </c>
      <c r="G327">
        <v>12246</v>
      </c>
      <c r="H327" t="s">
        <v>914</v>
      </c>
      <c r="I327" s="32">
        <v>1</v>
      </c>
    </row>
    <row r="328" spans="3:9" x14ac:dyDescent="0.25">
      <c r="E328"/>
      <c r="F328" t="s">
        <v>1023</v>
      </c>
      <c r="G328" t="s">
        <v>794</v>
      </c>
      <c r="H328" t="s">
        <v>794</v>
      </c>
      <c r="I328" s="32">
        <v>1</v>
      </c>
    </row>
    <row r="329" spans="3:9" x14ac:dyDescent="0.25">
      <c r="E329"/>
      <c r="F329" t="s">
        <v>1051</v>
      </c>
      <c r="G329" t="s">
        <v>914</v>
      </c>
      <c r="H329" t="s">
        <v>794</v>
      </c>
      <c r="I329" s="32">
        <v>1</v>
      </c>
    </row>
    <row r="330" spans="3:9" x14ac:dyDescent="0.25">
      <c r="E330"/>
      <c r="F330" t="s">
        <v>1610</v>
      </c>
      <c r="G330" t="s">
        <v>794</v>
      </c>
      <c r="H330" t="s">
        <v>794</v>
      </c>
      <c r="I330" s="32">
        <v>1</v>
      </c>
    </row>
    <row r="331" spans="3:9" x14ac:dyDescent="0.25">
      <c r="E331"/>
      <c r="F331" t="s">
        <v>1117</v>
      </c>
      <c r="G331" t="s">
        <v>794</v>
      </c>
      <c r="H331" t="s">
        <v>794</v>
      </c>
      <c r="I331" s="32">
        <v>1</v>
      </c>
    </row>
    <row r="332" spans="3:9" x14ac:dyDescent="0.25">
      <c r="E332"/>
      <c r="F332" t="s">
        <v>1612</v>
      </c>
      <c r="G332" t="s">
        <v>794</v>
      </c>
      <c r="H332" t="s">
        <v>794</v>
      </c>
      <c r="I332" s="32">
        <v>1</v>
      </c>
    </row>
    <row r="333" spans="3:9" x14ac:dyDescent="0.25">
      <c r="E333"/>
      <c r="F333" t="s">
        <v>1122</v>
      </c>
      <c r="G333" t="s">
        <v>794</v>
      </c>
      <c r="H333" t="s">
        <v>794</v>
      </c>
      <c r="I333" s="32">
        <v>1</v>
      </c>
    </row>
    <row r="334" spans="3:9" x14ac:dyDescent="0.25">
      <c r="E334"/>
      <c r="F334" t="s">
        <v>1680</v>
      </c>
      <c r="G334" t="s">
        <v>794</v>
      </c>
      <c r="H334" t="s">
        <v>794</v>
      </c>
      <c r="I334" s="32">
        <v>1</v>
      </c>
    </row>
    <row r="335" spans="3:9" x14ac:dyDescent="0.25">
      <c r="E335" t="s">
        <v>916</v>
      </c>
      <c r="F335" t="s">
        <v>555</v>
      </c>
      <c r="G335">
        <v>12547</v>
      </c>
      <c r="H335" t="s">
        <v>914</v>
      </c>
      <c r="I335" s="32">
        <v>1</v>
      </c>
    </row>
    <row r="336" spans="3:9" x14ac:dyDescent="0.25">
      <c r="E336"/>
      <c r="F336" t="s">
        <v>833</v>
      </c>
      <c r="G336">
        <v>22812</v>
      </c>
      <c r="H336" t="s">
        <v>914</v>
      </c>
      <c r="I336" s="32">
        <v>1</v>
      </c>
    </row>
    <row r="337" spans="3:9" x14ac:dyDescent="0.25">
      <c r="E337"/>
      <c r="F337" t="s">
        <v>834</v>
      </c>
      <c r="G337">
        <v>22812</v>
      </c>
      <c r="H337" t="s">
        <v>914</v>
      </c>
      <c r="I337" s="32">
        <v>1</v>
      </c>
    </row>
    <row r="338" spans="3:9" x14ac:dyDescent="0.25">
      <c r="E338"/>
      <c r="F338" t="s">
        <v>137</v>
      </c>
      <c r="G338">
        <v>17107</v>
      </c>
      <c r="H338" t="s">
        <v>914</v>
      </c>
      <c r="I338" s="32">
        <v>1</v>
      </c>
    </row>
    <row r="339" spans="3:9" x14ac:dyDescent="0.25">
      <c r="E339"/>
      <c r="F339" t="s">
        <v>148</v>
      </c>
      <c r="G339">
        <v>26237</v>
      </c>
      <c r="H339" t="s">
        <v>914</v>
      </c>
      <c r="I339" s="32">
        <v>1</v>
      </c>
    </row>
    <row r="340" spans="3:9" x14ac:dyDescent="0.25">
      <c r="E340"/>
      <c r="F340" t="s">
        <v>732</v>
      </c>
      <c r="G340">
        <v>27374</v>
      </c>
      <c r="H340" t="s">
        <v>914</v>
      </c>
      <c r="I340" s="32">
        <v>1</v>
      </c>
    </row>
    <row r="341" spans="3:9" x14ac:dyDescent="0.25">
      <c r="E341"/>
      <c r="F341" t="s">
        <v>1671</v>
      </c>
      <c r="G341" t="s">
        <v>794</v>
      </c>
      <c r="H341" t="s">
        <v>794</v>
      </c>
      <c r="I341" s="32">
        <v>1</v>
      </c>
    </row>
    <row r="342" spans="3:9" x14ac:dyDescent="0.25">
      <c r="E342"/>
      <c r="F342" t="s">
        <v>1670</v>
      </c>
      <c r="G342" t="s">
        <v>794</v>
      </c>
      <c r="H342" t="s">
        <v>794</v>
      </c>
      <c r="I342" s="32">
        <v>1</v>
      </c>
    </row>
    <row r="343" spans="3:9" x14ac:dyDescent="0.25">
      <c r="E343"/>
      <c r="F343" t="s">
        <v>1672</v>
      </c>
      <c r="G343" t="s">
        <v>794</v>
      </c>
      <c r="H343" t="s">
        <v>794</v>
      </c>
      <c r="I343" s="32">
        <v>1</v>
      </c>
    </row>
    <row r="344" spans="3:9" x14ac:dyDescent="0.25">
      <c r="D344" t="s">
        <v>927</v>
      </c>
      <c r="E344" t="s">
        <v>915</v>
      </c>
      <c r="F344" t="s">
        <v>158</v>
      </c>
      <c r="G344">
        <v>12500</v>
      </c>
      <c r="H344">
        <v>13000</v>
      </c>
      <c r="I344" s="32">
        <v>1</v>
      </c>
    </row>
    <row r="345" spans="3:9" x14ac:dyDescent="0.25">
      <c r="C345" t="s">
        <v>794</v>
      </c>
      <c r="D345" t="s">
        <v>794</v>
      </c>
      <c r="E345" t="s">
        <v>915</v>
      </c>
      <c r="F345" t="s">
        <v>1015</v>
      </c>
      <c r="G345" t="s">
        <v>794</v>
      </c>
      <c r="H345" t="s">
        <v>794</v>
      </c>
      <c r="I345" s="32">
        <v>1</v>
      </c>
    </row>
    <row r="346" spans="3:9" x14ac:dyDescent="0.25">
      <c r="E346"/>
      <c r="F346" t="s">
        <v>1033</v>
      </c>
      <c r="G346">
        <v>20000</v>
      </c>
      <c r="H346">
        <v>15182</v>
      </c>
      <c r="I346" s="32">
        <v>1</v>
      </c>
    </row>
    <row r="347" spans="3:9" x14ac:dyDescent="0.25">
      <c r="E347"/>
      <c r="F347" t="s">
        <v>1112</v>
      </c>
      <c r="G347" t="s">
        <v>794</v>
      </c>
      <c r="H347" t="s">
        <v>794</v>
      </c>
      <c r="I347" s="32">
        <v>1</v>
      </c>
    </row>
    <row r="348" spans="3:9" x14ac:dyDescent="0.25">
      <c r="E348"/>
      <c r="F348" t="s">
        <v>1681</v>
      </c>
      <c r="G348" t="s">
        <v>794</v>
      </c>
      <c r="H348" t="s">
        <v>794</v>
      </c>
      <c r="I348" s="32">
        <v>1</v>
      </c>
    </row>
    <row r="349" spans="3:9" x14ac:dyDescent="0.25">
      <c r="E349" t="s">
        <v>916</v>
      </c>
      <c r="F349" t="s">
        <v>1662</v>
      </c>
      <c r="G349" t="s">
        <v>794</v>
      </c>
      <c r="H349" t="s">
        <v>794</v>
      </c>
      <c r="I349" s="32">
        <v>1</v>
      </c>
    </row>
    <row r="350" spans="3:9" x14ac:dyDescent="0.25">
      <c r="C350" t="s">
        <v>921</v>
      </c>
      <c r="D350" t="s">
        <v>217</v>
      </c>
      <c r="E350" t="s">
        <v>915</v>
      </c>
      <c r="F350" t="s">
        <v>1645</v>
      </c>
      <c r="G350" t="s">
        <v>794</v>
      </c>
      <c r="H350" t="s">
        <v>794</v>
      </c>
      <c r="I350" s="32">
        <v>1</v>
      </c>
    </row>
    <row r="351" spans="3:9" x14ac:dyDescent="0.25">
      <c r="E351"/>
      <c r="F351" t="s">
        <v>1646</v>
      </c>
      <c r="G351" t="s">
        <v>794</v>
      </c>
      <c r="H351" t="s">
        <v>794</v>
      </c>
      <c r="I351" s="32">
        <v>1</v>
      </c>
    </row>
    <row r="352" spans="3:9" x14ac:dyDescent="0.25">
      <c r="E352"/>
      <c r="F352" t="s">
        <v>1647</v>
      </c>
      <c r="G352" t="s">
        <v>794</v>
      </c>
      <c r="H352" t="s">
        <v>794</v>
      </c>
      <c r="I352" s="32">
        <v>1</v>
      </c>
    </row>
    <row r="353" spans="4:9" x14ac:dyDescent="0.25">
      <c r="E353"/>
      <c r="F353" t="s">
        <v>1859</v>
      </c>
      <c r="G353" t="s">
        <v>794</v>
      </c>
      <c r="H353" t="s">
        <v>794</v>
      </c>
      <c r="I353" s="32">
        <v>1</v>
      </c>
    </row>
    <row r="354" spans="4:9" x14ac:dyDescent="0.25">
      <c r="E354"/>
      <c r="F354" t="s">
        <v>1683</v>
      </c>
      <c r="G354" t="s">
        <v>794</v>
      </c>
      <c r="H354" t="s">
        <v>794</v>
      </c>
      <c r="I354" s="32">
        <v>1</v>
      </c>
    </row>
    <row r="355" spans="4:9" x14ac:dyDescent="0.25">
      <c r="E355" t="s">
        <v>916</v>
      </c>
      <c r="F355" t="s">
        <v>95</v>
      </c>
      <c r="G355">
        <v>13638</v>
      </c>
      <c r="H355" t="s">
        <v>914</v>
      </c>
      <c r="I355" s="32">
        <v>1</v>
      </c>
    </row>
    <row r="356" spans="4:9" x14ac:dyDescent="0.25">
      <c r="E356"/>
      <c r="F356" t="s">
        <v>141</v>
      </c>
      <c r="G356">
        <v>11730</v>
      </c>
      <c r="H356" t="s">
        <v>914</v>
      </c>
      <c r="I356" s="32">
        <v>1</v>
      </c>
    </row>
    <row r="357" spans="4:9" x14ac:dyDescent="0.25">
      <c r="E357"/>
      <c r="F357" t="s">
        <v>144</v>
      </c>
      <c r="G357">
        <v>12000</v>
      </c>
      <c r="H357" t="s">
        <v>914</v>
      </c>
      <c r="I357" s="32">
        <v>1</v>
      </c>
    </row>
    <row r="358" spans="4:9" x14ac:dyDescent="0.25">
      <c r="E358"/>
      <c r="F358" t="s">
        <v>810</v>
      </c>
      <c r="G358">
        <v>19096</v>
      </c>
      <c r="H358" t="s">
        <v>914</v>
      </c>
      <c r="I358" s="32">
        <v>1</v>
      </c>
    </row>
    <row r="359" spans="4:9" x14ac:dyDescent="0.25">
      <c r="E359"/>
      <c r="F359" t="s">
        <v>191</v>
      </c>
      <c r="G359">
        <v>11730</v>
      </c>
      <c r="H359" t="s">
        <v>914</v>
      </c>
      <c r="I359" s="32">
        <v>1</v>
      </c>
    </row>
    <row r="360" spans="4:9" x14ac:dyDescent="0.25">
      <c r="D360" t="s">
        <v>31</v>
      </c>
      <c r="E360" t="s">
        <v>915</v>
      </c>
      <c r="F360" t="s">
        <v>58</v>
      </c>
      <c r="G360">
        <v>12500</v>
      </c>
      <c r="H360">
        <v>14000</v>
      </c>
      <c r="I360" s="32">
        <v>1</v>
      </c>
    </row>
    <row r="361" spans="4:9" x14ac:dyDescent="0.25">
      <c r="E361"/>
      <c r="F361" t="s">
        <v>112</v>
      </c>
      <c r="G361">
        <v>27000</v>
      </c>
      <c r="H361" t="s">
        <v>914</v>
      </c>
      <c r="I361" s="32">
        <v>1</v>
      </c>
    </row>
    <row r="362" spans="4:9" x14ac:dyDescent="0.25">
      <c r="E362"/>
      <c r="F362" t="s">
        <v>120</v>
      </c>
      <c r="G362">
        <v>14000</v>
      </c>
      <c r="H362">
        <v>14000</v>
      </c>
      <c r="I362" s="32">
        <v>1</v>
      </c>
    </row>
    <row r="363" spans="4:9" x14ac:dyDescent="0.25">
      <c r="E363"/>
      <c r="F363" t="s">
        <v>705</v>
      </c>
      <c r="G363">
        <v>12500</v>
      </c>
      <c r="H363">
        <v>14000</v>
      </c>
      <c r="I363" s="32">
        <v>1</v>
      </c>
    </row>
    <row r="364" spans="4:9" x14ac:dyDescent="0.25">
      <c r="E364"/>
      <c r="F364" t="s">
        <v>754</v>
      </c>
      <c r="G364">
        <v>12500</v>
      </c>
      <c r="H364">
        <v>14000</v>
      </c>
      <c r="I364" s="32">
        <v>1</v>
      </c>
    </row>
    <row r="365" spans="4:9" x14ac:dyDescent="0.25">
      <c r="E365"/>
      <c r="F365" t="s">
        <v>1016</v>
      </c>
      <c r="G365" t="s">
        <v>794</v>
      </c>
      <c r="H365" t="s">
        <v>794</v>
      </c>
      <c r="I365" s="32">
        <v>1</v>
      </c>
    </row>
    <row r="366" spans="4:9" x14ac:dyDescent="0.25">
      <c r="E366" t="s">
        <v>916</v>
      </c>
      <c r="F366" t="s">
        <v>98</v>
      </c>
      <c r="G366">
        <v>25000</v>
      </c>
      <c r="H366" t="s">
        <v>914</v>
      </c>
      <c r="I366" s="32">
        <v>1</v>
      </c>
    </row>
    <row r="367" spans="4:9" x14ac:dyDescent="0.25">
      <c r="E367"/>
      <c r="F367" t="s">
        <v>830</v>
      </c>
      <c r="G367">
        <v>12003</v>
      </c>
      <c r="H367" t="s">
        <v>914</v>
      </c>
      <c r="I367" s="32">
        <v>1</v>
      </c>
    </row>
    <row r="368" spans="4:9" x14ac:dyDescent="0.25">
      <c r="E368"/>
      <c r="F368" t="s">
        <v>696</v>
      </c>
      <c r="G368">
        <v>20266</v>
      </c>
      <c r="H368" t="s">
        <v>914</v>
      </c>
      <c r="I368" s="32">
        <v>1</v>
      </c>
    </row>
    <row r="369" spans="4:9" x14ac:dyDescent="0.25">
      <c r="E369"/>
      <c r="F369" t="s">
        <v>743</v>
      </c>
      <c r="G369">
        <v>17505</v>
      </c>
      <c r="H369" t="s">
        <v>914</v>
      </c>
      <c r="I369" s="32">
        <v>1</v>
      </c>
    </row>
    <row r="370" spans="4:9" x14ac:dyDescent="0.25">
      <c r="E370"/>
      <c r="F370" t="s">
        <v>766</v>
      </c>
      <c r="G370">
        <v>14433</v>
      </c>
      <c r="H370" t="s">
        <v>914</v>
      </c>
      <c r="I370" s="32">
        <v>1</v>
      </c>
    </row>
    <row r="371" spans="4:9" x14ac:dyDescent="0.25">
      <c r="E371"/>
      <c r="F371" t="s">
        <v>828</v>
      </c>
      <c r="G371">
        <v>21517</v>
      </c>
      <c r="H371" t="s">
        <v>914</v>
      </c>
      <c r="I371" s="32">
        <v>1</v>
      </c>
    </row>
    <row r="372" spans="4:9" x14ac:dyDescent="0.25">
      <c r="E372"/>
      <c r="F372" t="s">
        <v>1045</v>
      </c>
      <c r="G372" t="s">
        <v>794</v>
      </c>
      <c r="H372" t="s">
        <v>794</v>
      </c>
      <c r="I372" s="32">
        <v>1</v>
      </c>
    </row>
    <row r="373" spans="4:9" x14ac:dyDescent="0.25">
      <c r="E373"/>
      <c r="F373" t="s">
        <v>1043</v>
      </c>
      <c r="G373" t="s">
        <v>794</v>
      </c>
      <c r="H373" t="s">
        <v>794</v>
      </c>
      <c r="I373" s="32">
        <v>1</v>
      </c>
    </row>
    <row r="374" spans="4:9" x14ac:dyDescent="0.25">
      <c r="E374"/>
      <c r="F374" t="s">
        <v>1044</v>
      </c>
      <c r="G374" t="s">
        <v>794</v>
      </c>
      <c r="H374" t="s">
        <v>794</v>
      </c>
      <c r="I374" s="32">
        <v>1</v>
      </c>
    </row>
    <row r="375" spans="4:9" x14ac:dyDescent="0.25">
      <c r="E375"/>
      <c r="F375" t="s">
        <v>1114</v>
      </c>
      <c r="G375" t="s">
        <v>794</v>
      </c>
      <c r="H375" t="s">
        <v>794</v>
      </c>
      <c r="I375" s="32">
        <v>1</v>
      </c>
    </row>
    <row r="376" spans="4:9" x14ac:dyDescent="0.25">
      <c r="D376" t="s">
        <v>525</v>
      </c>
      <c r="E376" t="s">
        <v>915</v>
      </c>
      <c r="F376" t="s">
        <v>210</v>
      </c>
      <c r="G376">
        <v>18000</v>
      </c>
      <c r="H376">
        <v>18000</v>
      </c>
      <c r="I376" s="32">
        <v>1</v>
      </c>
    </row>
    <row r="377" spans="4:9" x14ac:dyDescent="0.25">
      <c r="E377"/>
      <c r="F377" t="s">
        <v>212</v>
      </c>
      <c r="G377">
        <v>18000</v>
      </c>
      <c r="H377">
        <v>18000</v>
      </c>
      <c r="I377" s="32">
        <v>1</v>
      </c>
    </row>
    <row r="378" spans="4:9" x14ac:dyDescent="0.25">
      <c r="E378" t="s">
        <v>916</v>
      </c>
      <c r="F378" t="s">
        <v>806</v>
      </c>
      <c r="G378">
        <v>10190</v>
      </c>
      <c r="H378" t="s">
        <v>914</v>
      </c>
      <c r="I378" s="32">
        <v>1</v>
      </c>
    </row>
    <row r="379" spans="4:9" x14ac:dyDescent="0.25">
      <c r="E379"/>
      <c r="F379" t="s">
        <v>815</v>
      </c>
      <c r="G379">
        <v>18000</v>
      </c>
      <c r="H379" t="s">
        <v>914</v>
      </c>
      <c r="I379" s="32">
        <v>1</v>
      </c>
    </row>
    <row r="380" spans="4:9" x14ac:dyDescent="0.25">
      <c r="E380"/>
      <c r="F380" t="s">
        <v>788</v>
      </c>
      <c r="G380">
        <v>18000</v>
      </c>
      <c r="H380" t="s">
        <v>914</v>
      </c>
      <c r="I380" s="32">
        <v>1</v>
      </c>
    </row>
    <row r="381" spans="4:9" x14ac:dyDescent="0.25">
      <c r="E381"/>
      <c r="F381" t="s">
        <v>117</v>
      </c>
      <c r="G381">
        <v>18000</v>
      </c>
      <c r="H381" t="s">
        <v>914</v>
      </c>
      <c r="I381" s="32">
        <v>1</v>
      </c>
    </row>
    <row r="382" spans="4:9" x14ac:dyDescent="0.25">
      <c r="E382"/>
      <c r="F382" t="s">
        <v>805</v>
      </c>
      <c r="G382">
        <v>18000</v>
      </c>
      <c r="H382" t="s">
        <v>914</v>
      </c>
      <c r="I382" s="32">
        <v>1</v>
      </c>
    </row>
    <row r="383" spans="4:9" x14ac:dyDescent="0.25">
      <c r="E383"/>
      <c r="F383" t="s">
        <v>789</v>
      </c>
      <c r="G383">
        <v>18000</v>
      </c>
      <c r="H383" t="s">
        <v>914</v>
      </c>
      <c r="I383" s="32">
        <v>1</v>
      </c>
    </row>
    <row r="384" spans="4:9" x14ac:dyDescent="0.25">
      <c r="E384"/>
      <c r="F384" t="s">
        <v>147</v>
      </c>
      <c r="G384">
        <v>18000</v>
      </c>
      <c r="H384" t="s">
        <v>914</v>
      </c>
      <c r="I384" s="32">
        <v>1</v>
      </c>
    </row>
    <row r="385" spans="2:9" x14ac:dyDescent="0.25">
      <c r="E385"/>
      <c r="F385" t="s">
        <v>790</v>
      </c>
      <c r="G385">
        <v>18000</v>
      </c>
      <c r="H385" t="s">
        <v>914</v>
      </c>
      <c r="I385" s="32">
        <v>1</v>
      </c>
    </row>
    <row r="386" spans="2:9" x14ac:dyDescent="0.25">
      <c r="E386"/>
      <c r="F386" t="s">
        <v>162</v>
      </c>
      <c r="G386">
        <v>18000</v>
      </c>
      <c r="H386" t="s">
        <v>914</v>
      </c>
      <c r="I386" s="32">
        <v>1</v>
      </c>
    </row>
    <row r="387" spans="2:9" x14ac:dyDescent="0.25">
      <c r="E387"/>
      <c r="F387" t="s">
        <v>791</v>
      </c>
      <c r="G387">
        <v>18000</v>
      </c>
      <c r="H387" t="s">
        <v>914</v>
      </c>
      <c r="I387" s="32">
        <v>1</v>
      </c>
    </row>
    <row r="388" spans="2:9" x14ac:dyDescent="0.25">
      <c r="E388"/>
      <c r="F388" t="s">
        <v>804</v>
      </c>
      <c r="G388">
        <v>18000</v>
      </c>
      <c r="H388" t="s">
        <v>914</v>
      </c>
      <c r="I388" s="32">
        <v>1</v>
      </c>
    </row>
    <row r="389" spans="2:9" x14ac:dyDescent="0.25">
      <c r="E389"/>
      <c r="F389" t="s">
        <v>179</v>
      </c>
      <c r="G389">
        <v>18000</v>
      </c>
      <c r="H389" t="s">
        <v>914</v>
      </c>
      <c r="I389" s="32">
        <v>1</v>
      </c>
    </row>
    <row r="390" spans="2:9" x14ac:dyDescent="0.25">
      <c r="E390"/>
      <c r="F390" t="s">
        <v>792</v>
      </c>
      <c r="G390">
        <v>18219</v>
      </c>
      <c r="H390" t="s">
        <v>914</v>
      </c>
      <c r="I390" s="32">
        <v>1</v>
      </c>
    </row>
    <row r="391" spans="2:9" x14ac:dyDescent="0.25">
      <c r="E391"/>
      <c r="F391" t="s">
        <v>793</v>
      </c>
      <c r="G391">
        <v>18000</v>
      </c>
      <c r="H391" t="s">
        <v>914</v>
      </c>
      <c r="I391" s="32">
        <v>1</v>
      </c>
    </row>
    <row r="392" spans="2:9" x14ac:dyDescent="0.25">
      <c r="D392" t="s">
        <v>795</v>
      </c>
      <c r="E392" t="s">
        <v>915</v>
      </c>
      <c r="F392" t="s">
        <v>564</v>
      </c>
      <c r="G392">
        <v>12500</v>
      </c>
      <c r="H392">
        <v>14000</v>
      </c>
      <c r="I392" s="32">
        <v>1</v>
      </c>
    </row>
    <row r="393" spans="2:9" x14ac:dyDescent="0.25">
      <c r="E393" t="s">
        <v>916</v>
      </c>
      <c r="F393" t="s">
        <v>566</v>
      </c>
      <c r="G393">
        <v>27374</v>
      </c>
      <c r="H393" t="s">
        <v>914</v>
      </c>
      <c r="I393" s="32">
        <v>1</v>
      </c>
    </row>
    <row r="394" spans="2:9" x14ac:dyDescent="0.25">
      <c r="E394"/>
      <c r="F394" t="s">
        <v>677</v>
      </c>
      <c r="G394">
        <v>20266</v>
      </c>
      <c r="H394" t="s">
        <v>914</v>
      </c>
      <c r="I394" s="32">
        <v>1</v>
      </c>
    </row>
    <row r="395" spans="2:9" x14ac:dyDescent="0.25">
      <c r="E395"/>
      <c r="F395" t="s">
        <v>911</v>
      </c>
      <c r="G395">
        <v>17107</v>
      </c>
      <c r="H395" t="s">
        <v>914</v>
      </c>
      <c r="I395" s="32">
        <v>1</v>
      </c>
    </row>
    <row r="396" spans="2:9" x14ac:dyDescent="0.25">
      <c r="B396" t="s">
        <v>825</v>
      </c>
      <c r="C396" t="s">
        <v>794</v>
      </c>
      <c r="D396" t="s">
        <v>794</v>
      </c>
      <c r="E396" t="s">
        <v>915</v>
      </c>
      <c r="F396" t="s">
        <v>875</v>
      </c>
      <c r="G396">
        <v>36000</v>
      </c>
      <c r="H396">
        <v>36000</v>
      </c>
      <c r="I396" s="32">
        <v>1</v>
      </c>
    </row>
    <row r="397" spans="2:9" x14ac:dyDescent="0.25">
      <c r="E397"/>
      <c r="F397" t="s">
        <v>192</v>
      </c>
      <c r="G397">
        <v>14000</v>
      </c>
      <c r="H397">
        <v>16000</v>
      </c>
      <c r="I397" s="32">
        <v>1</v>
      </c>
    </row>
    <row r="398" spans="2:9" x14ac:dyDescent="0.25">
      <c r="E398"/>
      <c r="F398" t="s">
        <v>876</v>
      </c>
      <c r="G398">
        <v>25000</v>
      </c>
      <c r="H398">
        <v>25000</v>
      </c>
      <c r="I398" s="32">
        <v>1</v>
      </c>
    </row>
    <row r="399" spans="2:9" x14ac:dyDescent="0.25">
      <c r="E399"/>
      <c r="F399" t="s">
        <v>900</v>
      </c>
      <c r="G399">
        <v>24000</v>
      </c>
      <c r="H399">
        <v>24000</v>
      </c>
      <c r="I399" s="32">
        <v>1</v>
      </c>
    </row>
    <row r="400" spans="2:9" x14ac:dyDescent="0.25">
      <c r="E400"/>
      <c r="F400" t="s">
        <v>901</v>
      </c>
      <c r="G400">
        <v>22000</v>
      </c>
      <c r="H400">
        <v>22000</v>
      </c>
      <c r="I400" s="32">
        <v>1</v>
      </c>
    </row>
    <row r="401" spans="3:9" x14ac:dyDescent="0.25">
      <c r="E401"/>
      <c r="F401" t="s">
        <v>1097</v>
      </c>
      <c r="G401" t="s">
        <v>794</v>
      </c>
      <c r="H401" t="s">
        <v>794</v>
      </c>
      <c r="I401" s="32">
        <v>1</v>
      </c>
    </row>
    <row r="402" spans="3:9" x14ac:dyDescent="0.25">
      <c r="E402"/>
      <c r="F402" t="s">
        <v>1025</v>
      </c>
      <c r="G402">
        <v>32363</v>
      </c>
      <c r="H402" t="s">
        <v>794</v>
      </c>
      <c r="I402" s="32">
        <v>1</v>
      </c>
    </row>
    <row r="403" spans="3:9" x14ac:dyDescent="0.25">
      <c r="E403"/>
      <c r="F403" t="s">
        <v>1119</v>
      </c>
      <c r="G403" t="s">
        <v>794</v>
      </c>
      <c r="H403" t="s">
        <v>794</v>
      </c>
      <c r="I403" s="32">
        <v>1</v>
      </c>
    </row>
    <row r="404" spans="3:9" x14ac:dyDescent="0.25">
      <c r="E404" t="s">
        <v>916</v>
      </c>
      <c r="F404" t="s">
        <v>138</v>
      </c>
      <c r="G404">
        <v>18277</v>
      </c>
      <c r="H404" t="s">
        <v>914</v>
      </c>
      <c r="I404" s="32">
        <v>1</v>
      </c>
    </row>
    <row r="405" spans="3:9" x14ac:dyDescent="0.25">
      <c r="E405"/>
      <c r="F405" t="s">
        <v>211</v>
      </c>
      <c r="G405">
        <v>30753</v>
      </c>
      <c r="H405" t="s">
        <v>914</v>
      </c>
      <c r="I405" s="32">
        <v>1</v>
      </c>
    </row>
    <row r="406" spans="3:9" x14ac:dyDescent="0.25">
      <c r="C406" t="s">
        <v>18</v>
      </c>
      <c r="D406" t="s">
        <v>19</v>
      </c>
      <c r="E406" t="s">
        <v>915</v>
      </c>
      <c r="F406" t="s">
        <v>557</v>
      </c>
      <c r="G406">
        <v>20959</v>
      </c>
      <c r="H406" t="s">
        <v>914</v>
      </c>
      <c r="I406" s="32">
        <v>1</v>
      </c>
    </row>
    <row r="407" spans="3:9" x14ac:dyDescent="0.25">
      <c r="E407"/>
      <c r="F407" t="s">
        <v>25</v>
      </c>
      <c r="G407">
        <v>16465</v>
      </c>
      <c r="H407" t="s">
        <v>914</v>
      </c>
      <c r="I407" s="32">
        <v>1</v>
      </c>
    </row>
    <row r="408" spans="3:9" x14ac:dyDescent="0.25">
      <c r="E408"/>
      <c r="F408" t="s">
        <v>568</v>
      </c>
      <c r="G408">
        <v>19353</v>
      </c>
      <c r="H408" t="s">
        <v>914</v>
      </c>
      <c r="I408" s="32">
        <v>1</v>
      </c>
    </row>
    <row r="409" spans="3:9" x14ac:dyDescent="0.25">
      <c r="E409"/>
      <c r="F409" t="s">
        <v>569</v>
      </c>
      <c r="G409">
        <v>19353</v>
      </c>
      <c r="H409" t="s">
        <v>914</v>
      </c>
      <c r="I409" s="32">
        <v>1</v>
      </c>
    </row>
    <row r="410" spans="3:9" x14ac:dyDescent="0.25">
      <c r="E410"/>
      <c r="F410" t="s">
        <v>572</v>
      </c>
      <c r="G410">
        <v>19041</v>
      </c>
      <c r="H410" t="s">
        <v>914</v>
      </c>
      <c r="I410" s="32">
        <v>1</v>
      </c>
    </row>
    <row r="411" spans="3:9" x14ac:dyDescent="0.25">
      <c r="E411"/>
      <c r="F411" t="s">
        <v>576</v>
      </c>
      <c r="G411">
        <v>22151</v>
      </c>
      <c r="H411" t="s">
        <v>914</v>
      </c>
      <c r="I411" s="32">
        <v>1</v>
      </c>
    </row>
    <row r="412" spans="3:9" x14ac:dyDescent="0.25">
      <c r="E412"/>
      <c r="F412" t="s">
        <v>577</v>
      </c>
      <c r="G412">
        <v>29420</v>
      </c>
      <c r="H412" t="s">
        <v>914</v>
      </c>
      <c r="I412" s="32">
        <v>1</v>
      </c>
    </row>
    <row r="413" spans="3:9" x14ac:dyDescent="0.25">
      <c r="E413"/>
      <c r="F413" t="s">
        <v>578</v>
      </c>
      <c r="G413">
        <v>21056</v>
      </c>
      <c r="H413" t="s">
        <v>914</v>
      </c>
      <c r="I413" s="32">
        <v>1</v>
      </c>
    </row>
    <row r="414" spans="3:9" x14ac:dyDescent="0.25">
      <c r="E414"/>
      <c r="F414" t="s">
        <v>46</v>
      </c>
      <c r="G414">
        <v>15933</v>
      </c>
      <c r="H414" t="s">
        <v>914</v>
      </c>
      <c r="I414" s="32">
        <v>1</v>
      </c>
    </row>
    <row r="415" spans="3:9" x14ac:dyDescent="0.25">
      <c r="E415"/>
      <c r="F415" t="s">
        <v>583</v>
      </c>
      <c r="G415">
        <v>21056</v>
      </c>
      <c r="H415" t="s">
        <v>914</v>
      </c>
      <c r="I415" s="32">
        <v>1</v>
      </c>
    </row>
    <row r="416" spans="3:9" x14ac:dyDescent="0.25">
      <c r="E416"/>
      <c r="F416" t="s">
        <v>584</v>
      </c>
      <c r="G416">
        <v>20498</v>
      </c>
      <c r="H416" t="s">
        <v>914</v>
      </c>
      <c r="I416" s="32">
        <v>1</v>
      </c>
    </row>
    <row r="417" spans="5:9" x14ac:dyDescent="0.25">
      <c r="E417"/>
      <c r="F417" t="s">
        <v>585</v>
      </c>
      <c r="G417">
        <v>19353</v>
      </c>
      <c r="H417" t="s">
        <v>914</v>
      </c>
      <c r="I417" s="32">
        <v>1</v>
      </c>
    </row>
    <row r="418" spans="5:9" x14ac:dyDescent="0.25">
      <c r="E418"/>
      <c r="F418" t="s">
        <v>586</v>
      </c>
      <c r="G418">
        <v>16465</v>
      </c>
      <c r="H418" t="s">
        <v>914</v>
      </c>
      <c r="I418" s="32">
        <v>1</v>
      </c>
    </row>
    <row r="419" spans="5:9" x14ac:dyDescent="0.25">
      <c r="E419"/>
      <c r="F419" t="s">
        <v>587</v>
      </c>
      <c r="G419">
        <v>15234</v>
      </c>
      <c r="H419" t="s">
        <v>914</v>
      </c>
      <c r="I419" s="32">
        <v>1</v>
      </c>
    </row>
    <row r="420" spans="5:9" x14ac:dyDescent="0.25">
      <c r="E420"/>
      <c r="F420" t="s">
        <v>588</v>
      </c>
      <c r="G420">
        <v>32782</v>
      </c>
      <c r="H420" t="s">
        <v>914</v>
      </c>
      <c r="I420" s="32">
        <v>1</v>
      </c>
    </row>
    <row r="421" spans="5:9" x14ac:dyDescent="0.25">
      <c r="E421"/>
      <c r="F421" t="s">
        <v>589</v>
      </c>
      <c r="G421">
        <v>17849</v>
      </c>
      <c r="H421" t="s">
        <v>914</v>
      </c>
      <c r="I421" s="32">
        <v>1</v>
      </c>
    </row>
    <row r="422" spans="5:9" x14ac:dyDescent="0.25">
      <c r="E422"/>
      <c r="F422" t="s">
        <v>590</v>
      </c>
      <c r="G422">
        <v>17146</v>
      </c>
      <c r="H422" t="s">
        <v>914</v>
      </c>
      <c r="I422" s="32">
        <v>1</v>
      </c>
    </row>
    <row r="423" spans="5:9" x14ac:dyDescent="0.25">
      <c r="E423"/>
      <c r="F423" t="s">
        <v>591</v>
      </c>
      <c r="G423">
        <v>19353</v>
      </c>
      <c r="H423" t="s">
        <v>914</v>
      </c>
      <c r="I423" s="32">
        <v>1</v>
      </c>
    </row>
    <row r="424" spans="5:9" x14ac:dyDescent="0.25">
      <c r="E424"/>
      <c r="F424" t="s">
        <v>592</v>
      </c>
      <c r="G424">
        <v>32782</v>
      </c>
      <c r="H424" t="s">
        <v>914</v>
      </c>
      <c r="I424" s="32">
        <v>1</v>
      </c>
    </row>
    <row r="425" spans="5:9" x14ac:dyDescent="0.25">
      <c r="E425"/>
      <c r="F425" t="s">
        <v>593</v>
      </c>
      <c r="G425">
        <v>22151</v>
      </c>
      <c r="H425" t="s">
        <v>914</v>
      </c>
      <c r="I425" s="32">
        <v>1</v>
      </c>
    </row>
    <row r="426" spans="5:9" x14ac:dyDescent="0.25">
      <c r="E426"/>
      <c r="F426" t="s">
        <v>596</v>
      </c>
      <c r="G426">
        <v>35111</v>
      </c>
      <c r="H426" t="s">
        <v>914</v>
      </c>
      <c r="I426" s="32">
        <v>1</v>
      </c>
    </row>
    <row r="427" spans="5:9" x14ac:dyDescent="0.25">
      <c r="E427"/>
      <c r="F427" t="s">
        <v>597</v>
      </c>
      <c r="G427">
        <v>16465</v>
      </c>
      <c r="H427" t="s">
        <v>914</v>
      </c>
      <c r="I427" s="32">
        <v>1</v>
      </c>
    </row>
    <row r="428" spans="5:9" x14ac:dyDescent="0.25">
      <c r="E428"/>
      <c r="F428" t="s">
        <v>602</v>
      </c>
      <c r="G428">
        <v>19353</v>
      </c>
      <c r="H428" t="s">
        <v>914</v>
      </c>
      <c r="I428" s="32">
        <v>1</v>
      </c>
    </row>
    <row r="429" spans="5:9" x14ac:dyDescent="0.25">
      <c r="E429"/>
      <c r="F429" t="s">
        <v>603</v>
      </c>
      <c r="G429">
        <v>19353</v>
      </c>
      <c r="H429" t="s">
        <v>914</v>
      </c>
      <c r="I429" s="32">
        <v>1</v>
      </c>
    </row>
    <row r="430" spans="5:9" x14ac:dyDescent="0.25">
      <c r="E430"/>
      <c r="F430" t="s">
        <v>608</v>
      </c>
      <c r="G430">
        <v>31238</v>
      </c>
      <c r="H430" t="s">
        <v>914</v>
      </c>
      <c r="I430" s="32">
        <v>1</v>
      </c>
    </row>
    <row r="431" spans="5:9" x14ac:dyDescent="0.25">
      <c r="E431"/>
      <c r="F431" t="s">
        <v>610</v>
      </c>
      <c r="G431">
        <v>19353</v>
      </c>
      <c r="H431" t="s">
        <v>914</v>
      </c>
      <c r="I431" s="32">
        <v>1</v>
      </c>
    </row>
    <row r="432" spans="5:9" x14ac:dyDescent="0.25">
      <c r="E432"/>
      <c r="F432" t="s">
        <v>611</v>
      </c>
      <c r="G432">
        <v>16465</v>
      </c>
      <c r="H432" t="s">
        <v>914</v>
      </c>
      <c r="I432" s="32">
        <v>1</v>
      </c>
    </row>
    <row r="433" spans="5:9" x14ac:dyDescent="0.25">
      <c r="E433"/>
      <c r="F433" t="s">
        <v>613</v>
      </c>
      <c r="G433">
        <v>25763</v>
      </c>
      <c r="H433" t="s">
        <v>914</v>
      </c>
      <c r="I433" s="32">
        <v>1</v>
      </c>
    </row>
    <row r="434" spans="5:9" x14ac:dyDescent="0.25">
      <c r="E434"/>
      <c r="F434" t="s">
        <v>616</v>
      </c>
      <c r="G434">
        <v>34485</v>
      </c>
      <c r="H434" t="s">
        <v>914</v>
      </c>
      <c r="I434" s="32">
        <v>1</v>
      </c>
    </row>
    <row r="435" spans="5:9" x14ac:dyDescent="0.25">
      <c r="E435"/>
      <c r="F435" t="s">
        <v>618</v>
      </c>
      <c r="G435">
        <v>19353</v>
      </c>
      <c r="H435" t="s">
        <v>914</v>
      </c>
      <c r="I435" s="32">
        <v>1</v>
      </c>
    </row>
    <row r="436" spans="5:9" x14ac:dyDescent="0.25">
      <c r="E436"/>
      <c r="F436" t="s">
        <v>620</v>
      </c>
      <c r="G436">
        <v>19100</v>
      </c>
      <c r="H436" t="s">
        <v>914</v>
      </c>
      <c r="I436" s="32">
        <v>1</v>
      </c>
    </row>
    <row r="437" spans="5:9" x14ac:dyDescent="0.25">
      <c r="E437"/>
      <c r="F437" t="s">
        <v>621</v>
      </c>
      <c r="G437">
        <v>29420</v>
      </c>
      <c r="H437" t="s">
        <v>914</v>
      </c>
      <c r="I437" s="32">
        <v>1</v>
      </c>
    </row>
    <row r="438" spans="5:9" x14ac:dyDescent="0.25">
      <c r="E438"/>
      <c r="F438" t="s">
        <v>622</v>
      </c>
      <c r="G438">
        <v>29420</v>
      </c>
      <c r="H438" t="s">
        <v>914</v>
      </c>
      <c r="I438" s="32">
        <v>1</v>
      </c>
    </row>
    <row r="439" spans="5:9" x14ac:dyDescent="0.25">
      <c r="E439"/>
      <c r="F439" t="s">
        <v>624</v>
      </c>
      <c r="G439">
        <v>20959</v>
      </c>
      <c r="H439" t="s">
        <v>914</v>
      </c>
      <c r="I439" s="32">
        <v>1</v>
      </c>
    </row>
    <row r="440" spans="5:9" x14ac:dyDescent="0.25">
      <c r="E440"/>
      <c r="F440" t="s">
        <v>626</v>
      </c>
      <c r="G440">
        <v>17849</v>
      </c>
      <c r="H440" t="s">
        <v>914</v>
      </c>
      <c r="I440" s="32">
        <v>1</v>
      </c>
    </row>
    <row r="441" spans="5:9" x14ac:dyDescent="0.25">
      <c r="E441"/>
      <c r="F441" t="s">
        <v>628</v>
      </c>
      <c r="G441">
        <v>15234</v>
      </c>
      <c r="H441" t="s">
        <v>914</v>
      </c>
      <c r="I441" s="32">
        <v>1</v>
      </c>
    </row>
    <row r="442" spans="5:9" x14ac:dyDescent="0.25">
      <c r="E442"/>
      <c r="F442" t="s">
        <v>630</v>
      </c>
      <c r="G442">
        <v>22151</v>
      </c>
      <c r="H442" t="s">
        <v>914</v>
      </c>
      <c r="I442" s="32">
        <v>1</v>
      </c>
    </row>
    <row r="443" spans="5:9" x14ac:dyDescent="0.25">
      <c r="E443"/>
      <c r="F443" t="s">
        <v>631</v>
      </c>
      <c r="G443">
        <v>16465</v>
      </c>
      <c r="H443" t="s">
        <v>914</v>
      </c>
      <c r="I443" s="32">
        <v>1</v>
      </c>
    </row>
    <row r="444" spans="5:9" x14ac:dyDescent="0.25">
      <c r="E444"/>
      <c r="F444" t="s">
        <v>633</v>
      </c>
      <c r="G444">
        <v>16465</v>
      </c>
      <c r="H444" t="s">
        <v>914</v>
      </c>
      <c r="I444" s="32">
        <v>1</v>
      </c>
    </row>
    <row r="445" spans="5:9" x14ac:dyDescent="0.25">
      <c r="E445"/>
      <c r="F445" t="s">
        <v>634</v>
      </c>
      <c r="G445">
        <v>20545</v>
      </c>
      <c r="H445" t="s">
        <v>914</v>
      </c>
      <c r="I445" s="32">
        <v>1</v>
      </c>
    </row>
    <row r="446" spans="5:9" x14ac:dyDescent="0.25">
      <c r="E446"/>
      <c r="F446" t="s">
        <v>635</v>
      </c>
      <c r="G446">
        <v>16465</v>
      </c>
      <c r="H446" t="s">
        <v>914</v>
      </c>
      <c r="I446" s="32">
        <v>1</v>
      </c>
    </row>
    <row r="447" spans="5:9" x14ac:dyDescent="0.25">
      <c r="E447"/>
      <c r="F447" t="s">
        <v>636</v>
      </c>
      <c r="G447">
        <v>32782</v>
      </c>
      <c r="H447" t="s">
        <v>914</v>
      </c>
      <c r="I447" s="32">
        <v>1</v>
      </c>
    </row>
    <row r="448" spans="5:9" x14ac:dyDescent="0.25">
      <c r="E448"/>
      <c r="F448" t="s">
        <v>640</v>
      </c>
      <c r="G448">
        <v>24741</v>
      </c>
      <c r="H448" t="s">
        <v>914</v>
      </c>
      <c r="I448" s="32">
        <v>1</v>
      </c>
    </row>
    <row r="449" spans="5:9" x14ac:dyDescent="0.25">
      <c r="E449"/>
      <c r="F449" t="s">
        <v>642</v>
      </c>
      <c r="G449">
        <v>16465</v>
      </c>
      <c r="H449" t="s">
        <v>914</v>
      </c>
      <c r="I449" s="32">
        <v>1</v>
      </c>
    </row>
    <row r="450" spans="5:9" x14ac:dyDescent="0.25">
      <c r="E450"/>
      <c r="F450" t="s">
        <v>644</v>
      </c>
      <c r="G450">
        <v>12500</v>
      </c>
      <c r="H450">
        <v>12000</v>
      </c>
      <c r="I450" s="32">
        <v>1</v>
      </c>
    </row>
    <row r="451" spans="5:9" x14ac:dyDescent="0.25">
      <c r="E451"/>
      <c r="F451" t="s">
        <v>645</v>
      </c>
      <c r="G451">
        <v>39000</v>
      </c>
      <c r="H451" t="s">
        <v>914</v>
      </c>
      <c r="I451" s="32">
        <v>1</v>
      </c>
    </row>
    <row r="452" spans="5:9" x14ac:dyDescent="0.25">
      <c r="E452"/>
      <c r="F452" t="s">
        <v>648</v>
      </c>
      <c r="G452">
        <v>20545</v>
      </c>
      <c r="H452" t="s">
        <v>914</v>
      </c>
      <c r="I452" s="32">
        <v>1</v>
      </c>
    </row>
    <row r="453" spans="5:9" x14ac:dyDescent="0.25">
      <c r="E453"/>
      <c r="F453" t="s">
        <v>649</v>
      </c>
      <c r="G453">
        <v>21056</v>
      </c>
      <c r="H453" t="s">
        <v>914</v>
      </c>
      <c r="I453" s="32">
        <v>1</v>
      </c>
    </row>
    <row r="454" spans="5:9" x14ac:dyDescent="0.25">
      <c r="E454"/>
      <c r="F454" t="s">
        <v>650</v>
      </c>
      <c r="G454">
        <v>21056</v>
      </c>
      <c r="H454" t="s">
        <v>914</v>
      </c>
      <c r="I454" s="32">
        <v>1</v>
      </c>
    </row>
    <row r="455" spans="5:9" x14ac:dyDescent="0.25">
      <c r="E455"/>
      <c r="F455" t="s">
        <v>651</v>
      </c>
      <c r="G455">
        <v>19353</v>
      </c>
      <c r="H455" t="s">
        <v>914</v>
      </c>
      <c r="I455" s="32">
        <v>1</v>
      </c>
    </row>
    <row r="456" spans="5:9" x14ac:dyDescent="0.25">
      <c r="E456"/>
      <c r="F456" t="s">
        <v>652</v>
      </c>
      <c r="G456">
        <v>16465</v>
      </c>
      <c r="H456" t="s">
        <v>914</v>
      </c>
      <c r="I456" s="32">
        <v>1</v>
      </c>
    </row>
    <row r="457" spans="5:9" x14ac:dyDescent="0.25">
      <c r="E457"/>
      <c r="F457" t="s">
        <v>654</v>
      </c>
      <c r="G457">
        <v>16465</v>
      </c>
      <c r="H457" t="s">
        <v>914</v>
      </c>
      <c r="I457" s="32">
        <v>1</v>
      </c>
    </row>
    <row r="458" spans="5:9" x14ac:dyDescent="0.25">
      <c r="E458"/>
      <c r="F458" t="s">
        <v>656</v>
      </c>
      <c r="G458">
        <v>20545</v>
      </c>
      <c r="H458" t="s">
        <v>914</v>
      </c>
      <c r="I458" s="32">
        <v>1</v>
      </c>
    </row>
    <row r="459" spans="5:9" x14ac:dyDescent="0.25">
      <c r="E459"/>
      <c r="F459" t="s">
        <v>658</v>
      </c>
      <c r="G459">
        <v>24060</v>
      </c>
      <c r="H459" t="s">
        <v>914</v>
      </c>
      <c r="I459" s="32">
        <v>1</v>
      </c>
    </row>
    <row r="460" spans="5:9" x14ac:dyDescent="0.25">
      <c r="E460"/>
      <c r="F460" t="s">
        <v>659</v>
      </c>
      <c r="G460">
        <v>10829</v>
      </c>
      <c r="H460">
        <v>12000</v>
      </c>
      <c r="I460" s="32">
        <v>1</v>
      </c>
    </row>
    <row r="461" spans="5:9" x14ac:dyDescent="0.25">
      <c r="E461"/>
      <c r="F461" t="s">
        <v>660</v>
      </c>
      <c r="G461">
        <v>18795</v>
      </c>
      <c r="H461" t="s">
        <v>914</v>
      </c>
      <c r="I461" s="32">
        <v>1</v>
      </c>
    </row>
    <row r="462" spans="5:9" x14ac:dyDescent="0.25">
      <c r="E462"/>
      <c r="F462" t="s">
        <v>662</v>
      </c>
      <c r="G462">
        <v>16465</v>
      </c>
      <c r="H462" t="s">
        <v>914</v>
      </c>
      <c r="I462" s="32">
        <v>1</v>
      </c>
    </row>
    <row r="463" spans="5:9" x14ac:dyDescent="0.25">
      <c r="E463"/>
      <c r="F463" t="s">
        <v>665</v>
      </c>
      <c r="G463">
        <v>12500</v>
      </c>
      <c r="H463">
        <v>13000</v>
      </c>
      <c r="I463" s="32">
        <v>1</v>
      </c>
    </row>
    <row r="464" spans="5:9" x14ac:dyDescent="0.25">
      <c r="E464"/>
      <c r="F464" t="s">
        <v>666</v>
      </c>
      <c r="G464">
        <v>28909</v>
      </c>
      <c r="H464" t="s">
        <v>914</v>
      </c>
      <c r="I464" s="32">
        <v>1</v>
      </c>
    </row>
    <row r="465" spans="5:9" x14ac:dyDescent="0.25">
      <c r="E465"/>
      <c r="F465" t="s">
        <v>667</v>
      </c>
      <c r="G465">
        <v>19353</v>
      </c>
      <c r="H465" t="s">
        <v>914</v>
      </c>
      <c r="I465" s="32">
        <v>1</v>
      </c>
    </row>
    <row r="466" spans="5:9" x14ac:dyDescent="0.25">
      <c r="E466"/>
      <c r="F466" t="s">
        <v>670</v>
      </c>
      <c r="G466">
        <v>16465</v>
      </c>
      <c r="H466" t="s">
        <v>914</v>
      </c>
      <c r="I466" s="32">
        <v>1</v>
      </c>
    </row>
    <row r="467" spans="5:9" x14ac:dyDescent="0.25">
      <c r="E467"/>
      <c r="F467" t="s">
        <v>671</v>
      </c>
      <c r="G467">
        <v>16465</v>
      </c>
      <c r="H467" t="s">
        <v>914</v>
      </c>
      <c r="I467" s="32">
        <v>1</v>
      </c>
    </row>
    <row r="468" spans="5:9" x14ac:dyDescent="0.25">
      <c r="E468"/>
      <c r="F468" t="s">
        <v>672</v>
      </c>
      <c r="G468">
        <v>17564</v>
      </c>
      <c r="H468" t="s">
        <v>914</v>
      </c>
      <c r="I468" s="32">
        <v>1</v>
      </c>
    </row>
    <row r="469" spans="5:9" x14ac:dyDescent="0.25">
      <c r="E469"/>
      <c r="F469" t="s">
        <v>673</v>
      </c>
      <c r="G469">
        <v>24060</v>
      </c>
      <c r="H469" t="s">
        <v>914</v>
      </c>
      <c r="I469" s="32">
        <v>1</v>
      </c>
    </row>
    <row r="470" spans="5:9" x14ac:dyDescent="0.25">
      <c r="E470"/>
      <c r="F470" t="s">
        <v>674</v>
      </c>
      <c r="G470">
        <v>18795</v>
      </c>
      <c r="H470" t="s">
        <v>914</v>
      </c>
      <c r="I470" s="32">
        <v>1</v>
      </c>
    </row>
    <row r="471" spans="5:9" x14ac:dyDescent="0.25">
      <c r="E471"/>
      <c r="F471" t="s">
        <v>678</v>
      </c>
      <c r="G471">
        <v>20545</v>
      </c>
      <c r="H471" t="s">
        <v>914</v>
      </c>
      <c r="I471" s="32">
        <v>1</v>
      </c>
    </row>
    <row r="472" spans="5:9" x14ac:dyDescent="0.25">
      <c r="E472"/>
      <c r="F472" t="s">
        <v>679</v>
      </c>
      <c r="G472">
        <v>16465</v>
      </c>
      <c r="H472" t="s">
        <v>914</v>
      </c>
      <c r="I472" s="32">
        <v>1</v>
      </c>
    </row>
    <row r="473" spans="5:9" x14ac:dyDescent="0.25">
      <c r="E473"/>
      <c r="F473" t="s">
        <v>680</v>
      </c>
      <c r="G473">
        <v>24060</v>
      </c>
      <c r="H473" t="s">
        <v>914</v>
      </c>
      <c r="I473" s="32">
        <v>1</v>
      </c>
    </row>
    <row r="474" spans="5:9" x14ac:dyDescent="0.25">
      <c r="E474"/>
      <c r="F474" t="s">
        <v>685</v>
      </c>
      <c r="G474">
        <v>29420</v>
      </c>
      <c r="H474" t="s">
        <v>914</v>
      </c>
      <c r="I474" s="32">
        <v>1</v>
      </c>
    </row>
    <row r="475" spans="5:9" x14ac:dyDescent="0.25">
      <c r="E475"/>
      <c r="F475" t="s">
        <v>686</v>
      </c>
      <c r="G475">
        <v>25981</v>
      </c>
      <c r="H475" t="s">
        <v>914</v>
      </c>
      <c r="I475" s="32">
        <v>1</v>
      </c>
    </row>
    <row r="476" spans="5:9" x14ac:dyDescent="0.25">
      <c r="E476"/>
      <c r="F476" t="s">
        <v>687</v>
      </c>
      <c r="G476">
        <v>15234</v>
      </c>
      <c r="H476" t="s">
        <v>914</v>
      </c>
      <c r="I476" s="32">
        <v>1</v>
      </c>
    </row>
    <row r="477" spans="5:9" x14ac:dyDescent="0.25">
      <c r="E477"/>
      <c r="F477" t="s">
        <v>688</v>
      </c>
      <c r="G477">
        <v>19353</v>
      </c>
      <c r="H477" t="s">
        <v>914</v>
      </c>
      <c r="I477" s="32">
        <v>1</v>
      </c>
    </row>
    <row r="478" spans="5:9" x14ac:dyDescent="0.25">
      <c r="E478"/>
      <c r="F478" t="s">
        <v>691</v>
      </c>
      <c r="G478">
        <v>15234</v>
      </c>
      <c r="H478" t="s">
        <v>914</v>
      </c>
      <c r="I478" s="32">
        <v>1</v>
      </c>
    </row>
    <row r="479" spans="5:9" x14ac:dyDescent="0.25">
      <c r="E479"/>
      <c r="F479" t="s">
        <v>700</v>
      </c>
      <c r="G479">
        <v>17849</v>
      </c>
      <c r="H479" t="s">
        <v>914</v>
      </c>
      <c r="I479" s="32">
        <v>1</v>
      </c>
    </row>
    <row r="480" spans="5:9" x14ac:dyDescent="0.25">
      <c r="E480"/>
      <c r="F480" t="s">
        <v>702</v>
      </c>
      <c r="G480">
        <v>22151</v>
      </c>
      <c r="H480" t="s">
        <v>914</v>
      </c>
      <c r="I480" s="32">
        <v>1</v>
      </c>
    </row>
    <row r="481" spans="5:9" x14ac:dyDescent="0.25">
      <c r="E481"/>
      <c r="F481" t="s">
        <v>703</v>
      </c>
      <c r="G481">
        <v>16465</v>
      </c>
      <c r="H481" t="s">
        <v>914</v>
      </c>
      <c r="I481" s="32">
        <v>1</v>
      </c>
    </row>
    <row r="482" spans="5:9" x14ac:dyDescent="0.25">
      <c r="E482"/>
      <c r="F482" t="s">
        <v>704</v>
      </c>
      <c r="G482">
        <v>25763</v>
      </c>
      <c r="H482" t="s">
        <v>914</v>
      </c>
      <c r="I482" s="32">
        <v>1</v>
      </c>
    </row>
    <row r="483" spans="5:9" x14ac:dyDescent="0.25">
      <c r="E483"/>
      <c r="F483" t="s">
        <v>706</v>
      </c>
      <c r="G483">
        <v>18168</v>
      </c>
      <c r="H483" t="s">
        <v>914</v>
      </c>
      <c r="I483" s="32">
        <v>1</v>
      </c>
    </row>
    <row r="484" spans="5:9" x14ac:dyDescent="0.25">
      <c r="E484"/>
      <c r="F484" t="s">
        <v>707</v>
      </c>
      <c r="G484">
        <v>28909</v>
      </c>
      <c r="H484" t="s">
        <v>914</v>
      </c>
      <c r="I484" s="32">
        <v>1</v>
      </c>
    </row>
    <row r="485" spans="5:9" x14ac:dyDescent="0.25">
      <c r="E485"/>
      <c r="F485" t="s">
        <v>710</v>
      </c>
      <c r="G485">
        <v>15234</v>
      </c>
      <c r="H485" t="s">
        <v>914</v>
      </c>
      <c r="I485" s="32">
        <v>1</v>
      </c>
    </row>
    <row r="486" spans="5:9" x14ac:dyDescent="0.25">
      <c r="E486"/>
      <c r="F486" t="s">
        <v>711</v>
      </c>
      <c r="G486">
        <v>16465</v>
      </c>
      <c r="H486" t="s">
        <v>914</v>
      </c>
      <c r="I486" s="32">
        <v>1</v>
      </c>
    </row>
    <row r="487" spans="5:9" x14ac:dyDescent="0.25">
      <c r="E487"/>
      <c r="F487" t="s">
        <v>712</v>
      </c>
      <c r="G487">
        <v>7680</v>
      </c>
      <c r="H487" t="s">
        <v>914</v>
      </c>
      <c r="I487" s="32">
        <v>1</v>
      </c>
    </row>
    <row r="488" spans="5:9" x14ac:dyDescent="0.25">
      <c r="E488"/>
      <c r="F488" t="s">
        <v>714</v>
      </c>
      <c r="G488">
        <v>14027</v>
      </c>
      <c r="H488" t="s">
        <v>914</v>
      </c>
      <c r="I488" s="32">
        <v>1</v>
      </c>
    </row>
    <row r="489" spans="5:9" x14ac:dyDescent="0.25">
      <c r="E489"/>
      <c r="F489" t="s">
        <v>715</v>
      </c>
      <c r="G489">
        <v>21683</v>
      </c>
      <c r="H489" t="s">
        <v>914</v>
      </c>
      <c r="I489" s="32">
        <v>1</v>
      </c>
    </row>
    <row r="490" spans="5:9" x14ac:dyDescent="0.25">
      <c r="E490"/>
      <c r="F490" t="s">
        <v>716</v>
      </c>
      <c r="G490">
        <v>16465</v>
      </c>
      <c r="H490" t="s">
        <v>914</v>
      </c>
      <c r="I490" s="32">
        <v>1</v>
      </c>
    </row>
    <row r="491" spans="5:9" x14ac:dyDescent="0.25">
      <c r="E491"/>
      <c r="F491" t="s">
        <v>717</v>
      </c>
      <c r="G491">
        <v>23386</v>
      </c>
      <c r="H491" t="s">
        <v>914</v>
      </c>
      <c r="I491" s="32">
        <v>1</v>
      </c>
    </row>
    <row r="492" spans="5:9" x14ac:dyDescent="0.25">
      <c r="E492"/>
      <c r="F492" t="s">
        <v>718</v>
      </c>
      <c r="G492">
        <v>19552</v>
      </c>
      <c r="H492" t="s">
        <v>914</v>
      </c>
      <c r="I492" s="32">
        <v>1</v>
      </c>
    </row>
    <row r="493" spans="5:9" x14ac:dyDescent="0.25">
      <c r="E493"/>
      <c r="F493" t="s">
        <v>719</v>
      </c>
      <c r="G493">
        <v>16465</v>
      </c>
      <c r="H493" t="s">
        <v>914</v>
      </c>
      <c r="I493" s="32">
        <v>1</v>
      </c>
    </row>
    <row r="494" spans="5:9" x14ac:dyDescent="0.25">
      <c r="E494"/>
      <c r="F494" t="s">
        <v>724</v>
      </c>
      <c r="G494">
        <v>22875</v>
      </c>
      <c r="H494" t="s">
        <v>914</v>
      </c>
      <c r="I494" s="32">
        <v>1</v>
      </c>
    </row>
    <row r="495" spans="5:9" x14ac:dyDescent="0.25">
      <c r="E495"/>
      <c r="F495" t="s">
        <v>725</v>
      </c>
      <c r="G495">
        <v>24060</v>
      </c>
      <c r="H495" t="s">
        <v>914</v>
      </c>
      <c r="I495" s="32">
        <v>1</v>
      </c>
    </row>
    <row r="496" spans="5:9" x14ac:dyDescent="0.25">
      <c r="E496"/>
      <c r="F496" t="s">
        <v>728</v>
      </c>
      <c r="G496">
        <v>17849</v>
      </c>
      <c r="H496" t="s">
        <v>914</v>
      </c>
      <c r="I496" s="32">
        <v>1</v>
      </c>
    </row>
    <row r="497" spans="5:9" x14ac:dyDescent="0.25">
      <c r="E497"/>
      <c r="F497" t="s">
        <v>729</v>
      </c>
      <c r="G497">
        <v>19353</v>
      </c>
      <c r="H497" t="s">
        <v>914</v>
      </c>
      <c r="I497" s="32">
        <v>1</v>
      </c>
    </row>
    <row r="498" spans="5:9" x14ac:dyDescent="0.25">
      <c r="E498"/>
      <c r="F498" t="s">
        <v>733</v>
      </c>
      <c r="G498">
        <v>13500</v>
      </c>
      <c r="H498">
        <v>13500</v>
      </c>
      <c r="I498" s="32">
        <v>1</v>
      </c>
    </row>
    <row r="499" spans="5:9" x14ac:dyDescent="0.25">
      <c r="E499"/>
      <c r="F499" t="s">
        <v>734</v>
      </c>
      <c r="G499">
        <v>22890</v>
      </c>
      <c r="H499" t="s">
        <v>914</v>
      </c>
      <c r="I499" s="32">
        <v>1</v>
      </c>
    </row>
    <row r="500" spans="5:9" x14ac:dyDescent="0.25">
      <c r="E500"/>
      <c r="F500" t="s">
        <v>736</v>
      </c>
      <c r="G500">
        <v>20959</v>
      </c>
      <c r="H500" t="s">
        <v>914</v>
      </c>
      <c r="I500" s="32">
        <v>1</v>
      </c>
    </row>
    <row r="501" spans="5:9" x14ac:dyDescent="0.25">
      <c r="E501"/>
      <c r="F501" t="s">
        <v>737</v>
      </c>
      <c r="G501">
        <v>18795</v>
      </c>
      <c r="H501" t="s">
        <v>914</v>
      </c>
      <c r="I501" s="32">
        <v>1</v>
      </c>
    </row>
    <row r="502" spans="5:9" x14ac:dyDescent="0.25">
      <c r="E502"/>
      <c r="F502" t="s">
        <v>740</v>
      </c>
      <c r="G502">
        <v>34485</v>
      </c>
      <c r="H502" t="s">
        <v>914</v>
      </c>
      <c r="I502" s="32">
        <v>1</v>
      </c>
    </row>
    <row r="503" spans="5:9" x14ac:dyDescent="0.25">
      <c r="E503"/>
      <c r="F503" t="s">
        <v>741</v>
      </c>
      <c r="G503">
        <v>16465</v>
      </c>
      <c r="H503" t="s">
        <v>914</v>
      </c>
      <c r="I503" s="32">
        <v>1</v>
      </c>
    </row>
    <row r="504" spans="5:9" x14ac:dyDescent="0.25">
      <c r="E504"/>
      <c r="F504" t="s">
        <v>742</v>
      </c>
      <c r="G504">
        <v>16465</v>
      </c>
      <c r="H504" t="s">
        <v>914</v>
      </c>
      <c r="I504" s="32">
        <v>1</v>
      </c>
    </row>
    <row r="505" spans="5:9" x14ac:dyDescent="0.25">
      <c r="E505"/>
      <c r="F505" t="s">
        <v>744</v>
      </c>
      <c r="G505">
        <v>14000</v>
      </c>
      <c r="H505" t="s">
        <v>914</v>
      </c>
      <c r="I505" s="32">
        <v>1</v>
      </c>
    </row>
    <row r="506" spans="5:9" x14ac:dyDescent="0.25">
      <c r="E506"/>
      <c r="F506" t="s">
        <v>746</v>
      </c>
      <c r="G506">
        <v>32782</v>
      </c>
      <c r="H506" t="s">
        <v>914</v>
      </c>
      <c r="I506" s="32">
        <v>1</v>
      </c>
    </row>
    <row r="507" spans="5:9" x14ac:dyDescent="0.25">
      <c r="E507"/>
      <c r="F507" t="s">
        <v>747</v>
      </c>
      <c r="G507">
        <v>10188</v>
      </c>
      <c r="H507" t="s">
        <v>914</v>
      </c>
      <c r="I507" s="32">
        <v>1</v>
      </c>
    </row>
    <row r="508" spans="5:9" x14ac:dyDescent="0.25">
      <c r="E508"/>
      <c r="F508" t="s">
        <v>748</v>
      </c>
      <c r="G508">
        <v>22662</v>
      </c>
      <c r="H508" t="s">
        <v>914</v>
      </c>
      <c r="I508" s="32">
        <v>1</v>
      </c>
    </row>
    <row r="509" spans="5:9" x14ac:dyDescent="0.25">
      <c r="E509"/>
      <c r="F509" t="s">
        <v>749</v>
      </c>
      <c r="G509">
        <v>15925</v>
      </c>
      <c r="H509" t="s">
        <v>914</v>
      </c>
      <c r="I509" s="32">
        <v>1</v>
      </c>
    </row>
    <row r="510" spans="5:9" x14ac:dyDescent="0.25">
      <c r="E510"/>
      <c r="F510" t="s">
        <v>72</v>
      </c>
      <c r="G510">
        <v>21640</v>
      </c>
      <c r="H510" t="s">
        <v>914</v>
      </c>
      <c r="I510" s="32">
        <v>1</v>
      </c>
    </row>
    <row r="511" spans="5:9" x14ac:dyDescent="0.25">
      <c r="E511"/>
      <c r="F511" t="s">
        <v>751</v>
      </c>
      <c r="G511">
        <v>15234</v>
      </c>
      <c r="H511" t="s">
        <v>914</v>
      </c>
      <c r="I511" s="32">
        <v>1</v>
      </c>
    </row>
    <row r="512" spans="5:9" x14ac:dyDescent="0.25">
      <c r="E512"/>
      <c r="F512" t="s">
        <v>752</v>
      </c>
      <c r="G512">
        <v>32782</v>
      </c>
      <c r="H512" t="s">
        <v>914</v>
      </c>
      <c r="I512" s="32">
        <v>1</v>
      </c>
    </row>
    <row r="513" spans="5:9" x14ac:dyDescent="0.25">
      <c r="E513"/>
      <c r="F513" t="s">
        <v>753</v>
      </c>
      <c r="G513">
        <v>19353</v>
      </c>
      <c r="H513" t="s">
        <v>914</v>
      </c>
      <c r="I513" s="32">
        <v>1</v>
      </c>
    </row>
    <row r="514" spans="5:9" x14ac:dyDescent="0.25">
      <c r="E514"/>
      <c r="F514" t="s">
        <v>755</v>
      </c>
      <c r="G514">
        <v>16465</v>
      </c>
      <c r="H514" t="s">
        <v>914</v>
      </c>
      <c r="I514" s="32">
        <v>1</v>
      </c>
    </row>
    <row r="515" spans="5:9" x14ac:dyDescent="0.25">
      <c r="E515"/>
      <c r="F515" t="s">
        <v>757</v>
      </c>
      <c r="G515">
        <v>18795</v>
      </c>
      <c r="H515" t="s">
        <v>914</v>
      </c>
      <c r="I515" s="32">
        <v>1</v>
      </c>
    </row>
    <row r="516" spans="5:9" x14ac:dyDescent="0.25">
      <c r="E516"/>
      <c r="F516" t="s">
        <v>758</v>
      </c>
      <c r="G516">
        <v>27717</v>
      </c>
      <c r="H516" t="s">
        <v>914</v>
      </c>
      <c r="I516" s="32">
        <v>1</v>
      </c>
    </row>
    <row r="517" spans="5:9" x14ac:dyDescent="0.25">
      <c r="E517"/>
      <c r="F517" t="s">
        <v>759</v>
      </c>
      <c r="G517">
        <v>23288</v>
      </c>
      <c r="H517" t="s">
        <v>914</v>
      </c>
      <c r="I517" s="32">
        <v>1</v>
      </c>
    </row>
    <row r="518" spans="5:9" x14ac:dyDescent="0.25">
      <c r="E518"/>
      <c r="F518" t="s">
        <v>762</v>
      </c>
      <c r="G518">
        <v>19353</v>
      </c>
      <c r="H518" t="s">
        <v>914</v>
      </c>
      <c r="I518" s="32">
        <v>1</v>
      </c>
    </row>
    <row r="519" spans="5:9" x14ac:dyDescent="0.25">
      <c r="E519"/>
      <c r="F519" t="s">
        <v>763</v>
      </c>
      <c r="G519">
        <v>29420</v>
      </c>
      <c r="H519" t="s">
        <v>914</v>
      </c>
      <c r="I519" s="32">
        <v>1</v>
      </c>
    </row>
    <row r="520" spans="5:9" x14ac:dyDescent="0.25">
      <c r="E520"/>
      <c r="F520" t="s">
        <v>765</v>
      </c>
      <c r="G520">
        <v>20034</v>
      </c>
      <c r="H520" t="s">
        <v>914</v>
      </c>
      <c r="I520" s="32">
        <v>1</v>
      </c>
    </row>
    <row r="521" spans="5:9" x14ac:dyDescent="0.25">
      <c r="E521"/>
      <c r="F521" t="s">
        <v>767</v>
      </c>
      <c r="G521">
        <v>39000</v>
      </c>
      <c r="H521" t="s">
        <v>914</v>
      </c>
      <c r="I521" s="32">
        <v>1</v>
      </c>
    </row>
    <row r="522" spans="5:9" x14ac:dyDescent="0.25">
      <c r="E522"/>
      <c r="F522" t="s">
        <v>770</v>
      </c>
      <c r="G522">
        <v>20959</v>
      </c>
      <c r="H522" t="s">
        <v>914</v>
      </c>
      <c r="I522" s="32">
        <v>1</v>
      </c>
    </row>
    <row r="523" spans="5:9" x14ac:dyDescent="0.25">
      <c r="E523"/>
      <c r="F523" t="s">
        <v>771</v>
      </c>
      <c r="G523">
        <v>17657</v>
      </c>
      <c r="H523" t="s">
        <v>914</v>
      </c>
      <c r="I523" s="32">
        <v>1</v>
      </c>
    </row>
    <row r="524" spans="5:9" x14ac:dyDescent="0.25">
      <c r="E524"/>
      <c r="F524" t="s">
        <v>776</v>
      </c>
      <c r="G524">
        <v>19353</v>
      </c>
      <c r="H524" t="s">
        <v>914</v>
      </c>
      <c r="I524" s="32">
        <v>1</v>
      </c>
    </row>
    <row r="525" spans="5:9" x14ac:dyDescent="0.25">
      <c r="E525"/>
      <c r="F525" t="s">
        <v>973</v>
      </c>
      <c r="G525">
        <v>18795</v>
      </c>
      <c r="H525" t="s">
        <v>794</v>
      </c>
      <c r="I525" s="32">
        <v>1</v>
      </c>
    </row>
    <row r="526" spans="5:9" x14ac:dyDescent="0.25">
      <c r="E526"/>
      <c r="F526" t="s">
        <v>974</v>
      </c>
      <c r="G526">
        <v>25252</v>
      </c>
      <c r="H526" t="s">
        <v>794</v>
      </c>
      <c r="I526" s="32">
        <v>1</v>
      </c>
    </row>
    <row r="527" spans="5:9" x14ac:dyDescent="0.25">
      <c r="E527"/>
      <c r="F527" t="s">
        <v>975</v>
      </c>
      <c r="G527">
        <v>24060</v>
      </c>
      <c r="H527" t="s">
        <v>794</v>
      </c>
      <c r="I527" s="32">
        <v>1</v>
      </c>
    </row>
    <row r="528" spans="5:9" x14ac:dyDescent="0.25">
      <c r="E528"/>
      <c r="F528" t="s">
        <v>976</v>
      </c>
      <c r="G528">
        <v>19987</v>
      </c>
      <c r="H528" t="s">
        <v>794</v>
      </c>
      <c r="I528" s="32">
        <v>1</v>
      </c>
    </row>
    <row r="529" spans="5:9" x14ac:dyDescent="0.25">
      <c r="E529"/>
      <c r="F529" t="s">
        <v>977</v>
      </c>
      <c r="G529">
        <v>22151</v>
      </c>
      <c r="H529" t="s">
        <v>794</v>
      </c>
      <c r="I529" s="32">
        <v>1</v>
      </c>
    </row>
    <row r="530" spans="5:9" x14ac:dyDescent="0.25">
      <c r="E530"/>
      <c r="F530" t="s">
        <v>978</v>
      </c>
      <c r="G530">
        <v>20959</v>
      </c>
      <c r="H530" t="s">
        <v>794</v>
      </c>
      <c r="I530" s="32">
        <v>1</v>
      </c>
    </row>
    <row r="531" spans="5:9" x14ac:dyDescent="0.25">
      <c r="E531"/>
      <c r="F531" t="s">
        <v>979</v>
      </c>
      <c r="G531">
        <v>32782</v>
      </c>
      <c r="H531" t="s">
        <v>794</v>
      </c>
      <c r="I531" s="32">
        <v>1</v>
      </c>
    </row>
    <row r="532" spans="5:9" x14ac:dyDescent="0.25">
      <c r="E532"/>
      <c r="F532" t="s">
        <v>980</v>
      </c>
      <c r="G532">
        <v>24060</v>
      </c>
      <c r="H532" t="s">
        <v>794</v>
      </c>
      <c r="I532" s="32">
        <v>1</v>
      </c>
    </row>
    <row r="533" spans="5:9" x14ac:dyDescent="0.25">
      <c r="E533"/>
      <c r="F533" t="s">
        <v>981</v>
      </c>
      <c r="G533">
        <v>21640</v>
      </c>
      <c r="H533" t="s">
        <v>794</v>
      </c>
      <c r="I533" s="32">
        <v>1</v>
      </c>
    </row>
    <row r="534" spans="5:9" x14ac:dyDescent="0.25">
      <c r="E534"/>
      <c r="F534" t="s">
        <v>982</v>
      </c>
      <c r="G534">
        <v>19353</v>
      </c>
      <c r="H534" t="s">
        <v>794</v>
      </c>
      <c r="I534" s="32">
        <v>1</v>
      </c>
    </row>
    <row r="535" spans="5:9" x14ac:dyDescent="0.25">
      <c r="E535"/>
      <c r="F535" t="s">
        <v>983</v>
      </c>
      <c r="G535">
        <v>20959</v>
      </c>
      <c r="H535" t="s">
        <v>794</v>
      </c>
      <c r="I535" s="32">
        <v>1</v>
      </c>
    </row>
    <row r="536" spans="5:9" x14ac:dyDescent="0.25">
      <c r="E536"/>
      <c r="F536" t="s">
        <v>984</v>
      </c>
      <c r="G536">
        <v>18795</v>
      </c>
      <c r="H536" t="s">
        <v>794</v>
      </c>
      <c r="I536" s="32">
        <v>1</v>
      </c>
    </row>
    <row r="537" spans="5:9" x14ac:dyDescent="0.25">
      <c r="E537"/>
      <c r="F537" t="s">
        <v>985</v>
      </c>
      <c r="G537">
        <v>21683</v>
      </c>
      <c r="H537" t="s">
        <v>794</v>
      </c>
      <c r="I537" s="32">
        <v>1</v>
      </c>
    </row>
    <row r="538" spans="5:9" x14ac:dyDescent="0.25">
      <c r="E538"/>
      <c r="F538" t="s">
        <v>986</v>
      </c>
      <c r="G538">
        <v>22151</v>
      </c>
      <c r="H538" t="s">
        <v>794</v>
      </c>
      <c r="I538" s="32">
        <v>1</v>
      </c>
    </row>
    <row r="539" spans="5:9" x14ac:dyDescent="0.25">
      <c r="E539"/>
      <c r="F539" t="s">
        <v>987</v>
      </c>
      <c r="G539">
        <v>19353</v>
      </c>
      <c r="H539" t="s">
        <v>794</v>
      </c>
      <c r="I539" s="32">
        <v>1</v>
      </c>
    </row>
    <row r="540" spans="5:9" x14ac:dyDescent="0.25">
      <c r="E540"/>
      <c r="F540" t="s">
        <v>988</v>
      </c>
      <c r="G540">
        <v>24060</v>
      </c>
      <c r="H540" t="s">
        <v>794</v>
      </c>
      <c r="I540" s="32">
        <v>1</v>
      </c>
    </row>
    <row r="541" spans="5:9" x14ac:dyDescent="0.25">
      <c r="E541"/>
      <c r="F541" t="s">
        <v>989</v>
      </c>
      <c r="G541">
        <v>18795</v>
      </c>
      <c r="H541" t="s">
        <v>794</v>
      </c>
      <c r="I541" s="32">
        <v>1</v>
      </c>
    </row>
    <row r="542" spans="5:9" x14ac:dyDescent="0.25">
      <c r="E542"/>
      <c r="F542" t="s">
        <v>990</v>
      </c>
      <c r="G542">
        <v>20545</v>
      </c>
      <c r="H542" t="s">
        <v>794</v>
      </c>
      <c r="I542" s="32">
        <v>1</v>
      </c>
    </row>
    <row r="543" spans="5:9" x14ac:dyDescent="0.25">
      <c r="E543"/>
      <c r="F543" t="s">
        <v>991</v>
      </c>
      <c r="G543">
        <v>19353</v>
      </c>
      <c r="H543" t="s">
        <v>794</v>
      </c>
      <c r="I543" s="32">
        <v>1</v>
      </c>
    </row>
    <row r="544" spans="5:9" x14ac:dyDescent="0.25">
      <c r="E544"/>
      <c r="F544" t="s">
        <v>992</v>
      </c>
      <c r="G544">
        <v>27582</v>
      </c>
      <c r="H544" t="s">
        <v>794</v>
      </c>
      <c r="I544" s="32">
        <v>1</v>
      </c>
    </row>
    <row r="545" spans="5:9" x14ac:dyDescent="0.25">
      <c r="E545"/>
      <c r="F545" t="s">
        <v>994</v>
      </c>
      <c r="G545">
        <v>24060</v>
      </c>
      <c r="H545" t="s">
        <v>794</v>
      </c>
      <c r="I545" s="32">
        <v>1</v>
      </c>
    </row>
    <row r="546" spans="5:9" x14ac:dyDescent="0.25">
      <c r="E546" t="s">
        <v>916</v>
      </c>
      <c r="F546" t="s">
        <v>558</v>
      </c>
      <c r="G546">
        <v>10553</v>
      </c>
      <c r="H546" t="s">
        <v>914</v>
      </c>
      <c r="I546" s="32">
        <v>1</v>
      </c>
    </row>
    <row r="547" spans="5:9" x14ac:dyDescent="0.25">
      <c r="E547"/>
      <c r="F547" t="s">
        <v>559</v>
      </c>
      <c r="G547">
        <v>20266</v>
      </c>
      <c r="H547" t="s">
        <v>914</v>
      </c>
      <c r="I547" s="32">
        <v>1</v>
      </c>
    </row>
    <row r="548" spans="5:9" x14ac:dyDescent="0.25">
      <c r="E548"/>
      <c r="F548" t="s">
        <v>579</v>
      </c>
      <c r="G548">
        <v>20266</v>
      </c>
      <c r="H548" t="s">
        <v>914</v>
      </c>
      <c r="I548" s="32">
        <v>1</v>
      </c>
    </row>
    <row r="549" spans="5:9" x14ac:dyDescent="0.25">
      <c r="E549"/>
      <c r="F549" t="s">
        <v>580</v>
      </c>
      <c r="G549">
        <v>17505</v>
      </c>
      <c r="H549" t="s">
        <v>914</v>
      </c>
      <c r="I549" s="32">
        <v>1</v>
      </c>
    </row>
    <row r="550" spans="5:9" x14ac:dyDescent="0.25">
      <c r="E550"/>
      <c r="F550" t="s">
        <v>582</v>
      </c>
      <c r="G550">
        <v>25093</v>
      </c>
      <c r="H550" t="s">
        <v>914</v>
      </c>
      <c r="I550" s="32">
        <v>1</v>
      </c>
    </row>
    <row r="551" spans="5:9" x14ac:dyDescent="0.25">
      <c r="E551"/>
      <c r="F551" t="s">
        <v>609</v>
      </c>
      <c r="G551">
        <v>12274</v>
      </c>
      <c r="H551" t="s">
        <v>914</v>
      </c>
      <c r="I551" s="32">
        <v>1</v>
      </c>
    </row>
    <row r="552" spans="5:9" x14ac:dyDescent="0.25">
      <c r="E552"/>
      <c r="F552" t="s">
        <v>615</v>
      </c>
      <c r="G552">
        <v>18000</v>
      </c>
      <c r="H552" t="s">
        <v>914</v>
      </c>
      <c r="I552" s="32">
        <v>1</v>
      </c>
    </row>
    <row r="553" spans="5:9" x14ac:dyDescent="0.25">
      <c r="E553"/>
      <c r="F553" t="s">
        <v>629</v>
      </c>
      <c r="G553">
        <v>17107</v>
      </c>
      <c r="H553" t="s">
        <v>914</v>
      </c>
      <c r="I553" s="32">
        <v>1</v>
      </c>
    </row>
    <row r="554" spans="5:9" x14ac:dyDescent="0.25">
      <c r="E554"/>
      <c r="F554" t="s">
        <v>637</v>
      </c>
      <c r="G554">
        <v>12000</v>
      </c>
      <c r="H554" t="s">
        <v>914</v>
      </c>
      <c r="I554" s="32">
        <v>1</v>
      </c>
    </row>
    <row r="555" spans="5:9" x14ac:dyDescent="0.25">
      <c r="E555"/>
      <c r="F555" t="s">
        <v>639</v>
      </c>
      <c r="G555">
        <v>10000</v>
      </c>
      <c r="H555" t="s">
        <v>914</v>
      </c>
      <c r="I555" s="32">
        <v>1</v>
      </c>
    </row>
    <row r="556" spans="5:9" x14ac:dyDescent="0.25">
      <c r="E556"/>
      <c r="F556" t="s">
        <v>646</v>
      </c>
      <c r="G556">
        <v>20266</v>
      </c>
      <c r="H556" t="s">
        <v>914</v>
      </c>
      <c r="I556" s="32">
        <v>1</v>
      </c>
    </row>
    <row r="557" spans="5:9" x14ac:dyDescent="0.25">
      <c r="E557"/>
      <c r="F557" t="s">
        <v>647</v>
      </c>
      <c r="G557">
        <v>20266</v>
      </c>
      <c r="H557" t="s">
        <v>914</v>
      </c>
      <c r="I557" s="32">
        <v>1</v>
      </c>
    </row>
    <row r="558" spans="5:9" x14ac:dyDescent="0.25">
      <c r="E558"/>
      <c r="F558" t="s">
        <v>663</v>
      </c>
      <c r="G558">
        <v>12000</v>
      </c>
      <c r="H558" t="s">
        <v>914</v>
      </c>
      <c r="I558" s="32">
        <v>1</v>
      </c>
    </row>
    <row r="559" spans="5:9" x14ac:dyDescent="0.25">
      <c r="E559"/>
      <c r="F559" t="s">
        <v>668</v>
      </c>
      <c r="G559">
        <v>12547</v>
      </c>
      <c r="H559" t="s">
        <v>914</v>
      </c>
      <c r="I559" s="32">
        <v>1</v>
      </c>
    </row>
    <row r="560" spans="5:9" x14ac:dyDescent="0.25">
      <c r="E560"/>
      <c r="F560" t="s">
        <v>682</v>
      </c>
      <c r="G560">
        <v>10553</v>
      </c>
      <c r="H560" t="s">
        <v>914</v>
      </c>
      <c r="I560" s="32">
        <v>1</v>
      </c>
    </row>
    <row r="561" spans="4:9" x14ac:dyDescent="0.25">
      <c r="E561"/>
      <c r="F561" t="s">
        <v>154</v>
      </c>
      <c r="G561">
        <v>29089</v>
      </c>
      <c r="H561" t="s">
        <v>914</v>
      </c>
      <c r="I561" s="32">
        <v>1</v>
      </c>
    </row>
    <row r="562" spans="4:9" x14ac:dyDescent="0.25">
      <c r="E562"/>
      <c r="F562" t="s">
        <v>690</v>
      </c>
      <c r="G562">
        <v>29089</v>
      </c>
      <c r="H562" t="s">
        <v>914</v>
      </c>
      <c r="I562" s="32">
        <v>1</v>
      </c>
    </row>
    <row r="563" spans="4:9" x14ac:dyDescent="0.25">
      <c r="E563"/>
      <c r="F563" t="s">
        <v>692</v>
      </c>
      <c r="G563">
        <v>12960</v>
      </c>
      <c r="H563" t="s">
        <v>914</v>
      </c>
      <c r="I563" s="32">
        <v>1</v>
      </c>
    </row>
    <row r="564" spans="4:9" x14ac:dyDescent="0.25">
      <c r="E564"/>
      <c r="F564" t="s">
        <v>698</v>
      </c>
      <c r="G564">
        <v>18277</v>
      </c>
      <c r="H564" t="s">
        <v>914</v>
      </c>
      <c r="I564" s="32">
        <v>1</v>
      </c>
    </row>
    <row r="565" spans="4:9" x14ac:dyDescent="0.25">
      <c r="E565"/>
      <c r="F565" t="s">
        <v>722</v>
      </c>
      <c r="G565">
        <v>19096</v>
      </c>
      <c r="H565" t="s">
        <v>914</v>
      </c>
      <c r="I565" s="32">
        <v>1</v>
      </c>
    </row>
    <row r="566" spans="4:9" x14ac:dyDescent="0.25">
      <c r="E566"/>
      <c r="F566" t="s">
        <v>723</v>
      </c>
      <c r="G566">
        <v>18277</v>
      </c>
      <c r="H566" t="s">
        <v>914</v>
      </c>
      <c r="I566" s="32">
        <v>1</v>
      </c>
    </row>
    <row r="567" spans="4:9" x14ac:dyDescent="0.25">
      <c r="E567"/>
      <c r="F567" t="s">
        <v>726</v>
      </c>
      <c r="G567">
        <v>18000</v>
      </c>
      <c r="H567" t="s">
        <v>914</v>
      </c>
      <c r="I567" s="32">
        <v>1</v>
      </c>
    </row>
    <row r="568" spans="4:9" x14ac:dyDescent="0.25">
      <c r="E568"/>
      <c r="F568" t="s">
        <v>727</v>
      </c>
      <c r="G568">
        <v>11730</v>
      </c>
      <c r="H568" t="s">
        <v>914</v>
      </c>
      <c r="I568" s="32">
        <v>1</v>
      </c>
    </row>
    <row r="569" spans="4:9" x14ac:dyDescent="0.25">
      <c r="E569"/>
      <c r="F569" t="s">
        <v>735</v>
      </c>
      <c r="G569">
        <v>17505</v>
      </c>
      <c r="H569" t="s">
        <v>914</v>
      </c>
      <c r="I569" s="32">
        <v>1</v>
      </c>
    </row>
    <row r="570" spans="4:9" x14ac:dyDescent="0.25">
      <c r="E570"/>
      <c r="F570" t="s">
        <v>761</v>
      </c>
      <c r="G570">
        <v>13233</v>
      </c>
      <c r="H570" t="s">
        <v>914</v>
      </c>
      <c r="I570" s="32">
        <v>1</v>
      </c>
    </row>
    <row r="571" spans="4:9" x14ac:dyDescent="0.25">
      <c r="E571"/>
      <c r="F571" t="s">
        <v>772</v>
      </c>
      <c r="G571">
        <v>10000</v>
      </c>
      <c r="H571" t="s">
        <v>914</v>
      </c>
      <c r="I571" s="32">
        <v>1</v>
      </c>
    </row>
    <row r="572" spans="4:9" x14ac:dyDescent="0.25">
      <c r="E572"/>
      <c r="F572" t="s">
        <v>773</v>
      </c>
      <c r="G572">
        <v>13094</v>
      </c>
      <c r="H572" t="s">
        <v>914</v>
      </c>
      <c r="I572" s="32">
        <v>1</v>
      </c>
    </row>
    <row r="573" spans="4:9" x14ac:dyDescent="0.25">
      <c r="E573"/>
      <c r="F573" t="s">
        <v>779</v>
      </c>
      <c r="G573">
        <v>20266</v>
      </c>
      <c r="H573" t="s">
        <v>914</v>
      </c>
      <c r="I573" s="32">
        <v>1</v>
      </c>
    </row>
    <row r="574" spans="4:9" x14ac:dyDescent="0.25">
      <c r="E574"/>
      <c r="F574" t="s">
        <v>214</v>
      </c>
      <c r="G574">
        <v>26237</v>
      </c>
      <c r="H574" t="s">
        <v>914</v>
      </c>
      <c r="I574" s="32">
        <v>1</v>
      </c>
    </row>
    <row r="575" spans="4:9" x14ac:dyDescent="0.25">
      <c r="E575"/>
      <c r="F575" t="s">
        <v>993</v>
      </c>
      <c r="G575">
        <v>16000</v>
      </c>
      <c r="H575" t="s">
        <v>794</v>
      </c>
      <c r="I575" s="32">
        <v>1</v>
      </c>
    </row>
    <row r="576" spans="4:9" x14ac:dyDescent="0.25">
      <c r="D576" t="s">
        <v>1012</v>
      </c>
      <c r="E576" t="s">
        <v>915</v>
      </c>
      <c r="F576" t="s">
        <v>600</v>
      </c>
      <c r="G576">
        <v>20989</v>
      </c>
      <c r="H576" t="s">
        <v>914</v>
      </c>
      <c r="I576" s="32">
        <v>1</v>
      </c>
    </row>
    <row r="577" spans="5:9" x14ac:dyDescent="0.25">
      <c r="E577"/>
      <c r="F577" t="s">
        <v>612</v>
      </c>
      <c r="G577">
        <v>19353</v>
      </c>
      <c r="H577" t="s">
        <v>914</v>
      </c>
      <c r="I577" s="32">
        <v>1</v>
      </c>
    </row>
    <row r="578" spans="5:9" x14ac:dyDescent="0.25">
      <c r="E578"/>
      <c r="F578" t="s">
        <v>638</v>
      </c>
      <c r="G578">
        <v>16465</v>
      </c>
      <c r="H578" t="s">
        <v>914</v>
      </c>
      <c r="I578" s="32">
        <v>1</v>
      </c>
    </row>
    <row r="579" spans="5:9" x14ac:dyDescent="0.25">
      <c r="E579"/>
      <c r="F579" t="s">
        <v>695</v>
      </c>
      <c r="G579">
        <v>18795</v>
      </c>
      <c r="H579" t="s">
        <v>914</v>
      </c>
      <c r="I579" s="32">
        <v>1</v>
      </c>
    </row>
    <row r="580" spans="5:9" x14ac:dyDescent="0.25">
      <c r="E580"/>
      <c r="F580" t="s">
        <v>68</v>
      </c>
      <c r="G580">
        <v>23386</v>
      </c>
      <c r="H580" t="s">
        <v>914</v>
      </c>
      <c r="I580" s="32">
        <v>1</v>
      </c>
    </row>
    <row r="581" spans="5:9" x14ac:dyDescent="0.25">
      <c r="E581"/>
      <c r="F581" t="s">
        <v>709</v>
      </c>
      <c r="G581">
        <v>24060</v>
      </c>
      <c r="H581" t="s">
        <v>914</v>
      </c>
      <c r="I581" s="32">
        <v>1</v>
      </c>
    </row>
    <row r="582" spans="5:9" x14ac:dyDescent="0.25">
      <c r="E582"/>
      <c r="F582" t="s">
        <v>760</v>
      </c>
      <c r="G582">
        <v>25252</v>
      </c>
      <c r="H582" t="s">
        <v>914</v>
      </c>
      <c r="I582" s="32">
        <v>1</v>
      </c>
    </row>
    <row r="583" spans="5:9" x14ac:dyDescent="0.25">
      <c r="E583"/>
      <c r="F583" t="s">
        <v>764</v>
      </c>
      <c r="G583">
        <v>24060</v>
      </c>
      <c r="H583" t="s">
        <v>914</v>
      </c>
      <c r="I583" s="32">
        <v>1</v>
      </c>
    </row>
    <row r="584" spans="5:9" x14ac:dyDescent="0.25">
      <c r="E584"/>
      <c r="F584" t="s">
        <v>995</v>
      </c>
      <c r="G584">
        <v>23288</v>
      </c>
      <c r="H584" t="s">
        <v>794</v>
      </c>
      <c r="I584" s="32">
        <v>1</v>
      </c>
    </row>
    <row r="585" spans="5:9" x14ac:dyDescent="0.25">
      <c r="E585"/>
      <c r="F585" t="s">
        <v>996</v>
      </c>
      <c r="G585">
        <v>15234</v>
      </c>
      <c r="H585" t="s">
        <v>794</v>
      </c>
      <c r="I585" s="32">
        <v>1</v>
      </c>
    </row>
    <row r="586" spans="5:9" x14ac:dyDescent="0.25">
      <c r="E586"/>
      <c r="F586" t="s">
        <v>997</v>
      </c>
      <c r="G586">
        <v>25252</v>
      </c>
      <c r="H586" t="s">
        <v>794</v>
      </c>
      <c r="I586" s="32">
        <v>1</v>
      </c>
    </row>
    <row r="587" spans="5:9" x14ac:dyDescent="0.25">
      <c r="E587"/>
      <c r="F587" t="s">
        <v>998</v>
      </c>
      <c r="G587">
        <v>18795</v>
      </c>
      <c r="H587" t="s">
        <v>794</v>
      </c>
      <c r="I587" s="32">
        <v>1</v>
      </c>
    </row>
    <row r="588" spans="5:9" x14ac:dyDescent="0.25">
      <c r="E588"/>
      <c r="F588" t="s">
        <v>999</v>
      </c>
      <c r="G588">
        <v>20989</v>
      </c>
      <c r="H588" t="s">
        <v>794</v>
      </c>
      <c r="I588" s="32">
        <v>1</v>
      </c>
    </row>
    <row r="589" spans="5:9" x14ac:dyDescent="0.25">
      <c r="E589"/>
      <c r="F589" t="s">
        <v>1000</v>
      </c>
      <c r="G589">
        <v>19353</v>
      </c>
      <c r="H589" t="s">
        <v>794</v>
      </c>
      <c r="I589" s="32">
        <v>1</v>
      </c>
    </row>
    <row r="590" spans="5:9" x14ac:dyDescent="0.25">
      <c r="E590"/>
      <c r="F590" t="s">
        <v>1001</v>
      </c>
      <c r="G590">
        <v>16465</v>
      </c>
      <c r="H590" t="s">
        <v>794</v>
      </c>
      <c r="I590" s="32">
        <v>1</v>
      </c>
    </row>
    <row r="591" spans="5:9" x14ac:dyDescent="0.25">
      <c r="E591"/>
      <c r="F591" t="s">
        <v>1002</v>
      </c>
      <c r="G591">
        <v>25252</v>
      </c>
      <c r="H591" t="s">
        <v>794</v>
      </c>
      <c r="I591" s="32">
        <v>1</v>
      </c>
    </row>
    <row r="592" spans="5:9" x14ac:dyDescent="0.25">
      <c r="E592"/>
      <c r="F592" t="s">
        <v>1003</v>
      </c>
      <c r="G592">
        <v>18795</v>
      </c>
      <c r="H592" t="s">
        <v>794</v>
      </c>
      <c r="I592" s="32">
        <v>1</v>
      </c>
    </row>
    <row r="593" spans="3:9" x14ac:dyDescent="0.25">
      <c r="E593"/>
      <c r="F593" t="s">
        <v>1004</v>
      </c>
      <c r="G593">
        <v>24060</v>
      </c>
      <c r="H593" t="s">
        <v>794</v>
      </c>
      <c r="I593" s="32">
        <v>1</v>
      </c>
    </row>
    <row r="594" spans="3:9" x14ac:dyDescent="0.25">
      <c r="E594"/>
      <c r="F594" t="s">
        <v>1005</v>
      </c>
      <c r="G594">
        <v>24060</v>
      </c>
      <c r="H594" t="s">
        <v>794</v>
      </c>
      <c r="I594" s="32">
        <v>1</v>
      </c>
    </row>
    <row r="595" spans="3:9" x14ac:dyDescent="0.25">
      <c r="E595"/>
      <c r="F595" t="s">
        <v>1006</v>
      </c>
      <c r="G595">
        <v>24060</v>
      </c>
      <c r="H595" t="s">
        <v>794</v>
      </c>
      <c r="I595" s="32">
        <v>1</v>
      </c>
    </row>
    <row r="596" spans="3:9" x14ac:dyDescent="0.25">
      <c r="E596"/>
      <c r="F596" t="s">
        <v>1007</v>
      </c>
      <c r="G596">
        <v>24060</v>
      </c>
      <c r="H596" t="s">
        <v>794</v>
      </c>
      <c r="I596" s="32">
        <v>1</v>
      </c>
    </row>
    <row r="597" spans="3:9" x14ac:dyDescent="0.25">
      <c r="E597"/>
      <c r="F597" t="s">
        <v>1008</v>
      </c>
      <c r="G597">
        <v>24060</v>
      </c>
      <c r="H597" t="s">
        <v>794</v>
      </c>
      <c r="I597" s="32">
        <v>1</v>
      </c>
    </row>
    <row r="598" spans="3:9" x14ac:dyDescent="0.25">
      <c r="E598"/>
      <c r="F598" t="s">
        <v>1009</v>
      </c>
      <c r="G598">
        <v>24060</v>
      </c>
      <c r="H598" t="s">
        <v>794</v>
      </c>
      <c r="I598" s="32">
        <v>1</v>
      </c>
    </row>
    <row r="599" spans="3:9" x14ac:dyDescent="0.25">
      <c r="E599"/>
      <c r="F599" t="s">
        <v>1010</v>
      </c>
      <c r="G599">
        <v>24060</v>
      </c>
      <c r="H599" t="s">
        <v>794</v>
      </c>
      <c r="I599" s="32">
        <v>1</v>
      </c>
    </row>
    <row r="600" spans="3:9" x14ac:dyDescent="0.25">
      <c r="E600"/>
      <c r="F600" t="s">
        <v>1011</v>
      </c>
      <c r="G600">
        <v>24060</v>
      </c>
      <c r="H600" t="s">
        <v>794</v>
      </c>
      <c r="I600" s="32">
        <v>1</v>
      </c>
    </row>
    <row r="601" spans="3:9" x14ac:dyDescent="0.25">
      <c r="C601" t="s">
        <v>8</v>
      </c>
      <c r="D601" t="s">
        <v>913</v>
      </c>
      <c r="E601" t="s">
        <v>915</v>
      </c>
      <c r="F601" t="s">
        <v>551</v>
      </c>
      <c r="G601">
        <v>10000</v>
      </c>
      <c r="H601" t="s">
        <v>910</v>
      </c>
      <c r="I601" s="32">
        <v>1</v>
      </c>
    </row>
    <row r="602" spans="3:9" x14ac:dyDescent="0.25">
      <c r="E602"/>
      <c r="F602" t="s">
        <v>563</v>
      </c>
      <c r="G602">
        <v>11500</v>
      </c>
      <c r="H602" t="s">
        <v>910</v>
      </c>
      <c r="I602" s="32">
        <v>1</v>
      </c>
    </row>
    <row r="603" spans="3:9" x14ac:dyDescent="0.25">
      <c r="E603"/>
      <c r="F603" t="s">
        <v>571</v>
      </c>
      <c r="G603">
        <v>8000</v>
      </c>
      <c r="H603" t="s">
        <v>910</v>
      </c>
      <c r="I603" s="32">
        <v>1</v>
      </c>
    </row>
    <row r="604" spans="3:9" x14ac:dyDescent="0.25">
      <c r="E604"/>
      <c r="F604" t="s">
        <v>599</v>
      </c>
      <c r="G604">
        <v>13000</v>
      </c>
      <c r="H604" t="s">
        <v>910</v>
      </c>
      <c r="I604" s="32">
        <v>1</v>
      </c>
    </row>
    <row r="605" spans="3:9" x14ac:dyDescent="0.25">
      <c r="E605"/>
      <c r="F605" t="s">
        <v>601</v>
      </c>
      <c r="G605">
        <v>11500</v>
      </c>
      <c r="H605" t="s">
        <v>910</v>
      </c>
      <c r="I605" s="32">
        <v>1</v>
      </c>
    </row>
    <row r="606" spans="3:9" x14ac:dyDescent="0.25">
      <c r="E606"/>
      <c r="F606" t="s">
        <v>606</v>
      </c>
      <c r="G606">
        <v>11500</v>
      </c>
      <c r="H606" t="s">
        <v>910</v>
      </c>
      <c r="I606" s="32">
        <v>1</v>
      </c>
    </row>
    <row r="607" spans="3:9" x14ac:dyDescent="0.25">
      <c r="E607"/>
      <c r="F607" t="s">
        <v>614</v>
      </c>
      <c r="G607">
        <v>10000</v>
      </c>
      <c r="H607" t="s">
        <v>910</v>
      </c>
      <c r="I607" s="32">
        <v>1</v>
      </c>
    </row>
    <row r="608" spans="3:9" x14ac:dyDescent="0.25">
      <c r="E608"/>
      <c r="F608" t="s">
        <v>623</v>
      </c>
      <c r="G608">
        <v>11500</v>
      </c>
      <c r="H608" t="s">
        <v>910</v>
      </c>
      <c r="I608" s="32">
        <v>1</v>
      </c>
    </row>
    <row r="609" spans="5:9" x14ac:dyDescent="0.25">
      <c r="E609"/>
      <c r="F609" t="s">
        <v>625</v>
      </c>
      <c r="G609">
        <v>13000</v>
      </c>
      <c r="H609" t="s">
        <v>910</v>
      </c>
      <c r="I609" s="32">
        <v>1</v>
      </c>
    </row>
    <row r="610" spans="5:9" x14ac:dyDescent="0.25">
      <c r="E610"/>
      <c r="F610" t="s">
        <v>675</v>
      </c>
      <c r="G610">
        <v>10000</v>
      </c>
      <c r="H610" t="s">
        <v>910</v>
      </c>
      <c r="I610" s="32">
        <v>1</v>
      </c>
    </row>
    <row r="611" spans="5:9" x14ac:dyDescent="0.25">
      <c r="E611"/>
      <c r="F611" t="s">
        <v>676</v>
      </c>
      <c r="G611">
        <v>10000</v>
      </c>
      <c r="H611" t="s">
        <v>910</v>
      </c>
      <c r="I611" s="32">
        <v>1</v>
      </c>
    </row>
    <row r="612" spans="5:9" x14ac:dyDescent="0.25">
      <c r="E612"/>
      <c r="F612" t="s">
        <v>683</v>
      </c>
      <c r="G612">
        <v>11500</v>
      </c>
      <c r="H612" t="s">
        <v>910</v>
      </c>
      <c r="I612" s="32">
        <v>1</v>
      </c>
    </row>
    <row r="613" spans="5:9" x14ac:dyDescent="0.25">
      <c r="E613"/>
      <c r="F613" t="s">
        <v>694</v>
      </c>
      <c r="G613">
        <v>10000</v>
      </c>
      <c r="H613" t="s">
        <v>910</v>
      </c>
      <c r="I613" s="32">
        <v>1</v>
      </c>
    </row>
    <row r="614" spans="5:9" x14ac:dyDescent="0.25">
      <c r="E614"/>
      <c r="F614" t="s">
        <v>697</v>
      </c>
      <c r="G614">
        <v>11500</v>
      </c>
      <c r="H614" t="s">
        <v>910</v>
      </c>
      <c r="I614" s="32">
        <v>1</v>
      </c>
    </row>
    <row r="615" spans="5:9" x14ac:dyDescent="0.25">
      <c r="E615"/>
      <c r="F615" t="s">
        <v>699</v>
      </c>
      <c r="G615">
        <v>10000</v>
      </c>
      <c r="H615" t="s">
        <v>910</v>
      </c>
      <c r="I615" s="32">
        <v>1</v>
      </c>
    </row>
    <row r="616" spans="5:9" x14ac:dyDescent="0.25">
      <c r="E616"/>
      <c r="F616" t="s">
        <v>701</v>
      </c>
      <c r="G616">
        <v>10000</v>
      </c>
      <c r="H616" t="s">
        <v>910</v>
      </c>
      <c r="I616" s="32">
        <v>1</v>
      </c>
    </row>
    <row r="617" spans="5:9" x14ac:dyDescent="0.25">
      <c r="E617"/>
      <c r="F617" t="s">
        <v>708</v>
      </c>
      <c r="G617">
        <v>8000</v>
      </c>
      <c r="H617" t="s">
        <v>910</v>
      </c>
      <c r="I617" s="32">
        <v>1</v>
      </c>
    </row>
    <row r="618" spans="5:9" x14ac:dyDescent="0.25">
      <c r="E618"/>
      <c r="F618" t="s">
        <v>730</v>
      </c>
      <c r="G618">
        <v>11500</v>
      </c>
      <c r="H618" t="s">
        <v>910</v>
      </c>
      <c r="I618" s="32">
        <v>1</v>
      </c>
    </row>
    <row r="619" spans="5:9" x14ac:dyDescent="0.25">
      <c r="E619"/>
      <c r="F619" t="s">
        <v>739</v>
      </c>
      <c r="G619">
        <v>14500</v>
      </c>
      <c r="H619" t="s">
        <v>910</v>
      </c>
      <c r="I619" s="32">
        <v>1</v>
      </c>
    </row>
    <row r="620" spans="5:9" x14ac:dyDescent="0.25">
      <c r="E620"/>
      <c r="F620" t="s">
        <v>768</v>
      </c>
      <c r="G620">
        <v>10000</v>
      </c>
      <c r="H620" t="s">
        <v>910</v>
      </c>
      <c r="I620" s="32">
        <v>1</v>
      </c>
    </row>
    <row r="621" spans="5:9" x14ac:dyDescent="0.25">
      <c r="E621"/>
      <c r="F621" t="s">
        <v>774</v>
      </c>
      <c r="G621">
        <v>8000</v>
      </c>
      <c r="H621" t="s">
        <v>910</v>
      </c>
      <c r="I621" s="32">
        <v>1</v>
      </c>
    </row>
    <row r="622" spans="5:9" x14ac:dyDescent="0.25">
      <c r="E622"/>
      <c r="F622" t="s">
        <v>775</v>
      </c>
      <c r="G622">
        <v>13000</v>
      </c>
      <c r="H622" t="s">
        <v>910</v>
      </c>
      <c r="I622" s="32">
        <v>1</v>
      </c>
    </row>
    <row r="623" spans="5:9" x14ac:dyDescent="0.25">
      <c r="E623"/>
      <c r="F623" t="s">
        <v>777</v>
      </c>
      <c r="G623">
        <v>10000</v>
      </c>
      <c r="H623" t="s">
        <v>910</v>
      </c>
      <c r="I623" s="32">
        <v>1</v>
      </c>
    </row>
    <row r="624" spans="5:9" x14ac:dyDescent="0.25">
      <c r="E624"/>
      <c r="F624" t="s">
        <v>778</v>
      </c>
      <c r="G624">
        <v>11500</v>
      </c>
      <c r="H624" t="s">
        <v>910</v>
      </c>
      <c r="I624" s="32">
        <v>1</v>
      </c>
    </row>
    <row r="625" spans="2:9" x14ac:dyDescent="0.25">
      <c r="C625" t="s">
        <v>908</v>
      </c>
      <c r="D625" t="s">
        <v>12</v>
      </c>
      <c r="E625" t="s">
        <v>916</v>
      </c>
      <c r="F625" t="s">
        <v>77</v>
      </c>
      <c r="G625">
        <v>21891</v>
      </c>
      <c r="H625" t="s">
        <v>914</v>
      </c>
      <c r="I625" s="32">
        <v>1</v>
      </c>
    </row>
    <row r="626" spans="2:9" x14ac:dyDescent="0.25">
      <c r="C626" t="s">
        <v>56</v>
      </c>
      <c r="D626" t="s">
        <v>794</v>
      </c>
      <c r="E626" t="s">
        <v>916</v>
      </c>
      <c r="F626" t="s">
        <v>657</v>
      </c>
      <c r="G626">
        <v>12274</v>
      </c>
      <c r="H626" t="s">
        <v>914</v>
      </c>
      <c r="I626" s="32">
        <v>1</v>
      </c>
    </row>
    <row r="627" spans="2:9" x14ac:dyDescent="0.25">
      <c r="B627" t="s">
        <v>819</v>
      </c>
      <c r="C627" t="s">
        <v>794</v>
      </c>
      <c r="D627" t="s">
        <v>794</v>
      </c>
      <c r="E627" t="s">
        <v>915</v>
      </c>
      <c r="F627" t="s">
        <v>854</v>
      </c>
      <c r="G627">
        <v>27370</v>
      </c>
      <c r="H627">
        <v>27370</v>
      </c>
      <c r="I627" s="32">
        <v>1</v>
      </c>
    </row>
    <row r="628" spans="2:9" x14ac:dyDescent="0.25">
      <c r="E628"/>
      <c r="F628" t="s">
        <v>870</v>
      </c>
      <c r="G628">
        <v>17000</v>
      </c>
      <c r="H628">
        <v>17000</v>
      </c>
      <c r="I628" s="32">
        <v>1</v>
      </c>
    </row>
    <row r="629" spans="2:9" x14ac:dyDescent="0.25">
      <c r="E629"/>
      <c r="F629" t="s">
        <v>869</v>
      </c>
      <c r="G629">
        <v>27000</v>
      </c>
      <c r="H629">
        <v>27000</v>
      </c>
      <c r="I629" s="32">
        <v>1</v>
      </c>
    </row>
    <row r="630" spans="2:9" x14ac:dyDescent="0.25">
      <c r="E630"/>
      <c r="F630" t="s">
        <v>860</v>
      </c>
      <c r="G630">
        <v>12275</v>
      </c>
      <c r="H630">
        <v>12275</v>
      </c>
      <c r="I630" s="32">
        <v>1</v>
      </c>
    </row>
    <row r="631" spans="2:9" x14ac:dyDescent="0.25">
      <c r="E631"/>
      <c r="F631" t="s">
        <v>866</v>
      </c>
      <c r="G631">
        <v>17000</v>
      </c>
      <c r="H631">
        <v>17000</v>
      </c>
      <c r="I631" s="32">
        <v>1</v>
      </c>
    </row>
    <row r="632" spans="2:9" x14ac:dyDescent="0.25">
      <c r="E632"/>
      <c r="F632" t="s">
        <v>859</v>
      </c>
      <c r="G632">
        <v>27370</v>
      </c>
      <c r="H632">
        <v>27370</v>
      </c>
      <c r="I632" s="32">
        <v>1</v>
      </c>
    </row>
    <row r="633" spans="2:9" x14ac:dyDescent="0.25">
      <c r="E633"/>
      <c r="F633" t="s">
        <v>861</v>
      </c>
      <c r="G633">
        <v>36529</v>
      </c>
      <c r="H633">
        <v>36529</v>
      </c>
      <c r="I633" s="32">
        <v>1</v>
      </c>
    </row>
    <row r="634" spans="2:9" x14ac:dyDescent="0.25">
      <c r="E634"/>
      <c r="F634" t="s">
        <v>863</v>
      </c>
      <c r="G634">
        <v>27370</v>
      </c>
      <c r="H634">
        <v>27370</v>
      </c>
      <c r="I634" s="32">
        <v>1</v>
      </c>
    </row>
    <row r="635" spans="2:9" x14ac:dyDescent="0.25">
      <c r="E635"/>
      <c r="F635" t="s">
        <v>856</v>
      </c>
      <c r="G635">
        <v>12275</v>
      </c>
      <c r="H635">
        <v>12275</v>
      </c>
      <c r="I635" s="32">
        <v>1</v>
      </c>
    </row>
    <row r="636" spans="2:9" x14ac:dyDescent="0.25">
      <c r="E636"/>
      <c r="F636" t="s">
        <v>865</v>
      </c>
      <c r="G636">
        <v>19000</v>
      </c>
      <c r="H636">
        <v>19000</v>
      </c>
      <c r="I636" s="32">
        <v>1</v>
      </c>
    </row>
    <row r="637" spans="2:9" x14ac:dyDescent="0.25">
      <c r="E637"/>
      <c r="F637" t="s">
        <v>853</v>
      </c>
      <c r="G637">
        <v>27370</v>
      </c>
      <c r="H637">
        <v>27370</v>
      </c>
      <c r="I637" s="32">
        <v>1</v>
      </c>
    </row>
    <row r="638" spans="2:9" x14ac:dyDescent="0.25">
      <c r="E638"/>
      <c r="F638" t="s">
        <v>864</v>
      </c>
      <c r="G638">
        <v>27000</v>
      </c>
      <c r="H638">
        <v>27000</v>
      </c>
      <c r="I638" s="32">
        <v>1</v>
      </c>
    </row>
    <row r="639" spans="2:9" x14ac:dyDescent="0.25">
      <c r="E639"/>
      <c r="F639" t="s">
        <v>857</v>
      </c>
      <c r="G639">
        <v>12742</v>
      </c>
      <c r="H639">
        <v>12742</v>
      </c>
      <c r="I639" s="32">
        <v>1</v>
      </c>
    </row>
    <row r="640" spans="2:9" x14ac:dyDescent="0.25">
      <c r="E640"/>
      <c r="F640" t="s">
        <v>862</v>
      </c>
      <c r="G640">
        <v>19000</v>
      </c>
      <c r="H640">
        <v>19000</v>
      </c>
      <c r="I640" s="32">
        <v>1</v>
      </c>
    </row>
    <row r="641" spans="2:9" x14ac:dyDescent="0.25">
      <c r="E641"/>
      <c r="F641" t="s">
        <v>858</v>
      </c>
      <c r="G641">
        <v>27370</v>
      </c>
      <c r="H641">
        <v>27370</v>
      </c>
      <c r="I641" s="32">
        <v>1</v>
      </c>
    </row>
    <row r="642" spans="2:9" x14ac:dyDescent="0.25">
      <c r="E642"/>
      <c r="F642" t="s">
        <v>868</v>
      </c>
      <c r="G642">
        <v>27000</v>
      </c>
      <c r="H642">
        <v>27000</v>
      </c>
      <c r="I642" s="32">
        <v>1</v>
      </c>
    </row>
    <row r="643" spans="2:9" x14ac:dyDescent="0.25">
      <c r="E643"/>
      <c r="F643" t="s">
        <v>855</v>
      </c>
      <c r="G643">
        <v>27370</v>
      </c>
      <c r="H643">
        <v>27370</v>
      </c>
      <c r="I643" s="32">
        <v>1</v>
      </c>
    </row>
    <row r="644" spans="2:9" x14ac:dyDescent="0.25">
      <c r="E644"/>
      <c r="F644" t="s">
        <v>867</v>
      </c>
      <c r="G644">
        <v>34500</v>
      </c>
      <c r="H644">
        <v>34500</v>
      </c>
      <c r="I644" s="32">
        <v>1</v>
      </c>
    </row>
    <row r="645" spans="2:9" x14ac:dyDescent="0.25">
      <c r="E645"/>
      <c r="F645" t="s">
        <v>1032</v>
      </c>
      <c r="G645">
        <v>17000</v>
      </c>
      <c r="H645">
        <v>17000</v>
      </c>
      <c r="I645" s="32">
        <v>1</v>
      </c>
    </row>
    <row r="646" spans="2:9" x14ac:dyDescent="0.25">
      <c r="E646"/>
      <c r="F646" t="s">
        <v>964</v>
      </c>
      <c r="G646" t="s">
        <v>794</v>
      </c>
      <c r="H646" t="s">
        <v>794</v>
      </c>
      <c r="I646" s="32">
        <v>1</v>
      </c>
    </row>
    <row r="647" spans="2:9" x14ac:dyDescent="0.25">
      <c r="E647"/>
      <c r="F647" t="s">
        <v>1054</v>
      </c>
      <c r="G647">
        <v>15000</v>
      </c>
      <c r="H647">
        <v>15000</v>
      </c>
      <c r="I647" s="32">
        <v>1</v>
      </c>
    </row>
    <row r="648" spans="2:9" x14ac:dyDescent="0.25">
      <c r="E648"/>
      <c r="F648" t="s">
        <v>1036</v>
      </c>
      <c r="G648">
        <v>12275</v>
      </c>
      <c r="H648">
        <v>12275</v>
      </c>
      <c r="I648" s="32">
        <v>1</v>
      </c>
    </row>
    <row r="649" spans="2:9" x14ac:dyDescent="0.25">
      <c r="E649"/>
      <c r="F649" t="s">
        <v>963</v>
      </c>
      <c r="G649">
        <v>17000</v>
      </c>
      <c r="H649">
        <v>17000</v>
      </c>
      <c r="I649" s="32">
        <v>1</v>
      </c>
    </row>
    <row r="650" spans="2:9" x14ac:dyDescent="0.25">
      <c r="E650"/>
      <c r="F650" t="s">
        <v>1620</v>
      </c>
      <c r="G650" t="s">
        <v>794</v>
      </c>
      <c r="H650" t="s">
        <v>794</v>
      </c>
      <c r="I650" s="32">
        <v>1</v>
      </c>
    </row>
    <row r="651" spans="2:9" x14ac:dyDescent="0.25">
      <c r="E651"/>
      <c r="F651" t="s">
        <v>1648</v>
      </c>
      <c r="G651">
        <v>17000</v>
      </c>
      <c r="H651">
        <v>17000</v>
      </c>
      <c r="I651" s="32">
        <v>1</v>
      </c>
    </row>
    <row r="652" spans="2:9" x14ac:dyDescent="0.25">
      <c r="E652"/>
      <c r="F652" t="s">
        <v>1842</v>
      </c>
      <c r="G652">
        <v>17000</v>
      </c>
      <c r="H652">
        <v>17000</v>
      </c>
      <c r="I652" s="32">
        <v>1</v>
      </c>
    </row>
    <row r="653" spans="2:9" x14ac:dyDescent="0.25">
      <c r="E653"/>
      <c r="F653" t="s">
        <v>1682</v>
      </c>
      <c r="G653">
        <v>17000</v>
      </c>
      <c r="H653">
        <v>17000</v>
      </c>
      <c r="I653" s="32">
        <v>1</v>
      </c>
    </row>
    <row r="654" spans="2:9" x14ac:dyDescent="0.25">
      <c r="E654"/>
      <c r="F654" t="s">
        <v>1652</v>
      </c>
      <c r="G654">
        <v>12275</v>
      </c>
      <c r="H654">
        <v>12275</v>
      </c>
      <c r="I654" s="32">
        <v>1</v>
      </c>
    </row>
    <row r="655" spans="2:9" x14ac:dyDescent="0.25">
      <c r="C655" t="s">
        <v>928</v>
      </c>
      <c r="D655" t="s">
        <v>794</v>
      </c>
      <c r="E655" t="s">
        <v>916</v>
      </c>
      <c r="F655" t="s">
        <v>1684</v>
      </c>
      <c r="G655">
        <v>21517</v>
      </c>
      <c r="H655" t="s">
        <v>914</v>
      </c>
      <c r="I655" s="32">
        <v>1</v>
      </c>
    </row>
    <row r="656" spans="2:9" x14ac:dyDescent="0.25">
      <c r="B656" t="s">
        <v>794</v>
      </c>
      <c r="E656"/>
      <c r="F656"/>
      <c r="I656" s="32">
        <v>6</v>
      </c>
    </row>
    <row r="657" spans="2:9" x14ac:dyDescent="0.25">
      <c r="B657" t="s">
        <v>928</v>
      </c>
      <c r="C657" t="s">
        <v>11</v>
      </c>
      <c r="D657" t="s">
        <v>794</v>
      </c>
      <c r="E657" t="s">
        <v>915</v>
      </c>
      <c r="F657" t="s">
        <v>889</v>
      </c>
      <c r="G657">
        <v>12000</v>
      </c>
      <c r="H657">
        <v>12000</v>
      </c>
      <c r="I657" s="32">
        <v>1</v>
      </c>
    </row>
    <row r="658" spans="2:9" x14ac:dyDescent="0.25">
      <c r="E658"/>
      <c r="F658" t="s">
        <v>669</v>
      </c>
      <c r="G658">
        <v>13593.330000000002</v>
      </c>
      <c r="H658" t="s">
        <v>914</v>
      </c>
      <c r="I658" s="32">
        <v>1</v>
      </c>
    </row>
    <row r="659" spans="2:9" x14ac:dyDescent="0.25">
      <c r="E659"/>
      <c r="F659" t="s">
        <v>872</v>
      </c>
      <c r="G659">
        <v>36000</v>
      </c>
      <c r="H659">
        <v>36000</v>
      </c>
      <c r="I659" s="32">
        <v>1</v>
      </c>
    </row>
    <row r="660" spans="2:9" x14ac:dyDescent="0.25">
      <c r="E660"/>
      <c r="F660" t="s">
        <v>888</v>
      </c>
      <c r="G660">
        <v>15000</v>
      </c>
      <c r="H660">
        <v>15000</v>
      </c>
      <c r="I660" s="32">
        <v>1</v>
      </c>
    </row>
    <row r="661" spans="2:9" x14ac:dyDescent="0.25">
      <c r="E661"/>
      <c r="F661" t="s">
        <v>929</v>
      </c>
      <c r="G661">
        <v>12000</v>
      </c>
      <c r="H661" t="s">
        <v>794</v>
      </c>
      <c r="I661" s="32">
        <v>1</v>
      </c>
    </row>
    <row r="662" spans="2:9" x14ac:dyDescent="0.25">
      <c r="E662"/>
      <c r="F662" t="s">
        <v>949</v>
      </c>
      <c r="G662">
        <v>19000</v>
      </c>
      <c r="H662" t="s">
        <v>794</v>
      </c>
      <c r="I662" s="32">
        <v>1</v>
      </c>
    </row>
    <row r="663" spans="2:9" x14ac:dyDescent="0.25">
      <c r="E663"/>
      <c r="F663" t="s">
        <v>948</v>
      </c>
      <c r="G663">
        <v>12000</v>
      </c>
      <c r="H663" t="s">
        <v>794</v>
      </c>
      <c r="I663" s="32">
        <v>1</v>
      </c>
    </row>
    <row r="664" spans="2:9" x14ac:dyDescent="0.25">
      <c r="E664"/>
      <c r="F664" t="s">
        <v>1107</v>
      </c>
      <c r="G664" t="s">
        <v>794</v>
      </c>
      <c r="H664" t="s">
        <v>794</v>
      </c>
      <c r="I664" s="32">
        <v>1</v>
      </c>
    </row>
    <row r="665" spans="2:9" x14ac:dyDescent="0.25">
      <c r="E665"/>
      <c r="F665" t="s">
        <v>1108</v>
      </c>
      <c r="G665" t="s">
        <v>794</v>
      </c>
      <c r="H665" t="s">
        <v>794</v>
      </c>
      <c r="I665" s="32">
        <v>1</v>
      </c>
    </row>
    <row r="666" spans="2:9" x14ac:dyDescent="0.25">
      <c r="E666"/>
      <c r="F666" t="s">
        <v>1641</v>
      </c>
      <c r="G666" t="s">
        <v>794</v>
      </c>
      <c r="H666" t="s">
        <v>794</v>
      </c>
      <c r="I666" s="32">
        <v>1</v>
      </c>
    </row>
    <row r="667" spans="2:9" x14ac:dyDescent="0.25">
      <c r="E667"/>
      <c r="F667" t="s">
        <v>1642</v>
      </c>
      <c r="G667" t="s">
        <v>794</v>
      </c>
      <c r="H667" t="s">
        <v>794</v>
      </c>
      <c r="I667" s="32">
        <v>1</v>
      </c>
    </row>
    <row r="668" spans="2:9" x14ac:dyDescent="0.25">
      <c r="E668"/>
      <c r="F668" t="s">
        <v>1643</v>
      </c>
      <c r="G668" t="s">
        <v>794</v>
      </c>
      <c r="H668" t="s">
        <v>794</v>
      </c>
      <c r="I668" s="32">
        <v>1</v>
      </c>
    </row>
    <row r="669" spans="2:9" x14ac:dyDescent="0.25">
      <c r="E669"/>
      <c r="F669" t="s">
        <v>1116</v>
      </c>
      <c r="G669" t="s">
        <v>794</v>
      </c>
      <c r="H669" t="s">
        <v>794</v>
      </c>
      <c r="I669" s="32">
        <v>1</v>
      </c>
    </row>
    <row r="670" spans="2:9" x14ac:dyDescent="0.25">
      <c r="E670"/>
      <c r="F670" t="s">
        <v>1653</v>
      </c>
      <c r="G670" t="s">
        <v>794</v>
      </c>
      <c r="H670" t="s">
        <v>794</v>
      </c>
      <c r="I670" s="32">
        <v>1</v>
      </c>
    </row>
    <row r="671" spans="2:9" x14ac:dyDescent="0.25">
      <c r="E671" t="s">
        <v>916</v>
      </c>
      <c r="F671" t="s">
        <v>293</v>
      </c>
      <c r="G671">
        <v>15601</v>
      </c>
      <c r="H671" t="s">
        <v>914</v>
      </c>
      <c r="I671" s="32">
        <v>1</v>
      </c>
    </row>
    <row r="672" spans="2:9" x14ac:dyDescent="0.25">
      <c r="E672"/>
      <c r="F672" t="s">
        <v>294</v>
      </c>
      <c r="G672">
        <v>19096</v>
      </c>
      <c r="H672" t="s">
        <v>914</v>
      </c>
      <c r="I672" s="32">
        <v>1</v>
      </c>
    </row>
    <row r="673" spans="2:9" x14ac:dyDescent="0.25">
      <c r="E673"/>
      <c r="F673" t="s">
        <v>296</v>
      </c>
      <c r="G673">
        <v>19096</v>
      </c>
      <c r="H673" t="s">
        <v>914</v>
      </c>
      <c r="I673" s="32">
        <v>1</v>
      </c>
    </row>
    <row r="674" spans="2:9" x14ac:dyDescent="0.25">
      <c r="E674"/>
      <c r="F674" t="s">
        <v>297</v>
      </c>
      <c r="G674">
        <v>16470.8</v>
      </c>
      <c r="H674" t="s">
        <v>914</v>
      </c>
      <c r="I674" s="32">
        <v>1</v>
      </c>
    </row>
    <row r="675" spans="2:9" x14ac:dyDescent="0.25">
      <c r="E675"/>
      <c r="F675" t="s">
        <v>298</v>
      </c>
      <c r="G675">
        <v>29800.97</v>
      </c>
      <c r="H675" t="s">
        <v>914</v>
      </c>
      <c r="I675" s="32">
        <v>1</v>
      </c>
    </row>
    <row r="676" spans="2:9" x14ac:dyDescent="0.25">
      <c r="E676"/>
      <c r="F676" t="s">
        <v>300</v>
      </c>
      <c r="G676">
        <v>18164</v>
      </c>
      <c r="H676" t="s">
        <v>914</v>
      </c>
      <c r="I676" s="32">
        <v>1</v>
      </c>
    </row>
    <row r="677" spans="2:9" x14ac:dyDescent="0.25">
      <c r="B677" t="s">
        <v>1106</v>
      </c>
      <c r="C677" t="s">
        <v>794</v>
      </c>
      <c r="D677" t="s">
        <v>794</v>
      </c>
      <c r="E677" t="s">
        <v>915</v>
      </c>
      <c r="F677" t="s">
        <v>877</v>
      </c>
      <c r="G677">
        <v>27000</v>
      </c>
      <c r="H677">
        <v>27000</v>
      </c>
      <c r="I677" s="32">
        <v>1</v>
      </c>
    </row>
    <row r="678" spans="2:9" x14ac:dyDescent="0.25">
      <c r="E678"/>
      <c r="F678" t="s">
        <v>951</v>
      </c>
      <c r="G678" t="s">
        <v>794</v>
      </c>
      <c r="H678" t="s">
        <v>794</v>
      </c>
      <c r="I678" s="32">
        <v>1</v>
      </c>
    </row>
    <row r="679" spans="2:9" x14ac:dyDescent="0.25">
      <c r="E679"/>
      <c r="F679" t="s">
        <v>953</v>
      </c>
      <c r="G679" t="s">
        <v>794</v>
      </c>
      <c r="H679" t="s">
        <v>794</v>
      </c>
      <c r="I679" s="32">
        <v>1</v>
      </c>
    </row>
    <row r="680" spans="2:9" x14ac:dyDescent="0.25">
      <c r="B680" t="s">
        <v>1833</v>
      </c>
      <c r="C680" t="s">
        <v>794</v>
      </c>
      <c r="D680" t="s">
        <v>794</v>
      </c>
      <c r="E680" t="s">
        <v>915</v>
      </c>
      <c r="F680" t="s">
        <v>878</v>
      </c>
      <c r="G680">
        <v>12000</v>
      </c>
      <c r="H680">
        <v>12000</v>
      </c>
      <c r="I680" s="32">
        <v>1</v>
      </c>
    </row>
    <row r="681" spans="2:9" x14ac:dyDescent="0.25">
      <c r="E681"/>
      <c r="F681" t="s">
        <v>890</v>
      </c>
      <c r="G681">
        <v>25000</v>
      </c>
      <c r="H681">
        <v>25000</v>
      </c>
      <c r="I681" s="32">
        <v>1</v>
      </c>
    </row>
    <row r="682" spans="2:9" x14ac:dyDescent="0.25">
      <c r="E682"/>
      <c r="F682" t="s">
        <v>880</v>
      </c>
      <c r="G682">
        <v>13000</v>
      </c>
      <c r="H682">
        <v>13000</v>
      </c>
      <c r="I682" s="32">
        <v>1</v>
      </c>
    </row>
    <row r="683" spans="2:9" x14ac:dyDescent="0.25">
      <c r="E683"/>
      <c r="F683" t="s">
        <v>845</v>
      </c>
      <c r="G683">
        <v>36000</v>
      </c>
      <c r="H683">
        <v>27370</v>
      </c>
      <c r="I683" s="32">
        <v>1</v>
      </c>
    </row>
    <row r="684" spans="2:9" x14ac:dyDescent="0.25">
      <c r="E684"/>
      <c r="F684" t="s">
        <v>874</v>
      </c>
      <c r="G684">
        <v>19000</v>
      </c>
      <c r="H684">
        <v>19000</v>
      </c>
      <c r="I684" s="32">
        <v>1</v>
      </c>
    </row>
    <row r="685" spans="2:9" x14ac:dyDescent="0.25">
      <c r="E685"/>
      <c r="F685" t="s">
        <v>883</v>
      </c>
      <c r="G685">
        <v>12500</v>
      </c>
      <c r="H685">
        <v>10533</v>
      </c>
      <c r="I685" s="32">
        <v>1</v>
      </c>
    </row>
    <row r="686" spans="2:9" x14ac:dyDescent="0.25">
      <c r="E686"/>
      <c r="F686" t="s">
        <v>846</v>
      </c>
      <c r="G686">
        <v>36000</v>
      </c>
      <c r="H686">
        <v>27370</v>
      </c>
      <c r="I686" s="32">
        <v>1</v>
      </c>
    </row>
    <row r="687" spans="2:9" x14ac:dyDescent="0.25">
      <c r="E687"/>
      <c r="F687" t="s">
        <v>184</v>
      </c>
      <c r="G687">
        <v>14000</v>
      </c>
      <c r="H687">
        <v>16000</v>
      </c>
      <c r="I687" s="32">
        <v>1</v>
      </c>
    </row>
    <row r="688" spans="2:9" x14ac:dyDescent="0.25">
      <c r="E688"/>
      <c r="F688" t="s">
        <v>511</v>
      </c>
      <c r="G688">
        <v>14000</v>
      </c>
      <c r="H688">
        <v>16000</v>
      </c>
      <c r="I688" s="32">
        <v>1</v>
      </c>
    </row>
    <row r="689" spans="5:9" x14ac:dyDescent="0.25">
      <c r="E689"/>
      <c r="F689" t="s">
        <v>1029</v>
      </c>
      <c r="G689" t="s">
        <v>794</v>
      </c>
      <c r="H689" t="s">
        <v>794</v>
      </c>
      <c r="I689" s="32">
        <v>1</v>
      </c>
    </row>
    <row r="690" spans="5:9" x14ac:dyDescent="0.25">
      <c r="E690"/>
      <c r="F690" t="s">
        <v>950</v>
      </c>
      <c r="G690" t="s">
        <v>794</v>
      </c>
      <c r="H690" t="s">
        <v>794</v>
      </c>
      <c r="I690" s="32">
        <v>1</v>
      </c>
    </row>
    <row r="691" spans="5:9" x14ac:dyDescent="0.25">
      <c r="E691"/>
      <c r="F691" t="s">
        <v>1048</v>
      </c>
      <c r="G691" t="s">
        <v>794</v>
      </c>
      <c r="H691" t="s">
        <v>794</v>
      </c>
      <c r="I691" s="32">
        <v>1</v>
      </c>
    </row>
    <row r="692" spans="5:9" x14ac:dyDescent="0.25">
      <c r="E692"/>
      <c r="F692" t="s">
        <v>954</v>
      </c>
      <c r="G692" t="s">
        <v>794</v>
      </c>
      <c r="H692" t="s">
        <v>794</v>
      </c>
      <c r="I692" s="32">
        <v>1</v>
      </c>
    </row>
    <row r="693" spans="5:9" x14ac:dyDescent="0.25">
      <c r="E693"/>
      <c r="F693" t="s">
        <v>1621</v>
      </c>
      <c r="G693" t="s">
        <v>794</v>
      </c>
      <c r="H693" t="s">
        <v>794</v>
      </c>
      <c r="I693" s="32">
        <v>1</v>
      </c>
    </row>
    <row r="694" spans="5:9" x14ac:dyDescent="0.25">
      <c r="E694"/>
      <c r="F694" t="s">
        <v>1649</v>
      </c>
      <c r="G694" t="s">
        <v>794</v>
      </c>
      <c r="H694" t="s">
        <v>794</v>
      </c>
      <c r="I694" s="32">
        <v>1</v>
      </c>
    </row>
    <row r="695" spans="5:9" x14ac:dyDescent="0.25">
      <c r="E695"/>
      <c r="F695" t="s">
        <v>1627</v>
      </c>
      <c r="G695" t="s">
        <v>794</v>
      </c>
      <c r="H695" t="s">
        <v>794</v>
      </c>
      <c r="I695" s="32">
        <v>1</v>
      </c>
    </row>
    <row r="696" spans="5:9" x14ac:dyDescent="0.25">
      <c r="E696"/>
      <c r="F696" t="s">
        <v>1628</v>
      </c>
      <c r="G696" t="s">
        <v>794</v>
      </c>
      <c r="H696" t="s">
        <v>794</v>
      </c>
      <c r="I696" s="32">
        <v>1</v>
      </c>
    </row>
    <row r="697" spans="5:9" x14ac:dyDescent="0.25">
      <c r="E697"/>
      <c r="F697" t="s">
        <v>1630</v>
      </c>
      <c r="G697" t="s">
        <v>794</v>
      </c>
      <c r="H697" t="s">
        <v>794</v>
      </c>
      <c r="I697" s="32">
        <v>1</v>
      </c>
    </row>
    <row r="698" spans="5:9" x14ac:dyDescent="0.25">
      <c r="E698"/>
      <c r="F698" t="s">
        <v>1629</v>
      </c>
      <c r="G698" t="s">
        <v>794</v>
      </c>
      <c r="H698" t="s">
        <v>794</v>
      </c>
      <c r="I698" s="32">
        <v>1</v>
      </c>
    </row>
    <row r="699" spans="5:9" x14ac:dyDescent="0.25">
      <c r="E699"/>
      <c r="F699" t="s">
        <v>1696</v>
      </c>
      <c r="G699" t="s">
        <v>794</v>
      </c>
      <c r="H699" t="s">
        <v>794</v>
      </c>
      <c r="I699" s="32">
        <v>1</v>
      </c>
    </row>
    <row r="700" spans="5:9" x14ac:dyDescent="0.25">
      <c r="E700"/>
      <c r="F700" t="s">
        <v>1706</v>
      </c>
      <c r="G700" t="s">
        <v>794</v>
      </c>
      <c r="H700" t="s">
        <v>794</v>
      </c>
      <c r="I700" s="32">
        <v>1</v>
      </c>
    </row>
    <row r="701" spans="5:9" x14ac:dyDescent="0.25">
      <c r="E701"/>
      <c r="F701" t="s">
        <v>1665</v>
      </c>
      <c r="G701" t="s">
        <v>794</v>
      </c>
      <c r="H701" t="s">
        <v>794</v>
      </c>
      <c r="I701" s="32">
        <v>1</v>
      </c>
    </row>
    <row r="702" spans="5:9" x14ac:dyDescent="0.25">
      <c r="E702"/>
      <c r="F702" t="s">
        <v>1651</v>
      </c>
      <c r="G702" t="s">
        <v>794</v>
      </c>
      <c r="H702" t="s">
        <v>794</v>
      </c>
      <c r="I702" s="32">
        <v>1</v>
      </c>
    </row>
    <row r="703" spans="5:9" x14ac:dyDescent="0.25">
      <c r="E703"/>
      <c r="F703" t="s">
        <v>1762</v>
      </c>
      <c r="G703" t="s">
        <v>794</v>
      </c>
      <c r="H703" t="s">
        <v>794</v>
      </c>
      <c r="I703" s="32">
        <v>1</v>
      </c>
    </row>
    <row r="704" spans="5:9" x14ac:dyDescent="0.25">
      <c r="E704"/>
      <c r="F704" t="s">
        <v>1712</v>
      </c>
      <c r="G704" t="s">
        <v>794</v>
      </c>
      <c r="H704" t="s">
        <v>794</v>
      </c>
      <c r="I704" s="32">
        <v>1</v>
      </c>
    </row>
    <row r="705" spans="2:9" x14ac:dyDescent="0.25">
      <c r="E705" t="s">
        <v>916</v>
      </c>
      <c r="F705" t="s">
        <v>594</v>
      </c>
      <c r="G705">
        <v>29089</v>
      </c>
      <c r="H705" t="s">
        <v>914</v>
      </c>
      <c r="I705" s="32">
        <v>1</v>
      </c>
    </row>
    <row r="706" spans="2:9" x14ac:dyDescent="0.25">
      <c r="E706"/>
      <c r="F706" t="s">
        <v>604</v>
      </c>
      <c r="G706">
        <v>17107</v>
      </c>
      <c r="H706" t="s">
        <v>914</v>
      </c>
      <c r="I706" s="32">
        <v>1</v>
      </c>
    </row>
    <row r="707" spans="2:9" x14ac:dyDescent="0.25">
      <c r="E707"/>
      <c r="F707" t="s">
        <v>189</v>
      </c>
      <c r="G707">
        <v>12274</v>
      </c>
      <c r="H707" t="s">
        <v>914</v>
      </c>
      <c r="I707" s="32">
        <v>1</v>
      </c>
    </row>
    <row r="708" spans="2:9" x14ac:dyDescent="0.25">
      <c r="E708" t="s">
        <v>794</v>
      </c>
      <c r="F708" t="s">
        <v>871</v>
      </c>
      <c r="G708">
        <v>36000</v>
      </c>
      <c r="H708">
        <v>36000</v>
      </c>
      <c r="I708" s="32">
        <v>1</v>
      </c>
    </row>
    <row r="709" spans="2:9" x14ac:dyDescent="0.25">
      <c r="C709" t="s">
        <v>1109</v>
      </c>
      <c r="D709" t="s">
        <v>794</v>
      </c>
      <c r="E709" t="s">
        <v>915</v>
      </c>
      <c r="F709" t="s">
        <v>946</v>
      </c>
      <c r="G709" t="s">
        <v>794</v>
      </c>
      <c r="H709" t="s">
        <v>794</v>
      </c>
      <c r="I709" s="32">
        <v>1</v>
      </c>
    </row>
    <row r="710" spans="2:9" x14ac:dyDescent="0.25">
      <c r="E710"/>
      <c r="F710" t="s">
        <v>955</v>
      </c>
      <c r="G710" t="s">
        <v>794</v>
      </c>
      <c r="H710" t="s">
        <v>794</v>
      </c>
      <c r="I710" s="32">
        <v>1</v>
      </c>
    </row>
    <row r="711" spans="2:9" x14ac:dyDescent="0.25">
      <c r="D711" t="s">
        <v>957</v>
      </c>
      <c r="E711" t="s">
        <v>915</v>
      </c>
      <c r="F711" t="s">
        <v>947</v>
      </c>
      <c r="G711" t="s">
        <v>794</v>
      </c>
      <c r="H711" t="s">
        <v>794</v>
      </c>
      <c r="I711" s="32">
        <v>1</v>
      </c>
    </row>
    <row r="712" spans="2:9" x14ac:dyDescent="0.25">
      <c r="E712"/>
      <c r="F712" t="s">
        <v>1616</v>
      </c>
      <c r="G712" t="s">
        <v>794</v>
      </c>
      <c r="H712" t="s">
        <v>794</v>
      </c>
      <c r="I712" s="32">
        <v>1</v>
      </c>
    </row>
    <row r="713" spans="2:9" x14ac:dyDescent="0.25">
      <c r="B713" t="s">
        <v>956</v>
      </c>
      <c r="C713" t="s">
        <v>956</v>
      </c>
      <c r="D713" t="s">
        <v>794</v>
      </c>
      <c r="E713" t="s">
        <v>915</v>
      </c>
      <c r="F713" t="s">
        <v>887</v>
      </c>
      <c r="G713">
        <v>15000</v>
      </c>
      <c r="H713">
        <v>15000</v>
      </c>
      <c r="I713" s="32">
        <v>1</v>
      </c>
    </row>
    <row r="714" spans="2:9" x14ac:dyDescent="0.25">
      <c r="E714"/>
      <c r="F714" t="s">
        <v>886</v>
      </c>
      <c r="G714">
        <v>17000</v>
      </c>
      <c r="H714">
        <v>17000</v>
      </c>
      <c r="I714" s="32">
        <v>1</v>
      </c>
    </row>
    <row r="715" spans="2:9" x14ac:dyDescent="0.25">
      <c r="E715"/>
      <c r="F715" t="s">
        <v>873</v>
      </c>
      <c r="G715">
        <v>36000</v>
      </c>
      <c r="H715">
        <v>36000</v>
      </c>
      <c r="I715" s="32">
        <v>1</v>
      </c>
    </row>
    <row r="716" spans="2:9" x14ac:dyDescent="0.25">
      <c r="E716"/>
      <c r="F716" t="s">
        <v>1024</v>
      </c>
      <c r="G716">
        <v>17000</v>
      </c>
      <c r="H716" t="s">
        <v>794</v>
      </c>
      <c r="I716" s="32">
        <v>1</v>
      </c>
    </row>
    <row r="717" spans="2:9" x14ac:dyDescent="0.25">
      <c r="E717"/>
      <c r="F717" t="s">
        <v>952</v>
      </c>
      <c r="G717">
        <v>13000</v>
      </c>
      <c r="H717" t="s">
        <v>794</v>
      </c>
      <c r="I717" s="32">
        <v>1</v>
      </c>
    </row>
    <row r="718" spans="2:9" x14ac:dyDescent="0.25">
      <c r="E718"/>
      <c r="F718" t="s">
        <v>1802</v>
      </c>
      <c r="G718" t="s">
        <v>794</v>
      </c>
      <c r="H718" t="s">
        <v>794</v>
      </c>
      <c r="I718" s="32">
        <v>1</v>
      </c>
    </row>
    <row r="719" spans="2:9" x14ac:dyDescent="0.25">
      <c r="E719"/>
      <c r="F719" t="s">
        <v>1674</v>
      </c>
      <c r="G719" t="s">
        <v>794</v>
      </c>
      <c r="H719" t="s">
        <v>794</v>
      </c>
      <c r="I719" s="32">
        <v>1</v>
      </c>
    </row>
    <row r="720" spans="2:9" x14ac:dyDescent="0.25">
      <c r="E720"/>
      <c r="F720" t="s">
        <v>1846</v>
      </c>
      <c r="G720" t="s">
        <v>794</v>
      </c>
      <c r="H720" t="s">
        <v>794</v>
      </c>
      <c r="I720" s="32">
        <v>1</v>
      </c>
    </row>
    <row r="721" spans="5:9" x14ac:dyDescent="0.25">
      <c r="E721"/>
      <c r="F721" t="s">
        <v>1847</v>
      </c>
      <c r="G721" t="s">
        <v>794</v>
      </c>
      <c r="H721" t="s">
        <v>794</v>
      </c>
      <c r="I721" s="32">
        <v>1</v>
      </c>
    </row>
    <row r="722" spans="5:9" x14ac:dyDescent="0.25">
      <c r="E722"/>
      <c r="F722" t="s">
        <v>1848</v>
      </c>
      <c r="G722" t="s">
        <v>794</v>
      </c>
      <c r="H722" t="s">
        <v>794</v>
      </c>
      <c r="I722" s="32">
        <v>1</v>
      </c>
    </row>
    <row r="723" spans="5:9" x14ac:dyDescent="0.25">
      <c r="E723"/>
      <c r="F723" t="s">
        <v>1849</v>
      </c>
      <c r="G723" t="s">
        <v>794</v>
      </c>
      <c r="H723" t="s">
        <v>794</v>
      </c>
      <c r="I723" s="32">
        <v>1</v>
      </c>
    </row>
    <row r="724" spans="5:9" x14ac:dyDescent="0.25">
      <c r="E724"/>
      <c r="F724" t="s">
        <v>1850</v>
      </c>
      <c r="G724" t="s">
        <v>794</v>
      </c>
      <c r="H724" t="s">
        <v>794</v>
      </c>
      <c r="I724" s="32">
        <v>1</v>
      </c>
    </row>
    <row r="725" spans="5:9" x14ac:dyDescent="0.25">
      <c r="E725"/>
      <c r="F725" t="s">
        <v>1851</v>
      </c>
      <c r="G725" t="s">
        <v>794</v>
      </c>
      <c r="H725" t="s">
        <v>794</v>
      </c>
      <c r="I725" s="32">
        <v>1</v>
      </c>
    </row>
    <row r="726" spans="5:9" x14ac:dyDescent="0.25">
      <c r="E726"/>
      <c r="F726" t="s">
        <v>1852</v>
      </c>
      <c r="G726" t="s">
        <v>794</v>
      </c>
      <c r="H726" t="s">
        <v>794</v>
      </c>
      <c r="I726" s="32">
        <v>1</v>
      </c>
    </row>
    <row r="727" spans="5:9" x14ac:dyDescent="0.25">
      <c r="E727"/>
      <c r="F727" t="s">
        <v>1853</v>
      </c>
      <c r="G727" t="s">
        <v>794</v>
      </c>
      <c r="H727" t="s">
        <v>794</v>
      </c>
      <c r="I727" s="32">
        <v>1</v>
      </c>
    </row>
    <row r="728" spans="5:9" x14ac:dyDescent="0.25">
      <c r="E728"/>
      <c r="F728" t="s">
        <v>1854</v>
      </c>
      <c r="G728" t="s">
        <v>794</v>
      </c>
      <c r="H728" t="s">
        <v>794</v>
      </c>
      <c r="I728" s="32">
        <v>1</v>
      </c>
    </row>
    <row r="729" spans="5:9" x14ac:dyDescent="0.25">
      <c r="E729"/>
      <c r="F729" t="s">
        <v>1855</v>
      </c>
      <c r="G729" t="s">
        <v>794</v>
      </c>
      <c r="H729" t="s">
        <v>794</v>
      </c>
      <c r="I729" s="32">
        <v>1</v>
      </c>
    </row>
    <row r="730" spans="5:9" x14ac:dyDescent="0.25">
      <c r="E730"/>
      <c r="F730" t="s">
        <v>1856</v>
      </c>
      <c r="G730" t="s">
        <v>794</v>
      </c>
      <c r="H730" t="s">
        <v>794</v>
      </c>
      <c r="I730" s="32">
        <v>1</v>
      </c>
    </row>
    <row r="731" spans="5:9" x14ac:dyDescent="0.25">
      <c r="E731"/>
      <c r="F731" t="s">
        <v>1857</v>
      </c>
      <c r="G731" t="s">
        <v>794</v>
      </c>
      <c r="H731" t="s">
        <v>794</v>
      </c>
      <c r="I731" s="32">
        <v>1</v>
      </c>
    </row>
    <row r="732" spans="5:9" x14ac:dyDescent="0.25">
      <c r="E732"/>
      <c r="F732" t="s">
        <v>1803</v>
      </c>
      <c r="G732" t="s">
        <v>794</v>
      </c>
      <c r="H732" t="s">
        <v>794</v>
      </c>
      <c r="I732" s="32">
        <v>1</v>
      </c>
    </row>
    <row r="733" spans="5:9" x14ac:dyDescent="0.25">
      <c r="E733"/>
      <c r="F733" t="s">
        <v>1826</v>
      </c>
      <c r="G733" t="s">
        <v>794</v>
      </c>
      <c r="H733" t="s">
        <v>794</v>
      </c>
      <c r="I733" s="32">
        <v>1</v>
      </c>
    </row>
    <row r="734" spans="5:9" x14ac:dyDescent="0.25">
      <c r="E734"/>
      <c r="F734" t="s">
        <v>1805</v>
      </c>
      <c r="G734" t="s">
        <v>794</v>
      </c>
      <c r="H734" t="s">
        <v>794</v>
      </c>
      <c r="I734" s="32">
        <v>1</v>
      </c>
    </row>
    <row r="735" spans="5:9" x14ac:dyDescent="0.25">
      <c r="E735"/>
      <c r="F735" t="s">
        <v>1827</v>
      </c>
      <c r="G735" t="s">
        <v>794</v>
      </c>
      <c r="H735" t="s">
        <v>794</v>
      </c>
      <c r="I735" s="32">
        <v>1</v>
      </c>
    </row>
    <row r="736" spans="5:9" x14ac:dyDescent="0.25">
      <c r="E736"/>
      <c r="F736" t="s">
        <v>1804</v>
      </c>
      <c r="G736" t="s">
        <v>794</v>
      </c>
      <c r="H736" t="s">
        <v>794</v>
      </c>
      <c r="I736" s="32">
        <v>1</v>
      </c>
    </row>
    <row r="737" spans="1:9" x14ac:dyDescent="0.25">
      <c r="E737"/>
      <c r="F737" t="s">
        <v>1831</v>
      </c>
      <c r="G737" t="s">
        <v>794</v>
      </c>
      <c r="H737" t="s">
        <v>794</v>
      </c>
      <c r="I737" s="32">
        <v>1</v>
      </c>
    </row>
    <row r="738" spans="1:9" x14ac:dyDescent="0.25">
      <c r="E738"/>
      <c r="F738" t="s">
        <v>1832</v>
      </c>
      <c r="G738" t="s">
        <v>794</v>
      </c>
      <c r="H738" t="s">
        <v>794</v>
      </c>
      <c r="I738" s="32">
        <v>1</v>
      </c>
    </row>
    <row r="739" spans="1:9" x14ac:dyDescent="0.25">
      <c r="E739"/>
      <c r="F739" t="s">
        <v>1809</v>
      </c>
      <c r="G739" t="s">
        <v>794</v>
      </c>
      <c r="H739" t="s">
        <v>794</v>
      </c>
      <c r="I739" s="32">
        <v>1</v>
      </c>
    </row>
    <row r="740" spans="1:9" x14ac:dyDescent="0.25">
      <c r="E740"/>
      <c r="F740" t="s">
        <v>1806</v>
      </c>
      <c r="G740" t="s">
        <v>794</v>
      </c>
      <c r="H740" t="s">
        <v>794</v>
      </c>
      <c r="I740" s="32">
        <v>1</v>
      </c>
    </row>
    <row r="741" spans="1:9" x14ac:dyDescent="0.25">
      <c r="E741"/>
      <c r="F741" t="s">
        <v>1673</v>
      </c>
      <c r="G741" t="s">
        <v>794</v>
      </c>
      <c r="H741" t="s">
        <v>794</v>
      </c>
      <c r="I741" s="32">
        <v>1</v>
      </c>
    </row>
    <row r="742" spans="1:9" x14ac:dyDescent="0.25">
      <c r="E742"/>
      <c r="F742" t="s">
        <v>1807</v>
      </c>
      <c r="G742" t="s">
        <v>794</v>
      </c>
      <c r="H742" t="s">
        <v>794</v>
      </c>
      <c r="I742" s="32">
        <v>1</v>
      </c>
    </row>
    <row r="743" spans="1:9" x14ac:dyDescent="0.25">
      <c r="E743"/>
      <c r="F743" t="s">
        <v>1808</v>
      </c>
      <c r="G743" t="s">
        <v>794</v>
      </c>
      <c r="H743" t="s">
        <v>794</v>
      </c>
      <c r="I743" s="32">
        <v>1</v>
      </c>
    </row>
    <row r="744" spans="1:9" x14ac:dyDescent="0.25">
      <c r="E744"/>
      <c r="F744" t="s">
        <v>1828</v>
      </c>
      <c r="G744" t="s">
        <v>794</v>
      </c>
      <c r="H744" t="s">
        <v>794</v>
      </c>
      <c r="I744" s="32">
        <v>1</v>
      </c>
    </row>
    <row r="745" spans="1:9" x14ac:dyDescent="0.25">
      <c r="E745"/>
      <c r="F745" t="s">
        <v>1829</v>
      </c>
      <c r="G745" t="s">
        <v>794</v>
      </c>
      <c r="H745" t="s">
        <v>794</v>
      </c>
      <c r="I745" s="32">
        <v>1</v>
      </c>
    </row>
    <row r="746" spans="1:9" x14ac:dyDescent="0.25">
      <c r="E746"/>
      <c r="F746" t="s">
        <v>1830</v>
      </c>
      <c r="G746" t="s">
        <v>794</v>
      </c>
      <c r="H746" t="s">
        <v>794</v>
      </c>
      <c r="I746" s="32">
        <v>1</v>
      </c>
    </row>
    <row r="747" spans="1:9" x14ac:dyDescent="0.25">
      <c r="E747" t="s">
        <v>916</v>
      </c>
      <c r="F747" t="s">
        <v>641</v>
      </c>
      <c r="G747">
        <v>30743</v>
      </c>
      <c r="H747" t="s">
        <v>914</v>
      </c>
      <c r="I747" s="32">
        <v>1</v>
      </c>
    </row>
    <row r="748" spans="1:9" x14ac:dyDescent="0.25">
      <c r="A748" t="s">
        <v>816</v>
      </c>
      <c r="E748"/>
      <c r="F748"/>
      <c r="I748" s="32">
        <v>490</v>
      </c>
    </row>
    <row r="749" spans="1:9" x14ac:dyDescent="0.25">
      <c r="A749" t="s">
        <v>252</v>
      </c>
      <c r="E749"/>
      <c r="F749"/>
      <c r="I749" s="32">
        <v>1015</v>
      </c>
    </row>
    <row r="846" spans="9:27" x14ac:dyDescent="0.25">
      <c r="I846" t="s">
        <v>1043</v>
      </c>
      <c r="K846">
        <v>3243932</v>
      </c>
      <c r="R846" t="s">
        <v>1046</v>
      </c>
      <c r="AA846">
        <v>18000</v>
      </c>
    </row>
    <row r="847" spans="9:27" x14ac:dyDescent="0.25">
      <c r="I847" t="s">
        <v>1044</v>
      </c>
      <c r="K847">
        <v>29194068</v>
      </c>
      <c r="R847" t="s">
        <v>17</v>
      </c>
      <c r="AA847">
        <v>18000</v>
      </c>
    </row>
    <row r="848" spans="9:27" x14ac:dyDescent="0.25">
      <c r="I848" t="s">
        <v>1045</v>
      </c>
      <c r="K848">
        <v>30762932</v>
      </c>
      <c r="R848" t="s">
        <v>17</v>
      </c>
      <c r="AA848">
        <v>23000</v>
      </c>
    </row>
    <row r="849" spans="29:30" x14ac:dyDescent="0.25">
      <c r="AC849" t="s">
        <v>1041</v>
      </c>
      <c r="AD849" t="s">
        <v>1042</v>
      </c>
    </row>
  </sheetData>
  <pageMargins left="0.11811023622047245" right="0.11811023622047245" top="0.15748031496062992" bottom="0.15748031496062992" header="0.31496062992125984" footer="0.31496062992125984"/>
  <pageSetup paperSize="9" scale="75" orientation="landscape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G91"/>
  <sheetViews>
    <sheetView workbookViewId="0">
      <selection activeCell="B16" activeCellId="3" sqref="B6:B7 B10 B13:B14 B16:B17 B19 B21:B22 B24:B25 B27:B28 B30:B31 B33:B34 B36:B37 B40:B41 B43:B44 B46:B47 B49:B51 B53:B54 B56:B57 B59 B61:B62 B64 B66 B69 B71 B73 B75:B76 B78:B79 B82 B84 B87"/>
    </sheetView>
  </sheetViews>
  <sheetFormatPr baseColWidth="10" defaultRowHeight="15" x14ac:dyDescent="0.25"/>
  <cols>
    <col min="1" max="1" width="43.28515625" customWidth="1"/>
    <col min="2" max="2" width="45.7109375" bestFit="1" customWidth="1"/>
    <col min="3" max="3" width="11" bestFit="1" customWidth="1"/>
    <col min="4" max="4" width="5.42578125" bestFit="1" customWidth="1"/>
  </cols>
  <sheetData>
    <row r="4" spans="1:4" x14ac:dyDescent="0.25">
      <c r="A4" s="11" t="s">
        <v>785</v>
      </c>
    </row>
    <row r="5" spans="1:4" x14ac:dyDescent="0.25">
      <c r="A5" s="11" t="s">
        <v>1</v>
      </c>
      <c r="B5" s="11" t="s">
        <v>513</v>
      </c>
      <c r="C5" s="11" t="s">
        <v>917</v>
      </c>
      <c r="D5" t="s">
        <v>253</v>
      </c>
    </row>
    <row r="6" spans="1:4" x14ac:dyDescent="0.25">
      <c r="A6" t="s">
        <v>928</v>
      </c>
      <c r="B6" t="s">
        <v>11</v>
      </c>
      <c r="C6" t="s">
        <v>915</v>
      </c>
      <c r="D6" s="32">
        <v>14</v>
      </c>
    </row>
    <row r="7" spans="1:4" x14ac:dyDescent="0.25">
      <c r="C7" t="s">
        <v>916</v>
      </c>
      <c r="D7" s="32">
        <v>6</v>
      </c>
    </row>
    <row r="8" spans="1:4" x14ac:dyDescent="0.25">
      <c r="B8" t="s">
        <v>1778</v>
      </c>
      <c r="D8" s="32">
        <v>20</v>
      </c>
    </row>
    <row r="9" spans="1:4" x14ac:dyDescent="0.25">
      <c r="A9" t="s">
        <v>1771</v>
      </c>
      <c r="D9" s="32">
        <v>20</v>
      </c>
    </row>
    <row r="10" spans="1:4" x14ac:dyDescent="0.25">
      <c r="A10" t="s">
        <v>1106</v>
      </c>
      <c r="B10" t="s">
        <v>794</v>
      </c>
      <c r="C10" t="s">
        <v>915</v>
      </c>
      <c r="D10" s="32">
        <v>3</v>
      </c>
    </row>
    <row r="11" spans="1:4" x14ac:dyDescent="0.25">
      <c r="B11" t="s">
        <v>816</v>
      </c>
      <c r="D11" s="32">
        <v>3</v>
      </c>
    </row>
    <row r="12" spans="1:4" x14ac:dyDescent="0.25">
      <c r="A12" t="s">
        <v>1772</v>
      </c>
      <c r="D12" s="32">
        <v>3</v>
      </c>
    </row>
    <row r="13" spans="1:4" x14ac:dyDescent="0.25">
      <c r="A13" t="s">
        <v>820</v>
      </c>
      <c r="B13" t="s">
        <v>47</v>
      </c>
      <c r="C13" t="s">
        <v>916</v>
      </c>
      <c r="D13" s="32">
        <v>1</v>
      </c>
    </row>
    <row r="14" spans="1:4" x14ac:dyDescent="0.25">
      <c r="C14" t="s">
        <v>794</v>
      </c>
      <c r="D14" s="32"/>
    </row>
    <row r="15" spans="1:4" x14ac:dyDescent="0.25">
      <c r="B15" t="s">
        <v>1799</v>
      </c>
      <c r="D15" s="32">
        <v>1</v>
      </c>
    </row>
    <row r="16" spans="1:4" x14ac:dyDescent="0.25">
      <c r="B16" t="s">
        <v>817</v>
      </c>
      <c r="C16" t="s">
        <v>915</v>
      </c>
      <c r="D16" s="32">
        <v>14</v>
      </c>
    </row>
    <row r="17" spans="2:4" x14ac:dyDescent="0.25">
      <c r="C17" t="s">
        <v>916</v>
      </c>
      <c r="D17" s="32">
        <v>8</v>
      </c>
    </row>
    <row r="18" spans="2:4" x14ac:dyDescent="0.25">
      <c r="B18" t="s">
        <v>1779</v>
      </c>
      <c r="D18" s="32">
        <v>22</v>
      </c>
    </row>
    <row r="19" spans="2:4" x14ac:dyDescent="0.25">
      <c r="B19" t="s">
        <v>912</v>
      </c>
      <c r="C19" t="s">
        <v>915</v>
      </c>
      <c r="D19" s="32">
        <v>3</v>
      </c>
    </row>
    <row r="20" spans="2:4" x14ac:dyDescent="0.25">
      <c r="B20" t="s">
        <v>1780</v>
      </c>
      <c r="D20" s="32">
        <v>3</v>
      </c>
    </row>
    <row r="21" spans="2:4" x14ac:dyDescent="0.25">
      <c r="B21" t="s">
        <v>818</v>
      </c>
      <c r="C21" t="s">
        <v>915</v>
      </c>
      <c r="D21" s="32">
        <v>10</v>
      </c>
    </row>
    <row r="22" spans="2:4" x14ac:dyDescent="0.25">
      <c r="C22" t="s">
        <v>916</v>
      </c>
      <c r="D22" s="32">
        <v>8</v>
      </c>
    </row>
    <row r="23" spans="2:4" x14ac:dyDescent="0.25">
      <c r="B23" t="s">
        <v>1781</v>
      </c>
      <c r="D23" s="32">
        <v>18</v>
      </c>
    </row>
    <row r="24" spans="2:4" x14ac:dyDescent="0.25">
      <c r="B24" t="s">
        <v>837</v>
      </c>
      <c r="C24" t="s">
        <v>915</v>
      </c>
      <c r="D24" s="32">
        <v>5</v>
      </c>
    </row>
    <row r="25" spans="2:4" x14ac:dyDescent="0.25">
      <c r="C25" t="s">
        <v>916</v>
      </c>
      <c r="D25" s="32">
        <v>5</v>
      </c>
    </row>
    <row r="26" spans="2:4" x14ac:dyDescent="0.25">
      <c r="B26" t="s">
        <v>1782</v>
      </c>
      <c r="D26" s="32">
        <v>10</v>
      </c>
    </row>
    <row r="27" spans="2:4" x14ac:dyDescent="0.25">
      <c r="B27" t="s">
        <v>809</v>
      </c>
      <c r="C27" t="s">
        <v>915</v>
      </c>
      <c r="D27" s="32">
        <v>5</v>
      </c>
    </row>
    <row r="28" spans="2:4" x14ac:dyDescent="0.25">
      <c r="C28" t="s">
        <v>916</v>
      </c>
      <c r="D28" s="32">
        <v>2</v>
      </c>
    </row>
    <row r="29" spans="2:4" x14ac:dyDescent="0.25">
      <c r="B29" t="s">
        <v>1783</v>
      </c>
      <c r="D29" s="32">
        <v>7</v>
      </c>
    </row>
    <row r="30" spans="2:4" x14ac:dyDescent="0.25">
      <c r="B30" t="s">
        <v>921</v>
      </c>
      <c r="C30" t="s">
        <v>915</v>
      </c>
      <c r="D30" s="32">
        <v>14</v>
      </c>
    </row>
    <row r="31" spans="2:4" x14ac:dyDescent="0.25">
      <c r="C31" t="s">
        <v>916</v>
      </c>
      <c r="D31" s="32">
        <v>32</v>
      </c>
    </row>
    <row r="32" spans="2:4" x14ac:dyDescent="0.25">
      <c r="B32" t="s">
        <v>1784</v>
      </c>
      <c r="D32" s="32">
        <v>46</v>
      </c>
    </row>
    <row r="33" spans="1:7" x14ac:dyDescent="0.25">
      <c r="B33" t="s">
        <v>63</v>
      </c>
      <c r="C33" t="s">
        <v>915</v>
      </c>
      <c r="D33" s="32">
        <v>12</v>
      </c>
    </row>
    <row r="34" spans="1:7" x14ac:dyDescent="0.25">
      <c r="C34" t="s">
        <v>916</v>
      </c>
      <c r="D34" s="32">
        <v>9</v>
      </c>
    </row>
    <row r="35" spans="1:7" x14ac:dyDescent="0.25">
      <c r="B35" t="s">
        <v>1785</v>
      </c>
      <c r="D35" s="32">
        <v>21</v>
      </c>
    </row>
    <row r="36" spans="1:7" x14ac:dyDescent="0.25">
      <c r="B36" t="s">
        <v>794</v>
      </c>
      <c r="C36" t="s">
        <v>915</v>
      </c>
      <c r="D36" s="32">
        <v>4</v>
      </c>
    </row>
    <row r="37" spans="1:7" x14ac:dyDescent="0.25">
      <c r="C37" t="s">
        <v>916</v>
      </c>
      <c r="D37" s="32">
        <v>1</v>
      </c>
    </row>
    <row r="38" spans="1:7" x14ac:dyDescent="0.25">
      <c r="B38" t="s">
        <v>816</v>
      </c>
      <c r="D38" s="32">
        <v>5</v>
      </c>
    </row>
    <row r="39" spans="1:7" x14ac:dyDescent="0.25">
      <c r="A39" t="s">
        <v>1773</v>
      </c>
      <c r="D39" s="32">
        <v>133</v>
      </c>
    </row>
    <row r="40" spans="1:7" x14ac:dyDescent="0.25">
      <c r="A40" t="s">
        <v>808</v>
      </c>
      <c r="B40" t="s">
        <v>59</v>
      </c>
      <c r="C40" t="s">
        <v>915</v>
      </c>
      <c r="D40" s="32">
        <v>6</v>
      </c>
    </row>
    <row r="41" spans="1:7" x14ac:dyDescent="0.25">
      <c r="C41" t="s">
        <v>916</v>
      </c>
      <c r="D41" s="32">
        <v>2</v>
      </c>
    </row>
    <row r="42" spans="1:7" x14ac:dyDescent="0.25">
      <c r="B42" t="s">
        <v>1786</v>
      </c>
      <c r="D42" s="32">
        <v>8</v>
      </c>
    </row>
    <row r="43" spans="1:7" x14ac:dyDescent="0.25">
      <c r="B43" t="s">
        <v>517</v>
      </c>
      <c r="C43" t="s">
        <v>915</v>
      </c>
      <c r="D43" s="32">
        <v>6</v>
      </c>
    </row>
    <row r="44" spans="1:7" x14ac:dyDescent="0.25">
      <c r="C44" t="s">
        <v>916</v>
      </c>
      <c r="D44" s="32">
        <v>8</v>
      </c>
    </row>
    <row r="45" spans="1:7" x14ac:dyDescent="0.25">
      <c r="B45" t="s">
        <v>1787</v>
      </c>
      <c r="D45" s="32">
        <v>14</v>
      </c>
    </row>
    <row r="46" spans="1:7" x14ac:dyDescent="0.25">
      <c r="B46" t="s">
        <v>11</v>
      </c>
      <c r="C46" t="s">
        <v>915</v>
      </c>
      <c r="D46" s="32">
        <v>9</v>
      </c>
      <c r="F46" t="s">
        <v>915</v>
      </c>
      <c r="G46">
        <f>+GETPIVOTDATA("APELLIDO Y NOMBRE/S",$A$4,"DIRECCIÓN/ÁREA","DIR NAC EXPRESIONES FEDERALES","AREA / DEPENDENCIA","ADMINISTRACION","TIPO","AT")+GETPIVOTDATA("APELLIDO Y NOMBRE/S",$A$4,"DIRECCIÓN/ÁREA","DIR NAC EXPRESIONES FEDERALES","AREA / DEPENDENCIA","AUDIOVISUALES","TIPO","AT")+GETPIVOTDATA("APELLIDO Y NOMBRE/S",$A$4,"DIRECCIÓN/ÁREA","DIR NAC EXPRESIONES FEDERALES","AREA / DEPENDENCIA","COMUNICACIÓN","TIPO","AT")+GETPIVOTDATA("APELLIDO Y NOMBRE/S",$A$4,"DIRECCIÓN/ÁREA","DIR NAC EXPRESIONES FEDERALES","AREA / DEPENDENCIA","DIRECCION","TIPO","AT")+GETPIVOTDATA("APELLIDO Y NOMBRE/S",$A$4,"DIRECCIÓN/ÁREA","DIR NAC EXPRESIONES FEDERALES","AREA / DEPENDENCIA","DIRECCION DE GESTION EDILICIA","TIPO","AT")+GETPIVOTDATA("APELLIDO Y NOMBRE/S",$A$4,"DIRECCIÓN/ÁREA","DIR NAC EXPRESIONES FEDERALES","AREA / DEPENDENCIA","INSTITUCIONALES","TIPO","AT")+GETPIVOTDATA("APELLIDO Y NOMBRE/S",$A$4,"DIRECCIÓN/ÁREA","DIR NAC EXPRESIONES FEDERALES","AREA / DEPENDENCIA","JEFATURA DE GABINETE","TIPO","AT")+GETPIVOTDATA("APELLIDO Y NOMBRE/S",$A$4,"DIRECCIÓN/ÁREA","DIR NAC EXPRESIONES FEDERALES","AREA / DEPENDENCIA","PRODUCCIÓN","TIPO","AT")+GETPIVOTDATA("APELLIDO Y NOMBRE/S",$A$4,"DIRECCIÓN/ÁREA","DIR NAC EXPRESIONES FEDERALES","AREA / DEPENDENCIA","TECNICA","TIPO","AT")+GETPIVOTDATA("APELLIDO Y NOMBRE/S",$A$4,"DIRECCIÓN/ÁREA","DIR NAC EXPRESIONES FEDERALES","AREA / DEPENDENCIA",,"TIPO","AT")</f>
        <v>179</v>
      </c>
    </row>
    <row r="47" spans="1:7" x14ac:dyDescent="0.25">
      <c r="C47" t="s">
        <v>916</v>
      </c>
      <c r="D47" s="32">
        <v>2</v>
      </c>
      <c r="F47" t="s">
        <v>916</v>
      </c>
      <c r="G47">
        <f>+GETPIVOTDATA("APELLIDO Y NOMBRE/S",$A$4,"DIRECCIÓN/ÁREA","DIR NAC EXPRESIONES FEDERALES","AREA / DEPENDENCIA","ADMINISTRACION","TIPO","LM")+GETPIVOTDATA("APELLIDO Y NOMBRE/S",$A$4,"DIRECCIÓN/ÁREA","DIR NAC EXPRESIONES FEDERALES","AREA / DEPENDENCIA","AUDIOVISUALES","TIPO","LM")+GETPIVOTDATA("APELLIDO Y NOMBRE/S",$A$4,"DIRECCIÓN/ÁREA","DIR NAC EXPRESIONES FEDERALES","AREA / DEPENDENCIA","COMUNICACIÓN","TIPO","LM")+GETPIVOTDATA("APELLIDO Y NOMBRE/S",$A$4,"DIRECCIÓN/ÁREA","DIR NAC EXPRESIONES FEDERALES","AREA / DEPENDENCIA","DIRECCION","TIPO","LM")+GETPIVOTDATA("APELLIDO Y NOMBRE/S",$A$4,"DIRECCIÓN/ÁREA","DIR NAC EXPRESIONES FEDERALES","AREA / DEPENDENCIA","DIRECCION DE GESTION EDILICIA","TIPO","LM")+GETPIVOTDATA("APELLIDO Y NOMBRE/S",$A$4,"DIRECCIÓN/ÁREA","DIR NAC EXPRESIONES FEDERALES","AREA / DEPENDENCIA","INSTITUCIONALES","TIPO","LM")+GETPIVOTDATA("APELLIDO Y NOMBRE/S",$A$4,"DIRECCIÓN/ÁREA","DIR NAC EXPRESIONES FEDERALES","AREA / DEPENDENCIA","PRODUCCIÓN","TIPO","LM")</f>
        <v>42</v>
      </c>
    </row>
    <row r="48" spans="1:7" x14ac:dyDescent="0.25">
      <c r="B48" t="s">
        <v>1778</v>
      </c>
      <c r="D48" s="32">
        <v>11</v>
      </c>
      <c r="G48">
        <f>+G46+G47</f>
        <v>221</v>
      </c>
    </row>
    <row r="49" spans="2:4" x14ac:dyDescent="0.25">
      <c r="B49" t="s">
        <v>219</v>
      </c>
      <c r="C49" t="s">
        <v>915</v>
      </c>
      <c r="D49" s="32">
        <v>5</v>
      </c>
    </row>
    <row r="50" spans="2:4" x14ac:dyDescent="0.25">
      <c r="C50" t="s">
        <v>916</v>
      </c>
      <c r="D50" s="32">
        <v>1</v>
      </c>
    </row>
    <row r="51" spans="2:4" x14ac:dyDescent="0.25">
      <c r="C51" t="s">
        <v>794</v>
      </c>
      <c r="D51" s="32">
        <v>2</v>
      </c>
    </row>
    <row r="52" spans="2:4" x14ac:dyDescent="0.25">
      <c r="B52" t="s">
        <v>1788</v>
      </c>
      <c r="D52" s="32">
        <v>8</v>
      </c>
    </row>
    <row r="53" spans="2:4" x14ac:dyDescent="0.25">
      <c r="B53" t="s">
        <v>909</v>
      </c>
      <c r="C53" t="s">
        <v>915</v>
      </c>
      <c r="D53" s="32">
        <v>65</v>
      </c>
    </row>
    <row r="54" spans="2:4" x14ac:dyDescent="0.25">
      <c r="C54" t="s">
        <v>916</v>
      </c>
      <c r="D54" s="32">
        <v>12</v>
      </c>
    </row>
    <row r="55" spans="2:4" x14ac:dyDescent="0.25">
      <c r="B55" t="s">
        <v>1789</v>
      </c>
      <c r="D55" s="32">
        <v>77</v>
      </c>
    </row>
    <row r="56" spans="2:4" x14ac:dyDescent="0.25">
      <c r="B56" t="s">
        <v>216</v>
      </c>
      <c r="C56" t="s">
        <v>915</v>
      </c>
      <c r="D56" s="32">
        <v>37</v>
      </c>
    </row>
    <row r="57" spans="2:4" x14ac:dyDescent="0.25">
      <c r="C57" t="s">
        <v>916</v>
      </c>
      <c r="D57" s="32">
        <v>11</v>
      </c>
    </row>
    <row r="58" spans="2:4" x14ac:dyDescent="0.25">
      <c r="B58" t="s">
        <v>1790</v>
      </c>
      <c r="D58" s="32">
        <v>48</v>
      </c>
    </row>
    <row r="59" spans="2:4" x14ac:dyDescent="0.25">
      <c r="B59" t="s">
        <v>895</v>
      </c>
      <c r="C59" t="s">
        <v>915</v>
      </c>
      <c r="D59" s="32">
        <v>2</v>
      </c>
    </row>
    <row r="60" spans="2:4" x14ac:dyDescent="0.25">
      <c r="B60" t="s">
        <v>1791</v>
      </c>
      <c r="D60" s="32">
        <v>2</v>
      </c>
    </row>
    <row r="61" spans="2:4" x14ac:dyDescent="0.25">
      <c r="B61" t="s">
        <v>20</v>
      </c>
      <c r="C61" t="s">
        <v>915</v>
      </c>
      <c r="D61" s="32">
        <v>33</v>
      </c>
    </row>
    <row r="62" spans="2:4" x14ac:dyDescent="0.25">
      <c r="C62" t="s">
        <v>916</v>
      </c>
      <c r="D62" s="32">
        <v>6</v>
      </c>
    </row>
    <row r="63" spans="2:4" x14ac:dyDescent="0.25">
      <c r="B63" t="s">
        <v>1792</v>
      </c>
      <c r="D63" s="32">
        <v>39</v>
      </c>
    </row>
    <row r="64" spans="2:4" x14ac:dyDescent="0.25">
      <c r="B64" t="s">
        <v>503</v>
      </c>
      <c r="C64" t="s">
        <v>915</v>
      </c>
      <c r="D64" s="32">
        <v>8</v>
      </c>
    </row>
    <row r="65" spans="1:7" x14ac:dyDescent="0.25">
      <c r="B65" t="s">
        <v>1793</v>
      </c>
      <c r="D65" s="32">
        <v>8</v>
      </c>
    </row>
    <row r="66" spans="1:7" x14ac:dyDescent="0.25">
      <c r="B66" t="s">
        <v>794</v>
      </c>
      <c r="C66" t="s">
        <v>915</v>
      </c>
      <c r="D66" s="32">
        <v>8</v>
      </c>
    </row>
    <row r="67" spans="1:7" x14ac:dyDescent="0.25">
      <c r="B67" t="s">
        <v>816</v>
      </c>
      <c r="D67" s="32">
        <v>8</v>
      </c>
    </row>
    <row r="68" spans="1:7" x14ac:dyDescent="0.25">
      <c r="A68" t="s">
        <v>1774</v>
      </c>
      <c r="D68" s="32">
        <v>223</v>
      </c>
      <c r="F68" t="s">
        <v>915</v>
      </c>
      <c r="G68">
        <f>+GETPIVOTDATA("APELLIDO Y NOMBRE/S",$A$4,"DIRECCIÓN/ÁREA","DIR NAC GENERACION DE CONTENIDOS","AREA / DEPENDENCIA","INV. AP. RECURSOS DIGITALES","TIPO","AT")+GETPIVOTDATA("APELLIDO Y NOMBRE/S",$A$4,"DIRECCIÓN/ÁREA","DIR NAC GENERACION DE CONTENIDOS","AREA / DEPENDENCIA","TELEVISION DIGITAL ABIERTA","TIPO","AT")+GETPIVOTDATA("APELLIDO Y NOMBRE/S",$A$4,"DIRECCIÓN/ÁREA","DIR NAC GENERACION DE CONTENIDOS","AREA / DEPENDENCIA",,"TIPO","AT")</f>
        <v>197</v>
      </c>
    </row>
    <row r="69" spans="1:7" x14ac:dyDescent="0.25">
      <c r="A69" t="s">
        <v>825</v>
      </c>
      <c r="B69" t="s">
        <v>908</v>
      </c>
      <c r="C69" t="s">
        <v>916</v>
      </c>
      <c r="D69" s="32">
        <v>1</v>
      </c>
      <c r="F69" t="s">
        <v>916</v>
      </c>
      <c r="G69" t="e">
        <f>+GETPIVOTDATA("APELLIDO Y NOMBRE/S",$A$4,"DIRECCIÓN/ÁREA","DIR NAC GENERACION DE CONTENIDOS","AREA / DEPENDENCIA","COMUNICACIÓN","TIPO","LM")+GETPIVOTDATA("APELLIDO Y NOMBRE/S",$A$4,"DIRECCIÓN/ÁREA","DIR NAC GENERACION DE CONTENIDOS","AREA / DEPENDENCIA","COMUNICACIÓN - SIN ASIGNAR TAREA","TIPO","LM")+GETPIVOTDATA("APELLIDO Y NOMBRE/S",$A$4,"DIRECCIÓN/ÁREA","DIR NAC GENERACION DE CONTENIDOS","AREA / DEPENDENCIA","DIRECCIÓN GESIÓN DE CONVENIOS","TIPO","LM")+GETPIVOTDATA("APELLIDO Y NOMBRE/S",$A$4,"DIRECCIÓN/ÁREA","DIR NAC GENERACION DE CONTENIDOS","AREA / DEPENDENCIA","FOMENTO","TIPO","LM")+GETPIVOTDATA("APELLIDO Y NOMBRE/S",$A$4,"DIRECCIÓN/ÁREA","DIR NAC GENERACION DE CONTENIDOS","AREA / DEPENDENCIA","TELEVISION DIGITAL ABIERTA","TIPO","LM")+GETPIVOTDATA("APELLIDO Y NOMBRE/S",$A$4,"DIRECCIÓN/ÁREA","DIR NAC GENERACION DE CONTENIDOS","AREA / DEPENDENCIA",,"TIPO","LM")</f>
        <v>#REF!</v>
      </c>
    </row>
    <row r="70" spans="1:7" x14ac:dyDescent="0.25">
      <c r="B70" t="s">
        <v>1794</v>
      </c>
      <c r="D70" s="32">
        <v>1</v>
      </c>
      <c r="G70" t="e">
        <f>+G68+G69</f>
        <v>#REF!</v>
      </c>
    </row>
    <row r="71" spans="1:7" x14ac:dyDescent="0.25">
      <c r="B71" t="s">
        <v>56</v>
      </c>
      <c r="C71" t="s">
        <v>916</v>
      </c>
      <c r="D71" s="32">
        <v>1</v>
      </c>
    </row>
    <row r="72" spans="1:7" x14ac:dyDescent="0.25">
      <c r="B72" t="s">
        <v>1795</v>
      </c>
      <c r="D72" s="32">
        <v>1</v>
      </c>
    </row>
    <row r="73" spans="1:7" x14ac:dyDescent="0.25">
      <c r="B73" t="s">
        <v>8</v>
      </c>
      <c r="C73" t="s">
        <v>915</v>
      </c>
      <c r="D73" s="32">
        <v>24</v>
      </c>
    </row>
    <row r="74" spans="1:7" x14ac:dyDescent="0.25">
      <c r="B74" t="s">
        <v>1796</v>
      </c>
      <c r="D74" s="32">
        <v>24</v>
      </c>
    </row>
    <row r="75" spans="1:7" x14ac:dyDescent="0.25">
      <c r="B75" t="s">
        <v>18</v>
      </c>
      <c r="C75" t="s">
        <v>915</v>
      </c>
      <c r="D75" s="32">
        <v>165</v>
      </c>
    </row>
    <row r="76" spans="1:7" x14ac:dyDescent="0.25">
      <c r="C76" t="s">
        <v>916</v>
      </c>
      <c r="D76" s="32">
        <v>30</v>
      </c>
    </row>
    <row r="77" spans="1:7" x14ac:dyDescent="0.25">
      <c r="B77" t="s">
        <v>1797</v>
      </c>
      <c r="D77" s="32">
        <v>195</v>
      </c>
    </row>
    <row r="78" spans="1:7" x14ac:dyDescent="0.25">
      <c r="B78" t="s">
        <v>794</v>
      </c>
      <c r="C78" t="s">
        <v>915</v>
      </c>
      <c r="D78" s="32">
        <v>8</v>
      </c>
    </row>
    <row r="79" spans="1:7" x14ac:dyDescent="0.25">
      <c r="C79" t="s">
        <v>916</v>
      </c>
      <c r="D79" s="32">
        <v>2</v>
      </c>
    </row>
    <row r="80" spans="1:7" x14ac:dyDescent="0.25">
      <c r="B80" t="s">
        <v>816</v>
      </c>
      <c r="D80" s="32">
        <v>10</v>
      </c>
    </row>
    <row r="81" spans="1:7" x14ac:dyDescent="0.25">
      <c r="A81" t="s">
        <v>1775</v>
      </c>
      <c r="D81" s="32">
        <v>231</v>
      </c>
    </row>
    <row r="82" spans="1:7" x14ac:dyDescent="0.25">
      <c r="A82" t="s">
        <v>819</v>
      </c>
      <c r="B82" t="s">
        <v>928</v>
      </c>
      <c r="C82" t="s">
        <v>916</v>
      </c>
      <c r="D82" s="32">
        <v>1</v>
      </c>
    </row>
    <row r="83" spans="1:7" x14ac:dyDescent="0.25">
      <c r="B83" t="s">
        <v>1771</v>
      </c>
      <c r="D83" s="32">
        <v>1</v>
      </c>
    </row>
    <row r="84" spans="1:7" x14ac:dyDescent="0.25">
      <c r="B84" t="s">
        <v>794</v>
      </c>
      <c r="C84" t="s">
        <v>915</v>
      </c>
      <c r="D84" s="32">
        <v>28</v>
      </c>
    </row>
    <row r="85" spans="1:7" x14ac:dyDescent="0.25">
      <c r="B85" t="s">
        <v>816</v>
      </c>
      <c r="D85" s="32">
        <v>28</v>
      </c>
    </row>
    <row r="86" spans="1:7" x14ac:dyDescent="0.25">
      <c r="A86" t="s">
        <v>1777</v>
      </c>
      <c r="D86" s="32">
        <v>29</v>
      </c>
    </row>
    <row r="87" spans="1:7" x14ac:dyDescent="0.25">
      <c r="A87" t="s">
        <v>794</v>
      </c>
      <c r="B87" t="s">
        <v>794</v>
      </c>
      <c r="C87" t="s">
        <v>915</v>
      </c>
      <c r="D87" s="32">
        <v>7</v>
      </c>
    </row>
    <row r="88" spans="1:7" x14ac:dyDescent="0.25">
      <c r="B88" t="s">
        <v>816</v>
      </c>
      <c r="D88" s="32">
        <v>7</v>
      </c>
    </row>
    <row r="89" spans="1:7" x14ac:dyDescent="0.25">
      <c r="A89" t="s">
        <v>816</v>
      </c>
      <c r="D89" s="32">
        <v>7</v>
      </c>
      <c r="F89" t="s">
        <v>915</v>
      </c>
      <c r="G89" t="e">
        <f>+GETPIVOTDATA("APELLIDO Y NOMBRE/S",$A$4,"DIRECCIÓN/ÁREA","DIRECCION NACIONAL DE CENTROS TEMATICOS","AREA / DEPENDENCIA","ADMINISTRACION- CADETE","TIPO","AT")+GETPIVOTDATA("APELLIDO Y NOMBRE/S",$A$4,"DIRECCIÓN/ÁREA","DIRECCION NACIONAL DE CENTROS TEMATICOS","AREA / DEPENDENCIA","ADMINISTRACION- RECEPCION","TIPO","AT")+GETPIVOTDATA("APELLIDO Y NOMBRE/S",$A$4,"DIRECCIÓN/ÁREA","DIRECCION NACIONAL DE CENTROS TEMATICOS","AREA / DEPENDENCIA","ADMINISTRACION- RRHH","TIPO","AT")+GETPIVOTDATA("APELLIDO Y NOMBRE/S",$A$4,"DIRECCIÓN/ÁREA","DIRECCION NACIONAL DE CENTROS TEMATICOS","AREA / DEPENDENCIA","ARQUITECTURA Y OBRA","TIPO","AT")+GETPIVOTDATA("APELLIDO Y NOMBRE/S",$A$4,"DIRECCIÓN/ÁREA","DIRECCION NACIONAL DE CENTROS TEMATICOS","AREA / DEPENDENCIA","GASTRONOMIA","TIPO","AT")+GETPIVOTDATA("APELLIDO Y NOMBRE/S",$A$4,"DIRECCIÓN/ÁREA","DIRECCION NACIONAL DE CENTROS TEMATICOS","AREA / DEPENDENCIA","INTENDENCIA - FERIAL","TIPO","AT")+GETPIVOTDATA("APELLIDO Y NOMBRE/S",$A$4,"DIRECCIÓN/ÁREA","DIRECCION NACIONAL DE CENTROS TEMATICOS","AREA / DEPENDENCIA","INTENDENCIA - LIMPIEZA","TIPO","AT")+GETPIVOTDATA("APELLIDO Y NOMBRE/S",$A$4,"DIRECCIÓN/ÁREA","DIRECCION NACIONAL DE CENTROS TEMATICOS","AREA / DEPENDENCIA","INTENDENCIA - TALLERES","TIPO","AT")+GETPIVOTDATA("APELLIDO Y NOMBRE/S",$A$4,"DIRECCIÓN/ÁREA","DIRECCION NACIONAL DE CENTROS TEMATICOS","AREA / DEPENDENCIA","INTENDENCIA- LIMPIEZA/ PARQUIZACION","TIPO","AT")+GETPIVOTDATA("APELLIDO Y NOMBRE/S",$A$4,"DIRECCIÓN/ÁREA","DIRECCION NACIONAL DE CENTROS TEMATICOS","AREA / DEPENDENCIA","INTENDENCIA- MANTENIMIENTO","TIPO","AT")+GETPIVOTDATA("APELLIDO Y NOMBRE/S",$A$4,"DIRECCIÓN/ÁREA","DIRECCION NACIONAL DE CENTROS TEMATICOS","AREA / DEPENDENCIA","INTENDENCIA -MESA DE AYUDA","TIPO","AT")+GETPIVOTDATA("APELLIDO Y NOMBRE/S",$A$4,"DIRECCIÓN/ÁREA","DIRECCION NACIONAL DE CENTROS TEMATICOS","AREA / DEPENDENCIA","INTENDENCIA- PARQUIZACION","TIPO","AT")+GETPIVOTDATA("APELLIDO Y NOMBRE/S",$A$4,"DIRECCIÓN/ÁREA","DIRECCION NACIONAL DE CENTROS TEMATICOS","AREA / DEPENDENCIA","MESA DE AYUDA","TIPO","AT")+GETPIVOTDATA("APELLIDO Y NOMBRE/S",$A$4,"DIRECCIÓN/ÁREA","DIRECCION NACIONAL DE CENTROS TEMATICOS","AREA / DEPENDENCIA","OPERATIVA","TIPO","AT")+GETPIVOTDATA("APELLIDO Y NOMBRE/S",$A$4,"DIRECCIÓN/ÁREA","DIRECCION NACIONAL DE CENTROS TEMATICOS","AREA / DEPENDENCIA","PRODUCCIÓN","TIPO","AT")+GETPIVOTDATA("APELLIDO Y NOMBRE/S",$A$4,"DIRECCIÓN/ÁREA","DIRECCION NACIONAL DE CENTROS TEMATICOS","AREA / DEPENDENCIA","TECNICA","TIPO","AT")+GETPIVOTDATA("APELLIDO Y NOMBRE/S",$A$4,"DIRECCIÓN/ÁREA","DIRECCION NACIONAL DE CENTROS TEMATICOS","AREA / DEPENDENCIA",,"TIPO","AT")</f>
        <v>#REF!</v>
      </c>
    </row>
    <row r="90" spans="1:7" x14ac:dyDescent="0.25">
      <c r="A90" t="s">
        <v>252</v>
      </c>
      <c r="D90" s="32">
        <v>646</v>
      </c>
      <c r="F90" t="s">
        <v>916</v>
      </c>
      <c r="G90" t="e">
        <f>+G91-G89</f>
        <v>#REF!</v>
      </c>
    </row>
    <row r="91" spans="1:7" x14ac:dyDescent="0.25">
      <c r="G91">
        <v>276</v>
      </c>
    </row>
  </sheetData>
  <pageMargins left="0.11811023622047245" right="0.11811023622047245" top="0.15748031496062992" bottom="0.15748031496062992" header="0.31496062992125984" footer="0.31496062992125984"/>
  <pageSetup paperSize="9" scale="85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14"/>
  <sheetViews>
    <sheetView topLeftCell="A3" workbookViewId="0">
      <selection activeCell="F17" sqref="F17"/>
    </sheetView>
  </sheetViews>
  <sheetFormatPr baseColWidth="10" defaultRowHeight="15" x14ac:dyDescent="0.25"/>
  <cols>
    <col min="1" max="1" width="25.5703125" bestFit="1" customWidth="1"/>
    <col min="2" max="2" width="39.28515625" customWidth="1"/>
    <col min="3" max="3" width="33" customWidth="1"/>
    <col min="4" max="4" width="32.5703125" customWidth="1"/>
    <col min="5" max="5" width="33" bestFit="1" customWidth="1"/>
    <col min="6" max="6" width="13.140625" customWidth="1"/>
    <col min="7" max="7" width="20.7109375" customWidth="1"/>
  </cols>
  <sheetData>
    <row r="3" spans="1:6" x14ac:dyDescent="0.25">
      <c r="A3" s="11" t="s">
        <v>1811</v>
      </c>
    </row>
    <row r="4" spans="1:6" ht="27" customHeight="1" x14ac:dyDescent="0.25">
      <c r="A4" s="11" t="s">
        <v>0</v>
      </c>
      <c r="B4" s="11" t="s">
        <v>821</v>
      </c>
      <c r="C4" s="11" t="s">
        <v>1</v>
      </c>
      <c r="D4" s="11" t="s">
        <v>513</v>
      </c>
      <c r="E4" s="11" t="s">
        <v>514</v>
      </c>
      <c r="F4" t="s">
        <v>253</v>
      </c>
    </row>
    <row r="5" spans="1:6" x14ac:dyDescent="0.25">
      <c r="A5" t="s">
        <v>822</v>
      </c>
      <c r="B5" t="s">
        <v>823</v>
      </c>
      <c r="C5" t="s">
        <v>808</v>
      </c>
      <c r="D5" t="s">
        <v>59</v>
      </c>
      <c r="E5" t="s">
        <v>794</v>
      </c>
      <c r="F5" s="101">
        <v>10480</v>
      </c>
    </row>
    <row r="6" spans="1:6" x14ac:dyDescent="0.25">
      <c r="D6" t="s">
        <v>517</v>
      </c>
      <c r="E6" t="s">
        <v>794</v>
      </c>
      <c r="F6" s="101">
        <v>17030</v>
      </c>
    </row>
    <row r="7" spans="1:6" x14ac:dyDescent="0.25">
      <c r="D7" t="s">
        <v>11</v>
      </c>
      <c r="E7" t="s">
        <v>218</v>
      </c>
      <c r="F7" s="101">
        <v>11790</v>
      </c>
    </row>
    <row r="8" spans="1:6" x14ac:dyDescent="0.25">
      <c r="E8" t="s">
        <v>794</v>
      </c>
      <c r="F8" s="101">
        <v>1310</v>
      </c>
    </row>
    <row r="9" spans="1:6" x14ac:dyDescent="0.25">
      <c r="D9" t="s">
        <v>219</v>
      </c>
      <c r="E9" t="s">
        <v>794</v>
      </c>
      <c r="F9" s="101">
        <v>6550</v>
      </c>
    </row>
    <row r="10" spans="1:6" x14ac:dyDescent="0.25">
      <c r="D10" t="s">
        <v>909</v>
      </c>
      <c r="E10" t="s">
        <v>1704</v>
      </c>
      <c r="F10" s="101">
        <v>2620</v>
      </c>
    </row>
    <row r="11" spans="1:6" x14ac:dyDescent="0.25">
      <c r="E11" t="s">
        <v>1705</v>
      </c>
      <c r="F11" s="101">
        <v>1310</v>
      </c>
    </row>
    <row r="12" spans="1:6" x14ac:dyDescent="0.25">
      <c r="E12" t="s">
        <v>219</v>
      </c>
      <c r="F12" s="101">
        <v>3930</v>
      </c>
    </row>
    <row r="13" spans="1:6" x14ac:dyDescent="0.25">
      <c r="E13" t="s">
        <v>812</v>
      </c>
      <c r="F13" s="101">
        <v>3930</v>
      </c>
    </row>
    <row r="14" spans="1:6" x14ac:dyDescent="0.25">
      <c r="E14" t="s">
        <v>52</v>
      </c>
      <c r="F14" s="101">
        <v>10480</v>
      </c>
    </row>
    <row r="15" spans="1:6" x14ac:dyDescent="0.25">
      <c r="E15" t="s">
        <v>500</v>
      </c>
      <c r="F15" s="101">
        <v>9170</v>
      </c>
    </row>
    <row r="16" spans="1:6" x14ac:dyDescent="0.25">
      <c r="E16" t="s">
        <v>507</v>
      </c>
      <c r="F16" s="101">
        <v>7860</v>
      </c>
    </row>
    <row r="17" spans="4:6" x14ac:dyDescent="0.25">
      <c r="E17" t="s">
        <v>811</v>
      </c>
      <c r="F17" s="101">
        <v>14410</v>
      </c>
    </row>
    <row r="18" spans="4:6" x14ac:dyDescent="0.25">
      <c r="E18" t="s">
        <v>813</v>
      </c>
      <c r="F18" s="101">
        <v>5240</v>
      </c>
    </row>
    <row r="19" spans="4:6" x14ac:dyDescent="0.25">
      <c r="E19" t="s">
        <v>524</v>
      </c>
      <c r="F19" s="101">
        <v>3930</v>
      </c>
    </row>
    <row r="20" spans="4:6" x14ac:dyDescent="0.25">
      <c r="E20" t="s">
        <v>23</v>
      </c>
      <c r="F20" s="101">
        <v>30130</v>
      </c>
    </row>
    <row r="21" spans="4:6" x14ac:dyDescent="0.25">
      <c r="E21" t="s">
        <v>795</v>
      </c>
      <c r="F21" s="101">
        <v>0</v>
      </c>
    </row>
    <row r="22" spans="4:6" x14ac:dyDescent="0.25">
      <c r="E22" t="s">
        <v>794</v>
      </c>
      <c r="F22" s="101">
        <v>0</v>
      </c>
    </row>
    <row r="23" spans="4:6" x14ac:dyDescent="0.25">
      <c r="D23" t="s">
        <v>216</v>
      </c>
      <c r="E23" t="s">
        <v>1130</v>
      </c>
      <c r="F23" s="101">
        <v>0</v>
      </c>
    </row>
    <row r="24" spans="4:6" x14ac:dyDescent="0.25">
      <c r="E24" t="s">
        <v>503</v>
      </c>
      <c r="F24" s="101">
        <v>0</v>
      </c>
    </row>
    <row r="25" spans="4:6" x14ac:dyDescent="0.25">
      <c r="E25" t="s">
        <v>1066</v>
      </c>
      <c r="F25" s="101">
        <v>20960</v>
      </c>
    </row>
    <row r="26" spans="4:6" x14ac:dyDescent="0.25">
      <c r="E26" t="s">
        <v>794</v>
      </c>
      <c r="F26" s="101">
        <v>23580</v>
      </c>
    </row>
    <row r="27" spans="4:6" x14ac:dyDescent="0.25">
      <c r="D27" t="s">
        <v>895</v>
      </c>
      <c r="E27" t="s">
        <v>794</v>
      </c>
      <c r="F27" s="101">
        <v>2620</v>
      </c>
    </row>
    <row r="28" spans="4:6" x14ac:dyDescent="0.25">
      <c r="D28" t="s">
        <v>20</v>
      </c>
      <c r="E28" t="s">
        <v>503</v>
      </c>
      <c r="F28" s="101">
        <v>2620</v>
      </c>
    </row>
    <row r="29" spans="4:6" x14ac:dyDescent="0.25">
      <c r="E29" t="s">
        <v>794</v>
      </c>
      <c r="F29" s="101">
        <v>39300</v>
      </c>
    </row>
    <row r="30" spans="4:6" x14ac:dyDescent="0.25">
      <c r="D30" t="s">
        <v>503</v>
      </c>
      <c r="E30" t="s">
        <v>1130</v>
      </c>
      <c r="F30" s="101">
        <v>0</v>
      </c>
    </row>
    <row r="31" spans="4:6" x14ac:dyDescent="0.25">
      <c r="E31" t="s">
        <v>794</v>
      </c>
      <c r="F31" s="101">
        <v>2620</v>
      </c>
    </row>
    <row r="32" spans="4:6" x14ac:dyDescent="0.25">
      <c r="D32" t="s">
        <v>794</v>
      </c>
      <c r="E32" t="s">
        <v>794</v>
      </c>
      <c r="F32" s="101">
        <v>2620</v>
      </c>
    </row>
    <row r="33" spans="3:6" x14ac:dyDescent="0.25">
      <c r="C33" t="s">
        <v>1774</v>
      </c>
      <c r="F33" s="101">
        <v>234490</v>
      </c>
    </row>
    <row r="34" spans="3:6" x14ac:dyDescent="0.25">
      <c r="C34" t="s">
        <v>800</v>
      </c>
      <c r="D34" t="s">
        <v>59</v>
      </c>
      <c r="E34" t="s">
        <v>794</v>
      </c>
      <c r="F34" s="101">
        <v>6550</v>
      </c>
    </row>
    <row r="35" spans="3:6" x14ac:dyDescent="0.25">
      <c r="D35" t="s">
        <v>480</v>
      </c>
      <c r="E35" t="s">
        <v>794</v>
      </c>
      <c r="F35" s="101">
        <v>1310</v>
      </c>
    </row>
    <row r="36" spans="3:6" x14ac:dyDescent="0.25">
      <c r="D36" t="s">
        <v>481</v>
      </c>
      <c r="E36" t="s">
        <v>794</v>
      </c>
      <c r="F36" s="101">
        <v>3930</v>
      </c>
    </row>
    <row r="37" spans="3:6" x14ac:dyDescent="0.25">
      <c r="D37" t="s">
        <v>482</v>
      </c>
      <c r="E37" t="s">
        <v>794</v>
      </c>
      <c r="F37" s="101">
        <v>3930</v>
      </c>
    </row>
    <row r="38" spans="3:6" x14ac:dyDescent="0.25">
      <c r="D38" t="s">
        <v>483</v>
      </c>
      <c r="E38" t="s">
        <v>794</v>
      </c>
      <c r="F38" s="101">
        <v>2620</v>
      </c>
    </row>
    <row r="39" spans="3:6" x14ac:dyDescent="0.25">
      <c r="D39" t="s">
        <v>484</v>
      </c>
      <c r="E39" t="s">
        <v>794</v>
      </c>
      <c r="F39" s="101">
        <v>10480</v>
      </c>
    </row>
    <row r="40" spans="3:6" x14ac:dyDescent="0.25">
      <c r="D40" t="s">
        <v>485</v>
      </c>
      <c r="E40" t="s">
        <v>794</v>
      </c>
      <c r="F40" s="101">
        <v>14410</v>
      </c>
    </row>
    <row r="41" spans="3:6" x14ac:dyDescent="0.25">
      <c r="D41" t="s">
        <v>11</v>
      </c>
      <c r="E41" t="s">
        <v>794</v>
      </c>
      <c r="F41" s="101">
        <v>1310</v>
      </c>
    </row>
    <row r="42" spans="3:6" x14ac:dyDescent="0.25">
      <c r="D42" t="s">
        <v>486</v>
      </c>
      <c r="E42" t="s">
        <v>794</v>
      </c>
      <c r="F42" s="101">
        <v>27510</v>
      </c>
    </row>
    <row r="43" spans="3:6" x14ac:dyDescent="0.25">
      <c r="D43" t="s">
        <v>487</v>
      </c>
      <c r="E43" t="s">
        <v>794</v>
      </c>
      <c r="F43" s="101">
        <v>19650</v>
      </c>
    </row>
    <row r="44" spans="3:6" x14ac:dyDescent="0.25">
      <c r="D44" t="s">
        <v>488</v>
      </c>
      <c r="E44" t="s">
        <v>794</v>
      </c>
      <c r="F44" s="101">
        <v>5240</v>
      </c>
    </row>
    <row r="45" spans="3:6" x14ac:dyDescent="0.25">
      <c r="D45" t="s">
        <v>489</v>
      </c>
      <c r="E45" t="s">
        <v>794</v>
      </c>
      <c r="F45" s="101">
        <v>48470</v>
      </c>
    </row>
    <row r="46" spans="3:6" x14ac:dyDescent="0.25">
      <c r="D46" t="s">
        <v>490</v>
      </c>
      <c r="E46" t="s">
        <v>794</v>
      </c>
      <c r="F46" s="101">
        <v>6550</v>
      </c>
    </row>
    <row r="47" spans="3:6" x14ac:dyDescent="0.25">
      <c r="D47" t="s">
        <v>491</v>
      </c>
      <c r="E47" t="s">
        <v>794</v>
      </c>
      <c r="F47" s="101">
        <v>2620</v>
      </c>
    </row>
    <row r="48" spans="3:6" x14ac:dyDescent="0.25">
      <c r="D48" t="s">
        <v>492</v>
      </c>
      <c r="E48" t="s">
        <v>794</v>
      </c>
      <c r="F48" s="101">
        <v>1310</v>
      </c>
    </row>
    <row r="49" spans="3:6" x14ac:dyDescent="0.25">
      <c r="D49" t="s">
        <v>493</v>
      </c>
      <c r="E49" t="s">
        <v>794</v>
      </c>
      <c r="F49" s="101">
        <v>2620</v>
      </c>
    </row>
    <row r="50" spans="3:6" x14ac:dyDescent="0.25">
      <c r="D50" t="s">
        <v>541</v>
      </c>
      <c r="E50" t="s">
        <v>794</v>
      </c>
      <c r="F50" s="101">
        <v>36680</v>
      </c>
    </row>
    <row r="51" spans="3:6" x14ac:dyDescent="0.25">
      <c r="D51" t="s">
        <v>494</v>
      </c>
      <c r="E51" t="s">
        <v>794</v>
      </c>
      <c r="F51" s="101">
        <v>2620</v>
      </c>
    </row>
    <row r="52" spans="3:6" x14ac:dyDescent="0.25">
      <c r="D52" t="s">
        <v>495</v>
      </c>
      <c r="E52" t="s">
        <v>794</v>
      </c>
      <c r="F52" s="101">
        <v>1310</v>
      </c>
    </row>
    <row r="53" spans="3:6" x14ac:dyDescent="0.25">
      <c r="D53" t="s">
        <v>496</v>
      </c>
      <c r="E53" t="s">
        <v>486</v>
      </c>
      <c r="F53" s="101">
        <v>1310</v>
      </c>
    </row>
    <row r="54" spans="3:6" x14ac:dyDescent="0.25">
      <c r="D54" t="s">
        <v>497</v>
      </c>
      <c r="E54" t="s">
        <v>794</v>
      </c>
      <c r="F54" s="101">
        <v>43230</v>
      </c>
    </row>
    <row r="55" spans="3:6" x14ac:dyDescent="0.25">
      <c r="D55" t="s">
        <v>498</v>
      </c>
      <c r="E55" t="s">
        <v>794</v>
      </c>
      <c r="F55" s="101">
        <v>2620</v>
      </c>
    </row>
    <row r="56" spans="3:6" x14ac:dyDescent="0.25">
      <c r="D56" t="s">
        <v>499</v>
      </c>
      <c r="E56" t="s">
        <v>794</v>
      </c>
      <c r="F56" s="101">
        <v>9170</v>
      </c>
    </row>
    <row r="57" spans="3:6" x14ac:dyDescent="0.25">
      <c r="D57" t="s">
        <v>500</v>
      </c>
      <c r="E57" t="s">
        <v>794</v>
      </c>
      <c r="F57" s="101">
        <v>2620</v>
      </c>
    </row>
    <row r="58" spans="3:6" x14ac:dyDescent="0.25">
      <c r="D58" t="s">
        <v>507</v>
      </c>
      <c r="E58" t="s">
        <v>794</v>
      </c>
      <c r="F58" s="101">
        <v>1310</v>
      </c>
    </row>
    <row r="59" spans="3:6" x14ac:dyDescent="0.25">
      <c r="D59" t="s">
        <v>501</v>
      </c>
      <c r="E59" t="s">
        <v>794</v>
      </c>
      <c r="F59" s="101">
        <v>26200</v>
      </c>
    </row>
    <row r="60" spans="3:6" x14ac:dyDescent="0.25">
      <c r="D60" t="s">
        <v>502</v>
      </c>
      <c r="E60" t="s">
        <v>794</v>
      </c>
      <c r="F60" s="101">
        <v>1310</v>
      </c>
    </row>
    <row r="61" spans="3:6" x14ac:dyDescent="0.25">
      <c r="D61" t="s">
        <v>20</v>
      </c>
      <c r="E61" t="s">
        <v>794</v>
      </c>
      <c r="F61" s="101">
        <v>11790</v>
      </c>
    </row>
    <row r="62" spans="3:6" x14ac:dyDescent="0.25">
      <c r="D62" t="s">
        <v>503</v>
      </c>
      <c r="E62" t="s">
        <v>794</v>
      </c>
      <c r="F62" s="101">
        <v>20960</v>
      </c>
    </row>
    <row r="63" spans="3:6" x14ac:dyDescent="0.25">
      <c r="D63" t="s">
        <v>794</v>
      </c>
      <c r="E63" t="s">
        <v>794</v>
      </c>
      <c r="F63" s="101">
        <v>19650</v>
      </c>
    </row>
    <row r="64" spans="3:6" x14ac:dyDescent="0.25">
      <c r="C64" t="s">
        <v>1776</v>
      </c>
      <c r="F64" s="101">
        <v>339290</v>
      </c>
    </row>
    <row r="65" spans="2:6" x14ac:dyDescent="0.25">
      <c r="C65" t="s">
        <v>794</v>
      </c>
      <c r="D65" t="s">
        <v>794</v>
      </c>
      <c r="E65" t="s">
        <v>794</v>
      </c>
      <c r="F65" s="101">
        <v>0</v>
      </c>
    </row>
    <row r="66" spans="2:6" x14ac:dyDescent="0.25">
      <c r="C66" t="s">
        <v>816</v>
      </c>
      <c r="F66" s="101">
        <v>0</v>
      </c>
    </row>
    <row r="67" spans="2:6" x14ac:dyDescent="0.25">
      <c r="C67" t="s">
        <v>1820</v>
      </c>
      <c r="D67" t="s">
        <v>794</v>
      </c>
      <c r="E67" t="s">
        <v>794</v>
      </c>
      <c r="F67" s="101">
        <v>26200</v>
      </c>
    </row>
    <row r="68" spans="2:6" x14ac:dyDescent="0.25">
      <c r="C68" t="s">
        <v>1821</v>
      </c>
      <c r="F68" s="101">
        <v>26200</v>
      </c>
    </row>
    <row r="69" spans="2:6" x14ac:dyDescent="0.25">
      <c r="B69" t="s">
        <v>922</v>
      </c>
      <c r="F69" s="101">
        <v>599980</v>
      </c>
    </row>
    <row r="70" spans="2:6" x14ac:dyDescent="0.25">
      <c r="B70" t="s">
        <v>794</v>
      </c>
      <c r="C70" t="s">
        <v>928</v>
      </c>
      <c r="D70" t="s">
        <v>11</v>
      </c>
      <c r="E70" t="s">
        <v>794</v>
      </c>
      <c r="F70" s="101">
        <v>18340</v>
      </c>
    </row>
    <row r="71" spans="2:6" x14ac:dyDescent="0.25">
      <c r="C71" t="s">
        <v>1771</v>
      </c>
      <c r="F71" s="101">
        <v>18340</v>
      </c>
    </row>
    <row r="72" spans="2:6" x14ac:dyDescent="0.25">
      <c r="C72" t="s">
        <v>1106</v>
      </c>
      <c r="D72" t="s">
        <v>794</v>
      </c>
      <c r="E72" t="s">
        <v>794</v>
      </c>
      <c r="F72" s="101">
        <v>3930</v>
      </c>
    </row>
    <row r="73" spans="2:6" x14ac:dyDescent="0.25">
      <c r="C73" t="s">
        <v>1772</v>
      </c>
      <c r="F73" s="101">
        <v>3930</v>
      </c>
    </row>
    <row r="74" spans="2:6" x14ac:dyDescent="0.25">
      <c r="C74" t="s">
        <v>825</v>
      </c>
      <c r="D74" t="s">
        <v>908</v>
      </c>
      <c r="E74" t="s">
        <v>12</v>
      </c>
      <c r="F74" s="101">
        <v>1310</v>
      </c>
    </row>
    <row r="75" spans="2:6" x14ac:dyDescent="0.25">
      <c r="D75" t="s">
        <v>56</v>
      </c>
      <c r="E75" t="s">
        <v>794</v>
      </c>
      <c r="F75" s="101">
        <v>1310</v>
      </c>
    </row>
    <row r="76" spans="2:6" x14ac:dyDescent="0.25">
      <c r="D76" t="s">
        <v>8</v>
      </c>
      <c r="E76" t="s">
        <v>913</v>
      </c>
      <c r="F76" s="101">
        <v>31440</v>
      </c>
    </row>
    <row r="77" spans="2:6" x14ac:dyDescent="0.25">
      <c r="D77" t="s">
        <v>18</v>
      </c>
      <c r="E77" t="s">
        <v>19</v>
      </c>
      <c r="F77" s="101">
        <v>221390</v>
      </c>
    </row>
    <row r="78" spans="2:6" x14ac:dyDescent="0.25">
      <c r="E78" t="s">
        <v>1012</v>
      </c>
      <c r="F78" s="101">
        <v>32750</v>
      </c>
    </row>
    <row r="79" spans="2:6" x14ac:dyDescent="0.25">
      <c r="D79" t="s">
        <v>794</v>
      </c>
      <c r="E79" t="s">
        <v>794</v>
      </c>
      <c r="F79" s="101">
        <v>13100</v>
      </c>
    </row>
    <row r="80" spans="2:6" x14ac:dyDescent="0.25">
      <c r="C80" t="s">
        <v>1775</v>
      </c>
      <c r="F80" s="101">
        <v>301300</v>
      </c>
    </row>
    <row r="81" spans="1:6" x14ac:dyDescent="0.25">
      <c r="C81" t="s">
        <v>1833</v>
      </c>
      <c r="D81" t="s">
        <v>1109</v>
      </c>
      <c r="E81" t="s">
        <v>957</v>
      </c>
      <c r="F81" s="101">
        <v>1310</v>
      </c>
    </row>
    <row r="82" spans="1:6" x14ac:dyDescent="0.25">
      <c r="E82" t="s">
        <v>794</v>
      </c>
      <c r="F82" s="101">
        <v>2620</v>
      </c>
    </row>
    <row r="83" spans="1:6" x14ac:dyDescent="0.25">
      <c r="D83" t="s">
        <v>794</v>
      </c>
      <c r="E83" t="s">
        <v>794</v>
      </c>
      <c r="F83" s="101">
        <v>14410</v>
      </c>
    </row>
    <row r="84" spans="1:6" x14ac:dyDescent="0.25">
      <c r="C84" t="s">
        <v>1834</v>
      </c>
      <c r="F84" s="101">
        <v>18340</v>
      </c>
    </row>
    <row r="85" spans="1:6" x14ac:dyDescent="0.25">
      <c r="C85" t="s">
        <v>956</v>
      </c>
      <c r="D85" t="s">
        <v>956</v>
      </c>
      <c r="E85" t="s">
        <v>794</v>
      </c>
      <c r="F85" s="101">
        <v>7860</v>
      </c>
    </row>
    <row r="86" spans="1:6" x14ac:dyDescent="0.25">
      <c r="C86" t="s">
        <v>1798</v>
      </c>
      <c r="F86" s="101">
        <v>7860</v>
      </c>
    </row>
    <row r="87" spans="1:6" x14ac:dyDescent="0.25">
      <c r="B87" t="s">
        <v>816</v>
      </c>
      <c r="F87" s="101">
        <v>349770</v>
      </c>
    </row>
    <row r="88" spans="1:6" x14ac:dyDescent="0.25">
      <c r="A88" t="s">
        <v>1801</v>
      </c>
      <c r="F88" s="101">
        <v>949750</v>
      </c>
    </row>
    <row r="89" spans="1:6" x14ac:dyDescent="0.25">
      <c r="A89" t="s">
        <v>1098</v>
      </c>
      <c r="B89" t="s">
        <v>794</v>
      </c>
      <c r="C89" t="s">
        <v>1833</v>
      </c>
      <c r="D89" t="s">
        <v>794</v>
      </c>
      <c r="E89" t="s">
        <v>794</v>
      </c>
      <c r="F89" s="101">
        <v>5240</v>
      </c>
    </row>
    <row r="90" spans="1:6" x14ac:dyDescent="0.25">
      <c r="C90" t="s">
        <v>1834</v>
      </c>
      <c r="F90" s="101">
        <v>5240</v>
      </c>
    </row>
    <row r="91" spans="1:6" x14ac:dyDescent="0.25">
      <c r="B91" t="s">
        <v>816</v>
      </c>
      <c r="F91" s="101">
        <v>5240</v>
      </c>
    </row>
    <row r="92" spans="1:6" x14ac:dyDescent="0.25">
      <c r="A92" t="s">
        <v>1812</v>
      </c>
      <c r="F92" s="101">
        <v>5240</v>
      </c>
    </row>
    <row r="93" spans="1:6" x14ac:dyDescent="0.25">
      <c r="A93" t="s">
        <v>794</v>
      </c>
      <c r="B93" t="s">
        <v>794</v>
      </c>
      <c r="C93" t="s">
        <v>820</v>
      </c>
      <c r="D93" t="s">
        <v>47</v>
      </c>
      <c r="E93" t="s">
        <v>794</v>
      </c>
      <c r="F93" s="101">
        <v>1310</v>
      </c>
    </row>
    <row r="94" spans="1:6" x14ac:dyDescent="0.25">
      <c r="D94" t="s">
        <v>817</v>
      </c>
      <c r="E94" t="s">
        <v>794</v>
      </c>
      <c r="F94" s="101">
        <v>24890</v>
      </c>
    </row>
    <row r="95" spans="1:6" x14ac:dyDescent="0.25">
      <c r="D95" t="s">
        <v>912</v>
      </c>
      <c r="E95" t="s">
        <v>794</v>
      </c>
      <c r="F95" s="101">
        <v>3930</v>
      </c>
    </row>
    <row r="96" spans="1:6" x14ac:dyDescent="0.25">
      <c r="D96" t="s">
        <v>818</v>
      </c>
      <c r="E96" t="s">
        <v>794</v>
      </c>
      <c r="F96" s="101">
        <v>23580</v>
      </c>
    </row>
    <row r="97" spans="2:6" x14ac:dyDescent="0.25">
      <c r="D97" t="s">
        <v>837</v>
      </c>
      <c r="E97" t="s">
        <v>794</v>
      </c>
      <c r="F97" s="101">
        <v>11790</v>
      </c>
    </row>
    <row r="98" spans="2:6" x14ac:dyDescent="0.25">
      <c r="D98" t="s">
        <v>809</v>
      </c>
      <c r="E98" t="s">
        <v>794</v>
      </c>
      <c r="F98" s="101">
        <v>7860</v>
      </c>
    </row>
    <row r="99" spans="2:6" x14ac:dyDescent="0.25">
      <c r="D99" t="s">
        <v>921</v>
      </c>
      <c r="E99" t="s">
        <v>217</v>
      </c>
      <c r="F99" s="101">
        <v>6550</v>
      </c>
    </row>
    <row r="100" spans="2:6" x14ac:dyDescent="0.25">
      <c r="E100" t="s">
        <v>31</v>
      </c>
      <c r="F100" s="101">
        <v>19650</v>
      </c>
    </row>
    <row r="101" spans="2:6" x14ac:dyDescent="0.25">
      <c r="E101" t="s">
        <v>525</v>
      </c>
      <c r="F101" s="101">
        <v>19650</v>
      </c>
    </row>
    <row r="102" spans="2:6" x14ac:dyDescent="0.25">
      <c r="E102" t="s">
        <v>795</v>
      </c>
      <c r="F102" s="101">
        <v>5240</v>
      </c>
    </row>
    <row r="103" spans="2:6" x14ac:dyDescent="0.25">
      <c r="D103" t="s">
        <v>63</v>
      </c>
      <c r="E103" t="s">
        <v>927</v>
      </c>
      <c r="F103" s="101">
        <v>1310</v>
      </c>
    </row>
    <row r="104" spans="2:6" x14ac:dyDescent="0.25">
      <c r="E104" t="s">
        <v>794</v>
      </c>
      <c r="F104" s="101">
        <v>18340</v>
      </c>
    </row>
    <row r="105" spans="2:6" x14ac:dyDescent="0.25">
      <c r="D105" t="s">
        <v>794</v>
      </c>
      <c r="E105" t="s">
        <v>794</v>
      </c>
      <c r="F105" s="101">
        <v>2620</v>
      </c>
    </row>
    <row r="106" spans="2:6" x14ac:dyDescent="0.25">
      <c r="C106" t="s">
        <v>1773</v>
      </c>
      <c r="F106" s="101">
        <v>146720</v>
      </c>
    </row>
    <row r="107" spans="2:6" x14ac:dyDescent="0.25">
      <c r="C107" t="s">
        <v>819</v>
      </c>
      <c r="D107" t="s">
        <v>928</v>
      </c>
      <c r="E107" t="s">
        <v>794</v>
      </c>
      <c r="F107" s="101">
        <v>1310</v>
      </c>
    </row>
    <row r="108" spans="2:6" x14ac:dyDescent="0.25">
      <c r="D108" t="s">
        <v>794</v>
      </c>
      <c r="E108" t="s">
        <v>794</v>
      </c>
      <c r="F108" s="101">
        <v>35370</v>
      </c>
    </row>
    <row r="109" spans="2:6" x14ac:dyDescent="0.25">
      <c r="C109" t="s">
        <v>1777</v>
      </c>
      <c r="F109" s="101">
        <v>36680</v>
      </c>
    </row>
    <row r="110" spans="2:6" x14ac:dyDescent="0.25">
      <c r="C110" t="s">
        <v>794</v>
      </c>
      <c r="D110" t="s">
        <v>794</v>
      </c>
      <c r="E110" t="s">
        <v>794</v>
      </c>
      <c r="F110" s="101">
        <v>1310</v>
      </c>
    </row>
    <row r="111" spans="2:6" x14ac:dyDescent="0.25">
      <c r="C111" t="s">
        <v>816</v>
      </c>
      <c r="F111" s="101">
        <v>1310</v>
      </c>
    </row>
    <row r="112" spans="2:6" x14ac:dyDescent="0.25">
      <c r="B112" t="s">
        <v>816</v>
      </c>
      <c r="F112" s="101">
        <v>184710</v>
      </c>
    </row>
    <row r="113" spans="1:6" x14ac:dyDescent="0.25">
      <c r="A113" t="s">
        <v>816</v>
      </c>
      <c r="F113" s="101">
        <v>184710</v>
      </c>
    </row>
    <row r="114" spans="1:6" x14ac:dyDescent="0.25">
      <c r="A114" t="s">
        <v>252</v>
      </c>
      <c r="F114" s="101">
        <v>1139700</v>
      </c>
    </row>
  </sheetData>
  <pageMargins left="0.11811023622047245" right="0.11811023622047245" top="0.15748031496062992" bottom="0.15748031496062992" header="0.31496062992125984" footer="0.31496062992125984"/>
  <pageSetup paperSize="9" scale="75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BASE DATOS</vt:lpstr>
      <vt:lpstr>DETALLADO</vt:lpstr>
      <vt:lpstr>AT - LM</vt:lpstr>
      <vt:lpstr>TOTALES</vt:lpstr>
      <vt:lpstr>X AREA</vt:lpstr>
      <vt:lpstr>SECRETARIA</vt:lpstr>
      <vt:lpstr>DIR  Area</vt:lpstr>
      <vt:lpstr>Detalle</vt:lpstr>
      <vt:lpstr>Dot x Area</vt:lpstr>
      <vt:lpstr>$ x Area</vt:lpstr>
      <vt:lpstr>'AT - LM'!Área_de_impresión</vt:lpstr>
      <vt:lpstr>'BASE DATOS'!Área_de_impresión</vt:lpstr>
      <vt:lpstr>DETALLADO!Área_de_impresión</vt:lpstr>
      <vt:lpstr>'Dot x Area'!Área_de_impresión</vt:lpstr>
      <vt:lpstr>'BASE DATOS'!Títulos_a_imprimir</vt:lpstr>
      <vt:lpstr>DETALLADO!Títulos_a_imprimir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RRHH</dc:creator>
  <cp:lastModifiedBy>Marcelo Javier Restuccio</cp:lastModifiedBy>
  <cp:lastPrinted>2016-08-12T16:28:00Z</cp:lastPrinted>
  <dcterms:created xsi:type="dcterms:W3CDTF">2016-01-15T22:38:42Z</dcterms:created>
  <dcterms:modified xsi:type="dcterms:W3CDTF">2016-09-07T20:04:31Z</dcterms:modified>
</cp:coreProperties>
</file>